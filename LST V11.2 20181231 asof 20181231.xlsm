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always" codeName="ThisWorkbook"/>
  <bookViews>
    <workbookView xWindow="3450" yWindow="630" windowWidth="24150" windowHeight="12060" tabRatio="903" firstSheet="2" activeTab="9"/>
  </bookViews>
  <sheets>
    <sheet name="Model and interface--&gt;" sheetId="37" state="hidden" r:id="rId1"/>
    <sheet name="Read me first" sheetId="75" r:id="rId2"/>
    <sheet name="ControlCheck" sheetId="70" r:id="rId3"/>
    <sheet name="VOLA" sheetId="65" r:id="rId4"/>
    <sheet name="Data Processing" sheetId="43" r:id="rId5"/>
    <sheet name="Para Adj" sheetId="62" r:id="rId6"/>
    <sheet name="Data Interface" sheetId="23" r:id="rId7"/>
    <sheet name="Monthly Run-off Change" sheetId="56" r:id="rId8"/>
    <sheet name="Blended Maker" sheetId="72" r:id="rId9"/>
    <sheet name="Blended run off ratio" sheetId="63" r:id="rId10"/>
    <sheet name="Stress testing Buffer" sheetId="64" r:id="rId11"/>
    <sheet name="Assumptions" sheetId="24" r:id="rId12"/>
    <sheet name="DailyCashflow" sheetId="60" r:id="rId13"/>
    <sheet name="Model Report Formatized" sheetId="48" r:id="rId14"/>
    <sheet name="Daily CF 3 Scenario" sheetId="61" r:id="rId15"/>
    <sheet name="Buffer" sheetId="47" r:id="rId16"/>
    <sheet name="ChartMaker" sheetId="31" state="hidden" r:id="rId17"/>
    <sheet name="Federal Reserve Req Assumption" sheetId="28" state="hidden" r:id="rId18"/>
    <sheet name="Stress Test Model Balance Sheet" sheetId="45" state="hidden" r:id="rId19"/>
    <sheet name="Output--&gt;" sheetId="35" state="hidden" r:id="rId20"/>
    <sheet name="Assumptions--&gt;" sheetId="36" state="hidden" r:id="rId21"/>
    <sheet name="New Progress Table" sheetId="57" r:id="rId22"/>
    <sheet name="LST Email List" sheetId="66" r:id="rId23"/>
    <sheet name="Loan Haircut" sheetId="21" state="hidden" r:id="rId24"/>
    <sheet name="Information--&gt;" sheetId="38" state="hidden" r:id="rId25"/>
    <sheet name="Sheet1" sheetId="40" state="hidden" r:id="rId26"/>
    <sheet name="Schedule Allocation" sheetId="67" r:id="rId27"/>
    <sheet name="RunoffChangeAdj" sheetId="68" r:id="rId28"/>
    <sheet name="Authorization" sheetId="74" r:id="rId29"/>
    <sheet name="TB Line Definition" sheetId="77" state="hidden" r:id="rId30"/>
    <sheet name="CR Log" sheetId="76" r:id="rId31"/>
  </sheets>
  <functionGroups builtInGroupCount="17"/>
  <externalReferences>
    <externalReference r:id="rId32"/>
  </externalReferences>
  <definedNames>
    <definedName name="__123Graph_A" hidden="1">[1]BYco_2k!$C$125:$C$212</definedName>
    <definedName name="__123Graph_B" hidden="1">[1]BYco_2k!$D$125:$D$212</definedName>
    <definedName name="__123Graph_C" hidden="1">[1]BYco_2k!$E$125:$E$212</definedName>
    <definedName name="__123Graph_D" hidden="1">[1]BYco_2k!$F$125:$F$212</definedName>
    <definedName name="__123Graph_E" hidden="1">[1]BYco_2k!$G$125:$G$212</definedName>
    <definedName name="__123Graph_F" hidden="1">[1]BYco_2k!$H$125:$H$212</definedName>
    <definedName name="__123Graph_X" hidden="1">[1]BYco_2k!$B$125:$B$212</definedName>
    <definedName name="_xlnm._FilterDatabase" localSheetId="11" hidden="1">Assumptions!$A$1:$GF$66</definedName>
    <definedName name="_xlnm._FilterDatabase" localSheetId="4" hidden="1">'Data Processing'!$A$2:$EZ$75</definedName>
    <definedName name="_xlnm._FilterDatabase" localSheetId="13" hidden="1">'Model Report Formatized'!$A$6:$AQ$80</definedName>
    <definedName name="_xlnm._FilterDatabase" localSheetId="21" hidden="1">'New Progress Table'!$A$1:$G$63</definedName>
    <definedName name="_xlnm._FilterDatabase" localSheetId="25" hidden="1">Sheet1!$H$1:$H$169</definedName>
    <definedName name="_xlnm._FilterDatabase" localSheetId="18" hidden="1">'Stress Test Model Balance Sheet'!$B$1:$B$484</definedName>
    <definedName name="_xlnm._FilterDatabase" localSheetId="29" hidden="1">'TB Line Definition'!$A$1:$B$171</definedName>
    <definedName name="_Order1" hidden="1">255</definedName>
    <definedName name="_xlnm.Print_Area" localSheetId="9">'Blended run off ratio'!$A$1:$G$17</definedName>
    <definedName name="_xlnm.Print_Area" localSheetId="2">ControlCheck!$A$1:$D$9</definedName>
    <definedName name="_xlnm.Print_Area" localSheetId="12">DailyCashflow!$A$1:$R$47</definedName>
    <definedName name="_xlnm.Print_Area" localSheetId="13">'Model Report Formatized'!$AA$1:$AK$80</definedName>
    <definedName name="_xlnm.Print_Area" localSheetId="21">'New Progress Table'!$A$3:$G$65</definedName>
    <definedName name="_xlnm.Print_Area" localSheetId="10">'Stress testing Buffer'!$A$1:$M$82</definedName>
    <definedName name="_xlnm.Print_Area" localSheetId="3">VOLA!$H$1:$O$52</definedName>
  </definedNames>
  <calcPr calcId="145621"/>
</workbook>
</file>

<file path=xl/calcChain.xml><?xml version="1.0" encoding="utf-8"?>
<calcChain xmlns="http://schemas.openxmlformats.org/spreadsheetml/2006/main">
  <c r="D19" i="72" l="1"/>
  <c r="K19" i="72" s="1"/>
  <c r="C19" i="72"/>
  <c r="G19" i="72" s="1"/>
  <c r="H19" i="72" l="1"/>
  <c r="I19" i="72"/>
  <c r="F19" i="72"/>
  <c r="J19" i="72"/>
  <c r="K63" i="64"/>
  <c r="L63" i="64"/>
  <c r="K64" i="64"/>
  <c r="L64" i="64"/>
  <c r="K65" i="64"/>
  <c r="L65" i="64"/>
  <c r="K66" i="64"/>
  <c r="L66" i="64"/>
  <c r="K67" i="64"/>
  <c r="L67" i="64"/>
  <c r="K68" i="64"/>
  <c r="L68" i="64"/>
  <c r="K69" i="64"/>
  <c r="L69" i="64"/>
  <c r="K70" i="64"/>
  <c r="L70" i="64"/>
  <c r="K71" i="64"/>
  <c r="L71" i="64"/>
  <c r="K72" i="64"/>
  <c r="L72" i="64"/>
  <c r="K73" i="64"/>
  <c r="L73" i="64"/>
  <c r="K74" i="64"/>
  <c r="L74" i="64"/>
  <c r="K75" i="64"/>
  <c r="L75" i="64"/>
  <c r="K76" i="64"/>
  <c r="L76" i="64"/>
  <c r="K77" i="64"/>
  <c r="L77" i="64"/>
  <c r="K78" i="64"/>
  <c r="L78" i="64"/>
  <c r="K79" i="64"/>
  <c r="L79" i="64"/>
  <c r="K80" i="64"/>
  <c r="L80" i="64"/>
  <c r="BI326" i="56" l="1"/>
  <c r="BI327" i="56"/>
  <c r="BI328" i="56"/>
  <c r="BI329" i="56"/>
  <c r="BI330" i="56"/>
  <c r="BI331" i="56"/>
  <c r="BI332" i="56"/>
  <c r="BI333" i="56"/>
  <c r="BI334" i="56"/>
  <c r="BI335" i="56"/>
  <c r="BI336" i="56"/>
  <c r="BI337" i="56"/>
  <c r="BI338" i="56"/>
  <c r="BI339" i="56"/>
  <c r="M62" i="64" l="1"/>
  <c r="L62" i="64"/>
  <c r="K62" i="64"/>
  <c r="M55" i="64"/>
  <c r="L55" i="64"/>
  <c r="K55" i="64"/>
  <c r="M54" i="64"/>
  <c r="L54" i="64"/>
  <c r="K54" i="64"/>
  <c r="F30" i="56" l="1"/>
  <c r="F64" i="24"/>
  <c r="D64" i="24" s="1"/>
  <c r="B58" i="43"/>
  <c r="A58" i="43"/>
  <c r="DX58" i="43" s="1"/>
  <c r="AH60" i="48"/>
  <c r="AG60" i="48"/>
  <c r="A60" i="48"/>
  <c r="EW58" i="43" l="1"/>
  <c r="DA58" i="43"/>
  <c r="DE58" i="43"/>
  <c r="DI58" i="43"/>
  <c r="DM58" i="43"/>
  <c r="DQ58" i="43"/>
  <c r="DU58" i="43"/>
  <c r="DZ58" i="43"/>
  <c r="ED58" i="43"/>
  <c r="EH58" i="43"/>
  <c r="EL58" i="43"/>
  <c r="EP58" i="43"/>
  <c r="ET58" i="43"/>
  <c r="EX58" i="43"/>
  <c r="CX58" i="43"/>
  <c r="DB58" i="43"/>
  <c r="DF58" i="43"/>
  <c r="DJ58" i="43"/>
  <c r="DN58" i="43"/>
  <c r="DR58" i="43"/>
  <c r="DV58" i="43"/>
  <c r="EA58" i="43"/>
  <c r="EE58" i="43"/>
  <c r="EI58" i="43"/>
  <c r="EM58" i="43"/>
  <c r="EQ58" i="43"/>
  <c r="EU58" i="43"/>
  <c r="EY58" i="43"/>
  <c r="CY58" i="43"/>
  <c r="DC58" i="43"/>
  <c r="DG58" i="43"/>
  <c r="DK58" i="43"/>
  <c r="DO58" i="43"/>
  <c r="DS58" i="43"/>
  <c r="DW58" i="43"/>
  <c r="EB58" i="43"/>
  <c r="EF58" i="43"/>
  <c r="EJ58" i="43"/>
  <c r="EN58" i="43"/>
  <c r="ER58" i="43"/>
  <c r="EV58" i="43"/>
  <c r="EZ58" i="43"/>
  <c r="G58" i="43"/>
  <c r="D60" i="48" s="1"/>
  <c r="O58" i="43"/>
  <c r="CZ58" i="43"/>
  <c r="DD58" i="43"/>
  <c r="DH58" i="43"/>
  <c r="DL58" i="43"/>
  <c r="DP58" i="43"/>
  <c r="DT58" i="43"/>
  <c r="EC58" i="43"/>
  <c r="EG58" i="43"/>
  <c r="EK58" i="43"/>
  <c r="EO58" i="43"/>
  <c r="ES58" i="43"/>
  <c r="E60" i="48"/>
  <c r="M60" i="48"/>
  <c r="F61" i="24"/>
  <c r="D61" i="24" s="1"/>
  <c r="F24" i="56"/>
  <c r="B52" i="43"/>
  <c r="A52" i="43"/>
  <c r="DX52" i="43" s="1"/>
  <c r="EW52" i="43" l="1"/>
  <c r="J60" i="48"/>
  <c r="K60" i="48"/>
  <c r="FF58" i="43"/>
  <c r="FB58" i="43"/>
  <c r="FE58" i="43"/>
  <c r="FD58" i="43"/>
  <c r="FC58" i="43"/>
  <c r="N60" i="48"/>
  <c r="DA52" i="43"/>
  <c r="DE52" i="43"/>
  <c r="DI52" i="43"/>
  <c r="DM52" i="43"/>
  <c r="DQ52" i="43"/>
  <c r="DU52" i="43"/>
  <c r="DZ52" i="43"/>
  <c r="ED52" i="43"/>
  <c r="EH52" i="43"/>
  <c r="EL52" i="43"/>
  <c r="EP52" i="43"/>
  <c r="ET52" i="43"/>
  <c r="EX52" i="43"/>
  <c r="CX52" i="43"/>
  <c r="DB52" i="43"/>
  <c r="DF52" i="43"/>
  <c r="DJ52" i="43"/>
  <c r="DN52" i="43"/>
  <c r="DR52" i="43"/>
  <c r="DV52" i="43"/>
  <c r="EA52" i="43"/>
  <c r="EE52" i="43"/>
  <c r="EI52" i="43"/>
  <c r="EM52" i="43"/>
  <c r="EQ52" i="43"/>
  <c r="EU52" i="43"/>
  <c r="EY52" i="43"/>
  <c r="DG52" i="43"/>
  <c r="DO52" i="43"/>
  <c r="DS52" i="43"/>
  <c r="DW52" i="43"/>
  <c r="EF52" i="43"/>
  <c r="EJ52" i="43"/>
  <c r="EN52" i="43"/>
  <c r="ER52" i="43"/>
  <c r="EV52" i="43"/>
  <c r="EZ52" i="43"/>
  <c r="CY52" i="43"/>
  <c r="DC52" i="43"/>
  <c r="DK52" i="43"/>
  <c r="EB52" i="43"/>
  <c r="G52" i="43"/>
  <c r="O52" i="43"/>
  <c r="CZ52" i="43"/>
  <c r="DD52" i="43"/>
  <c r="DH52" i="43"/>
  <c r="DL52" i="43"/>
  <c r="DP52" i="43"/>
  <c r="DT52" i="43"/>
  <c r="EC52" i="43"/>
  <c r="EG52" i="43"/>
  <c r="EK52" i="43"/>
  <c r="EO52" i="43"/>
  <c r="ES52" i="43"/>
  <c r="A53" i="48"/>
  <c r="T60" i="48" l="1"/>
  <c r="AB60" i="48"/>
  <c r="AI60" i="48" s="1"/>
  <c r="FF52" i="43"/>
  <c r="FB52" i="43"/>
  <c r="FE52" i="43"/>
  <c r="FD52" i="43"/>
  <c r="FC52" i="43"/>
  <c r="K53" i="48"/>
  <c r="E53" i="48"/>
  <c r="M53" i="48"/>
  <c r="J53" i="48"/>
  <c r="D53" i="48"/>
  <c r="N53" i="48" l="1"/>
  <c r="BI313" i="56"/>
  <c r="BI314" i="56"/>
  <c r="BI315" i="56"/>
  <c r="BI316" i="56"/>
  <c r="BI317" i="56"/>
  <c r="BI318" i="56"/>
  <c r="BI319" i="56"/>
  <c r="BI320" i="56"/>
  <c r="BI321" i="56"/>
  <c r="BI322" i="56"/>
  <c r="BI323" i="56"/>
  <c r="BI324" i="56"/>
  <c r="BI325" i="56"/>
  <c r="AB53" i="48" l="1"/>
  <c r="T53" i="48"/>
  <c r="BI312" i="56"/>
  <c r="BI311" i="56"/>
  <c r="BI310" i="56"/>
  <c r="BI309" i="56"/>
  <c r="BI308" i="56"/>
  <c r="BI307" i="56"/>
  <c r="BI306" i="56"/>
  <c r="BI305" i="56"/>
  <c r="BI304" i="56"/>
  <c r="BI303" i="56"/>
  <c r="BI302" i="56"/>
  <c r="BI301" i="56"/>
  <c r="AG53" i="48" l="1"/>
  <c r="AI53" i="48" s="1"/>
  <c r="O6" i="43"/>
  <c r="BI300" i="56" l="1"/>
  <c r="BI299" i="56"/>
  <c r="BI298" i="56"/>
  <c r="BI297" i="56"/>
  <c r="BI296" i="56"/>
  <c r="BI295" i="56"/>
  <c r="BI294" i="56"/>
  <c r="BI293" i="56"/>
  <c r="BI292" i="56"/>
  <c r="BI291" i="56"/>
  <c r="BI290" i="56"/>
  <c r="BI289" i="56"/>
  <c r="BI288" i="56"/>
  <c r="BI287" i="56"/>
  <c r="BI286" i="56"/>
  <c r="C8" i="68" l="1"/>
  <c r="C7" i="68"/>
  <c r="C6" i="68"/>
  <c r="C4" i="68"/>
  <c r="BI277" i="56" l="1"/>
  <c r="BI278" i="56"/>
  <c r="BI279" i="56"/>
  <c r="BI280" i="56"/>
  <c r="BI281" i="56"/>
  <c r="BI282" i="56"/>
  <c r="BI283" i="56"/>
  <c r="BI284" i="56"/>
  <c r="BI285" i="56"/>
  <c r="BI276" i="56" l="1"/>
  <c r="BI275" i="56"/>
  <c r="BI274" i="56"/>
  <c r="BI273" i="56"/>
  <c r="BI272" i="56"/>
  <c r="BI271" i="56"/>
  <c r="BI270" i="56"/>
  <c r="BI269" i="56"/>
  <c r="BI268" i="56"/>
  <c r="BI267" i="56"/>
  <c r="BI266" i="56"/>
  <c r="BI265" i="56"/>
  <c r="BI264" i="56" l="1"/>
  <c r="BI263" i="56"/>
  <c r="BI262" i="56"/>
  <c r="BI261" i="56"/>
  <c r="BI260" i="56"/>
  <c r="BI259" i="56"/>
  <c r="BI258" i="56"/>
  <c r="BI257" i="56"/>
  <c r="BI256" i="56"/>
  <c r="BI255" i="56"/>
  <c r="BI254" i="56"/>
  <c r="BI253" i="56"/>
  <c r="BI252" i="56"/>
  <c r="M81" i="64" l="1"/>
  <c r="L81" i="64"/>
  <c r="K81" i="64"/>
  <c r="AH79" i="48" l="1"/>
  <c r="AG79" i="48"/>
  <c r="A79" i="48"/>
  <c r="AH78" i="48"/>
  <c r="AG78" i="48"/>
  <c r="A78" i="48"/>
  <c r="B76" i="43"/>
  <c r="A76" i="43"/>
  <c r="DX76" i="43" s="1"/>
  <c r="AE7" i="68"/>
  <c r="DO31" i="24" s="1"/>
  <c r="FG6" i="68"/>
  <c r="GZ6" i="68" s="1"/>
  <c r="B7" i="68"/>
  <c r="GW6" i="68" l="1"/>
  <c r="FS6" i="68"/>
  <c r="AF7" i="68"/>
  <c r="DP31" i="24" s="1"/>
  <c r="AQ7" i="68"/>
  <c r="EA31" i="24" s="1"/>
  <c r="G7" i="68"/>
  <c r="CQ31" i="24" s="1"/>
  <c r="P7" i="68"/>
  <c r="CZ31" i="24" s="1"/>
  <c r="H7" i="68"/>
  <c r="CR31" i="24" s="1"/>
  <c r="AI7" i="68"/>
  <c r="DS31" i="24" s="1"/>
  <c r="L7" i="68"/>
  <c r="CV31" i="24" s="1"/>
  <c r="X7" i="68"/>
  <c r="DH31" i="24" s="1"/>
  <c r="AJ7" i="68"/>
  <c r="DT31" i="24" s="1"/>
  <c r="AY7" i="68"/>
  <c r="EI31" i="24" s="1"/>
  <c r="T7" i="68"/>
  <c r="DD31" i="24" s="1"/>
  <c r="AU7" i="68"/>
  <c r="EE31" i="24" s="1"/>
  <c r="AC7" i="68"/>
  <c r="DM31" i="24" s="1"/>
  <c r="O7" i="68"/>
  <c r="CY31" i="24" s="1"/>
  <c r="AA7" i="68"/>
  <c r="DK31" i="24" s="1"/>
  <c r="AN7" i="68"/>
  <c r="DX31" i="24" s="1"/>
  <c r="BC7" i="68"/>
  <c r="EM31" i="24" s="1"/>
  <c r="W7" i="68"/>
  <c r="DG31" i="24" s="1"/>
  <c r="M79" i="48"/>
  <c r="M78" i="48"/>
  <c r="EW76" i="43"/>
  <c r="DM76" i="43"/>
  <c r="ED76" i="43"/>
  <c r="ET76" i="43"/>
  <c r="DA76" i="43"/>
  <c r="DQ76" i="43"/>
  <c r="EH76" i="43"/>
  <c r="DI76" i="43"/>
  <c r="DZ76" i="43"/>
  <c r="FF76" i="43" s="1"/>
  <c r="DE76" i="43"/>
  <c r="DU76" i="43"/>
  <c r="EL76" i="43"/>
  <c r="EP76" i="43"/>
  <c r="EX76" i="43"/>
  <c r="CX76" i="43"/>
  <c r="DB76" i="43"/>
  <c r="DF76" i="43"/>
  <c r="DJ76" i="43"/>
  <c r="DN76" i="43"/>
  <c r="DR76" i="43"/>
  <c r="DV76" i="43"/>
  <c r="EA76" i="43"/>
  <c r="EE76" i="43"/>
  <c r="EI76" i="43"/>
  <c r="EM76" i="43"/>
  <c r="EQ76" i="43"/>
  <c r="EU76" i="43"/>
  <c r="EY76" i="43"/>
  <c r="CY76" i="43"/>
  <c r="DC76" i="43"/>
  <c r="DG76" i="43"/>
  <c r="DK76" i="43"/>
  <c r="DO76" i="43"/>
  <c r="DS76" i="43"/>
  <c r="DW76" i="43"/>
  <c r="EB76" i="43"/>
  <c r="EF76" i="43"/>
  <c r="EJ76" i="43"/>
  <c r="EN76" i="43"/>
  <c r="ER76" i="43"/>
  <c r="EV76" i="43"/>
  <c r="EZ76" i="43"/>
  <c r="G76" i="43"/>
  <c r="D79" i="48" s="1"/>
  <c r="O76" i="43"/>
  <c r="E79" i="48" s="1"/>
  <c r="CZ76" i="43"/>
  <c r="DD76" i="43"/>
  <c r="DH76" i="43"/>
  <c r="DL76" i="43"/>
  <c r="DP76" i="43"/>
  <c r="DT76" i="43"/>
  <c r="EC76" i="43"/>
  <c r="EG76" i="43"/>
  <c r="EK76" i="43"/>
  <c r="EO76" i="43"/>
  <c r="ES76" i="43"/>
  <c r="K7" i="68"/>
  <c r="CU31" i="24" s="1"/>
  <c r="S7" i="68"/>
  <c r="DC31" i="24" s="1"/>
  <c r="AB7" i="68"/>
  <c r="DL31" i="24" s="1"/>
  <c r="AM7" i="68"/>
  <c r="DW31" i="24" s="1"/>
  <c r="AV7" i="68"/>
  <c r="EF31" i="24" s="1"/>
  <c r="AR7" i="68"/>
  <c r="EB31" i="24" s="1"/>
  <c r="AZ7" i="68"/>
  <c r="EJ31" i="24" s="1"/>
  <c r="I7" i="68"/>
  <c r="CS31" i="24" s="1"/>
  <c r="M7" i="68"/>
  <c r="CW31" i="24" s="1"/>
  <c r="Q7" i="68"/>
  <c r="DA31" i="24" s="1"/>
  <c r="U7" i="68"/>
  <c r="DE31" i="24" s="1"/>
  <c r="Y7" i="68"/>
  <c r="DI31" i="24" s="1"/>
  <c r="AG7" i="68"/>
  <c r="DQ31" i="24" s="1"/>
  <c r="AK7" i="68"/>
  <c r="DU31" i="24" s="1"/>
  <c r="AO7" i="68"/>
  <c r="DY31" i="24" s="1"/>
  <c r="AS7" i="68"/>
  <c r="EC31" i="24" s="1"/>
  <c r="AW7" i="68"/>
  <c r="EG31" i="24" s="1"/>
  <c r="BA7" i="68"/>
  <c r="EK31" i="24" s="1"/>
  <c r="FO6" i="68"/>
  <c r="GI6" i="68"/>
  <c r="HA6" i="68"/>
  <c r="F7" i="68"/>
  <c r="CP31" i="24" s="1"/>
  <c r="J7" i="68"/>
  <c r="CT31" i="24" s="1"/>
  <c r="N7" i="68"/>
  <c r="CX31" i="24" s="1"/>
  <c r="R7" i="68"/>
  <c r="DB31" i="24" s="1"/>
  <c r="V7" i="68"/>
  <c r="DF31" i="24" s="1"/>
  <c r="Z7" i="68"/>
  <c r="DJ31" i="24" s="1"/>
  <c r="AD7" i="68"/>
  <c r="DN31" i="24" s="1"/>
  <c r="AH7" i="68"/>
  <c r="DR31" i="24" s="1"/>
  <c r="AL7" i="68"/>
  <c r="DV31" i="24" s="1"/>
  <c r="AP7" i="68"/>
  <c r="DZ31" i="24" s="1"/>
  <c r="AT7" i="68"/>
  <c r="ED31" i="24" s="1"/>
  <c r="AX7" i="68"/>
  <c r="EH31" i="24" s="1"/>
  <c r="BB7" i="68"/>
  <c r="EL31" i="24" s="1"/>
  <c r="FR6" i="68"/>
  <c r="GJ6" i="68"/>
  <c r="GF6" i="68"/>
  <c r="BC8" i="68"/>
  <c r="B8" i="68"/>
  <c r="B6" i="68"/>
  <c r="B4" i="68"/>
  <c r="FD76" i="43" l="1"/>
  <c r="FB76" i="43"/>
  <c r="FE76" i="43"/>
  <c r="FC76" i="43"/>
  <c r="N79" i="48"/>
  <c r="C61" i="57" s="1"/>
  <c r="Q8" i="68"/>
  <c r="H8" i="68"/>
  <c r="L8" i="68"/>
  <c r="P8" i="68"/>
  <c r="CZ34" i="24" s="1"/>
  <c r="AB34" i="24" s="1"/>
  <c r="T8" i="68"/>
  <c r="X8" i="68"/>
  <c r="DH34" i="24" s="1"/>
  <c r="AB8" i="68"/>
  <c r="AF8" i="68"/>
  <c r="DP34" i="24" s="1"/>
  <c r="AJ8" i="68"/>
  <c r="AN8" i="68"/>
  <c r="DX34" i="24" s="1"/>
  <c r="AR8" i="68"/>
  <c r="EB34" i="24" s="1"/>
  <c r="AV8" i="68"/>
  <c r="EF34" i="24" s="1"/>
  <c r="AZ8" i="68"/>
  <c r="EJ34" i="24" s="1"/>
  <c r="U8" i="68"/>
  <c r="BF34" i="24" s="1"/>
  <c r="AG8" i="68"/>
  <c r="DQ34" i="24" s="1"/>
  <c r="AS8" i="68"/>
  <c r="EC34" i="24" s="1"/>
  <c r="BA8" i="68"/>
  <c r="EK34" i="24" s="1"/>
  <c r="M8" i="68"/>
  <c r="CW34" i="24" s="1"/>
  <c r="Y34" i="24" s="1"/>
  <c r="Z8" i="68"/>
  <c r="DJ34" i="24" s="1"/>
  <c r="I8" i="68"/>
  <c r="CS34" i="24" s="1"/>
  <c r="U34" i="24" s="1"/>
  <c r="Y8" i="68"/>
  <c r="DI34" i="24" s="1"/>
  <c r="AC8" i="68"/>
  <c r="DM34" i="24" s="1"/>
  <c r="AK8" i="68"/>
  <c r="DU34" i="24" s="1"/>
  <c r="AO8" i="68"/>
  <c r="DY34" i="24" s="1"/>
  <c r="AW8" i="68"/>
  <c r="EG34" i="24" s="1"/>
  <c r="F8" i="68"/>
  <c r="CP34" i="24" s="1"/>
  <c r="AJ34" i="24" s="1"/>
  <c r="J8" i="68"/>
  <c r="CT34" i="24" s="1"/>
  <c r="V34" i="24" s="1"/>
  <c r="N8" i="68"/>
  <c r="AY34" i="24" s="1"/>
  <c r="R8" i="68"/>
  <c r="BC34" i="24" s="1"/>
  <c r="V8" i="68"/>
  <c r="DF34" i="24" s="1"/>
  <c r="AD8" i="68"/>
  <c r="DN34" i="24" s="1"/>
  <c r="AH8" i="68"/>
  <c r="BS34" i="24" s="1"/>
  <c r="AL8" i="68"/>
  <c r="AP8" i="68"/>
  <c r="DZ34" i="24" s="1"/>
  <c r="AT8" i="68"/>
  <c r="ED34" i="24" s="1"/>
  <c r="AX8" i="68"/>
  <c r="EH34" i="24" s="1"/>
  <c r="BB8" i="68"/>
  <c r="EL34" i="24" s="1"/>
  <c r="G8" i="68"/>
  <c r="CQ34" i="24" s="1"/>
  <c r="AK34" i="24" s="1"/>
  <c r="K8" i="68"/>
  <c r="CU34" i="24" s="1"/>
  <c r="W34" i="24" s="1"/>
  <c r="O8" i="68"/>
  <c r="CY34" i="24" s="1"/>
  <c r="AA34" i="24" s="1"/>
  <c r="S8" i="68"/>
  <c r="DC34" i="24" s="1"/>
  <c r="AE34" i="24" s="1"/>
  <c r="W8" i="68"/>
  <c r="DG34" i="24" s="1"/>
  <c r="AA8" i="68"/>
  <c r="DK34" i="24" s="1"/>
  <c r="AE8" i="68"/>
  <c r="BP34" i="24" s="1"/>
  <c r="AI8" i="68"/>
  <c r="DS34" i="24" s="1"/>
  <c r="AM8" i="68"/>
  <c r="BX34" i="24" s="1"/>
  <c r="AQ8" i="68"/>
  <c r="EA34" i="24" s="1"/>
  <c r="AU8" i="68"/>
  <c r="EE34" i="24" s="1"/>
  <c r="AY8" i="68"/>
  <c r="EI34" i="24" s="1"/>
  <c r="EM34" i="24"/>
  <c r="DV34" i="24"/>
  <c r="DT34" i="24"/>
  <c r="DL34" i="24"/>
  <c r="DE34" i="24"/>
  <c r="AG34" i="24" s="1"/>
  <c r="DD34" i="24"/>
  <c r="AF34" i="24" s="1"/>
  <c r="DA34" i="24"/>
  <c r="AC34" i="24" s="1"/>
  <c r="CV34" i="24"/>
  <c r="X34" i="24" s="1"/>
  <c r="CR34" i="24"/>
  <c r="AL34" i="24" s="1"/>
  <c r="CN34" i="24"/>
  <c r="CL34" i="24"/>
  <c r="CK34" i="24"/>
  <c r="CH34" i="24"/>
  <c r="BY34" i="24"/>
  <c r="BW34" i="24"/>
  <c r="BU34" i="24"/>
  <c r="BN34" i="24"/>
  <c r="BM34" i="24"/>
  <c r="BK34" i="24"/>
  <c r="BJ34" i="24"/>
  <c r="BH34" i="24"/>
  <c r="BE34" i="24"/>
  <c r="BD34" i="24"/>
  <c r="BB34" i="24"/>
  <c r="AW34" i="24"/>
  <c r="AU34" i="24"/>
  <c r="AS34" i="24"/>
  <c r="F34" i="24"/>
  <c r="D34" i="24" s="1"/>
  <c r="CX34" i="24" l="1"/>
  <c r="Z34" i="24" s="1"/>
  <c r="BV34" i="24"/>
  <c r="DB34" i="24"/>
  <c r="AD34" i="24" s="1"/>
  <c r="BT34" i="24"/>
  <c r="CM34" i="24"/>
  <c r="AZ34" i="24"/>
  <c r="DR34" i="24"/>
  <c r="AV34" i="24"/>
  <c r="BR34" i="24"/>
  <c r="BL34" i="24"/>
  <c r="AT34" i="24"/>
  <c r="AX34" i="24"/>
  <c r="BI34" i="24"/>
  <c r="CD34" i="24"/>
  <c r="AQ34" i="24"/>
  <c r="CI34" i="24"/>
  <c r="AB79" i="48"/>
  <c r="AI79" i="48" s="1"/>
  <c r="T79" i="48"/>
  <c r="AR34" i="24"/>
  <c r="BA34" i="24"/>
  <c r="CF34" i="24"/>
  <c r="CG34" i="24"/>
  <c r="DO34" i="24"/>
  <c r="BQ34" i="24"/>
  <c r="BZ34" i="24"/>
  <c r="BG34" i="24"/>
  <c r="BO34" i="24"/>
  <c r="CJ34" i="24"/>
  <c r="CA34" i="24"/>
  <c r="DW34" i="24"/>
  <c r="CE34" i="24"/>
  <c r="CC34" i="24"/>
  <c r="CB34" i="24"/>
  <c r="Q34" i="24"/>
  <c r="M34" i="24"/>
  <c r="I34" i="24"/>
  <c r="G34" i="24"/>
  <c r="T34" i="24"/>
  <c r="P34" i="24"/>
  <c r="L34" i="24"/>
  <c r="H34" i="24"/>
  <c r="K34" i="24"/>
  <c r="S34" i="24"/>
  <c r="O34" i="24"/>
  <c r="R34" i="24"/>
  <c r="N34" i="24"/>
  <c r="J34" i="24"/>
  <c r="AH34" i="24" l="1"/>
  <c r="BI251" i="56"/>
  <c r="BI250" i="56"/>
  <c r="BI249" i="56"/>
  <c r="BI248" i="56"/>
  <c r="BI247" i="56"/>
  <c r="BI246" i="56"/>
  <c r="BI245" i="56"/>
  <c r="BI244" i="56"/>
  <c r="BI243" i="56"/>
  <c r="BI242" i="56"/>
  <c r="BI241" i="56"/>
  <c r="BI240" i="56"/>
  <c r="BI239" i="56"/>
  <c r="BI238" i="56" l="1"/>
  <c r="BI237" i="56"/>
  <c r="BI236" i="56"/>
  <c r="BI235" i="56"/>
  <c r="BI234" i="56"/>
  <c r="F60" i="24" l="1"/>
  <c r="D60" i="24" s="1"/>
  <c r="F25" i="56"/>
  <c r="F26" i="56"/>
  <c r="F27" i="56"/>
  <c r="F28" i="56"/>
  <c r="F29" i="56"/>
  <c r="BI224" i="56"/>
  <c r="BI225" i="56"/>
  <c r="BI226" i="56"/>
  <c r="BI227" i="56"/>
  <c r="BI228" i="56"/>
  <c r="BI229" i="56"/>
  <c r="BI230" i="56"/>
  <c r="BI231" i="56"/>
  <c r="BI232" i="56"/>
  <c r="BI233" i="56"/>
  <c r="B51" i="43" l="1"/>
  <c r="A51" i="43"/>
  <c r="DX51" i="43" s="1"/>
  <c r="EW51" i="43" l="1"/>
  <c r="DA51" i="43"/>
  <c r="DE51" i="43"/>
  <c r="DI51" i="43"/>
  <c r="DM51" i="43"/>
  <c r="DQ51" i="43"/>
  <c r="DU51" i="43"/>
  <c r="DZ51" i="43"/>
  <c r="ED51" i="43"/>
  <c r="EH51" i="43"/>
  <c r="EL51" i="43"/>
  <c r="EP51" i="43"/>
  <c r="ET51" i="43"/>
  <c r="EX51" i="43"/>
  <c r="CX51" i="43"/>
  <c r="DB51" i="43"/>
  <c r="DF51" i="43"/>
  <c r="DJ51" i="43"/>
  <c r="DN51" i="43"/>
  <c r="DR51" i="43"/>
  <c r="DV51" i="43"/>
  <c r="EA51" i="43"/>
  <c r="EE51" i="43"/>
  <c r="EI51" i="43"/>
  <c r="EM51" i="43"/>
  <c r="EQ51" i="43"/>
  <c r="EU51" i="43"/>
  <c r="EY51" i="43"/>
  <c r="DC51" i="43"/>
  <c r="DG51" i="43"/>
  <c r="DK51" i="43"/>
  <c r="DS51" i="43"/>
  <c r="DW51" i="43"/>
  <c r="EB51" i="43"/>
  <c r="EF51" i="43"/>
  <c r="EJ51" i="43"/>
  <c r="EN51" i="43"/>
  <c r="ER51" i="43"/>
  <c r="EV51" i="43"/>
  <c r="EZ51" i="43"/>
  <c r="CY51" i="43"/>
  <c r="DO51" i="43"/>
  <c r="G51" i="43"/>
  <c r="O51" i="43"/>
  <c r="CZ51" i="43"/>
  <c r="DD51" i="43"/>
  <c r="DH51" i="43"/>
  <c r="DL51" i="43"/>
  <c r="DP51" i="43"/>
  <c r="DT51" i="43"/>
  <c r="EC51" i="43"/>
  <c r="EG51" i="43"/>
  <c r="EK51" i="43"/>
  <c r="EO51" i="43"/>
  <c r="ES51" i="43"/>
  <c r="FF51" i="43" l="1"/>
  <c r="FB51" i="43"/>
  <c r="FE51" i="43"/>
  <c r="FD51" i="43"/>
  <c r="FC51" i="43"/>
  <c r="A51" i="48"/>
  <c r="M51" i="48" l="1"/>
  <c r="AF54" i="48"/>
  <c r="T9" i="65" l="1"/>
  <c r="T10" i="65"/>
  <c r="T11" i="65"/>
  <c r="T12" i="65"/>
  <c r="T13" i="65"/>
  <c r="T14" i="65"/>
  <c r="T15" i="65"/>
  <c r="T16" i="65"/>
  <c r="T17" i="65"/>
  <c r="T18" i="65"/>
  <c r="T8" i="65"/>
  <c r="O7" i="65" l="1"/>
  <c r="V7" i="65" s="1"/>
  <c r="BI223" i="56" l="1"/>
  <c r="BI222" i="56"/>
  <c r="BI221" i="56"/>
  <c r="BI220" i="56"/>
  <c r="BI219" i="56"/>
  <c r="BI218" i="56"/>
  <c r="BI217" i="56"/>
  <c r="BI216" i="56"/>
  <c r="BI215" i="56"/>
  <c r="BI214" i="56"/>
  <c r="BI213" i="56"/>
  <c r="BI212" i="56"/>
  <c r="BI211" i="56"/>
  <c r="BI210" i="56"/>
  <c r="BI196" i="56" l="1"/>
  <c r="BI197" i="56"/>
  <c r="BI198" i="56"/>
  <c r="BI199" i="56"/>
  <c r="BI200" i="56"/>
  <c r="BI201" i="56"/>
  <c r="BI202" i="56"/>
  <c r="BI203" i="56"/>
  <c r="BI204" i="56"/>
  <c r="BI205" i="56"/>
  <c r="BI206" i="56"/>
  <c r="BI207" i="56"/>
  <c r="BI208" i="56"/>
  <c r="BI209" i="56"/>
  <c r="BI183" i="56" l="1"/>
  <c r="BI184" i="56"/>
  <c r="BI185" i="56"/>
  <c r="BI186" i="56"/>
  <c r="BI187" i="56"/>
  <c r="BI188" i="56"/>
  <c r="BI189" i="56"/>
  <c r="BI190" i="56"/>
  <c r="BI191" i="56"/>
  <c r="BI192" i="56"/>
  <c r="BI193" i="56"/>
  <c r="BI194" i="56"/>
  <c r="BI195" i="56"/>
  <c r="AD5" i="48" l="1"/>
  <c r="AC5" i="48"/>
  <c r="BI171" i="56" l="1"/>
  <c r="BI172" i="56"/>
  <c r="BI173" i="56"/>
  <c r="BI174" i="56"/>
  <c r="BI175" i="56"/>
  <c r="BI176" i="56"/>
  <c r="BI177" i="56"/>
  <c r="BI178" i="56"/>
  <c r="BI179" i="56"/>
  <c r="BI180" i="56"/>
  <c r="BI181" i="56"/>
  <c r="BI182" i="56"/>
  <c r="BI170" i="56" l="1"/>
  <c r="BI169" i="56"/>
  <c r="BI168" i="56"/>
  <c r="BI167" i="56"/>
  <c r="BI166" i="56"/>
  <c r="BI165" i="56"/>
  <c r="BI164" i="56"/>
  <c r="BI163" i="56"/>
  <c r="BI162" i="56"/>
  <c r="BI161" i="56"/>
  <c r="BI160" i="56"/>
  <c r="BI159" i="56" l="1"/>
  <c r="BI158" i="56"/>
  <c r="BI157" i="56"/>
  <c r="BI156" i="56"/>
  <c r="BI155" i="56"/>
  <c r="BI148" i="56"/>
  <c r="BI149" i="56"/>
  <c r="BI150" i="56"/>
  <c r="BI151" i="56"/>
  <c r="BI152" i="56"/>
  <c r="BI153" i="56"/>
  <c r="BI154" i="56"/>
  <c r="AO22" i="48" l="1"/>
  <c r="AQ16" i="48"/>
  <c r="AQ17" i="48"/>
  <c r="AQ18" i="48"/>
  <c r="AQ19" i="48"/>
  <c r="AQ20" i="48"/>
  <c r="AQ15" i="48"/>
  <c r="AH69" i="48" l="1"/>
  <c r="AH22" i="48"/>
  <c r="AG22" i="48"/>
  <c r="AH21" i="48"/>
  <c r="AG21" i="48"/>
  <c r="AH17" i="48"/>
  <c r="AG17" i="48"/>
  <c r="AH15" i="48"/>
  <c r="AG15" i="48"/>
  <c r="AH14" i="48"/>
  <c r="AG14" i="48"/>
  <c r="AH12" i="48"/>
  <c r="AG12" i="48"/>
  <c r="AH11" i="48"/>
  <c r="AG11" i="48"/>
  <c r="AH9" i="48"/>
  <c r="AG9" i="48"/>
  <c r="AH47" i="48"/>
  <c r="AG47" i="48"/>
  <c r="AH45" i="48"/>
  <c r="AG45" i="48"/>
  <c r="AH44" i="48"/>
  <c r="AG44" i="48"/>
  <c r="AH43" i="48"/>
  <c r="AG43" i="48"/>
  <c r="AH42" i="48"/>
  <c r="AG42" i="48"/>
  <c r="AH41" i="48"/>
  <c r="AG41" i="48"/>
  <c r="AH40" i="48"/>
  <c r="AG40" i="48"/>
  <c r="AH39" i="48"/>
  <c r="AG39" i="48"/>
  <c r="AH38" i="48"/>
  <c r="AG38" i="48"/>
  <c r="AG36" i="48"/>
  <c r="AH35" i="48"/>
  <c r="AG35" i="48"/>
  <c r="AH34" i="48"/>
  <c r="AG34" i="48"/>
  <c r="AH33" i="48"/>
  <c r="AG33" i="48"/>
  <c r="AH32" i="48"/>
  <c r="AG32" i="48"/>
  <c r="AH30" i="48"/>
  <c r="AG30" i="48"/>
  <c r="AG27" i="48"/>
  <c r="AH25" i="48"/>
  <c r="AG25" i="48"/>
  <c r="AH77" i="48"/>
  <c r="AG77" i="48"/>
  <c r="AH76" i="48"/>
  <c r="AG76" i="48"/>
  <c r="AH74" i="48"/>
  <c r="AG74" i="48"/>
  <c r="AH73" i="48"/>
  <c r="AG73" i="48"/>
  <c r="AH72" i="48"/>
  <c r="AG72" i="48"/>
  <c r="AH71" i="48"/>
  <c r="AG71" i="48"/>
  <c r="AG69" i="48"/>
  <c r="AH68" i="48"/>
  <c r="AG68" i="48"/>
  <c r="AH67" i="48"/>
  <c r="AG67" i="48"/>
  <c r="AH66" i="48"/>
  <c r="AG66" i="48"/>
  <c r="AH65" i="48"/>
  <c r="AG65" i="48"/>
  <c r="AH64" i="48"/>
  <c r="AG64" i="48"/>
  <c r="AH63" i="48"/>
  <c r="AG63" i="48"/>
  <c r="AH62" i="48"/>
  <c r="AG62" i="48"/>
  <c r="AH61" i="48"/>
  <c r="AG61" i="48"/>
  <c r="AH59" i="48"/>
  <c r="AG59" i="48"/>
  <c r="AH57" i="48"/>
  <c r="AG57" i="48"/>
  <c r="AH56" i="48"/>
  <c r="AG56" i="48"/>
  <c r="AH55" i="48"/>
  <c r="AG55" i="48"/>
  <c r="FG5" i="68" l="1"/>
  <c r="HA5" i="68" s="1"/>
  <c r="FG7" i="68"/>
  <c r="GW7" i="68" s="1"/>
  <c r="FG8" i="68"/>
  <c r="GJ8" i="68" s="1"/>
  <c r="FG9" i="68"/>
  <c r="HA9" i="68" s="1"/>
  <c r="FG4" i="68"/>
  <c r="GW4" i="68" s="1"/>
  <c r="FS9" i="68"/>
  <c r="FR4" i="68" l="1"/>
  <c r="FR9" i="68"/>
  <c r="GF9" i="68"/>
  <c r="FO9" i="68"/>
  <c r="GZ9" i="68"/>
  <c r="GJ9" i="68"/>
  <c r="GW9" i="68"/>
  <c r="GI9" i="68"/>
  <c r="GI4" i="68"/>
  <c r="GJ4" i="68"/>
  <c r="GZ5" i="68"/>
  <c r="FR5" i="68"/>
  <c r="GI5" i="68"/>
  <c r="GW5" i="68"/>
  <c r="GI7" i="68"/>
  <c r="FR7" i="68"/>
  <c r="FO4" i="68"/>
  <c r="GZ4" i="68"/>
  <c r="FS7" i="68"/>
  <c r="GF5" i="68"/>
  <c r="HA7" i="68"/>
  <c r="GF4" i="68"/>
  <c r="HA4" i="68"/>
  <c r="FS8" i="68"/>
  <c r="FO5" i="68"/>
  <c r="GJ7" i="68"/>
  <c r="GZ7" i="68"/>
  <c r="HD28" i="24" s="1"/>
  <c r="HA8" i="68"/>
  <c r="FR8" i="68"/>
  <c r="FO7" i="68"/>
  <c r="GI8" i="68"/>
  <c r="GM29" i="24" s="1"/>
  <c r="GF7" i="68"/>
  <c r="GZ8" i="68"/>
  <c r="FO8" i="68"/>
  <c r="FS5" i="68"/>
  <c r="GF8" i="68"/>
  <c r="GJ5" i="68"/>
  <c r="GW8" i="68"/>
  <c r="HA29" i="24" s="1"/>
  <c r="FS4" i="68"/>
  <c r="AK2" i="24"/>
  <c r="HP30" i="24"/>
  <c r="HO30" i="24"/>
  <c r="HN30" i="24"/>
  <c r="HM30" i="24"/>
  <c r="HL30" i="24"/>
  <c r="HK30" i="24"/>
  <c r="HJ30" i="24"/>
  <c r="HI30" i="24"/>
  <c r="HH30" i="24"/>
  <c r="HG30" i="24"/>
  <c r="HF30" i="24"/>
  <c r="HE30" i="24"/>
  <c r="HD30" i="24"/>
  <c r="HC30" i="24"/>
  <c r="HB30" i="24"/>
  <c r="HA30" i="24"/>
  <c r="HP29" i="24"/>
  <c r="HO29" i="24"/>
  <c r="HN29" i="24"/>
  <c r="HM29" i="24"/>
  <c r="HL29" i="24"/>
  <c r="HK29" i="24"/>
  <c r="HJ29" i="24"/>
  <c r="HI29" i="24"/>
  <c r="HH29" i="24"/>
  <c r="HG29" i="24"/>
  <c r="HF29" i="24"/>
  <c r="HE29" i="24"/>
  <c r="HD29" i="24"/>
  <c r="HC29" i="24"/>
  <c r="HB29" i="24"/>
  <c r="HP28" i="24"/>
  <c r="HO28" i="24"/>
  <c r="HN28" i="24"/>
  <c r="HM28" i="24"/>
  <c r="HL28" i="24"/>
  <c r="HK28" i="24"/>
  <c r="HJ28" i="24"/>
  <c r="HI28" i="24"/>
  <c r="HH28" i="24"/>
  <c r="HG28" i="24"/>
  <c r="HF28" i="24"/>
  <c r="HE28" i="24"/>
  <c r="HC28" i="24"/>
  <c r="HB28" i="24"/>
  <c r="HA28" i="24"/>
  <c r="HP23" i="24"/>
  <c r="HO23" i="24"/>
  <c r="HN23" i="24"/>
  <c r="HM23" i="24"/>
  <c r="HL23" i="24"/>
  <c r="HK23" i="24"/>
  <c r="HJ23" i="24"/>
  <c r="HI23" i="24"/>
  <c r="HH23" i="24"/>
  <c r="HG23" i="24"/>
  <c r="HF23" i="24"/>
  <c r="HE23" i="24"/>
  <c r="HD23" i="24"/>
  <c r="HC23" i="24"/>
  <c r="HB23" i="24"/>
  <c r="HA23" i="24"/>
  <c r="HP22" i="24"/>
  <c r="HO22" i="24"/>
  <c r="HN22" i="24"/>
  <c r="HM22" i="24"/>
  <c r="HL22" i="24"/>
  <c r="HK22" i="24"/>
  <c r="HJ22" i="24"/>
  <c r="HI22" i="24"/>
  <c r="HH22" i="24"/>
  <c r="HG22" i="24"/>
  <c r="HF22" i="24"/>
  <c r="HE22" i="24"/>
  <c r="HD22" i="24"/>
  <c r="HC22" i="24"/>
  <c r="HB22" i="24"/>
  <c r="HA22" i="24"/>
  <c r="GY30" i="24"/>
  <c r="GX30" i="24"/>
  <c r="GW30" i="24"/>
  <c r="GV30" i="24"/>
  <c r="GU30" i="24"/>
  <c r="GT30" i="24"/>
  <c r="GS30" i="24"/>
  <c r="GR30" i="24"/>
  <c r="GQ30" i="24"/>
  <c r="GP30" i="24"/>
  <c r="GO30" i="24"/>
  <c r="GN30" i="24"/>
  <c r="GM30" i="24"/>
  <c r="GL30" i="24"/>
  <c r="GK30" i="24"/>
  <c r="GJ30" i="24"/>
  <c r="GY29" i="24"/>
  <c r="GX29" i="24"/>
  <c r="GW29" i="24"/>
  <c r="GV29" i="24"/>
  <c r="GU29" i="24"/>
  <c r="GT29" i="24"/>
  <c r="GS29" i="24"/>
  <c r="GR29" i="24"/>
  <c r="GQ29" i="24"/>
  <c r="GP29" i="24"/>
  <c r="GO29" i="24"/>
  <c r="GN29" i="24"/>
  <c r="GL29" i="24"/>
  <c r="GK29" i="24"/>
  <c r="GJ29" i="24"/>
  <c r="GY28" i="24"/>
  <c r="GX28" i="24"/>
  <c r="GW28" i="24"/>
  <c r="GV28" i="24"/>
  <c r="GU28" i="24"/>
  <c r="GT28" i="24"/>
  <c r="GS28" i="24"/>
  <c r="GR28" i="24"/>
  <c r="GQ28" i="24"/>
  <c r="GP28" i="24"/>
  <c r="GO28" i="24"/>
  <c r="GN28" i="24"/>
  <c r="GM28" i="24"/>
  <c r="GL28" i="24"/>
  <c r="GK28" i="24"/>
  <c r="GJ28" i="24"/>
  <c r="GY23" i="24"/>
  <c r="GX23" i="24"/>
  <c r="GW23" i="24"/>
  <c r="GV23" i="24"/>
  <c r="GU23" i="24"/>
  <c r="GT23" i="24"/>
  <c r="GS23" i="24"/>
  <c r="GR23" i="24"/>
  <c r="GQ23" i="24"/>
  <c r="GP23" i="24"/>
  <c r="GO23" i="24"/>
  <c r="GN23" i="24"/>
  <c r="GM23" i="24"/>
  <c r="GL23" i="24"/>
  <c r="GK23" i="24"/>
  <c r="GJ23" i="24"/>
  <c r="GY22" i="24"/>
  <c r="GX22" i="24"/>
  <c r="GW22" i="24"/>
  <c r="GV22" i="24"/>
  <c r="GU22" i="24"/>
  <c r="GT22" i="24"/>
  <c r="GS22" i="24"/>
  <c r="GR22" i="24"/>
  <c r="GQ22" i="24"/>
  <c r="GP22" i="24"/>
  <c r="GO22" i="24"/>
  <c r="GN22" i="24"/>
  <c r="GM22" i="24"/>
  <c r="GL22" i="24"/>
  <c r="GK22" i="24"/>
  <c r="GJ22" i="24"/>
  <c r="FS22" i="24"/>
  <c r="FT22" i="24"/>
  <c r="FU22" i="24"/>
  <c r="FV22" i="24"/>
  <c r="FC22" i="24" s="1"/>
  <c r="FW22" i="24"/>
  <c r="FD22" i="24" s="1"/>
  <c r="FX22" i="24"/>
  <c r="FE22" i="24" s="1"/>
  <c r="FY22" i="24"/>
  <c r="FF22" i="24" s="1"/>
  <c r="FZ22" i="24"/>
  <c r="FG22" i="24" s="1"/>
  <c r="GA22" i="24"/>
  <c r="FH22" i="24" s="1"/>
  <c r="GB22" i="24"/>
  <c r="FI22" i="24" s="1"/>
  <c r="GC22" i="24"/>
  <c r="FJ22" i="24" s="1"/>
  <c r="GD22" i="24"/>
  <c r="FK22" i="24" s="1"/>
  <c r="GE22" i="24"/>
  <c r="FL22" i="24" s="1"/>
  <c r="GF22" i="24"/>
  <c r="FM22" i="24" s="1"/>
  <c r="GG22" i="24"/>
  <c r="FN22" i="24" s="1"/>
  <c r="GH22" i="24"/>
  <c r="FO22" i="24" s="1"/>
  <c r="FS23" i="24"/>
  <c r="FT23" i="24"/>
  <c r="FU23" i="24"/>
  <c r="FV23" i="24"/>
  <c r="FC23" i="24" s="1"/>
  <c r="FW23" i="24"/>
  <c r="FD23" i="24" s="1"/>
  <c r="FX23" i="24"/>
  <c r="FE23" i="24" s="1"/>
  <c r="FY23" i="24"/>
  <c r="FF23" i="24" s="1"/>
  <c r="FZ23" i="24"/>
  <c r="FG23" i="24" s="1"/>
  <c r="GA23" i="24"/>
  <c r="FH23" i="24" s="1"/>
  <c r="GB23" i="24"/>
  <c r="FI23" i="24" s="1"/>
  <c r="GC23" i="24"/>
  <c r="FJ23" i="24" s="1"/>
  <c r="GD23" i="24"/>
  <c r="FK23" i="24" s="1"/>
  <c r="GE23" i="24"/>
  <c r="FL23" i="24" s="1"/>
  <c r="GF23" i="24"/>
  <c r="FM23" i="24" s="1"/>
  <c r="GG23" i="24"/>
  <c r="FN23" i="24" s="1"/>
  <c r="GH23" i="24"/>
  <c r="FO23" i="24" s="1"/>
  <c r="FS28" i="24"/>
  <c r="FT28" i="24"/>
  <c r="FU28" i="24"/>
  <c r="FV28" i="24"/>
  <c r="FC28" i="24" s="1"/>
  <c r="FW28" i="24"/>
  <c r="FD28" i="24" s="1"/>
  <c r="FX28" i="24"/>
  <c r="FE28" i="24" s="1"/>
  <c r="FY28" i="24"/>
  <c r="FF28" i="24" s="1"/>
  <c r="FZ28" i="24"/>
  <c r="FG28" i="24" s="1"/>
  <c r="GA28" i="24"/>
  <c r="FH28" i="24" s="1"/>
  <c r="GB28" i="24"/>
  <c r="FI28" i="24" s="1"/>
  <c r="GC28" i="24"/>
  <c r="FJ28" i="24" s="1"/>
  <c r="GD28" i="24"/>
  <c r="FK28" i="24" s="1"/>
  <c r="GE28" i="24"/>
  <c r="FL28" i="24" s="1"/>
  <c r="GF28" i="24"/>
  <c r="FM28" i="24" s="1"/>
  <c r="GG28" i="24"/>
  <c r="FN28" i="24" s="1"/>
  <c r="GH28" i="24"/>
  <c r="FO28" i="24" s="1"/>
  <c r="FS29" i="24"/>
  <c r="FT29" i="24"/>
  <c r="FU29" i="24"/>
  <c r="FV29" i="24"/>
  <c r="FC29" i="24" s="1"/>
  <c r="FW29" i="24"/>
  <c r="FD29" i="24" s="1"/>
  <c r="FX29" i="24"/>
  <c r="FE29" i="24" s="1"/>
  <c r="FY29" i="24"/>
  <c r="FF29" i="24" s="1"/>
  <c r="FZ29" i="24"/>
  <c r="FG29" i="24" s="1"/>
  <c r="GA29" i="24"/>
  <c r="FH29" i="24" s="1"/>
  <c r="GB29" i="24"/>
  <c r="FI29" i="24" s="1"/>
  <c r="GC29" i="24"/>
  <c r="FJ29" i="24" s="1"/>
  <c r="GD29" i="24"/>
  <c r="FK29" i="24" s="1"/>
  <c r="GE29" i="24"/>
  <c r="FL29" i="24" s="1"/>
  <c r="GF29" i="24"/>
  <c r="FM29" i="24" s="1"/>
  <c r="GG29" i="24"/>
  <c r="FN29" i="24" s="1"/>
  <c r="GH29" i="24"/>
  <c r="FO29" i="24" s="1"/>
  <c r="FS30" i="24"/>
  <c r="FT30" i="24"/>
  <c r="FU30" i="24"/>
  <c r="FV30" i="24"/>
  <c r="FC30" i="24" s="1"/>
  <c r="FW30" i="24"/>
  <c r="FD30" i="24" s="1"/>
  <c r="FX30" i="24"/>
  <c r="FE30" i="24" s="1"/>
  <c r="FY30" i="24"/>
  <c r="FF30" i="24" s="1"/>
  <c r="FZ30" i="24"/>
  <c r="FG30" i="24" s="1"/>
  <c r="GA30" i="24"/>
  <c r="FH30" i="24" s="1"/>
  <c r="GB30" i="24"/>
  <c r="FI30" i="24" s="1"/>
  <c r="GC30" i="24"/>
  <c r="FJ30" i="24" s="1"/>
  <c r="GD30" i="24"/>
  <c r="FK30" i="24" s="1"/>
  <c r="GE30" i="24"/>
  <c r="FL30" i="24" s="1"/>
  <c r="GF30" i="24"/>
  <c r="FM30" i="24" s="1"/>
  <c r="GG30" i="24"/>
  <c r="FN30" i="24" s="1"/>
  <c r="GH30" i="24"/>
  <c r="FO30" i="24" s="1"/>
  <c r="I6" i="68" l="1"/>
  <c r="AA4" i="68" l="1"/>
  <c r="AE4" i="68"/>
  <c r="AI4" i="68"/>
  <c r="AM4" i="68"/>
  <c r="AQ4" i="68"/>
  <c r="AU4" i="68"/>
  <c r="AY4" i="68"/>
  <c r="BC4" i="68"/>
  <c r="H4" i="68"/>
  <c r="L4" i="68"/>
  <c r="CV32" i="24" s="1"/>
  <c r="P4" i="68"/>
  <c r="T4" i="68"/>
  <c r="X4" i="68"/>
  <c r="AB4" i="68"/>
  <c r="AF4" i="68"/>
  <c r="AJ4" i="68"/>
  <c r="AN4" i="68"/>
  <c r="AR4" i="68"/>
  <c r="AV4" i="68"/>
  <c r="AZ4" i="68"/>
  <c r="F4" i="68"/>
  <c r="CP32" i="24" s="1"/>
  <c r="I4" i="68"/>
  <c r="M4" i="68"/>
  <c r="Q4" i="68"/>
  <c r="Y4" i="68"/>
  <c r="AG4" i="68"/>
  <c r="DQ32" i="24" s="1"/>
  <c r="AO4" i="68"/>
  <c r="AW4" i="68"/>
  <c r="J4" i="68"/>
  <c r="N4" i="68"/>
  <c r="R4" i="68"/>
  <c r="V4" i="68"/>
  <c r="Z4" i="68"/>
  <c r="DJ32" i="24" s="1"/>
  <c r="AD4" i="68"/>
  <c r="AH4" i="68"/>
  <c r="AL4" i="68"/>
  <c r="AP4" i="68"/>
  <c r="DZ32" i="24" s="1"/>
  <c r="AT4" i="68"/>
  <c r="AX4" i="68"/>
  <c r="BB4" i="68"/>
  <c r="G4" i="68"/>
  <c r="CQ32" i="24" s="1"/>
  <c r="K4" i="68"/>
  <c r="O4" i="68"/>
  <c r="S4" i="68"/>
  <c r="W4" i="68"/>
  <c r="U4" i="68"/>
  <c r="AC4" i="68"/>
  <c r="AK4" i="68"/>
  <c r="AS4" i="68"/>
  <c r="BA4" i="68"/>
  <c r="EK32" i="24" s="1"/>
  <c r="CT32" i="24"/>
  <c r="EF32" i="24"/>
  <c r="DF32" i="24"/>
  <c r="EL32" i="24"/>
  <c r="DU32" i="24"/>
  <c r="DE32" i="24"/>
  <c r="EB32" i="24"/>
  <c r="DP32" i="24"/>
  <c r="CZ32" i="24"/>
  <c r="AY6" i="68"/>
  <c r="EI33" i="24" s="1"/>
  <c r="EG32" i="24"/>
  <c r="DV32" i="24"/>
  <c r="DL32" i="24"/>
  <c r="DA32" i="24"/>
  <c r="BC6" i="68"/>
  <c r="EM33" i="24" s="1"/>
  <c r="W6" i="68"/>
  <c r="DG33" i="24" s="1"/>
  <c r="AM6" i="68"/>
  <c r="DW33" i="24" s="1"/>
  <c r="G6" i="68"/>
  <c r="CQ33" i="24" s="1"/>
  <c r="S6" i="68"/>
  <c r="DC33" i="24" s="1"/>
  <c r="AI6" i="68"/>
  <c r="DS33" i="24" s="1"/>
  <c r="EJ32" i="24"/>
  <c r="ED32" i="24"/>
  <c r="DY32" i="24"/>
  <c r="DT32" i="24"/>
  <c r="DN32" i="24"/>
  <c r="DI32" i="24"/>
  <c r="DD32" i="24"/>
  <c r="CX32" i="24"/>
  <c r="CS32" i="24"/>
  <c r="AU6" i="68"/>
  <c r="EE33" i="24" s="1"/>
  <c r="AE6" i="68"/>
  <c r="DO33" i="24" s="1"/>
  <c r="AR32" i="24"/>
  <c r="EH32" i="24"/>
  <c r="EC32" i="24"/>
  <c r="DX32" i="24"/>
  <c r="DR32" i="24"/>
  <c r="DM32" i="24"/>
  <c r="DH32" i="24"/>
  <c r="DB32" i="24"/>
  <c r="CW32" i="24"/>
  <c r="CR32" i="24"/>
  <c r="AQ6" i="68"/>
  <c r="EA33" i="24" s="1"/>
  <c r="AA6" i="68"/>
  <c r="DK33" i="24" s="1"/>
  <c r="K6" i="68"/>
  <c r="CU33" i="24" s="1"/>
  <c r="O6" i="68"/>
  <c r="CY33" i="24" s="1"/>
  <c r="CS33" i="24"/>
  <c r="AT33" i="24"/>
  <c r="AZ6" i="68"/>
  <c r="AV6" i="68"/>
  <c r="AR6" i="68"/>
  <c r="AN6" i="68"/>
  <c r="AJ6" i="68"/>
  <c r="AF6" i="68"/>
  <c r="AB6" i="68"/>
  <c r="X6" i="68"/>
  <c r="T6" i="68"/>
  <c r="P6" i="68"/>
  <c r="L6" i="68"/>
  <c r="H6" i="68"/>
  <c r="AQ32" i="24"/>
  <c r="CG32" i="24"/>
  <c r="CC32" i="24"/>
  <c r="BQ32" i="24"/>
  <c r="BA32" i="24"/>
  <c r="AW32" i="24"/>
  <c r="BB6" i="68"/>
  <c r="AX6" i="68"/>
  <c r="AT6" i="68"/>
  <c r="AP6" i="68"/>
  <c r="AL6" i="68"/>
  <c r="AH6" i="68"/>
  <c r="AD6" i="68"/>
  <c r="Z6" i="68"/>
  <c r="V6" i="68"/>
  <c r="R6" i="68"/>
  <c r="N6" i="68"/>
  <c r="J6" i="68"/>
  <c r="F6" i="68"/>
  <c r="CM32" i="24"/>
  <c r="CA32" i="24"/>
  <c r="BK32" i="24"/>
  <c r="AU32" i="24"/>
  <c r="CN33" i="24"/>
  <c r="CJ33" i="24"/>
  <c r="BT33" i="24"/>
  <c r="BD33" i="24"/>
  <c r="BA6" i="68"/>
  <c r="AW6" i="68"/>
  <c r="AS6" i="68"/>
  <c r="AO6" i="68"/>
  <c r="AK6" i="68"/>
  <c r="AG6" i="68"/>
  <c r="AC6" i="68"/>
  <c r="Y6" i="68"/>
  <c r="U6" i="68"/>
  <c r="Q6" i="68"/>
  <c r="M6" i="68"/>
  <c r="CL32" i="24"/>
  <c r="BV32" i="24"/>
  <c r="BR32" i="24"/>
  <c r="BB32" i="24"/>
  <c r="G3" i="67"/>
  <c r="U3" i="67" s="1"/>
  <c r="H3" i="67"/>
  <c r="I3" i="67"/>
  <c r="J3" i="67"/>
  <c r="K3" i="67"/>
  <c r="L3" i="67"/>
  <c r="M3" i="67"/>
  <c r="N3" i="67"/>
  <c r="O3" i="67"/>
  <c r="P3" i="67"/>
  <c r="Q3" i="67"/>
  <c r="R3" i="67"/>
  <c r="S3" i="67"/>
  <c r="T3" i="67"/>
  <c r="U2" i="67"/>
  <c r="O2" i="67"/>
  <c r="P2" i="67"/>
  <c r="Q2" i="67"/>
  <c r="R2" i="67"/>
  <c r="S2" i="67"/>
  <c r="T2" i="67"/>
  <c r="N2" i="67"/>
  <c r="I2" i="67"/>
  <c r="J2" i="67"/>
  <c r="K2" i="67"/>
  <c r="L2" i="67"/>
  <c r="M2" i="67"/>
  <c r="G2" i="67"/>
  <c r="H2" i="67"/>
  <c r="E3" i="67"/>
  <c r="D3" i="67"/>
  <c r="C3" i="67"/>
  <c r="AJ3" i="24"/>
  <c r="G3" i="24" s="1"/>
  <c r="AK3" i="24"/>
  <c r="H3" i="24" s="1"/>
  <c r="AL3" i="24"/>
  <c r="N3" i="24" s="1"/>
  <c r="AJ4" i="24"/>
  <c r="G4" i="24" s="1"/>
  <c r="AK4" i="24"/>
  <c r="J4" i="24" s="1"/>
  <c r="AL4" i="24"/>
  <c r="O4" i="24" s="1"/>
  <c r="AJ5" i="24"/>
  <c r="G5" i="24" s="1"/>
  <c r="AK5" i="24"/>
  <c r="H5" i="24" s="1"/>
  <c r="AL5" i="24"/>
  <c r="P5" i="24" s="1"/>
  <c r="AJ6" i="24"/>
  <c r="G6" i="24" s="1"/>
  <c r="AK6" i="24"/>
  <c r="J6" i="24" s="1"/>
  <c r="AL6" i="24"/>
  <c r="Q6" i="24" s="1"/>
  <c r="AJ7" i="24"/>
  <c r="G7" i="24" s="1"/>
  <c r="AK7" i="24"/>
  <c r="H7" i="24" s="1"/>
  <c r="AL7" i="24"/>
  <c r="N7" i="24" s="1"/>
  <c r="AJ8" i="24"/>
  <c r="G8" i="24" s="1"/>
  <c r="AK8" i="24"/>
  <c r="J8" i="24" s="1"/>
  <c r="AL8" i="24"/>
  <c r="O8" i="24" s="1"/>
  <c r="AJ9" i="24"/>
  <c r="G9" i="24" s="1"/>
  <c r="AK9" i="24"/>
  <c r="H9" i="24" s="1"/>
  <c r="AL9" i="24"/>
  <c r="P9" i="24" s="1"/>
  <c r="AJ10" i="24"/>
  <c r="G10" i="24" s="1"/>
  <c r="AK10" i="24"/>
  <c r="J10" i="24" s="1"/>
  <c r="AL10" i="24"/>
  <c r="Q10" i="24" s="1"/>
  <c r="AJ11" i="24"/>
  <c r="G11" i="24" s="1"/>
  <c r="AK11" i="24"/>
  <c r="H11" i="24" s="1"/>
  <c r="AL11" i="24"/>
  <c r="N11" i="24" s="1"/>
  <c r="AJ12" i="24"/>
  <c r="G12" i="24" s="1"/>
  <c r="AK12" i="24"/>
  <c r="J12" i="24" s="1"/>
  <c r="AL12" i="24"/>
  <c r="O12" i="24" s="1"/>
  <c r="AJ13" i="24"/>
  <c r="G13" i="24" s="1"/>
  <c r="AK13" i="24"/>
  <c r="H13" i="24" s="1"/>
  <c r="AL13" i="24"/>
  <c r="P13" i="24" s="1"/>
  <c r="AJ14" i="24"/>
  <c r="G14" i="24" s="1"/>
  <c r="AK14" i="24"/>
  <c r="J14" i="24" s="1"/>
  <c r="AL14" i="24"/>
  <c r="Q14" i="24" s="1"/>
  <c r="AJ15" i="24"/>
  <c r="G15" i="24" s="1"/>
  <c r="AK15" i="24"/>
  <c r="H15" i="24" s="1"/>
  <c r="AL15" i="24"/>
  <c r="N15" i="24" s="1"/>
  <c r="AJ16" i="24"/>
  <c r="G16" i="24" s="1"/>
  <c r="AK16" i="24"/>
  <c r="J16" i="24" s="1"/>
  <c r="AL16" i="24"/>
  <c r="O16" i="24" s="1"/>
  <c r="AJ17" i="24"/>
  <c r="G17" i="24" s="1"/>
  <c r="AK17" i="24"/>
  <c r="H17" i="24" s="1"/>
  <c r="AL17" i="24"/>
  <c r="P17" i="24" s="1"/>
  <c r="AJ18" i="24"/>
  <c r="G18" i="24" s="1"/>
  <c r="AK18" i="24"/>
  <c r="J18" i="24" s="1"/>
  <c r="AL18" i="24"/>
  <c r="Q18" i="24" s="1"/>
  <c r="AJ19" i="24"/>
  <c r="G19" i="24" s="1"/>
  <c r="AK19" i="24"/>
  <c r="H19" i="24" s="1"/>
  <c r="AL19" i="24"/>
  <c r="N19" i="24" s="1"/>
  <c r="AJ20" i="24"/>
  <c r="G20" i="24" s="1"/>
  <c r="AK20" i="24"/>
  <c r="J20" i="24" s="1"/>
  <c r="AL20" i="24"/>
  <c r="O20" i="24" s="1"/>
  <c r="AJ21" i="24"/>
  <c r="AK21" i="24"/>
  <c r="AL21" i="24"/>
  <c r="AJ22" i="24"/>
  <c r="G22" i="24" s="1"/>
  <c r="AK22" i="24"/>
  <c r="J22" i="24" s="1"/>
  <c r="AL22" i="24"/>
  <c r="Q22" i="24" s="1"/>
  <c r="AJ23" i="24"/>
  <c r="G23" i="24" s="1"/>
  <c r="AK23" i="24"/>
  <c r="H23" i="24" s="1"/>
  <c r="AL23" i="24"/>
  <c r="N23" i="24" s="1"/>
  <c r="AJ24" i="24"/>
  <c r="AK24" i="24"/>
  <c r="AL24" i="24"/>
  <c r="AJ25" i="24"/>
  <c r="AK25" i="24"/>
  <c r="AL25" i="24"/>
  <c r="AJ26" i="24"/>
  <c r="AK26" i="24"/>
  <c r="AL26" i="24"/>
  <c r="AJ27" i="24"/>
  <c r="AK27" i="24"/>
  <c r="AL27" i="24"/>
  <c r="AJ28" i="24"/>
  <c r="G28" i="24" s="1"/>
  <c r="AK28" i="24"/>
  <c r="H28" i="24" s="1"/>
  <c r="AL28" i="24"/>
  <c r="P28" i="24" s="1"/>
  <c r="AJ29" i="24"/>
  <c r="G29" i="24" s="1"/>
  <c r="AK29" i="24"/>
  <c r="J29" i="24" s="1"/>
  <c r="AL29" i="24"/>
  <c r="Q29" i="24" s="1"/>
  <c r="AJ30" i="24"/>
  <c r="G30" i="24" s="1"/>
  <c r="AK30" i="24"/>
  <c r="H30" i="24" s="1"/>
  <c r="AL30" i="24"/>
  <c r="N30" i="24" s="1"/>
  <c r="AJ31" i="24"/>
  <c r="AK31" i="24"/>
  <c r="AL31" i="24"/>
  <c r="AJ35" i="24"/>
  <c r="G35" i="24" s="1"/>
  <c r="AK35" i="24"/>
  <c r="H35" i="24" s="1"/>
  <c r="AL35" i="24"/>
  <c r="N35" i="24" s="1"/>
  <c r="AJ36" i="24"/>
  <c r="G36" i="24" s="1"/>
  <c r="AK36" i="24"/>
  <c r="J36" i="24" s="1"/>
  <c r="AL36" i="24"/>
  <c r="O36" i="24" s="1"/>
  <c r="AJ37" i="24"/>
  <c r="AK37" i="24"/>
  <c r="AL37" i="24"/>
  <c r="AJ2" i="24"/>
  <c r="G2" i="24" s="1"/>
  <c r="H2" i="24"/>
  <c r="AL2" i="24"/>
  <c r="N2" i="24" s="1"/>
  <c r="BF32" i="24" l="1"/>
  <c r="AR33" i="24"/>
  <c r="CE32" i="24"/>
  <c r="BJ32" i="24"/>
  <c r="BZ32" i="24"/>
  <c r="BX33" i="24"/>
  <c r="BG32" i="24"/>
  <c r="AT32" i="24"/>
  <c r="BO32" i="24"/>
  <c r="AX32" i="24"/>
  <c r="AV33" i="24"/>
  <c r="BM32" i="24"/>
  <c r="CK32" i="24"/>
  <c r="BL33" i="24"/>
  <c r="BU32" i="24"/>
  <c r="CH32" i="24"/>
  <c r="BH33" i="24"/>
  <c r="CB33" i="24"/>
  <c r="BC32" i="24"/>
  <c r="BW32" i="24"/>
  <c r="BN32" i="24"/>
  <c r="CD32" i="24"/>
  <c r="AZ33" i="24"/>
  <c r="BP33" i="24"/>
  <c r="CF33" i="24"/>
  <c r="AY32" i="24"/>
  <c r="BE32" i="24"/>
  <c r="BY32" i="24"/>
  <c r="BS32" i="24"/>
  <c r="CI32" i="24"/>
  <c r="AS32" i="24"/>
  <c r="BI32" i="24"/>
  <c r="CU32" i="24"/>
  <c r="AV32" i="24"/>
  <c r="DK32" i="24"/>
  <c r="BL32" i="24"/>
  <c r="EA32" i="24"/>
  <c r="CB32" i="24"/>
  <c r="CW33" i="24"/>
  <c r="AX33" i="24"/>
  <c r="DM33" i="24"/>
  <c r="BN33" i="24"/>
  <c r="EC33" i="24"/>
  <c r="CD33" i="24"/>
  <c r="CP33" i="24"/>
  <c r="AQ33" i="24"/>
  <c r="DF33" i="24"/>
  <c r="BG33" i="24"/>
  <c r="DV33" i="24"/>
  <c r="BW33" i="24"/>
  <c r="EL33" i="24"/>
  <c r="CM33" i="24"/>
  <c r="CZ33" i="24"/>
  <c r="BA33" i="24"/>
  <c r="DP33" i="24"/>
  <c r="BQ33" i="24"/>
  <c r="EF33" i="24"/>
  <c r="CG33" i="24"/>
  <c r="CY32" i="24"/>
  <c r="AZ32" i="24"/>
  <c r="DO32" i="24"/>
  <c r="BP32" i="24"/>
  <c r="EE32" i="24"/>
  <c r="CF32" i="24"/>
  <c r="DA33" i="24"/>
  <c r="BB33" i="24"/>
  <c r="DQ33" i="24"/>
  <c r="BR33" i="24"/>
  <c r="EG33" i="24"/>
  <c r="CH33" i="24"/>
  <c r="CT33" i="24"/>
  <c r="AU33" i="24"/>
  <c r="DJ33" i="24"/>
  <c r="BK33" i="24"/>
  <c r="DZ33" i="24"/>
  <c r="CA33" i="24"/>
  <c r="DD33" i="24"/>
  <c r="BE33" i="24"/>
  <c r="DT33" i="24"/>
  <c r="BU33" i="24"/>
  <c r="EJ33" i="24"/>
  <c r="CK33" i="24"/>
  <c r="DC32" i="24"/>
  <c r="BD32" i="24"/>
  <c r="BT32" i="24"/>
  <c r="DS32" i="24"/>
  <c r="CJ32" i="24"/>
  <c r="EI32" i="24"/>
  <c r="DE33" i="24"/>
  <c r="BF33" i="24"/>
  <c r="DU33" i="24"/>
  <c r="BV33" i="24"/>
  <c r="EK33" i="24"/>
  <c r="CL33" i="24"/>
  <c r="CX33" i="24"/>
  <c r="AY33" i="24"/>
  <c r="DN33" i="24"/>
  <c r="BO33" i="24"/>
  <c r="ED33" i="24"/>
  <c r="CE33" i="24"/>
  <c r="CR33" i="24"/>
  <c r="AS33" i="24"/>
  <c r="DH33" i="24"/>
  <c r="BI33" i="24"/>
  <c r="DX33" i="24"/>
  <c r="BY33" i="24"/>
  <c r="DG32" i="24"/>
  <c r="BH32" i="24"/>
  <c r="BX32" i="24"/>
  <c r="DW32" i="24"/>
  <c r="EM32" i="24"/>
  <c r="CN32" i="24"/>
  <c r="DI33" i="24"/>
  <c r="BJ33" i="24"/>
  <c r="DY33" i="24"/>
  <c r="BZ33" i="24"/>
  <c r="DB33" i="24"/>
  <c r="BC33" i="24"/>
  <c r="DR33" i="24"/>
  <c r="BS33" i="24"/>
  <c r="EH33" i="24"/>
  <c r="CI33" i="24"/>
  <c r="CV33" i="24"/>
  <c r="AW33" i="24"/>
  <c r="DL33" i="24"/>
  <c r="BM33" i="24"/>
  <c r="EB33" i="24"/>
  <c r="CC33" i="24"/>
  <c r="R36" i="24"/>
  <c r="N36" i="24"/>
  <c r="Q35" i="24"/>
  <c r="Q30" i="24"/>
  <c r="T29" i="24"/>
  <c r="P29" i="24"/>
  <c r="S28" i="24"/>
  <c r="O28" i="24"/>
  <c r="Q23" i="24"/>
  <c r="T22" i="24"/>
  <c r="P22" i="24"/>
  <c r="R20" i="24"/>
  <c r="N20" i="24"/>
  <c r="Q19" i="24"/>
  <c r="T18" i="24"/>
  <c r="P18" i="24"/>
  <c r="S17" i="24"/>
  <c r="O17" i="24"/>
  <c r="R16" i="24"/>
  <c r="N16" i="24"/>
  <c r="Q15" i="24"/>
  <c r="T14" i="24"/>
  <c r="P14" i="24"/>
  <c r="S13" i="24"/>
  <c r="O13" i="24"/>
  <c r="R12" i="24"/>
  <c r="N12" i="24"/>
  <c r="Q11" i="24"/>
  <c r="T10" i="24"/>
  <c r="P10" i="24"/>
  <c r="S9" i="24"/>
  <c r="O9" i="24"/>
  <c r="R8" i="24"/>
  <c r="N8" i="24"/>
  <c r="Q7" i="24"/>
  <c r="T6" i="24"/>
  <c r="P6" i="24"/>
  <c r="S5" i="24"/>
  <c r="O5" i="24"/>
  <c r="R4" i="24"/>
  <c r="N4" i="24"/>
  <c r="Q3" i="24"/>
  <c r="Q36" i="24"/>
  <c r="T35" i="24"/>
  <c r="P35" i="24"/>
  <c r="T30" i="24"/>
  <c r="P30" i="24"/>
  <c r="S29" i="24"/>
  <c r="O29" i="24"/>
  <c r="R28" i="24"/>
  <c r="N28" i="24"/>
  <c r="T23" i="24"/>
  <c r="P23" i="24"/>
  <c r="S22" i="24"/>
  <c r="O22" i="24"/>
  <c r="Q20" i="24"/>
  <c r="T19" i="24"/>
  <c r="P19" i="24"/>
  <c r="S18" i="24"/>
  <c r="O18" i="24"/>
  <c r="R17" i="24"/>
  <c r="N17" i="24"/>
  <c r="Q16" i="24"/>
  <c r="T15" i="24"/>
  <c r="P15" i="24"/>
  <c r="S14" i="24"/>
  <c r="O14" i="24"/>
  <c r="R13" i="24"/>
  <c r="N13" i="24"/>
  <c r="Q12" i="24"/>
  <c r="T11" i="24"/>
  <c r="P11" i="24"/>
  <c r="S10" i="24"/>
  <c r="O10" i="24"/>
  <c r="R9" i="24"/>
  <c r="N9" i="24"/>
  <c r="Q8" i="24"/>
  <c r="T7" i="24"/>
  <c r="P7" i="24"/>
  <c r="S6" i="24"/>
  <c r="O6" i="24"/>
  <c r="R5" i="24"/>
  <c r="N5" i="24"/>
  <c r="Q4" i="24"/>
  <c r="T3" i="24"/>
  <c r="P3" i="24"/>
  <c r="T36" i="24"/>
  <c r="P36" i="24"/>
  <c r="S35" i="24"/>
  <c r="O35" i="24"/>
  <c r="S30" i="24"/>
  <c r="O30" i="24"/>
  <c r="R29" i="24"/>
  <c r="N29" i="24"/>
  <c r="Q28" i="24"/>
  <c r="S23" i="24"/>
  <c r="O23" i="24"/>
  <c r="R22" i="24"/>
  <c r="N22" i="24"/>
  <c r="T20" i="24"/>
  <c r="P20" i="24"/>
  <c r="S19" i="24"/>
  <c r="O19" i="24"/>
  <c r="R18" i="24"/>
  <c r="N18" i="24"/>
  <c r="Q17" i="24"/>
  <c r="T16" i="24"/>
  <c r="P16" i="24"/>
  <c r="S15" i="24"/>
  <c r="O15" i="24"/>
  <c r="R14" i="24"/>
  <c r="N14" i="24"/>
  <c r="Q13" i="24"/>
  <c r="T12" i="24"/>
  <c r="P12" i="24"/>
  <c r="S11" i="24"/>
  <c r="O11" i="24"/>
  <c r="R10" i="24"/>
  <c r="N10" i="24"/>
  <c r="Q9" i="24"/>
  <c r="T8" i="24"/>
  <c r="P8" i="24"/>
  <c r="S7" i="24"/>
  <c r="O7" i="24"/>
  <c r="R6" i="24"/>
  <c r="N6" i="24"/>
  <c r="Q5" i="24"/>
  <c r="T4" i="24"/>
  <c r="P4" i="24"/>
  <c r="S3" i="24"/>
  <c r="O3" i="24"/>
  <c r="S36" i="24"/>
  <c r="R35" i="24"/>
  <c r="R30" i="24"/>
  <c r="T28" i="24"/>
  <c r="R23" i="24"/>
  <c r="S20" i="24"/>
  <c r="R19" i="24"/>
  <c r="T17" i="24"/>
  <c r="S16" i="24"/>
  <c r="R15" i="24"/>
  <c r="T13" i="24"/>
  <c r="S12" i="24"/>
  <c r="R11" i="24"/>
  <c r="T9" i="24"/>
  <c r="S8" i="24"/>
  <c r="R7" i="24"/>
  <c r="T5" i="24"/>
  <c r="S4" i="24"/>
  <c r="R3" i="24"/>
  <c r="R2" i="24"/>
  <c r="Q2" i="24"/>
  <c r="T2" i="24"/>
  <c r="P2" i="24"/>
  <c r="S2" i="24"/>
  <c r="O2" i="24"/>
  <c r="M36" i="24"/>
  <c r="I36" i="24"/>
  <c r="K35" i="24"/>
  <c r="K30" i="24"/>
  <c r="M29" i="24"/>
  <c r="I29" i="24"/>
  <c r="K28" i="24"/>
  <c r="K23" i="24"/>
  <c r="M22" i="24"/>
  <c r="I22" i="24"/>
  <c r="M20" i="24"/>
  <c r="I20" i="24"/>
  <c r="K19" i="24"/>
  <c r="M18" i="24"/>
  <c r="I18" i="24"/>
  <c r="K17" i="24"/>
  <c r="M16" i="24"/>
  <c r="I16" i="24"/>
  <c r="K15" i="24"/>
  <c r="M14" i="24"/>
  <c r="I14" i="24"/>
  <c r="K13" i="24"/>
  <c r="M12" i="24"/>
  <c r="I12" i="24"/>
  <c r="K11" i="24"/>
  <c r="M10" i="24"/>
  <c r="I10" i="24"/>
  <c r="K9" i="24"/>
  <c r="M8" i="24"/>
  <c r="I8" i="24"/>
  <c r="K7" i="24"/>
  <c r="M6" i="24"/>
  <c r="I6" i="24"/>
  <c r="K5" i="24"/>
  <c r="M4" i="24"/>
  <c r="I4" i="24"/>
  <c r="K3" i="24"/>
  <c r="L36" i="24"/>
  <c r="H36" i="24"/>
  <c r="J35" i="24"/>
  <c r="J30" i="24"/>
  <c r="L29" i="24"/>
  <c r="H29" i="24"/>
  <c r="J28" i="24"/>
  <c r="J23" i="24"/>
  <c r="L22" i="24"/>
  <c r="H22" i="24"/>
  <c r="L20" i="24"/>
  <c r="H20" i="24"/>
  <c r="J19" i="24"/>
  <c r="L18" i="24"/>
  <c r="H18" i="24"/>
  <c r="J17" i="24"/>
  <c r="L16" i="24"/>
  <c r="H16" i="24"/>
  <c r="J15" i="24"/>
  <c r="L14" i="24"/>
  <c r="H14" i="24"/>
  <c r="J13" i="24"/>
  <c r="L12" i="24"/>
  <c r="H12" i="24"/>
  <c r="J11" i="24"/>
  <c r="L10" i="24"/>
  <c r="H10" i="24"/>
  <c r="J9" i="24"/>
  <c r="L8" i="24"/>
  <c r="H8" i="24"/>
  <c r="J7" i="24"/>
  <c r="L6" i="24"/>
  <c r="H6" i="24"/>
  <c r="J5" i="24"/>
  <c r="L4" i="24"/>
  <c r="H4" i="24"/>
  <c r="J3" i="24"/>
  <c r="K36" i="24"/>
  <c r="M35" i="24"/>
  <c r="I35" i="24"/>
  <c r="M30" i="24"/>
  <c r="I30" i="24"/>
  <c r="K29" i="24"/>
  <c r="M28" i="24"/>
  <c r="I28" i="24"/>
  <c r="M23" i="24"/>
  <c r="I23" i="24"/>
  <c r="K22" i="24"/>
  <c r="K20" i="24"/>
  <c r="M19" i="24"/>
  <c r="I19" i="24"/>
  <c r="K18" i="24"/>
  <c r="M17" i="24"/>
  <c r="I17" i="24"/>
  <c r="K16" i="24"/>
  <c r="M15" i="24"/>
  <c r="I15" i="24"/>
  <c r="K14" i="24"/>
  <c r="M13" i="24"/>
  <c r="I13" i="24"/>
  <c r="K12" i="24"/>
  <c r="M11" i="24"/>
  <c r="I11" i="24"/>
  <c r="K10" i="24"/>
  <c r="M9" i="24"/>
  <c r="I9" i="24"/>
  <c r="K8" i="24"/>
  <c r="M7" i="24"/>
  <c r="I7" i="24"/>
  <c r="K6" i="24"/>
  <c r="M5" i="24"/>
  <c r="I5" i="24"/>
  <c r="K4" i="24"/>
  <c r="M3" i="24"/>
  <c r="I3" i="24"/>
  <c r="L35" i="24"/>
  <c r="L30" i="24"/>
  <c r="L28" i="24"/>
  <c r="L23" i="24"/>
  <c r="L19" i="24"/>
  <c r="L17" i="24"/>
  <c r="L15" i="24"/>
  <c r="L13" i="24"/>
  <c r="L11" i="24"/>
  <c r="L9" i="24"/>
  <c r="L7" i="24"/>
  <c r="L5" i="24"/>
  <c r="L3" i="24"/>
  <c r="L2" i="24"/>
  <c r="K2" i="24"/>
  <c r="J2" i="24"/>
  <c r="M2" i="24"/>
  <c r="I2" i="24"/>
  <c r="BI135" i="56" l="1"/>
  <c r="BI136" i="56"/>
  <c r="BI137" i="56"/>
  <c r="BI138" i="56"/>
  <c r="BI139" i="56"/>
  <c r="BI140" i="56"/>
  <c r="BI141" i="56"/>
  <c r="BI142" i="56"/>
  <c r="BI143" i="56"/>
  <c r="BI144" i="56"/>
  <c r="BI145" i="56"/>
  <c r="BI146" i="56"/>
  <c r="BI147" i="56"/>
  <c r="M80" i="64" l="1"/>
  <c r="BS22" i="43" l="1"/>
  <c r="BR22" i="43"/>
  <c r="BQ22" i="43"/>
  <c r="BP22" i="43"/>
  <c r="BO22" i="43"/>
  <c r="BN22" i="43"/>
  <c r="BM22" i="43"/>
  <c r="BL22" i="43"/>
  <c r="BK22" i="43"/>
  <c r="BJ22" i="43"/>
  <c r="BI22" i="43"/>
  <c r="BH22" i="43"/>
  <c r="BG22" i="43"/>
  <c r="BF22" i="43"/>
  <c r="BE22" i="43"/>
  <c r="BD22" i="43"/>
  <c r="BC22" i="43"/>
  <c r="BB22" i="43"/>
  <c r="BA22" i="43"/>
  <c r="AZ22" i="43"/>
  <c r="AY22" i="43"/>
  <c r="AX22" i="43"/>
  <c r="AW22" i="43"/>
  <c r="AV22" i="43"/>
  <c r="AU22" i="43"/>
  <c r="AT22" i="43"/>
  <c r="AS22" i="43"/>
  <c r="BS20" i="43"/>
  <c r="BR20" i="43"/>
  <c r="BQ20" i="43"/>
  <c r="BP20" i="43"/>
  <c r="BO20" i="43"/>
  <c r="BN20" i="43"/>
  <c r="BM20" i="43"/>
  <c r="BL20" i="43"/>
  <c r="BK20" i="43"/>
  <c r="BJ20" i="43"/>
  <c r="BI20" i="43"/>
  <c r="BH20" i="43"/>
  <c r="BG20" i="43"/>
  <c r="BF20" i="43"/>
  <c r="BE20" i="43"/>
  <c r="BD20" i="43"/>
  <c r="BC20" i="43"/>
  <c r="BB20" i="43"/>
  <c r="BA20" i="43"/>
  <c r="AZ20" i="43"/>
  <c r="AY20" i="43"/>
  <c r="AX20" i="43"/>
  <c r="AW20" i="43"/>
  <c r="AV20" i="43"/>
  <c r="AU20" i="43"/>
  <c r="AT20" i="43"/>
  <c r="AS20" i="43"/>
  <c r="BS8" i="43"/>
  <c r="BR8" i="43"/>
  <c r="BQ8" i="43"/>
  <c r="BP8" i="43"/>
  <c r="BO8" i="43"/>
  <c r="BN8" i="43"/>
  <c r="BM8" i="43"/>
  <c r="BL8" i="43"/>
  <c r="BK8" i="43"/>
  <c r="BJ8" i="43"/>
  <c r="BI8" i="43"/>
  <c r="BH8" i="43"/>
  <c r="BG8" i="43"/>
  <c r="BF8" i="43"/>
  <c r="BE8" i="43"/>
  <c r="BD8" i="43"/>
  <c r="BC8" i="43"/>
  <c r="BB8" i="43"/>
  <c r="BA8" i="43"/>
  <c r="AZ8" i="43"/>
  <c r="AY8" i="43"/>
  <c r="AX8" i="43"/>
  <c r="AW8" i="43"/>
  <c r="AV8" i="43"/>
  <c r="AU8" i="43"/>
  <c r="AT8" i="43"/>
  <c r="AS8" i="43"/>
  <c r="BS7" i="43"/>
  <c r="BR7" i="43"/>
  <c r="BQ7" i="43"/>
  <c r="BP7" i="43"/>
  <c r="BO7" i="43"/>
  <c r="BN7" i="43"/>
  <c r="BM7" i="43"/>
  <c r="BL7" i="43"/>
  <c r="BK7" i="43"/>
  <c r="BJ7" i="43"/>
  <c r="BI7" i="43"/>
  <c r="BH7" i="43"/>
  <c r="BG7" i="43"/>
  <c r="BF7" i="43"/>
  <c r="BE7" i="43"/>
  <c r="BD7" i="43"/>
  <c r="BC7" i="43"/>
  <c r="BB7" i="43"/>
  <c r="BA7" i="43"/>
  <c r="AZ7" i="43"/>
  <c r="AY7" i="43"/>
  <c r="AX7" i="43"/>
  <c r="AW7" i="43"/>
  <c r="AV7" i="43"/>
  <c r="AU7" i="43"/>
  <c r="AT7" i="43"/>
  <c r="AS7" i="43"/>
  <c r="BS6" i="43"/>
  <c r="BR6" i="43"/>
  <c r="BQ6" i="43"/>
  <c r="BP6" i="43"/>
  <c r="BO6" i="43"/>
  <c r="BN6" i="43"/>
  <c r="BM6" i="43"/>
  <c r="BL6" i="43"/>
  <c r="BK6" i="43"/>
  <c r="BJ6" i="43"/>
  <c r="BI6" i="43"/>
  <c r="BH6" i="43"/>
  <c r="BG6" i="43"/>
  <c r="BF6" i="43"/>
  <c r="BE6" i="43"/>
  <c r="BD6" i="43"/>
  <c r="BC6" i="43"/>
  <c r="BB6" i="43"/>
  <c r="BA6" i="43"/>
  <c r="AZ6" i="43"/>
  <c r="AY6" i="43"/>
  <c r="AX6" i="43"/>
  <c r="AW6" i="43"/>
  <c r="AV6" i="43"/>
  <c r="AU6" i="43"/>
  <c r="AT6" i="43"/>
  <c r="AS6" i="43"/>
  <c r="BS72" i="43"/>
  <c r="BR72" i="43"/>
  <c r="BQ72" i="43"/>
  <c r="BP72" i="43"/>
  <c r="BO72" i="43"/>
  <c r="BN72" i="43"/>
  <c r="BM72" i="43"/>
  <c r="BL72" i="43"/>
  <c r="BK72" i="43"/>
  <c r="BJ72" i="43"/>
  <c r="BI72" i="43"/>
  <c r="BH72" i="43"/>
  <c r="BG72" i="43"/>
  <c r="BF72" i="43"/>
  <c r="BE72" i="43"/>
  <c r="BD72" i="43"/>
  <c r="BC72" i="43"/>
  <c r="BB72" i="43"/>
  <c r="BA72" i="43"/>
  <c r="AZ72" i="43"/>
  <c r="AY72" i="43"/>
  <c r="AX72" i="43"/>
  <c r="AW72" i="43"/>
  <c r="AV72" i="43"/>
  <c r="AU72" i="43"/>
  <c r="AT72" i="43"/>
  <c r="AS72" i="43"/>
  <c r="BS71" i="43"/>
  <c r="BR71" i="43"/>
  <c r="BQ71" i="43"/>
  <c r="BP71" i="43"/>
  <c r="BO71" i="43"/>
  <c r="BN71" i="43"/>
  <c r="BM71" i="43"/>
  <c r="BL71" i="43"/>
  <c r="BK71" i="43"/>
  <c r="BJ71" i="43"/>
  <c r="BI71" i="43"/>
  <c r="BH71" i="43"/>
  <c r="BG71" i="43"/>
  <c r="BF71" i="43"/>
  <c r="BE71" i="43"/>
  <c r="BD71" i="43"/>
  <c r="BC71" i="43"/>
  <c r="BB71" i="43"/>
  <c r="BA71" i="43"/>
  <c r="AZ71" i="43"/>
  <c r="AY71" i="43"/>
  <c r="AX71" i="43"/>
  <c r="AW71" i="43"/>
  <c r="AV71" i="43"/>
  <c r="AU71" i="43"/>
  <c r="AT71" i="43"/>
  <c r="AS71" i="43"/>
  <c r="B75" i="43" l="1"/>
  <c r="A75" i="43"/>
  <c r="DX75" i="43" s="1"/>
  <c r="AG33" i="24"/>
  <c r="CU76" i="43" s="1"/>
  <c r="BS76" i="43" s="1"/>
  <c r="AF33" i="24"/>
  <c r="CT76" i="43" s="1"/>
  <c r="BR76" i="43" s="1"/>
  <c r="AE33" i="24"/>
  <c r="CS76" i="43" s="1"/>
  <c r="BQ76" i="43" s="1"/>
  <c r="AD33" i="24"/>
  <c r="CR76" i="43" s="1"/>
  <c r="BP76" i="43" s="1"/>
  <c r="AC33" i="24"/>
  <c r="CQ76" i="43" s="1"/>
  <c r="BO76" i="43" s="1"/>
  <c r="AB33" i="24"/>
  <c r="CP76" i="43" s="1"/>
  <c r="BN76" i="43" s="1"/>
  <c r="AA33" i="24"/>
  <c r="CO76" i="43" s="1"/>
  <c r="BM76" i="43" s="1"/>
  <c r="Z33" i="24"/>
  <c r="CN76" i="43" s="1"/>
  <c r="BL76" i="43" s="1"/>
  <c r="Y33" i="24"/>
  <c r="CM76" i="43" s="1"/>
  <c r="BK76" i="43" s="1"/>
  <c r="F33" i="24"/>
  <c r="EC75" i="43" l="1"/>
  <c r="EG75" i="43"/>
  <c r="EK75" i="43"/>
  <c r="EO75" i="43"/>
  <c r="ES75" i="43"/>
  <c r="EW75" i="43"/>
  <c r="DZ75" i="43"/>
  <c r="ED75" i="43"/>
  <c r="EH75" i="43"/>
  <c r="EL75" i="43"/>
  <c r="EP75" i="43"/>
  <c r="ET75" i="43"/>
  <c r="EX75" i="43"/>
  <c r="EA75" i="43"/>
  <c r="EE75" i="43"/>
  <c r="EI75" i="43"/>
  <c r="EM75" i="43"/>
  <c r="EQ75" i="43"/>
  <c r="EU75" i="43"/>
  <c r="EY75" i="43"/>
  <c r="EB75" i="43"/>
  <c r="EF75" i="43"/>
  <c r="EJ75" i="43"/>
  <c r="EN75" i="43"/>
  <c r="ER75" i="43"/>
  <c r="EV75" i="43"/>
  <c r="EZ75" i="43"/>
  <c r="D33" i="24"/>
  <c r="AL33" i="24"/>
  <c r="AK33" i="24"/>
  <c r="V33" i="24"/>
  <c r="CJ76" i="43" s="1"/>
  <c r="BH76" i="43" s="1"/>
  <c r="AJ33" i="24"/>
  <c r="W33" i="24"/>
  <c r="CK76" i="43" s="1"/>
  <c r="BI76" i="43" s="1"/>
  <c r="DA75" i="43"/>
  <c r="DE75" i="43"/>
  <c r="DI75" i="43"/>
  <c r="DM75" i="43"/>
  <c r="DQ75" i="43"/>
  <c r="DU75" i="43"/>
  <c r="CX75" i="43"/>
  <c r="DB75" i="43"/>
  <c r="DF75" i="43"/>
  <c r="DJ75" i="43"/>
  <c r="DN75" i="43"/>
  <c r="DR75" i="43"/>
  <c r="DV75" i="43"/>
  <c r="CY75" i="43"/>
  <c r="DC75" i="43"/>
  <c r="DG75" i="43"/>
  <c r="DK75" i="43"/>
  <c r="DO75" i="43"/>
  <c r="DS75" i="43"/>
  <c r="DW75" i="43"/>
  <c r="G75" i="43"/>
  <c r="D78" i="48" s="1"/>
  <c r="O75" i="43"/>
  <c r="E78" i="48" s="1"/>
  <c r="N78" i="48" s="1"/>
  <c r="CZ75" i="43"/>
  <c r="DD75" i="43"/>
  <c r="DH75" i="43"/>
  <c r="DL75" i="43"/>
  <c r="DP75" i="43"/>
  <c r="DT75" i="43"/>
  <c r="T78" i="48" l="1"/>
  <c r="AB78" i="48"/>
  <c r="AI78" i="48" s="1"/>
  <c r="C60" i="57"/>
  <c r="FF75" i="43"/>
  <c r="FB75" i="43"/>
  <c r="FE75" i="43"/>
  <c r="FD75" i="43"/>
  <c r="FC75" i="43"/>
  <c r="Q33" i="24"/>
  <c r="CE76" i="43" s="1"/>
  <c r="BC76" i="43" s="1"/>
  <c r="N33" i="24"/>
  <c r="CB76" i="43" s="1"/>
  <c r="AZ76" i="43" s="1"/>
  <c r="R33" i="24"/>
  <c r="CF76" i="43" s="1"/>
  <c r="BD76" i="43" s="1"/>
  <c r="O33" i="24"/>
  <c r="CC76" i="43" s="1"/>
  <c r="BA76" i="43" s="1"/>
  <c r="S33" i="24"/>
  <c r="CG76" i="43" s="1"/>
  <c r="BE76" i="43" s="1"/>
  <c r="P33" i="24"/>
  <c r="CD76" i="43" s="1"/>
  <c r="BB76" i="43" s="1"/>
  <c r="T33" i="24"/>
  <c r="CH76" i="43" s="1"/>
  <c r="BF76" i="43" s="1"/>
  <c r="G33" i="24"/>
  <c r="BU76" i="43" s="1"/>
  <c r="J33" i="24"/>
  <c r="BX76" i="43" s="1"/>
  <c r="AV76" i="43" s="1"/>
  <c r="K33" i="24"/>
  <c r="BY76" i="43" s="1"/>
  <c r="AW76" i="43" s="1"/>
  <c r="H33" i="24"/>
  <c r="BV76" i="43" s="1"/>
  <c r="AT76" i="43" s="1"/>
  <c r="L33" i="24"/>
  <c r="BZ76" i="43" s="1"/>
  <c r="AX76" i="43" s="1"/>
  <c r="I33" i="24"/>
  <c r="BW76" i="43" s="1"/>
  <c r="AU76" i="43" s="1"/>
  <c r="M33" i="24"/>
  <c r="CA76" i="43" s="1"/>
  <c r="AY76" i="43" s="1"/>
  <c r="X33" i="24"/>
  <c r="CL76" i="43" s="1"/>
  <c r="BJ76" i="43" s="1"/>
  <c r="U33" i="24"/>
  <c r="CI76" i="43" s="1"/>
  <c r="BG76" i="43" s="1"/>
  <c r="I76" i="43" l="1"/>
  <c r="K76" i="43" s="1"/>
  <c r="J76" i="43"/>
  <c r="AS76" i="43"/>
  <c r="AH33" i="24"/>
  <c r="AI76" i="43" l="1"/>
  <c r="S76" i="43"/>
  <c r="AP76" i="43"/>
  <c r="V76" i="43"/>
  <c r="AG76" i="43"/>
  <c r="Q76" i="43"/>
  <c r="X76" i="43"/>
  <c r="R76" i="43"/>
  <c r="AC76" i="43"/>
  <c r="AN76" i="43"/>
  <c r="Y76" i="43"/>
  <c r="AL76" i="43"/>
  <c r="AA76" i="43"/>
  <c r="AM76" i="43"/>
  <c r="W76" i="43"/>
  <c r="Z76" i="43"/>
  <c r="AK76" i="43"/>
  <c r="U76" i="43"/>
  <c r="AF76" i="43"/>
  <c r="AE76" i="43"/>
  <c r="AH76" i="43"/>
  <c r="AB76" i="43"/>
  <c r="P76" i="43"/>
  <c r="AD76" i="43"/>
  <c r="T76" i="43"/>
  <c r="AO76" i="43"/>
  <c r="AJ76" i="43"/>
  <c r="D78" i="65"/>
  <c r="C78" i="65"/>
  <c r="H2" i="65"/>
  <c r="M79" i="64" l="1"/>
  <c r="M78" i="64"/>
  <c r="M77" i="64"/>
  <c r="M76" i="64"/>
  <c r="M75" i="64"/>
  <c r="M74" i="64"/>
  <c r="M73" i="64"/>
  <c r="M72" i="64"/>
  <c r="M71" i="64"/>
  <c r="M70" i="64"/>
  <c r="M69" i="64"/>
  <c r="M68" i="64"/>
  <c r="M67" i="64"/>
  <c r="M66" i="64"/>
  <c r="M65" i="64"/>
  <c r="M64" i="64"/>
  <c r="M63" i="64"/>
  <c r="M61" i="64"/>
  <c r="L61" i="64"/>
  <c r="K61" i="64"/>
  <c r="M60" i="64"/>
  <c r="L60" i="64"/>
  <c r="K60" i="64"/>
  <c r="M59" i="64"/>
  <c r="L59" i="64"/>
  <c r="K59" i="64"/>
  <c r="M58" i="64"/>
  <c r="L58" i="64"/>
  <c r="K58" i="64"/>
  <c r="M57" i="64"/>
  <c r="L57" i="64"/>
  <c r="K57" i="64"/>
  <c r="M56" i="64"/>
  <c r="L56" i="64"/>
  <c r="K56" i="64"/>
  <c r="M53" i="64"/>
  <c r="L53" i="64"/>
  <c r="K53" i="64"/>
  <c r="M52" i="64"/>
  <c r="L52" i="64"/>
  <c r="K52" i="64"/>
  <c r="M51" i="64"/>
  <c r="L51" i="64"/>
  <c r="K51" i="64"/>
  <c r="M50" i="64"/>
  <c r="L50" i="64"/>
  <c r="K50" i="64"/>
  <c r="M49" i="64"/>
  <c r="L49" i="64"/>
  <c r="K49" i="64"/>
  <c r="M48" i="64"/>
  <c r="L48" i="64"/>
  <c r="K48" i="64"/>
  <c r="M47" i="64"/>
  <c r="L47" i="64"/>
  <c r="K47" i="64"/>
  <c r="M46" i="64"/>
  <c r="L46" i="64"/>
  <c r="K46" i="64"/>
  <c r="M45" i="64"/>
  <c r="L45" i="64"/>
  <c r="K45" i="64"/>
  <c r="M44" i="64"/>
  <c r="L44" i="64"/>
  <c r="K44" i="64"/>
  <c r="M43" i="64"/>
  <c r="L43" i="64"/>
  <c r="K43" i="64"/>
  <c r="M42" i="64"/>
  <c r="L42" i="64"/>
  <c r="K42" i="64"/>
  <c r="M41" i="64"/>
  <c r="L41" i="64"/>
  <c r="K41" i="64"/>
  <c r="M40" i="64"/>
  <c r="L40" i="64"/>
  <c r="K40" i="64"/>
  <c r="M39" i="64"/>
  <c r="L39" i="64"/>
  <c r="K39" i="64"/>
  <c r="M38" i="64"/>
  <c r="L38" i="64"/>
  <c r="K38" i="64"/>
  <c r="M37" i="64"/>
  <c r="L37" i="64"/>
  <c r="K37" i="64"/>
  <c r="M36" i="64"/>
  <c r="L36" i="64"/>
  <c r="K36" i="64"/>
  <c r="M35" i="64"/>
  <c r="L35" i="64"/>
  <c r="K35" i="64"/>
  <c r="M34" i="64"/>
  <c r="L34" i="64"/>
  <c r="K34" i="64"/>
  <c r="M33" i="64"/>
  <c r="L33" i="64"/>
  <c r="K33" i="64"/>
  <c r="M32" i="64"/>
  <c r="L32" i="64"/>
  <c r="K32" i="64"/>
  <c r="M31" i="64"/>
  <c r="L31" i="64"/>
  <c r="K31" i="64"/>
  <c r="M30" i="64"/>
  <c r="L30" i="64"/>
  <c r="K30" i="64"/>
  <c r="M29" i="64"/>
  <c r="L29" i="64"/>
  <c r="K29" i="64"/>
  <c r="M28" i="64"/>
  <c r="L28" i="64"/>
  <c r="K28" i="64"/>
  <c r="M27" i="64"/>
  <c r="L27" i="64"/>
  <c r="K27" i="64"/>
  <c r="M26" i="64"/>
  <c r="L26" i="64"/>
  <c r="K26" i="64"/>
  <c r="M24" i="64"/>
  <c r="L24" i="64"/>
  <c r="K24" i="64"/>
  <c r="M23" i="64"/>
  <c r="L23" i="64"/>
  <c r="K23" i="64"/>
  <c r="M22" i="64"/>
  <c r="L22" i="64"/>
  <c r="K22" i="64"/>
  <c r="M21" i="64"/>
  <c r="L21" i="64"/>
  <c r="K21" i="64"/>
  <c r="M20" i="64"/>
  <c r="L20" i="64"/>
  <c r="K20" i="64"/>
  <c r="M19" i="64"/>
  <c r="L19" i="64"/>
  <c r="K19" i="64"/>
  <c r="M18" i="64"/>
  <c r="L18" i="64"/>
  <c r="K18" i="64"/>
  <c r="M17" i="64"/>
  <c r="L17" i="64"/>
  <c r="K17" i="64"/>
  <c r="M16" i="64"/>
  <c r="L16" i="64"/>
  <c r="K16" i="64"/>
  <c r="M15" i="64"/>
  <c r="L15" i="64"/>
  <c r="K15" i="64"/>
  <c r="M14" i="64"/>
  <c r="L14" i="64"/>
  <c r="K14" i="64"/>
  <c r="M13" i="64"/>
  <c r="L13" i="64"/>
  <c r="K13" i="64"/>
  <c r="M12" i="64"/>
  <c r="L12" i="64"/>
  <c r="K12" i="64"/>
  <c r="M11" i="64"/>
  <c r="L11" i="64"/>
  <c r="K11" i="64"/>
  <c r="M10" i="64"/>
  <c r="L10" i="64"/>
  <c r="K10" i="64"/>
  <c r="M9" i="64"/>
  <c r="L9" i="64"/>
  <c r="K9" i="64"/>
  <c r="M8" i="64"/>
  <c r="L8" i="64"/>
  <c r="E4" i="64"/>
  <c r="C4" i="64"/>
  <c r="E3" i="64"/>
  <c r="C3" i="64"/>
  <c r="BI134" i="56" l="1"/>
  <c r="BI133" i="56"/>
  <c r="BI132" i="56"/>
  <c r="BI131" i="56"/>
  <c r="BI130" i="56"/>
  <c r="BI129" i="56"/>
  <c r="BI128" i="56"/>
  <c r="BI127" i="56"/>
  <c r="BI126" i="56"/>
  <c r="BI125" i="56"/>
  <c r="BI124" i="56"/>
  <c r="BI123" i="56"/>
  <c r="A4" i="43" l="1"/>
  <c r="CX3" i="43"/>
  <c r="BI122" i="56" l="1"/>
  <c r="BI121" i="56"/>
  <c r="BI120" i="56"/>
  <c r="BI119" i="56"/>
  <c r="BI118" i="56"/>
  <c r="BI117" i="56"/>
  <c r="BI116" i="56"/>
  <c r="BI115" i="56"/>
  <c r="BI114" i="56"/>
  <c r="BI113" i="56"/>
  <c r="BI112" i="56"/>
  <c r="BI111" i="56"/>
  <c r="BI110" i="56"/>
  <c r="BI109" i="56"/>
  <c r="C40" i="60" l="1"/>
  <c r="C14" i="61"/>
  <c r="C1" i="60" l="1"/>
  <c r="B2" i="61" l="1"/>
  <c r="D31" i="60" l="1"/>
  <c r="E2" i="60"/>
  <c r="E31" i="60" s="1"/>
  <c r="F2" i="60" l="1"/>
  <c r="F31" i="60" s="1"/>
  <c r="G2" i="60"/>
  <c r="D4" i="60"/>
  <c r="E4" i="60" s="1"/>
  <c r="F4" i="60" s="1"/>
  <c r="G4" i="60" s="1"/>
  <c r="H4" i="60" s="1"/>
  <c r="I4" i="60" s="1"/>
  <c r="J4" i="60" s="1"/>
  <c r="K4" i="60" s="1"/>
  <c r="L4" i="60" s="1"/>
  <c r="M4" i="60" s="1"/>
  <c r="N4" i="60" s="1"/>
  <c r="O4" i="60" s="1"/>
  <c r="P4" i="60" s="1"/>
  <c r="Q4" i="60" s="1"/>
  <c r="H2" i="60" l="1"/>
  <c r="G31" i="60"/>
  <c r="A11" i="48"/>
  <c r="M11" i="48" s="1"/>
  <c r="A7" i="43"/>
  <c r="A9" i="43"/>
  <c r="O9" i="43" s="1"/>
  <c r="I2" i="60" l="1"/>
  <c r="H31" i="60"/>
  <c r="D11" i="48"/>
  <c r="B8" i="65" s="1"/>
  <c r="A7" i="48"/>
  <c r="L7" i="48" s="1"/>
  <c r="O7" i="43" l="1"/>
  <c r="E11" i="48" s="1"/>
  <c r="N11" i="48" s="1"/>
  <c r="AB11" i="48" s="1"/>
  <c r="AI11" i="48" s="1"/>
  <c r="I31" i="60"/>
  <c r="J2" i="60"/>
  <c r="M7" i="48"/>
  <c r="T11" i="48" l="1"/>
  <c r="C8" i="65"/>
  <c r="J31" i="60"/>
  <c r="K2" i="60"/>
  <c r="B4" i="43"/>
  <c r="K7" i="43"/>
  <c r="B7" i="43"/>
  <c r="DX7" i="43"/>
  <c r="K6" i="43"/>
  <c r="B6" i="43"/>
  <c r="DA6" i="43"/>
  <c r="EC7" i="43" l="1"/>
  <c r="EG7" i="43"/>
  <c r="EK7" i="43"/>
  <c r="EO7" i="43"/>
  <c r="ES7" i="43"/>
  <c r="EW7" i="43"/>
  <c r="DZ7" i="43"/>
  <c r="ED7" i="43"/>
  <c r="EH7" i="43"/>
  <c r="EL7" i="43"/>
  <c r="EP7" i="43"/>
  <c r="ET7" i="43"/>
  <c r="EX7" i="43"/>
  <c r="EA7" i="43"/>
  <c r="EE7" i="43"/>
  <c r="EI7" i="43"/>
  <c r="EM7" i="43"/>
  <c r="EQ7" i="43"/>
  <c r="EU7" i="43"/>
  <c r="EY7" i="43"/>
  <c r="EB7" i="43"/>
  <c r="EF7" i="43"/>
  <c r="EJ7" i="43"/>
  <c r="EN7" i="43"/>
  <c r="ER7" i="43"/>
  <c r="EV7" i="43"/>
  <c r="EZ7" i="43"/>
  <c r="EB6" i="43"/>
  <c r="EF6" i="43"/>
  <c r="EJ6" i="43"/>
  <c r="EN6" i="43"/>
  <c r="ER6" i="43"/>
  <c r="EV6" i="43"/>
  <c r="EZ6" i="43"/>
  <c r="EC6" i="43"/>
  <c r="EG6" i="43"/>
  <c r="EK6" i="43"/>
  <c r="EO6" i="43"/>
  <c r="ES6" i="43"/>
  <c r="EW6" i="43"/>
  <c r="DZ6" i="43"/>
  <c r="ED6" i="43"/>
  <c r="EH6" i="43"/>
  <c r="EL6" i="43"/>
  <c r="EP6" i="43"/>
  <c r="ET6" i="43"/>
  <c r="EX6" i="43"/>
  <c r="EA6" i="43"/>
  <c r="EE6" i="43"/>
  <c r="EI6" i="43"/>
  <c r="EM6" i="43"/>
  <c r="EQ6" i="43"/>
  <c r="EU6" i="43"/>
  <c r="EY6" i="43"/>
  <c r="DZ4" i="43"/>
  <c r="ED4" i="43"/>
  <c r="EH4" i="43"/>
  <c r="EL4" i="43"/>
  <c r="EP4" i="43"/>
  <c r="ET4" i="43"/>
  <c r="EX4" i="43"/>
  <c r="EA4" i="43"/>
  <c r="EE4" i="43"/>
  <c r="EI4" i="43"/>
  <c r="EM4" i="43"/>
  <c r="EQ4" i="43"/>
  <c r="EU4" i="43"/>
  <c r="EY4" i="43"/>
  <c r="EB4" i="43"/>
  <c r="EF4" i="43"/>
  <c r="EJ4" i="43"/>
  <c r="EN4" i="43"/>
  <c r="ER4" i="43"/>
  <c r="EV4" i="43"/>
  <c r="EZ4" i="43"/>
  <c r="EC4" i="43"/>
  <c r="EG4" i="43"/>
  <c r="EK4" i="43"/>
  <c r="EO4" i="43"/>
  <c r="ES4" i="43"/>
  <c r="EW4" i="43"/>
  <c r="CK6" i="43"/>
  <c r="CT7" i="43"/>
  <c r="CH4" i="43"/>
  <c r="DX4" i="43"/>
  <c r="O4" i="43"/>
  <c r="L2" i="60"/>
  <c r="K31" i="60"/>
  <c r="BZ4" i="43"/>
  <c r="CD4" i="43"/>
  <c r="CL4" i="43"/>
  <c r="CP4" i="43"/>
  <c r="CT4" i="43"/>
  <c r="DD4" i="43"/>
  <c r="DH4" i="43"/>
  <c r="DL4" i="43"/>
  <c r="DP4" i="43"/>
  <c r="DT4" i="43"/>
  <c r="G4" i="43"/>
  <c r="BW4" i="43"/>
  <c r="CA4" i="43"/>
  <c r="CE4" i="43"/>
  <c r="CI4" i="43"/>
  <c r="CM4" i="43"/>
  <c r="CQ4" i="43"/>
  <c r="CU4" i="43"/>
  <c r="DA4" i="43"/>
  <c r="DE4" i="43"/>
  <c r="DI4" i="43"/>
  <c r="DM4" i="43"/>
  <c r="DQ4" i="43"/>
  <c r="DU4" i="43"/>
  <c r="BX4" i="43"/>
  <c r="CB4" i="43"/>
  <c r="CF4" i="43"/>
  <c r="CJ4" i="43"/>
  <c r="CN4" i="43"/>
  <c r="CR4" i="43"/>
  <c r="CX4" i="43"/>
  <c r="DB4" i="43"/>
  <c r="DF4" i="43"/>
  <c r="DJ4" i="43"/>
  <c r="DN4" i="43"/>
  <c r="DR4" i="43"/>
  <c r="DV4" i="43"/>
  <c r="BU4" i="43"/>
  <c r="CC4" i="43"/>
  <c r="CO4" i="43"/>
  <c r="DS4" i="43"/>
  <c r="BY4" i="43"/>
  <c r="CG4" i="43"/>
  <c r="CK4" i="43"/>
  <c r="CS4" i="43"/>
  <c r="CY4" i="43"/>
  <c r="DC4" i="43"/>
  <c r="DG4" i="43"/>
  <c r="DK4" i="43"/>
  <c r="DO4" i="43"/>
  <c r="DW4" i="43"/>
  <c r="BV4" i="43"/>
  <c r="CZ4" i="43"/>
  <c r="CI6" i="43"/>
  <c r="CE6" i="43"/>
  <c r="CU6" i="43"/>
  <c r="BW6" i="43"/>
  <c r="CM6" i="43"/>
  <c r="CA6" i="43"/>
  <c r="CQ6" i="43"/>
  <c r="DS6" i="43"/>
  <c r="DG6" i="43"/>
  <c r="CY6" i="43"/>
  <c r="DU6" i="43"/>
  <c r="DQ6" i="43"/>
  <c r="DM6" i="43"/>
  <c r="DI6" i="43"/>
  <c r="DE6" i="43"/>
  <c r="DX6" i="43"/>
  <c r="DT6" i="43"/>
  <c r="DP6" i="43"/>
  <c r="DL6" i="43"/>
  <c r="DH6" i="43"/>
  <c r="DD6" i="43"/>
  <c r="CZ6" i="43"/>
  <c r="DW6" i="43"/>
  <c r="DO6" i="43"/>
  <c r="DK6" i="43"/>
  <c r="DC6" i="43"/>
  <c r="DV6" i="43"/>
  <c r="DR6" i="43"/>
  <c r="DN6" i="43"/>
  <c r="DJ6" i="43"/>
  <c r="DF6" i="43"/>
  <c r="DB6" i="43"/>
  <c r="CX6" i="43"/>
  <c r="BX6" i="43"/>
  <c r="CB6" i="43"/>
  <c r="CF6" i="43"/>
  <c r="CJ6" i="43"/>
  <c r="CN6" i="43"/>
  <c r="CR6" i="43"/>
  <c r="BU7" i="43"/>
  <c r="BU6" i="43"/>
  <c r="BY6" i="43"/>
  <c r="CG6" i="43"/>
  <c r="CO6" i="43"/>
  <c r="CS6" i="43"/>
  <c r="BV6" i="43"/>
  <c r="BZ6" i="43"/>
  <c r="CD6" i="43"/>
  <c r="CH6" i="43"/>
  <c r="CL6" i="43"/>
  <c r="CP6" i="43"/>
  <c r="CT6" i="43"/>
  <c r="BW7" i="43"/>
  <c r="CA7" i="43"/>
  <c r="CE7" i="43"/>
  <c r="CI7" i="43"/>
  <c r="CM7" i="43"/>
  <c r="CQ7" i="43"/>
  <c r="CU7" i="43"/>
  <c r="DA7" i="43"/>
  <c r="DE7" i="43"/>
  <c r="DI7" i="43"/>
  <c r="DM7" i="43"/>
  <c r="DQ7" i="43"/>
  <c r="DU7" i="43"/>
  <c r="BX7" i="43"/>
  <c r="CB7" i="43"/>
  <c r="CF7" i="43"/>
  <c r="CJ7" i="43"/>
  <c r="CN7" i="43"/>
  <c r="CR7" i="43"/>
  <c r="CX7" i="43"/>
  <c r="DB7" i="43"/>
  <c r="DF7" i="43"/>
  <c r="DJ7" i="43"/>
  <c r="DN7" i="43"/>
  <c r="DR7" i="43"/>
  <c r="DV7" i="43"/>
  <c r="BY7" i="43"/>
  <c r="CC7" i="43"/>
  <c r="CG7" i="43"/>
  <c r="CK7" i="43"/>
  <c r="CO7" i="43"/>
  <c r="CS7" i="43"/>
  <c r="CY7" i="43"/>
  <c r="DC7" i="43"/>
  <c r="DG7" i="43"/>
  <c r="DK7" i="43"/>
  <c r="DO7" i="43"/>
  <c r="DS7" i="43"/>
  <c r="DW7" i="43"/>
  <c r="CC6" i="43"/>
  <c r="BV7" i="43"/>
  <c r="BZ7" i="43"/>
  <c r="CD7" i="43"/>
  <c r="CH7" i="43"/>
  <c r="CL7" i="43"/>
  <c r="CP7" i="43"/>
  <c r="CZ7" i="43"/>
  <c r="DD7" i="43"/>
  <c r="DH7" i="43"/>
  <c r="DL7" i="43"/>
  <c r="DP7" i="43"/>
  <c r="DT7" i="43"/>
  <c r="J20" i="43"/>
  <c r="J22" i="43"/>
  <c r="J68" i="43"/>
  <c r="J69" i="43"/>
  <c r="J71" i="43"/>
  <c r="J72" i="43"/>
  <c r="I20" i="43"/>
  <c r="I22" i="43"/>
  <c r="I68" i="43"/>
  <c r="I69" i="43"/>
  <c r="I71" i="43"/>
  <c r="I72" i="43"/>
  <c r="J11" i="48" l="1"/>
  <c r="M2" i="60"/>
  <c r="L31" i="60"/>
  <c r="K11" i="48"/>
  <c r="X4" i="43"/>
  <c r="T4" i="43"/>
  <c r="AB4" i="43"/>
  <c r="P4" i="43"/>
  <c r="AA4" i="43"/>
  <c r="W4" i="43"/>
  <c r="S4" i="43"/>
  <c r="Z4" i="43"/>
  <c r="V4" i="43"/>
  <c r="R4" i="43"/>
  <c r="AC4" i="43"/>
  <c r="Y4" i="43"/>
  <c r="U4" i="43"/>
  <c r="Q4" i="43"/>
  <c r="J6" i="43"/>
  <c r="I6" i="43"/>
  <c r="P6" i="43"/>
  <c r="J7" i="43"/>
  <c r="I7" i="43"/>
  <c r="P7" i="43"/>
  <c r="R6" i="43" l="1"/>
  <c r="Q7" i="43"/>
  <c r="Q6" i="43"/>
  <c r="M31" i="60"/>
  <c r="N2" i="60"/>
  <c r="BU1" i="43"/>
  <c r="U3" i="24"/>
  <c r="V3" i="24"/>
  <c r="W3" i="24"/>
  <c r="X3" i="24"/>
  <c r="Y3" i="24"/>
  <c r="Z3" i="24"/>
  <c r="AA3" i="24"/>
  <c r="AB3" i="24"/>
  <c r="AC3" i="24"/>
  <c r="AD3" i="24"/>
  <c r="AE3" i="24"/>
  <c r="AF3" i="24"/>
  <c r="AG3" i="24"/>
  <c r="U4" i="24"/>
  <c r="V4" i="24"/>
  <c r="W4" i="24"/>
  <c r="X4" i="24"/>
  <c r="Y4" i="24"/>
  <c r="Z4" i="24"/>
  <c r="AA4" i="24"/>
  <c r="AB4" i="24"/>
  <c r="AC4" i="24"/>
  <c r="AD4" i="24"/>
  <c r="AE4" i="24"/>
  <c r="AF4" i="24"/>
  <c r="AG4" i="24"/>
  <c r="U5" i="24"/>
  <c r="V5" i="24"/>
  <c r="W5" i="24"/>
  <c r="X5" i="24"/>
  <c r="Y5" i="24"/>
  <c r="Z5" i="24"/>
  <c r="AA5" i="24"/>
  <c r="AB5" i="24"/>
  <c r="AC5" i="24"/>
  <c r="AD5" i="24"/>
  <c r="AE5" i="24"/>
  <c r="AF5" i="24"/>
  <c r="AG5" i="24"/>
  <c r="U6" i="24"/>
  <c r="V6" i="24"/>
  <c r="W6" i="24"/>
  <c r="X6" i="24"/>
  <c r="Y6" i="24"/>
  <c r="Z6" i="24"/>
  <c r="AA6" i="24"/>
  <c r="AB6" i="24"/>
  <c r="AC6" i="24"/>
  <c r="AD6" i="24"/>
  <c r="AE6" i="24"/>
  <c r="AF6" i="24"/>
  <c r="AG6" i="24"/>
  <c r="U7" i="24"/>
  <c r="V7" i="24"/>
  <c r="W7" i="24"/>
  <c r="X7" i="24"/>
  <c r="Y7" i="24"/>
  <c r="Z7" i="24"/>
  <c r="AA7" i="24"/>
  <c r="AB7" i="24"/>
  <c r="AC7" i="24"/>
  <c r="AD7" i="24"/>
  <c r="AE7" i="24"/>
  <c r="AF7" i="24"/>
  <c r="AG7" i="24"/>
  <c r="U8" i="24"/>
  <c r="V8" i="24"/>
  <c r="W8" i="24"/>
  <c r="X8" i="24"/>
  <c r="Y8" i="24"/>
  <c r="Z8" i="24"/>
  <c r="AA8" i="24"/>
  <c r="AB8" i="24"/>
  <c r="AC8" i="24"/>
  <c r="AD8" i="24"/>
  <c r="AE8" i="24"/>
  <c r="AF8" i="24"/>
  <c r="AG8" i="24"/>
  <c r="U9" i="24"/>
  <c r="V9" i="24"/>
  <c r="W9" i="24"/>
  <c r="X9" i="24"/>
  <c r="Y9" i="24"/>
  <c r="Z9" i="24"/>
  <c r="AA9" i="24"/>
  <c r="AB9" i="24"/>
  <c r="AC9" i="24"/>
  <c r="AD9" i="24"/>
  <c r="AE9" i="24"/>
  <c r="AF9" i="24"/>
  <c r="AG9" i="24"/>
  <c r="U10" i="24"/>
  <c r="V10" i="24"/>
  <c r="W10" i="24"/>
  <c r="X10" i="24"/>
  <c r="Y10" i="24"/>
  <c r="Z10" i="24"/>
  <c r="AA10" i="24"/>
  <c r="AB10" i="24"/>
  <c r="AC10" i="24"/>
  <c r="AD10" i="24"/>
  <c r="AE10" i="24"/>
  <c r="AF10" i="24"/>
  <c r="AG10" i="24"/>
  <c r="U11" i="24"/>
  <c r="V11" i="24"/>
  <c r="W11" i="24"/>
  <c r="X11" i="24"/>
  <c r="Y11" i="24"/>
  <c r="Z11" i="24"/>
  <c r="AA11" i="24"/>
  <c r="AB11" i="24"/>
  <c r="AC11" i="24"/>
  <c r="AD11" i="24"/>
  <c r="AE11" i="24"/>
  <c r="AF11" i="24"/>
  <c r="AG11" i="24"/>
  <c r="U12" i="24"/>
  <c r="V12" i="24"/>
  <c r="W12" i="24"/>
  <c r="X12" i="24"/>
  <c r="Y12" i="24"/>
  <c r="Z12" i="24"/>
  <c r="AA12" i="24"/>
  <c r="AB12" i="24"/>
  <c r="AC12" i="24"/>
  <c r="AD12" i="24"/>
  <c r="AE12" i="24"/>
  <c r="AF12" i="24"/>
  <c r="AG12" i="24"/>
  <c r="U13" i="24"/>
  <c r="V13" i="24"/>
  <c r="W13" i="24"/>
  <c r="X13" i="24"/>
  <c r="Y13" i="24"/>
  <c r="Z13" i="24"/>
  <c r="AA13" i="24"/>
  <c r="AB13" i="24"/>
  <c r="AC13" i="24"/>
  <c r="AD13" i="24"/>
  <c r="AE13" i="24"/>
  <c r="AF13" i="24"/>
  <c r="AG13" i="24"/>
  <c r="U14" i="24"/>
  <c r="V14" i="24"/>
  <c r="W14" i="24"/>
  <c r="X14" i="24"/>
  <c r="Y14" i="24"/>
  <c r="Z14" i="24"/>
  <c r="AA14" i="24"/>
  <c r="AB14" i="24"/>
  <c r="AC14" i="24"/>
  <c r="AD14" i="24"/>
  <c r="AE14" i="24"/>
  <c r="AF14" i="24"/>
  <c r="AG14" i="24"/>
  <c r="U15" i="24"/>
  <c r="V15" i="24"/>
  <c r="W15" i="24"/>
  <c r="X15" i="24"/>
  <c r="Y15" i="24"/>
  <c r="Z15" i="24"/>
  <c r="AA15" i="24"/>
  <c r="AB15" i="24"/>
  <c r="AC15" i="24"/>
  <c r="AD15" i="24"/>
  <c r="AE15" i="24"/>
  <c r="AF15" i="24"/>
  <c r="AG15" i="24"/>
  <c r="U16" i="24"/>
  <c r="V16" i="24"/>
  <c r="W16" i="24"/>
  <c r="X16" i="24"/>
  <c r="Y16" i="24"/>
  <c r="Z16" i="24"/>
  <c r="AA16" i="24"/>
  <c r="AB16" i="24"/>
  <c r="AC16" i="24"/>
  <c r="AD16" i="24"/>
  <c r="AE16" i="24"/>
  <c r="AF16" i="24"/>
  <c r="AG16" i="24"/>
  <c r="U17" i="24"/>
  <c r="V17" i="24"/>
  <c r="W17" i="24"/>
  <c r="X17" i="24"/>
  <c r="Y17" i="24"/>
  <c r="Z17" i="24"/>
  <c r="AA17" i="24"/>
  <c r="AB17" i="24"/>
  <c r="AC17" i="24"/>
  <c r="AD17" i="24"/>
  <c r="AE17" i="24"/>
  <c r="AF17" i="24"/>
  <c r="AG17" i="24"/>
  <c r="U18" i="24"/>
  <c r="V18" i="24"/>
  <c r="W18" i="24"/>
  <c r="X18" i="24"/>
  <c r="Y18" i="24"/>
  <c r="Z18" i="24"/>
  <c r="AA18" i="24"/>
  <c r="AB18" i="24"/>
  <c r="AC18" i="24"/>
  <c r="AD18" i="24"/>
  <c r="AE18" i="24"/>
  <c r="AF18" i="24"/>
  <c r="AG18" i="24"/>
  <c r="U19" i="24"/>
  <c r="V19" i="24"/>
  <c r="W19" i="24"/>
  <c r="X19" i="24"/>
  <c r="Y19" i="24"/>
  <c r="Z19" i="24"/>
  <c r="AA19" i="24"/>
  <c r="AB19" i="24"/>
  <c r="AC19" i="24"/>
  <c r="AD19" i="24"/>
  <c r="AE19" i="24"/>
  <c r="AF19" i="24"/>
  <c r="AG19" i="24"/>
  <c r="U20" i="24"/>
  <c r="V20" i="24"/>
  <c r="W20" i="24"/>
  <c r="X20" i="24"/>
  <c r="Y20" i="24"/>
  <c r="Z20" i="24"/>
  <c r="AA20" i="24"/>
  <c r="AB20" i="24"/>
  <c r="AC20" i="24"/>
  <c r="AD20" i="24"/>
  <c r="AE20" i="24"/>
  <c r="AF20" i="24"/>
  <c r="AG20" i="24"/>
  <c r="U21" i="24"/>
  <c r="V21" i="24"/>
  <c r="W21" i="24"/>
  <c r="X21" i="24"/>
  <c r="Y21" i="24"/>
  <c r="Z21" i="24"/>
  <c r="AA21" i="24"/>
  <c r="AB21" i="24"/>
  <c r="AC21" i="24"/>
  <c r="AD21" i="24"/>
  <c r="AE21" i="24"/>
  <c r="AF21" i="24"/>
  <c r="AG21" i="24"/>
  <c r="U22" i="24"/>
  <c r="V22" i="24"/>
  <c r="W22" i="24"/>
  <c r="X22" i="24"/>
  <c r="Y22" i="24"/>
  <c r="Z22" i="24"/>
  <c r="AA22" i="24"/>
  <c r="AB22" i="24"/>
  <c r="AC22" i="24"/>
  <c r="AD22" i="24"/>
  <c r="AE22" i="24"/>
  <c r="AF22" i="24"/>
  <c r="AG22" i="24"/>
  <c r="U23" i="24"/>
  <c r="V23" i="24"/>
  <c r="W23" i="24"/>
  <c r="X23" i="24"/>
  <c r="Y23" i="24"/>
  <c r="Z23" i="24"/>
  <c r="AA23" i="24"/>
  <c r="AB23" i="24"/>
  <c r="AC23" i="24"/>
  <c r="AD23" i="24"/>
  <c r="AE23" i="24"/>
  <c r="AF23" i="24"/>
  <c r="AG23" i="24"/>
  <c r="U24" i="24"/>
  <c r="V24" i="24"/>
  <c r="W24" i="24"/>
  <c r="X24" i="24"/>
  <c r="Y24" i="24"/>
  <c r="Z24" i="24"/>
  <c r="AA24" i="24"/>
  <c r="AB24" i="24"/>
  <c r="AC24" i="24"/>
  <c r="AD24" i="24"/>
  <c r="AE24" i="24"/>
  <c r="AF24" i="24"/>
  <c r="AG24" i="24"/>
  <c r="U25" i="24"/>
  <c r="V25" i="24"/>
  <c r="W25" i="24"/>
  <c r="X25" i="24"/>
  <c r="Y25" i="24"/>
  <c r="Z25" i="24"/>
  <c r="AA25" i="24"/>
  <c r="AB25" i="24"/>
  <c r="AC25" i="24"/>
  <c r="AD25" i="24"/>
  <c r="AE25" i="24"/>
  <c r="AF25" i="24"/>
  <c r="AG25" i="24"/>
  <c r="U26" i="24"/>
  <c r="V26" i="24"/>
  <c r="W26" i="24"/>
  <c r="X26" i="24"/>
  <c r="Y26" i="24"/>
  <c r="Z26" i="24"/>
  <c r="AA26" i="24"/>
  <c r="AB26" i="24"/>
  <c r="AC26" i="24"/>
  <c r="AD26" i="24"/>
  <c r="AE26" i="24"/>
  <c r="AF26" i="24"/>
  <c r="AG26" i="24"/>
  <c r="U27" i="24"/>
  <c r="V27" i="24"/>
  <c r="W27" i="24"/>
  <c r="X27" i="24"/>
  <c r="Y27" i="24"/>
  <c r="Z27" i="24"/>
  <c r="AA27" i="24"/>
  <c r="AB27" i="24"/>
  <c r="AC27" i="24"/>
  <c r="AD27" i="24"/>
  <c r="AE27" i="24"/>
  <c r="AF27" i="24"/>
  <c r="AG27" i="24"/>
  <c r="U28" i="24"/>
  <c r="V28" i="24"/>
  <c r="W28" i="24"/>
  <c r="X28" i="24"/>
  <c r="Y28" i="24"/>
  <c r="Z28" i="24"/>
  <c r="AA28" i="24"/>
  <c r="AB28" i="24"/>
  <c r="AC28" i="24"/>
  <c r="AD28" i="24"/>
  <c r="AE28" i="24"/>
  <c r="AF28" i="24"/>
  <c r="AG28" i="24"/>
  <c r="U29" i="24"/>
  <c r="V29" i="24"/>
  <c r="W29" i="24"/>
  <c r="X29" i="24"/>
  <c r="Y29" i="24"/>
  <c r="Z29" i="24"/>
  <c r="AA29" i="24"/>
  <c r="AB29" i="24"/>
  <c r="AC29" i="24"/>
  <c r="AD29" i="24"/>
  <c r="AE29" i="24"/>
  <c r="AF29" i="24"/>
  <c r="AG29" i="24"/>
  <c r="AH29" i="24" s="1"/>
  <c r="U30" i="24"/>
  <c r="V30" i="24"/>
  <c r="W30" i="24"/>
  <c r="X30" i="24"/>
  <c r="Y30" i="24"/>
  <c r="Z30" i="24"/>
  <c r="AA30" i="24"/>
  <c r="AB30" i="24"/>
  <c r="AC30" i="24"/>
  <c r="AD30" i="24"/>
  <c r="AE30" i="24"/>
  <c r="AF30" i="24"/>
  <c r="AG30" i="24"/>
  <c r="AH30" i="24" s="1"/>
  <c r="U31" i="24"/>
  <c r="V31" i="24"/>
  <c r="W31" i="24"/>
  <c r="X31" i="24"/>
  <c r="Y31" i="24"/>
  <c r="Z31" i="24"/>
  <c r="AA31" i="24"/>
  <c r="AB31" i="24"/>
  <c r="AC31" i="24"/>
  <c r="AD31" i="24"/>
  <c r="AE31" i="24"/>
  <c r="AF31" i="24"/>
  <c r="AG31" i="24"/>
  <c r="Y32" i="24"/>
  <c r="CM75" i="43" s="1"/>
  <c r="BK75" i="43" s="1"/>
  <c r="Z32" i="24"/>
  <c r="CN75" i="43" s="1"/>
  <c r="BL75" i="43" s="1"/>
  <c r="AA32" i="24"/>
  <c r="CO75" i="43" s="1"/>
  <c r="BM75" i="43" s="1"/>
  <c r="AB32" i="24"/>
  <c r="CP75" i="43" s="1"/>
  <c r="BN75" i="43" s="1"/>
  <c r="AC32" i="24"/>
  <c r="CQ75" i="43" s="1"/>
  <c r="BO75" i="43" s="1"/>
  <c r="AD32" i="24"/>
  <c r="CR75" i="43" s="1"/>
  <c r="BP75" i="43" s="1"/>
  <c r="AE32" i="24"/>
  <c r="CS75" i="43" s="1"/>
  <c r="BQ75" i="43" s="1"/>
  <c r="AF32" i="24"/>
  <c r="CT75" i="43" s="1"/>
  <c r="BR75" i="43" s="1"/>
  <c r="AG32" i="24"/>
  <c r="CU75" i="43" s="1"/>
  <c r="BS75" i="43" s="1"/>
  <c r="U35" i="24"/>
  <c r="V35" i="24"/>
  <c r="W35" i="24"/>
  <c r="X35" i="24"/>
  <c r="Y35" i="24"/>
  <c r="Z35" i="24"/>
  <c r="AA35" i="24"/>
  <c r="AB35" i="24"/>
  <c r="AC35" i="24"/>
  <c r="AD35" i="24"/>
  <c r="AE35" i="24"/>
  <c r="AF35" i="24"/>
  <c r="AG35" i="24"/>
  <c r="U36" i="24"/>
  <c r="V36" i="24"/>
  <c r="W36" i="24"/>
  <c r="X36" i="24"/>
  <c r="Y36" i="24"/>
  <c r="Z36" i="24"/>
  <c r="AA36" i="24"/>
  <c r="AB36" i="24"/>
  <c r="AC36" i="24"/>
  <c r="AD36" i="24"/>
  <c r="AE36" i="24"/>
  <c r="AF36" i="24"/>
  <c r="AG36" i="24"/>
  <c r="AH36" i="24" s="1"/>
  <c r="V2" i="24"/>
  <c r="W2" i="24"/>
  <c r="X2" i="24"/>
  <c r="Y2" i="24"/>
  <c r="Z2" i="24"/>
  <c r="AA2" i="24"/>
  <c r="AB2" i="24"/>
  <c r="AC2" i="24"/>
  <c r="AD2" i="24"/>
  <c r="AE2" i="24"/>
  <c r="AF2" i="24"/>
  <c r="AG2" i="24"/>
  <c r="U2" i="24"/>
  <c r="AS1" i="43"/>
  <c r="P1" i="43"/>
  <c r="DX1" i="43"/>
  <c r="CY1" i="43"/>
  <c r="CZ1" i="43"/>
  <c r="DA1" i="43"/>
  <c r="DB1" i="43"/>
  <c r="DC1" i="43"/>
  <c r="DD1" i="43"/>
  <c r="DE1" i="43"/>
  <c r="DF1" i="43"/>
  <c r="DG1" i="43"/>
  <c r="DH1" i="43"/>
  <c r="DI1" i="43"/>
  <c r="DJ1" i="43"/>
  <c r="DK1" i="43"/>
  <c r="DL1" i="43"/>
  <c r="DM1" i="43"/>
  <c r="DN1" i="43"/>
  <c r="DO1" i="43"/>
  <c r="DP1" i="43"/>
  <c r="DQ1" i="43"/>
  <c r="DR1" i="43"/>
  <c r="DS1" i="43"/>
  <c r="DT1" i="43"/>
  <c r="DU1" i="43"/>
  <c r="DV1" i="43"/>
  <c r="DW1" i="43"/>
  <c r="BI1" i="43"/>
  <c r="BJ1" i="43"/>
  <c r="BK1" i="43"/>
  <c r="BL1" i="43"/>
  <c r="BM1" i="43"/>
  <c r="BN1" i="43"/>
  <c r="BO1" i="43"/>
  <c r="BP1" i="43"/>
  <c r="BQ1" i="43"/>
  <c r="BR1" i="43"/>
  <c r="BS1" i="43"/>
  <c r="CU1" i="43"/>
  <c r="CK1" i="43"/>
  <c r="CL1" i="43"/>
  <c r="CM1" i="43"/>
  <c r="CN1" i="43"/>
  <c r="CO1" i="43"/>
  <c r="CP1" i="43"/>
  <c r="CQ1" i="43"/>
  <c r="CR1" i="43"/>
  <c r="CS1" i="43"/>
  <c r="CT1" i="43"/>
  <c r="BV1" i="43"/>
  <c r="BW1" i="43"/>
  <c r="BX1" i="43"/>
  <c r="BY1" i="43"/>
  <c r="BZ1" i="43"/>
  <c r="CA1" i="43"/>
  <c r="CB1" i="43"/>
  <c r="CC1" i="43"/>
  <c r="CD1" i="43"/>
  <c r="CE1" i="43"/>
  <c r="CF1" i="43"/>
  <c r="CG1" i="43"/>
  <c r="CH1" i="43"/>
  <c r="CI1" i="43"/>
  <c r="CJ1" i="43"/>
  <c r="AT1" i="43"/>
  <c r="AU1" i="43"/>
  <c r="AV1" i="43"/>
  <c r="AW1" i="43"/>
  <c r="AX1" i="43"/>
  <c r="AY1" i="43"/>
  <c r="AZ1" i="43"/>
  <c r="BA1" i="43"/>
  <c r="BB1" i="43"/>
  <c r="BC1" i="43"/>
  <c r="BD1" i="43"/>
  <c r="BE1" i="43"/>
  <c r="BF1" i="43"/>
  <c r="BG1" i="43"/>
  <c r="BH1" i="43"/>
  <c r="AP1" i="43"/>
  <c r="AM1" i="43"/>
  <c r="AN1" i="43"/>
  <c r="AO1" i="43"/>
  <c r="Q1" i="43"/>
  <c r="R1" i="43"/>
  <c r="S1" i="43"/>
  <c r="T1" i="43"/>
  <c r="U1" i="43"/>
  <c r="V1" i="43"/>
  <c r="W1" i="43"/>
  <c r="X1" i="43"/>
  <c r="Y1" i="43"/>
  <c r="Z1" i="43"/>
  <c r="AA1" i="43"/>
  <c r="AB1" i="43"/>
  <c r="AC1" i="43"/>
  <c r="AD1" i="43"/>
  <c r="AE1" i="43"/>
  <c r="AF1" i="43"/>
  <c r="AG1" i="43"/>
  <c r="AH1" i="43"/>
  <c r="AI1" i="43"/>
  <c r="AJ1" i="43"/>
  <c r="AK1" i="43"/>
  <c r="AL1" i="43"/>
  <c r="CX1" i="43"/>
  <c r="R7" i="43" l="1"/>
  <c r="S6" i="43"/>
  <c r="U6" i="43" s="1"/>
  <c r="T6" i="43"/>
  <c r="S7" i="43"/>
  <c r="N31" i="60"/>
  <c r="O2" i="60"/>
  <c r="AH28" i="24"/>
  <c r="AH17" i="24"/>
  <c r="AH13" i="24"/>
  <c r="AH9" i="24"/>
  <c r="AH5" i="24"/>
  <c r="AH20" i="24"/>
  <c r="AH16" i="24"/>
  <c r="AH12" i="24"/>
  <c r="AH8" i="24"/>
  <c r="AH4" i="24"/>
  <c r="AH2" i="24"/>
  <c r="AH23" i="24"/>
  <c r="AH19" i="24"/>
  <c r="AH15" i="24"/>
  <c r="AH11" i="24"/>
  <c r="AH7" i="24"/>
  <c r="AH3" i="24"/>
  <c r="AH35" i="24"/>
  <c r="AH22" i="24"/>
  <c r="AH18" i="24"/>
  <c r="AH14" i="24"/>
  <c r="AH10" i="24"/>
  <c r="AH6" i="24"/>
  <c r="V6" i="43" l="1"/>
  <c r="T7" i="43"/>
  <c r="U7" i="43"/>
  <c r="O31" i="60"/>
  <c r="P2" i="60"/>
  <c r="A59" i="48"/>
  <c r="B57" i="43"/>
  <c r="A57" i="43"/>
  <c r="O57" i="43" s="1"/>
  <c r="A59" i="43"/>
  <c r="O59" i="43" s="1"/>
  <c r="B59" i="43"/>
  <c r="F65" i="24"/>
  <c r="D65" i="24" s="1"/>
  <c r="F66" i="24"/>
  <c r="D66" i="24" s="1"/>
  <c r="DZ57" i="43" l="1"/>
  <c r="ED57" i="43"/>
  <c r="EH57" i="43"/>
  <c r="EL57" i="43"/>
  <c r="EP57" i="43"/>
  <c r="ET57" i="43"/>
  <c r="EX57" i="43"/>
  <c r="EC57" i="43"/>
  <c r="EG57" i="43"/>
  <c r="EK57" i="43"/>
  <c r="EO57" i="43"/>
  <c r="ES57" i="43"/>
  <c r="EW57" i="43"/>
  <c r="EB57" i="43"/>
  <c r="EJ57" i="43"/>
  <c r="ER57" i="43"/>
  <c r="EZ57" i="43"/>
  <c r="EE57" i="43"/>
  <c r="EM57" i="43"/>
  <c r="EU57" i="43"/>
  <c r="EF57" i="43"/>
  <c r="EN57" i="43"/>
  <c r="EV57" i="43"/>
  <c r="EA57" i="43"/>
  <c r="EI57" i="43"/>
  <c r="EQ57" i="43"/>
  <c r="EY57" i="43"/>
  <c r="EA59" i="43"/>
  <c r="EE59" i="43"/>
  <c r="EI59" i="43"/>
  <c r="EM59" i="43"/>
  <c r="EQ59" i="43"/>
  <c r="EU59" i="43"/>
  <c r="EY59" i="43"/>
  <c r="DZ59" i="43"/>
  <c r="ED59" i="43"/>
  <c r="EH59" i="43"/>
  <c r="EL59" i="43"/>
  <c r="EP59" i="43"/>
  <c r="ET59" i="43"/>
  <c r="EX59" i="43"/>
  <c r="EG59" i="43"/>
  <c r="EO59" i="43"/>
  <c r="EW59" i="43"/>
  <c r="EB59" i="43"/>
  <c r="EJ59" i="43"/>
  <c r="ER59" i="43"/>
  <c r="EZ59" i="43"/>
  <c r="EC59" i="43"/>
  <c r="EK59" i="43"/>
  <c r="ES59" i="43"/>
  <c r="EF59" i="43"/>
  <c r="EN59" i="43"/>
  <c r="EV59" i="43"/>
  <c r="V7" i="43"/>
  <c r="W6" i="43"/>
  <c r="X6" i="43"/>
  <c r="M59" i="48"/>
  <c r="Q2" i="60"/>
  <c r="P31" i="60"/>
  <c r="DO59" i="43"/>
  <c r="DS59" i="43"/>
  <c r="DW59" i="43"/>
  <c r="DP59" i="43"/>
  <c r="DT59" i="43"/>
  <c r="DX59" i="43"/>
  <c r="DU59" i="43"/>
  <c r="DQ59" i="43"/>
  <c r="DV59" i="43"/>
  <c r="DB59" i="43"/>
  <c r="DF59" i="43"/>
  <c r="DJ59" i="43"/>
  <c r="DN59" i="43"/>
  <c r="CY59" i="43"/>
  <c r="DC59" i="43"/>
  <c r="DG59" i="43"/>
  <c r="DK59" i="43"/>
  <c r="CZ59" i="43"/>
  <c r="DD59" i="43"/>
  <c r="DH59" i="43"/>
  <c r="DL59" i="43"/>
  <c r="DE59" i="43"/>
  <c r="DI59" i="43"/>
  <c r="DR59" i="43"/>
  <c r="DM59" i="43"/>
  <c r="DA59" i="43"/>
  <c r="DO57" i="43"/>
  <c r="DQ57" i="43"/>
  <c r="DU57" i="43"/>
  <c r="DR57" i="43"/>
  <c r="DV57" i="43"/>
  <c r="DW57" i="43"/>
  <c r="DS57" i="43"/>
  <c r="DP57" i="43"/>
  <c r="DT57" i="43"/>
  <c r="DX57" i="43"/>
  <c r="DB57" i="43"/>
  <c r="DF57" i="43"/>
  <c r="DJ57" i="43"/>
  <c r="DN57" i="43"/>
  <c r="CY57" i="43"/>
  <c r="DC57" i="43"/>
  <c r="DG57" i="43"/>
  <c r="DK57" i="43"/>
  <c r="CZ57" i="43"/>
  <c r="DD57" i="43"/>
  <c r="DH57" i="43"/>
  <c r="DL57" i="43"/>
  <c r="DE57" i="43"/>
  <c r="DI57" i="43"/>
  <c r="DM57" i="43"/>
  <c r="DA57" i="43"/>
  <c r="G59" i="43"/>
  <c r="CX57" i="43"/>
  <c r="CX59" i="43"/>
  <c r="G57" i="43"/>
  <c r="D59" i="48" s="1"/>
  <c r="B72" i="65" s="1"/>
  <c r="J59" i="48" l="1"/>
  <c r="FE59" i="43"/>
  <c r="FD59" i="43"/>
  <c r="FC59" i="43"/>
  <c r="FF59" i="43"/>
  <c r="FB59" i="43"/>
  <c r="FF57" i="43"/>
  <c r="FB57" i="43"/>
  <c r="FE57" i="43"/>
  <c r="FD57" i="43"/>
  <c r="FC57" i="43"/>
  <c r="Y6" i="43"/>
  <c r="W7" i="43"/>
  <c r="K59" i="48"/>
  <c r="Q31" i="60"/>
  <c r="R31" i="60" s="1"/>
  <c r="R2" i="60"/>
  <c r="E59" i="48"/>
  <c r="N59" i="48" s="1"/>
  <c r="C25" i="57" l="1"/>
  <c r="C24" i="57"/>
  <c r="C72" i="65"/>
  <c r="AB59" i="48"/>
  <c r="AI59" i="48" s="1"/>
  <c r="Z6" i="43"/>
  <c r="X7" i="43"/>
  <c r="Y7" i="43" s="1"/>
  <c r="Z7" i="43" s="1"/>
  <c r="AA7" i="43" s="1"/>
  <c r="AB7" i="43" s="1"/>
  <c r="AC7" i="43" s="1"/>
  <c r="AD7" i="43" s="1"/>
  <c r="AE7" i="43" s="1"/>
  <c r="AF7" i="43" s="1"/>
  <c r="AG7" i="43" s="1"/>
  <c r="AH7" i="43" s="1"/>
  <c r="AI7" i="43" s="1"/>
  <c r="AJ7" i="43" s="1"/>
  <c r="T59" i="48"/>
  <c r="F17" i="56"/>
  <c r="A46" i="48"/>
  <c r="F54" i="24"/>
  <c r="D54" i="24" s="1"/>
  <c r="B45" i="43"/>
  <c r="A46" i="43"/>
  <c r="O46" i="43" s="1"/>
  <c r="A45" i="43"/>
  <c r="O45" i="43" s="1"/>
  <c r="B46" i="43"/>
  <c r="BI95" i="56"/>
  <c r="BI96" i="56"/>
  <c r="BI97" i="56"/>
  <c r="BI98" i="56"/>
  <c r="BI99" i="56"/>
  <c r="BI100" i="56"/>
  <c r="BI101" i="56"/>
  <c r="BI102" i="56"/>
  <c r="BI103" i="56"/>
  <c r="BI104" i="56"/>
  <c r="BI105" i="56"/>
  <c r="BI106" i="56"/>
  <c r="BI107" i="56"/>
  <c r="BI108" i="56"/>
  <c r="DZ46" i="43" l="1"/>
  <c r="ED46" i="43"/>
  <c r="EH46" i="43"/>
  <c r="EL46" i="43"/>
  <c r="EP46" i="43"/>
  <c r="ET46" i="43"/>
  <c r="EX46" i="43"/>
  <c r="EA46" i="43"/>
  <c r="EF46" i="43"/>
  <c r="EK46" i="43"/>
  <c r="EQ46" i="43"/>
  <c r="EV46" i="43"/>
  <c r="EB46" i="43"/>
  <c r="EG46" i="43"/>
  <c r="EM46" i="43"/>
  <c r="ER46" i="43"/>
  <c r="EW46" i="43"/>
  <c r="EC46" i="43"/>
  <c r="EI46" i="43"/>
  <c r="EN46" i="43"/>
  <c r="ES46" i="43"/>
  <c r="EY46" i="43"/>
  <c r="EE46" i="43"/>
  <c r="EJ46" i="43"/>
  <c r="EO46" i="43"/>
  <c r="EU46" i="43"/>
  <c r="EZ46" i="43"/>
  <c r="EC45" i="43"/>
  <c r="EG45" i="43"/>
  <c r="EK45" i="43"/>
  <c r="EO45" i="43"/>
  <c r="ES45" i="43"/>
  <c r="EW45" i="43"/>
  <c r="EA45" i="43"/>
  <c r="EF45" i="43"/>
  <c r="EL45" i="43"/>
  <c r="EQ45" i="43"/>
  <c r="EV45" i="43"/>
  <c r="EB45" i="43"/>
  <c r="EH45" i="43"/>
  <c r="EM45" i="43"/>
  <c r="ER45" i="43"/>
  <c r="EX45" i="43"/>
  <c r="ED45" i="43"/>
  <c r="EI45" i="43"/>
  <c r="EN45" i="43"/>
  <c r="ET45" i="43"/>
  <c r="EY45" i="43"/>
  <c r="DZ45" i="43"/>
  <c r="EE45" i="43"/>
  <c r="EJ45" i="43"/>
  <c r="EP45" i="43"/>
  <c r="EU45" i="43"/>
  <c r="EZ45" i="43"/>
  <c r="AA6" i="43"/>
  <c r="AB6" i="43" s="1"/>
  <c r="AC6" i="43" s="1"/>
  <c r="AD6" i="43" s="1"/>
  <c r="AE6" i="43" s="1"/>
  <c r="AF6" i="43" s="1"/>
  <c r="AG6" i="43" s="1"/>
  <c r="AH6" i="43" s="1"/>
  <c r="AI6" i="43" s="1"/>
  <c r="AJ6" i="43" s="1"/>
  <c r="AK6" i="43" s="1"/>
  <c r="AL6" i="43" s="1"/>
  <c r="AM6" i="43" s="1"/>
  <c r="AN6" i="43" s="1"/>
  <c r="AO6" i="43" s="1"/>
  <c r="AP6" i="43" s="1"/>
  <c r="AK7" i="43"/>
  <c r="AL7" i="43" s="1"/>
  <c r="AM7" i="43" s="1"/>
  <c r="AN7" i="43" s="1"/>
  <c r="AO7" i="43" s="1"/>
  <c r="AP7" i="43" s="1"/>
  <c r="M46" i="48"/>
  <c r="DO45" i="43"/>
  <c r="DS45" i="43"/>
  <c r="DW45" i="43"/>
  <c r="DQ45" i="43"/>
  <c r="DU45" i="43"/>
  <c r="DR45" i="43"/>
  <c r="DV45" i="43"/>
  <c r="DP45" i="43"/>
  <c r="DX45" i="43"/>
  <c r="DT45" i="43"/>
  <c r="DB45" i="43"/>
  <c r="DF45" i="43"/>
  <c r="DJ45" i="43"/>
  <c r="DN45" i="43"/>
  <c r="DA45" i="43"/>
  <c r="DG45" i="43"/>
  <c r="DL45" i="43"/>
  <c r="DC45" i="43"/>
  <c r="DH45" i="43"/>
  <c r="DM45" i="43"/>
  <c r="CY45" i="43"/>
  <c r="DD45" i="43"/>
  <c r="DI45" i="43"/>
  <c r="CZ45" i="43"/>
  <c r="DE45" i="43"/>
  <c r="DK45" i="43"/>
  <c r="DQ46" i="43"/>
  <c r="DU46" i="43"/>
  <c r="DO46" i="43"/>
  <c r="DS46" i="43"/>
  <c r="DW46" i="43"/>
  <c r="DP46" i="43"/>
  <c r="DT46" i="43"/>
  <c r="DX46" i="43"/>
  <c r="DR46" i="43"/>
  <c r="DV46" i="43"/>
  <c r="DB46" i="43"/>
  <c r="DA46" i="43"/>
  <c r="DF46" i="43"/>
  <c r="DJ46" i="43"/>
  <c r="DN46" i="43"/>
  <c r="DC46" i="43"/>
  <c r="DG46" i="43"/>
  <c r="DK46" i="43"/>
  <c r="CY46" i="43"/>
  <c r="DD46" i="43"/>
  <c r="DH46" i="43"/>
  <c r="DL46" i="43"/>
  <c r="DE46" i="43"/>
  <c r="DI46" i="43"/>
  <c r="DM46" i="43"/>
  <c r="CZ46" i="43"/>
  <c r="CX46" i="43"/>
  <c r="G46" i="43"/>
  <c r="CX45" i="43"/>
  <c r="G45" i="43"/>
  <c r="D46" i="48" s="1"/>
  <c r="B63" i="65" s="1"/>
  <c r="BI93" i="56"/>
  <c r="BI94" i="56"/>
  <c r="BI83" i="56"/>
  <c r="BI84" i="56"/>
  <c r="BI85" i="56"/>
  <c r="BI86" i="56"/>
  <c r="BI87" i="56"/>
  <c r="BI88" i="56"/>
  <c r="BI89" i="56"/>
  <c r="BI90" i="56"/>
  <c r="BI91" i="56"/>
  <c r="BI92" i="56"/>
  <c r="J46" i="48" l="1"/>
  <c r="FD45" i="43"/>
  <c r="FC45" i="43"/>
  <c r="FF45" i="43"/>
  <c r="FB45" i="43"/>
  <c r="FE45" i="43"/>
  <c r="FC46" i="43"/>
  <c r="FF46" i="43"/>
  <c r="FB46" i="43"/>
  <c r="FE46" i="43"/>
  <c r="FD46" i="43"/>
  <c r="K46" i="48"/>
  <c r="E46" i="48"/>
  <c r="N46" i="48" s="1"/>
  <c r="C17" i="57" s="1"/>
  <c r="C63" i="65" l="1"/>
  <c r="AB46" i="48"/>
  <c r="AG46" i="48" s="1"/>
  <c r="T46" i="48"/>
  <c r="BI77" i="56"/>
  <c r="AI46" i="48" l="1"/>
  <c r="BI82" i="56"/>
  <c r="BI81" i="56"/>
  <c r="BI80" i="56"/>
  <c r="BI79" i="56"/>
  <c r="BI78" i="56"/>
  <c r="BI76" i="56"/>
  <c r="BI75" i="56"/>
  <c r="BI74" i="56"/>
  <c r="BI73" i="56"/>
  <c r="BI72" i="56"/>
  <c r="BI71" i="56"/>
  <c r="BI70" i="56"/>
  <c r="BI69" i="56"/>
  <c r="B27" i="43" l="1"/>
  <c r="A27" i="43"/>
  <c r="O27" i="43" s="1"/>
  <c r="A29" i="48"/>
  <c r="F46" i="24"/>
  <c r="D46" i="24" s="1"/>
  <c r="EA27" i="43" l="1"/>
  <c r="EE27" i="43"/>
  <c r="EI27" i="43"/>
  <c r="EM27" i="43"/>
  <c r="EQ27" i="43"/>
  <c r="EU27" i="43"/>
  <c r="EY27" i="43"/>
  <c r="EB27" i="43"/>
  <c r="EG27" i="43"/>
  <c r="EL27" i="43"/>
  <c r="ER27" i="43"/>
  <c r="EW27" i="43"/>
  <c r="EC27" i="43"/>
  <c r="EH27" i="43"/>
  <c r="EN27" i="43"/>
  <c r="ES27" i="43"/>
  <c r="EX27" i="43"/>
  <c r="ED27" i="43"/>
  <c r="EJ27" i="43"/>
  <c r="EO27" i="43"/>
  <c r="ET27" i="43"/>
  <c r="EZ27" i="43"/>
  <c r="DZ27" i="43"/>
  <c r="EF27" i="43"/>
  <c r="EK27" i="43"/>
  <c r="EP27" i="43"/>
  <c r="EV27" i="43"/>
  <c r="M29" i="48"/>
  <c r="DR27" i="43"/>
  <c r="DV27" i="43"/>
  <c r="DP27" i="43"/>
  <c r="DU27" i="43"/>
  <c r="DS27" i="43"/>
  <c r="DX27" i="43"/>
  <c r="DO27" i="43"/>
  <c r="DT27" i="43"/>
  <c r="DW27" i="43"/>
  <c r="CZ27" i="43"/>
  <c r="DD27" i="43"/>
  <c r="DH27" i="43"/>
  <c r="DL27" i="43"/>
  <c r="DA27" i="43"/>
  <c r="DE27" i="43"/>
  <c r="DI27" i="43"/>
  <c r="DM27" i="43"/>
  <c r="DB27" i="43"/>
  <c r="DF27" i="43"/>
  <c r="DJ27" i="43"/>
  <c r="DN27" i="43"/>
  <c r="DG27" i="43"/>
  <c r="DK27" i="43"/>
  <c r="DQ27" i="43"/>
  <c r="CY27" i="43"/>
  <c r="DC27" i="43"/>
  <c r="CX27" i="43"/>
  <c r="G27" i="43"/>
  <c r="D29" i="48" s="1"/>
  <c r="B53" i="65" s="1"/>
  <c r="J29" i="48" l="1"/>
  <c r="FF27" i="43"/>
  <c r="FB27" i="43"/>
  <c r="FD27" i="43"/>
  <c r="FC27" i="43"/>
  <c r="FE27" i="43"/>
  <c r="K29" i="48"/>
  <c r="E29" i="48"/>
  <c r="N29" i="48" s="1"/>
  <c r="AB29" i="48" l="1"/>
  <c r="C34" i="57"/>
  <c r="C53" i="65"/>
  <c r="T29" i="48"/>
  <c r="A59" i="45"/>
  <c r="AG29" i="48" l="1"/>
  <c r="AI29" i="48" s="1"/>
  <c r="A68" i="45"/>
  <c r="A65" i="45"/>
  <c r="A64" i="45"/>
  <c r="A42" i="45"/>
  <c r="A36" i="45"/>
  <c r="A41" i="45"/>
  <c r="A40" i="45"/>
  <c r="A39" i="45"/>
  <c r="A34" i="45"/>
  <c r="A31" i="45"/>
  <c r="A30" i="45"/>
  <c r="A342" i="45"/>
  <c r="A341" i="45"/>
  <c r="A340" i="45"/>
  <c r="A339" i="45"/>
  <c r="A338" i="45"/>
  <c r="A337" i="45"/>
  <c r="A372" i="45"/>
  <c r="A371" i="45"/>
  <c r="A370" i="45"/>
  <c r="A369" i="45"/>
  <c r="A368" i="45"/>
  <c r="A367" i="45"/>
  <c r="A366" i="45"/>
  <c r="A365" i="45"/>
  <c r="A364" i="45"/>
  <c r="A363" i="45"/>
  <c r="A362" i="45"/>
  <c r="A361" i="45"/>
  <c r="A360" i="45"/>
  <c r="A359" i="45"/>
  <c r="A358" i="45"/>
  <c r="A357" i="45"/>
  <c r="A356" i="45"/>
  <c r="A355" i="45"/>
  <c r="A354" i="45"/>
  <c r="A353" i="45"/>
  <c r="A352" i="45"/>
  <c r="A351" i="45"/>
  <c r="A350" i="45"/>
  <c r="A349" i="45"/>
  <c r="A311" i="45"/>
  <c r="A310" i="45"/>
  <c r="A309" i="45"/>
  <c r="A308" i="45"/>
  <c r="A307" i="45"/>
  <c r="A306" i="45"/>
  <c r="A348" i="45"/>
  <c r="A347" i="45"/>
  <c r="A346" i="45"/>
  <c r="A345" i="45"/>
  <c r="A344" i="45"/>
  <c r="A343" i="45"/>
  <c r="A335" i="45"/>
  <c r="A334" i="45"/>
  <c r="A333" i="45"/>
  <c r="A332" i="45"/>
  <c r="A331" i="45"/>
  <c r="A330" i="45"/>
  <c r="A329" i="45"/>
  <c r="A328" i="45"/>
  <c r="A327" i="45"/>
  <c r="A326" i="45"/>
  <c r="A325" i="45"/>
  <c r="A324" i="45"/>
  <c r="A323" i="45"/>
  <c r="A322" i="45"/>
  <c r="A321" i="45"/>
  <c r="A320" i="45"/>
  <c r="A319" i="45"/>
  <c r="A318" i="45"/>
  <c r="A317" i="45"/>
  <c r="A316" i="45"/>
  <c r="A315" i="45"/>
  <c r="A314" i="45"/>
  <c r="A313" i="45"/>
  <c r="A312" i="45"/>
  <c r="A294" i="45"/>
  <c r="A295" i="45"/>
  <c r="A296" i="45"/>
  <c r="A297" i="45"/>
  <c r="A298" i="45"/>
  <c r="A299" i="45"/>
  <c r="A293" i="45"/>
  <c r="A292" i="45"/>
  <c r="A291" i="45"/>
  <c r="A290" i="45"/>
  <c r="A289" i="45"/>
  <c r="A288" i="45"/>
  <c r="A287" i="45"/>
  <c r="A286" i="45"/>
  <c r="A285" i="45"/>
  <c r="A284" i="45"/>
  <c r="A283" i="45"/>
  <c r="A282" i="45"/>
  <c r="A281" i="45"/>
  <c r="A280" i="45"/>
  <c r="A279" i="45"/>
  <c r="A278" i="45"/>
  <c r="A277" i="45"/>
  <c r="A276" i="45"/>
  <c r="A275" i="45"/>
  <c r="A274" i="45"/>
  <c r="A273" i="45"/>
  <c r="A272" i="45"/>
  <c r="A271" i="45"/>
  <c r="A270" i="45"/>
  <c r="A269" i="45"/>
  <c r="A268" i="45"/>
  <c r="A267" i="45"/>
  <c r="A266" i="45"/>
  <c r="A265" i="45"/>
  <c r="A264" i="45"/>
  <c r="A256" i="45"/>
  <c r="A255" i="45"/>
  <c r="A254" i="45"/>
  <c r="A253" i="45"/>
  <c r="A252" i="45"/>
  <c r="A251" i="45"/>
  <c r="A250" i="45"/>
  <c r="A249" i="45"/>
  <c r="A248" i="45"/>
  <c r="A247" i="45"/>
  <c r="A246" i="45"/>
  <c r="A245" i="45"/>
  <c r="A244" i="45"/>
  <c r="A243" i="45"/>
  <c r="A242" i="45"/>
  <c r="A241" i="45"/>
  <c r="A240" i="45"/>
  <c r="A239" i="45"/>
  <c r="A238" i="45"/>
  <c r="A237" i="45"/>
  <c r="A236" i="45"/>
  <c r="A235" i="45"/>
  <c r="A234" i="45"/>
  <c r="A233" i="45"/>
  <c r="A232" i="45"/>
  <c r="A231" i="45"/>
  <c r="A230" i="45"/>
  <c r="A229" i="45"/>
  <c r="A228" i="45"/>
  <c r="A227" i="45"/>
  <c r="A226" i="45"/>
  <c r="A225" i="45"/>
  <c r="A224" i="45"/>
  <c r="A223" i="45"/>
  <c r="A222" i="45"/>
  <c r="A221" i="45"/>
  <c r="A202" i="45"/>
  <c r="A201" i="45"/>
  <c r="A200" i="45"/>
  <c r="A199" i="45"/>
  <c r="A198" i="45"/>
  <c r="A197" i="45"/>
  <c r="A196" i="45"/>
  <c r="A195" i="45"/>
  <c r="A194" i="45"/>
  <c r="A193" i="45"/>
  <c r="A192" i="45"/>
  <c r="A191" i="45"/>
  <c r="BI56" i="56" l="1"/>
  <c r="BI57" i="56"/>
  <c r="BI58" i="56"/>
  <c r="BI59" i="56"/>
  <c r="BI60" i="56"/>
  <c r="BI61" i="56"/>
  <c r="BI62" i="56"/>
  <c r="BI63" i="56"/>
  <c r="E5" i="48" l="1"/>
  <c r="BI64" i="56" l="1"/>
  <c r="BI65" i="56"/>
  <c r="BI66" i="56"/>
  <c r="BI67" i="56"/>
  <c r="BI68" i="56"/>
  <c r="BI44" i="56" l="1"/>
  <c r="BI45" i="56"/>
  <c r="BI46" i="56"/>
  <c r="BI47" i="56"/>
  <c r="BI48" i="56"/>
  <c r="BI49" i="56"/>
  <c r="BI50" i="56"/>
  <c r="BI51" i="56"/>
  <c r="BI52" i="56"/>
  <c r="BI53" i="56"/>
  <c r="BI54" i="56"/>
  <c r="BI55" i="56"/>
  <c r="E56" i="57" l="1"/>
  <c r="BI31" i="56" l="1"/>
  <c r="BI32" i="56"/>
  <c r="BI33" i="56"/>
  <c r="BI34" i="56"/>
  <c r="BI35" i="56"/>
  <c r="BI36" i="56"/>
  <c r="BI37" i="56"/>
  <c r="BI38" i="56"/>
  <c r="BI39" i="56"/>
  <c r="BI40" i="56"/>
  <c r="BI41" i="56"/>
  <c r="BI42" i="56"/>
  <c r="BI43" i="56"/>
  <c r="F3" i="56"/>
  <c r="F4" i="56"/>
  <c r="F5" i="56"/>
  <c r="F6" i="56"/>
  <c r="F7" i="56"/>
  <c r="F8" i="56"/>
  <c r="F9" i="56"/>
  <c r="F10" i="56"/>
  <c r="F11" i="56"/>
  <c r="F12" i="56"/>
  <c r="F13" i="56"/>
  <c r="F14" i="56"/>
  <c r="F15" i="56"/>
  <c r="F16" i="56"/>
  <c r="F18" i="56"/>
  <c r="F19" i="56"/>
  <c r="F20" i="56"/>
  <c r="F21" i="56"/>
  <c r="F23" i="56"/>
  <c r="F2" i="56"/>
  <c r="A28" i="48"/>
  <c r="B26" i="43"/>
  <c r="A26" i="43"/>
  <c r="O26" i="43" s="1"/>
  <c r="F45" i="24"/>
  <c r="D45" i="24" s="1"/>
  <c r="DZ26" i="43" l="1"/>
  <c r="ED26" i="43"/>
  <c r="EH26" i="43"/>
  <c r="EL26" i="43"/>
  <c r="EP26" i="43"/>
  <c r="ET26" i="43"/>
  <c r="EX26" i="43"/>
  <c r="EB26" i="43"/>
  <c r="EG26" i="43"/>
  <c r="EM26" i="43"/>
  <c r="ER26" i="43"/>
  <c r="EW26" i="43"/>
  <c r="EC26" i="43"/>
  <c r="EI26" i="43"/>
  <c r="EN26" i="43"/>
  <c r="ES26" i="43"/>
  <c r="EY26" i="43"/>
  <c r="EE26" i="43"/>
  <c r="EJ26" i="43"/>
  <c r="EO26" i="43"/>
  <c r="EU26" i="43"/>
  <c r="EZ26" i="43"/>
  <c r="EA26" i="43"/>
  <c r="EF26" i="43"/>
  <c r="EK26" i="43"/>
  <c r="EQ26" i="43"/>
  <c r="EV26" i="43"/>
  <c r="M28" i="48"/>
  <c r="DP26" i="43"/>
  <c r="DT26" i="43"/>
  <c r="DX26" i="43"/>
  <c r="DO26" i="43"/>
  <c r="DU26" i="43"/>
  <c r="DR26" i="43"/>
  <c r="DW26" i="43"/>
  <c r="DS26" i="43"/>
  <c r="DQ26" i="43"/>
  <c r="DV26" i="43"/>
  <c r="CZ26" i="43"/>
  <c r="DD26" i="43"/>
  <c r="DH26" i="43"/>
  <c r="DL26" i="43"/>
  <c r="DA26" i="43"/>
  <c r="DE26" i="43"/>
  <c r="DI26" i="43"/>
  <c r="DM26" i="43"/>
  <c r="DB26" i="43"/>
  <c r="DF26" i="43"/>
  <c r="DJ26" i="43"/>
  <c r="DN26" i="43"/>
  <c r="DG26" i="43"/>
  <c r="DK26" i="43"/>
  <c r="CY26" i="43"/>
  <c r="DC26" i="43"/>
  <c r="CX26" i="43"/>
  <c r="G26" i="43"/>
  <c r="V80" i="48"/>
  <c r="J28" i="48" l="1"/>
  <c r="FC26" i="43"/>
  <c r="FF26" i="43"/>
  <c r="FE26" i="43"/>
  <c r="FB26" i="43"/>
  <c r="FD26" i="43"/>
  <c r="K28" i="48"/>
  <c r="D28" i="48"/>
  <c r="B52" i="65" s="1"/>
  <c r="C31" i="45"/>
  <c r="C197" i="45"/>
  <c r="E28" i="48"/>
  <c r="N28" i="48" s="1"/>
  <c r="C35" i="57" s="1"/>
  <c r="D31" i="45"/>
  <c r="D197" i="45"/>
  <c r="E198" i="45" s="1"/>
  <c r="E199" i="45" s="1"/>
  <c r="C52" i="65" l="1"/>
  <c r="AB28" i="48"/>
  <c r="T28" i="48"/>
  <c r="AG28" i="48" l="1"/>
  <c r="AI28" i="48" s="1"/>
  <c r="BI3" i="56" l="1"/>
  <c r="BI4" i="56"/>
  <c r="BI5" i="56"/>
  <c r="BI6" i="56"/>
  <c r="BI7" i="56"/>
  <c r="BI8" i="56"/>
  <c r="BI9" i="56"/>
  <c r="BI10" i="56"/>
  <c r="BI11" i="56"/>
  <c r="BI12" i="56"/>
  <c r="BI13" i="56"/>
  <c r="BI14" i="56"/>
  <c r="BI15" i="56"/>
  <c r="BI16" i="56"/>
  <c r="BI18" i="56" l="1"/>
  <c r="BI19" i="56"/>
  <c r="BI20" i="56"/>
  <c r="BI21" i="56"/>
  <c r="BI22" i="56"/>
  <c r="BI23" i="56"/>
  <c r="BI24" i="56"/>
  <c r="BI25" i="56"/>
  <c r="BI26" i="56"/>
  <c r="BI27" i="56"/>
  <c r="BI28" i="56"/>
  <c r="BI29" i="56"/>
  <c r="BI30" i="56"/>
  <c r="BI17" i="56"/>
  <c r="G30" i="56" s="1"/>
  <c r="K30" i="56" l="1"/>
  <c r="BF30" i="56"/>
  <c r="AP30" i="56"/>
  <c r="Z30" i="56"/>
  <c r="J30" i="56"/>
  <c r="AS30" i="56"/>
  <c r="AC30" i="56"/>
  <c r="M30" i="56"/>
  <c r="AV30" i="56"/>
  <c r="AF30" i="56"/>
  <c r="P30" i="56"/>
  <c r="AY30" i="56"/>
  <c r="AI30" i="56"/>
  <c r="S30" i="56"/>
  <c r="BB30" i="56"/>
  <c r="AL30" i="56"/>
  <c r="V30" i="56"/>
  <c r="BE30" i="56"/>
  <c r="AO30" i="56"/>
  <c r="Y30" i="56"/>
  <c r="I30" i="56"/>
  <c r="AR30" i="56"/>
  <c r="AB30" i="56"/>
  <c r="L30" i="56"/>
  <c r="AU30" i="56"/>
  <c r="AE30" i="56"/>
  <c r="O30" i="56"/>
  <c r="AX30" i="56"/>
  <c r="AH30" i="56"/>
  <c r="R30" i="56"/>
  <c r="BA30" i="56"/>
  <c r="AK30" i="56"/>
  <c r="U30" i="56"/>
  <c r="BD30" i="56"/>
  <c r="AN30" i="56"/>
  <c r="X30" i="56"/>
  <c r="AQ30" i="56"/>
  <c r="AA30" i="56"/>
  <c r="BG30" i="56"/>
  <c r="AT30" i="56"/>
  <c r="AD30" i="56"/>
  <c r="N30" i="56"/>
  <c r="AW30" i="56"/>
  <c r="AG30" i="56"/>
  <c r="Q30" i="56"/>
  <c r="AZ30" i="56"/>
  <c r="AJ30" i="56"/>
  <c r="T30" i="56"/>
  <c r="BC30" i="56"/>
  <c r="AM30" i="56"/>
  <c r="W30" i="56"/>
  <c r="G24" i="56"/>
  <c r="BG24" i="56" s="1"/>
  <c r="A37" i="48"/>
  <c r="BD24" i="56" l="1"/>
  <c r="EK61" i="24" s="1"/>
  <c r="R24" i="56"/>
  <c r="CY61" i="24" s="1"/>
  <c r="AA61" i="24" s="1"/>
  <c r="AU24" i="56"/>
  <c r="EB61" i="24" s="1"/>
  <c r="X24" i="56"/>
  <c r="DE61" i="24" s="1"/>
  <c r="AG61" i="24" s="1"/>
  <c r="AK24" i="56"/>
  <c r="DR61" i="24" s="1"/>
  <c r="AH24" i="56"/>
  <c r="DO61" i="24" s="1"/>
  <c r="O24" i="56"/>
  <c r="CV61" i="24" s="1"/>
  <c r="X61" i="24" s="1"/>
  <c r="AR24" i="56"/>
  <c r="DY61" i="24" s="1"/>
  <c r="V24" i="56"/>
  <c r="DC61" i="24" s="1"/>
  <c r="AE61" i="24" s="1"/>
  <c r="S24" i="56"/>
  <c r="CZ61" i="24" s="1"/>
  <c r="AB61" i="24" s="1"/>
  <c r="AY24" i="56"/>
  <c r="EF61" i="24" s="1"/>
  <c r="L24" i="56"/>
  <c r="CS61" i="24" s="1"/>
  <c r="U61" i="24" s="1"/>
  <c r="I24" i="56"/>
  <c r="CP61" i="24" s="1"/>
  <c r="AJ61" i="24" s="1"/>
  <c r="AO24" i="56"/>
  <c r="DV61" i="24" s="1"/>
  <c r="BB24" i="56"/>
  <c r="EI61" i="24" s="1"/>
  <c r="P24" i="56"/>
  <c r="CW61" i="24" s="1"/>
  <c r="Y61" i="24" s="1"/>
  <c r="AV24" i="56"/>
  <c r="EC61" i="24" s="1"/>
  <c r="AS24" i="56"/>
  <c r="DZ61" i="24" s="1"/>
  <c r="Z24" i="56"/>
  <c r="DG61" i="24" s="1"/>
  <c r="BF24" i="56"/>
  <c r="EM61" i="24" s="1"/>
  <c r="W24" i="56"/>
  <c r="DD61" i="24" s="1"/>
  <c r="AF61" i="24" s="1"/>
  <c r="AM24" i="56"/>
  <c r="DT61" i="24" s="1"/>
  <c r="BC24" i="56"/>
  <c r="EJ61" i="24" s="1"/>
  <c r="AN24" i="56"/>
  <c r="DU61" i="24" s="1"/>
  <c r="U24" i="56"/>
  <c r="DB61" i="24" s="1"/>
  <c r="AD61" i="24" s="1"/>
  <c r="BA24" i="56"/>
  <c r="EH61" i="24" s="1"/>
  <c r="AX24" i="56"/>
  <c r="EE61" i="24" s="1"/>
  <c r="AE24" i="56"/>
  <c r="DL61" i="24" s="1"/>
  <c r="AB24" i="56"/>
  <c r="DI61" i="24" s="1"/>
  <c r="Y24" i="56"/>
  <c r="DF61" i="24" s="1"/>
  <c r="BE24" i="56"/>
  <c r="EL61" i="24" s="1"/>
  <c r="AL24" i="56"/>
  <c r="DS61" i="24" s="1"/>
  <c r="AI24" i="56"/>
  <c r="DP61" i="24" s="1"/>
  <c r="AF24" i="56"/>
  <c r="DM61" i="24" s="1"/>
  <c r="M24" i="56"/>
  <c r="CT61" i="24" s="1"/>
  <c r="V61" i="24" s="1"/>
  <c r="AC24" i="56"/>
  <c r="DJ61" i="24" s="1"/>
  <c r="J24" i="56"/>
  <c r="CQ61" i="24" s="1"/>
  <c r="AK61" i="24" s="1"/>
  <c r="AP24" i="56"/>
  <c r="DW61" i="24" s="1"/>
  <c r="T24" i="56"/>
  <c r="DA61" i="24" s="1"/>
  <c r="AC61" i="24" s="1"/>
  <c r="AJ24" i="56"/>
  <c r="DQ61" i="24" s="1"/>
  <c r="AZ24" i="56"/>
  <c r="EG61" i="24" s="1"/>
  <c r="Q24" i="56"/>
  <c r="CX61" i="24" s="1"/>
  <c r="Z61" i="24" s="1"/>
  <c r="AG24" i="56"/>
  <c r="DN61" i="24" s="1"/>
  <c r="AW24" i="56"/>
  <c r="ED61" i="24" s="1"/>
  <c r="N24" i="56"/>
  <c r="CU61" i="24" s="1"/>
  <c r="W61" i="24" s="1"/>
  <c r="AD24" i="56"/>
  <c r="DK61" i="24" s="1"/>
  <c r="AT24" i="56"/>
  <c r="EA61" i="24" s="1"/>
  <c r="K24" i="56"/>
  <c r="CR61" i="24" s="1"/>
  <c r="AL61" i="24" s="1"/>
  <c r="AA24" i="56"/>
  <c r="DH61" i="24" s="1"/>
  <c r="AQ24" i="56"/>
  <c r="DX61" i="24" s="1"/>
  <c r="M37" i="48"/>
  <c r="N61" i="24" l="1"/>
  <c r="J61" i="24"/>
  <c r="G61" i="24"/>
  <c r="O61" i="24"/>
  <c r="Q61" i="24"/>
  <c r="S61" i="24"/>
  <c r="M61" i="24"/>
  <c r="P61" i="24"/>
  <c r="H61" i="24"/>
  <c r="I61" i="24"/>
  <c r="T61" i="24"/>
  <c r="K61" i="24"/>
  <c r="R61" i="24"/>
  <c r="L61" i="24"/>
  <c r="F48" i="24"/>
  <c r="D48" i="24" s="1"/>
  <c r="B35" i="43"/>
  <c r="A35" i="43"/>
  <c r="O35" i="43" s="1"/>
  <c r="AH61" i="24" l="1"/>
  <c r="EB35" i="43"/>
  <c r="EF35" i="43"/>
  <c r="EJ35" i="43"/>
  <c r="EN35" i="43"/>
  <c r="ER35" i="43"/>
  <c r="EV35" i="43"/>
  <c r="EZ35" i="43"/>
  <c r="EC35" i="43"/>
  <c r="EG35" i="43"/>
  <c r="EK35" i="43"/>
  <c r="EO35" i="43"/>
  <c r="ES35" i="43"/>
  <c r="EW35" i="43"/>
  <c r="EA35" i="43"/>
  <c r="EE35" i="43"/>
  <c r="EI35" i="43"/>
  <c r="EM35" i="43"/>
  <c r="EQ35" i="43"/>
  <c r="EU35" i="43"/>
  <c r="EY35" i="43"/>
  <c r="EL35" i="43"/>
  <c r="DZ35" i="43"/>
  <c r="EP35" i="43"/>
  <c r="ED35" i="43"/>
  <c r="ET35" i="43"/>
  <c r="EH35" i="43"/>
  <c r="EX35" i="43"/>
  <c r="DR35" i="43"/>
  <c r="DV35" i="43"/>
  <c r="DP35" i="43"/>
  <c r="DU35" i="43"/>
  <c r="DS35" i="43"/>
  <c r="DX35" i="43"/>
  <c r="DO35" i="43"/>
  <c r="DT35" i="43"/>
  <c r="DQ35" i="43"/>
  <c r="DA35" i="43"/>
  <c r="DE35" i="43"/>
  <c r="DI35" i="43"/>
  <c r="DM35" i="43"/>
  <c r="DB35" i="43"/>
  <c r="DF35" i="43"/>
  <c r="DJ35" i="43"/>
  <c r="DN35" i="43"/>
  <c r="DC35" i="43"/>
  <c r="DK35" i="43"/>
  <c r="DD35" i="43"/>
  <c r="DL35" i="43"/>
  <c r="CY35" i="43"/>
  <c r="DG35" i="43"/>
  <c r="DH35" i="43"/>
  <c r="DW35" i="43"/>
  <c r="CZ35" i="43"/>
  <c r="G35" i="43"/>
  <c r="CX35" i="43"/>
  <c r="J37" i="48" l="1"/>
  <c r="FF35" i="43"/>
  <c r="FB35" i="43"/>
  <c r="FD35" i="43"/>
  <c r="FE35" i="43"/>
  <c r="FC35" i="43"/>
  <c r="K37" i="48"/>
  <c r="D37" i="48"/>
  <c r="B58" i="65" s="1"/>
  <c r="C36" i="45"/>
  <c r="E37" i="48"/>
  <c r="N37" i="48" s="1"/>
  <c r="D36" i="45"/>
  <c r="AB37" i="48" l="1"/>
  <c r="AG37" i="48" s="1"/>
  <c r="AI37" i="48" s="1"/>
  <c r="C37" i="57"/>
  <c r="C58" i="65"/>
  <c r="T37" i="48"/>
  <c r="O2" i="43"/>
  <c r="P2" i="43" s="1"/>
  <c r="B3" i="43"/>
  <c r="A5" i="43"/>
  <c r="O5" i="43" s="1"/>
  <c r="B5" i="43"/>
  <c r="B9" i="43"/>
  <c r="A10" i="43"/>
  <c r="O10" i="43" s="1"/>
  <c r="B10" i="43"/>
  <c r="A8" i="43"/>
  <c r="O8" i="43" s="1"/>
  <c r="B8" i="43"/>
  <c r="K8" i="43"/>
  <c r="L11" i="48" s="1"/>
  <c r="A11" i="43"/>
  <c r="O11" i="43" s="1"/>
  <c r="B11" i="43"/>
  <c r="A12" i="43"/>
  <c r="O12" i="43" s="1"/>
  <c r="B12" i="43"/>
  <c r="A13" i="43"/>
  <c r="O13" i="43" s="1"/>
  <c r="B13" i="43"/>
  <c r="A14" i="43"/>
  <c r="O14" i="43" s="1"/>
  <c r="B14" i="43"/>
  <c r="A15" i="43"/>
  <c r="O15" i="43" s="1"/>
  <c r="B15" i="43"/>
  <c r="A16" i="43"/>
  <c r="O16" i="43" s="1"/>
  <c r="B16" i="43"/>
  <c r="A17" i="43"/>
  <c r="O17" i="43" s="1"/>
  <c r="B17" i="43"/>
  <c r="A18" i="43"/>
  <c r="O18" i="43" s="1"/>
  <c r="B18" i="43"/>
  <c r="A19" i="43"/>
  <c r="O19" i="43" s="1"/>
  <c r="B19" i="43"/>
  <c r="A20" i="43"/>
  <c r="O20" i="43" s="1"/>
  <c r="B20" i="43"/>
  <c r="K20" i="43"/>
  <c r="A21" i="43"/>
  <c r="O21" i="43" s="1"/>
  <c r="B21" i="43"/>
  <c r="A22" i="43"/>
  <c r="O22" i="43" s="1"/>
  <c r="B22" i="43"/>
  <c r="K22" i="43"/>
  <c r="A23" i="43"/>
  <c r="O23" i="43" s="1"/>
  <c r="B23" i="43"/>
  <c r="A24" i="43"/>
  <c r="O24" i="43" s="1"/>
  <c r="B24" i="43"/>
  <c r="A25" i="43"/>
  <c r="O25" i="43" s="1"/>
  <c r="B25" i="43"/>
  <c r="A28" i="43"/>
  <c r="O28" i="43" s="1"/>
  <c r="B28" i="43"/>
  <c r="A29" i="43"/>
  <c r="O29" i="43" s="1"/>
  <c r="B29" i="43"/>
  <c r="A30" i="43"/>
  <c r="O30" i="43" s="1"/>
  <c r="B30" i="43"/>
  <c r="A31" i="43"/>
  <c r="O31" i="43" s="1"/>
  <c r="B31" i="43"/>
  <c r="A32" i="43"/>
  <c r="O32" i="43" s="1"/>
  <c r="B32" i="43"/>
  <c r="A33" i="43"/>
  <c r="O33" i="43" s="1"/>
  <c r="B33" i="43"/>
  <c r="A34" i="43"/>
  <c r="O34" i="43" s="1"/>
  <c r="B34" i="43"/>
  <c r="A36" i="43"/>
  <c r="B36" i="43"/>
  <c r="A37" i="43"/>
  <c r="O37" i="43" s="1"/>
  <c r="B37" i="43"/>
  <c r="A38" i="43"/>
  <c r="O38" i="43" s="1"/>
  <c r="B38" i="43"/>
  <c r="A39" i="43"/>
  <c r="O39" i="43" s="1"/>
  <c r="B39" i="43"/>
  <c r="A40" i="43"/>
  <c r="O40" i="43" s="1"/>
  <c r="B40" i="43"/>
  <c r="A41" i="43"/>
  <c r="O41" i="43" s="1"/>
  <c r="B41" i="43"/>
  <c r="A42" i="43"/>
  <c r="O42" i="43" s="1"/>
  <c r="B42" i="43"/>
  <c r="A43" i="43"/>
  <c r="O43" i="43" s="1"/>
  <c r="B43" i="43"/>
  <c r="A44" i="43"/>
  <c r="O44" i="43" s="1"/>
  <c r="B44" i="43"/>
  <c r="A47" i="43"/>
  <c r="O47" i="43" s="1"/>
  <c r="B47" i="43"/>
  <c r="A48" i="43"/>
  <c r="O48" i="43" s="1"/>
  <c r="B48" i="43"/>
  <c r="A49" i="43"/>
  <c r="O49" i="43" s="1"/>
  <c r="B49" i="43"/>
  <c r="A50" i="43"/>
  <c r="O50" i="43" s="1"/>
  <c r="E51" i="48" s="1"/>
  <c r="N51" i="48" s="1"/>
  <c r="B50" i="43"/>
  <c r="A53" i="43"/>
  <c r="O53" i="43" s="1"/>
  <c r="B53" i="43"/>
  <c r="A54" i="43"/>
  <c r="O54" i="43" s="1"/>
  <c r="B54" i="43"/>
  <c r="A55" i="43"/>
  <c r="O55" i="43" s="1"/>
  <c r="B55" i="43"/>
  <c r="A56" i="43"/>
  <c r="O56" i="43" s="1"/>
  <c r="B56" i="43"/>
  <c r="A60" i="43"/>
  <c r="O60" i="43" s="1"/>
  <c r="B60" i="43"/>
  <c r="A61" i="43"/>
  <c r="O61" i="43" s="1"/>
  <c r="B61" i="43"/>
  <c r="A62" i="43"/>
  <c r="O62" i="43" s="1"/>
  <c r="B62" i="43"/>
  <c r="A63" i="43"/>
  <c r="O63" i="43" s="1"/>
  <c r="B63" i="43"/>
  <c r="A64" i="43"/>
  <c r="O64" i="43" s="1"/>
  <c r="B64" i="43"/>
  <c r="A65" i="43"/>
  <c r="O65" i="43" s="1"/>
  <c r="B65" i="43"/>
  <c r="A66" i="43"/>
  <c r="O66" i="43" s="1"/>
  <c r="B66" i="43"/>
  <c r="A67" i="43"/>
  <c r="O67" i="43" s="1"/>
  <c r="B67" i="43"/>
  <c r="A68" i="43"/>
  <c r="O68" i="43" s="1"/>
  <c r="B68" i="43"/>
  <c r="K68" i="43"/>
  <c r="A69" i="43"/>
  <c r="O69" i="43" s="1"/>
  <c r="B69" i="43"/>
  <c r="K69" i="43"/>
  <c r="A70" i="43"/>
  <c r="O70" i="43" s="1"/>
  <c r="B70" i="43"/>
  <c r="A71" i="43"/>
  <c r="O71" i="43" s="1"/>
  <c r="B71" i="43"/>
  <c r="K71" i="43"/>
  <c r="A72" i="43"/>
  <c r="O72" i="43" s="1"/>
  <c r="B72" i="43"/>
  <c r="K72" i="43"/>
  <c r="A73" i="43"/>
  <c r="O73" i="43" s="1"/>
  <c r="B73" i="43"/>
  <c r="A74" i="43"/>
  <c r="O74" i="43" s="1"/>
  <c r="B74" i="43"/>
  <c r="B78" i="43"/>
  <c r="P78" i="43"/>
  <c r="Q78" i="43"/>
  <c r="R78" i="43"/>
  <c r="S78" i="43"/>
  <c r="T78" i="43"/>
  <c r="U78" i="43"/>
  <c r="V78" i="43"/>
  <c r="W78" i="43"/>
  <c r="X78" i="43"/>
  <c r="Y78" i="43"/>
  <c r="Z78" i="43"/>
  <c r="AA78" i="43"/>
  <c r="AB78" i="43"/>
  <c r="AC78" i="43"/>
  <c r="AD78" i="43"/>
  <c r="AE78" i="43"/>
  <c r="T51" i="48" l="1"/>
  <c r="AB51" i="48"/>
  <c r="AG51" i="48" s="1"/>
  <c r="AI51" i="48" s="1"/>
  <c r="O36" i="43"/>
  <c r="D40" i="45" s="1"/>
  <c r="G36" i="43"/>
  <c r="DZ72" i="43"/>
  <c r="ED72" i="43"/>
  <c r="EH72" i="43"/>
  <c r="EL72" i="43"/>
  <c r="EP72" i="43"/>
  <c r="ET72" i="43"/>
  <c r="EX72" i="43"/>
  <c r="EA72" i="43"/>
  <c r="EF72" i="43"/>
  <c r="EK72" i="43"/>
  <c r="EQ72" i="43"/>
  <c r="EV72" i="43"/>
  <c r="EB72" i="43"/>
  <c r="EG72" i="43"/>
  <c r="EM72" i="43"/>
  <c r="ER72" i="43"/>
  <c r="EW72" i="43"/>
  <c r="EC72" i="43"/>
  <c r="EI72" i="43"/>
  <c r="EN72" i="43"/>
  <c r="ES72" i="43"/>
  <c r="EY72" i="43"/>
  <c r="EE72" i="43"/>
  <c r="EJ72" i="43"/>
  <c r="EO72" i="43"/>
  <c r="EU72" i="43"/>
  <c r="EZ72" i="43"/>
  <c r="ES69" i="43"/>
  <c r="EU69" i="43"/>
  <c r="EN69" i="43"/>
  <c r="EW69" i="43"/>
  <c r="ET69" i="43"/>
  <c r="EY69" i="43"/>
  <c r="ER69" i="43"/>
  <c r="EX69" i="43"/>
  <c r="EV69" i="43"/>
  <c r="EO69" i="43"/>
  <c r="EQ69" i="43"/>
  <c r="EZ69" i="43"/>
  <c r="EP69" i="43"/>
  <c r="EB70" i="43"/>
  <c r="EF70" i="43"/>
  <c r="EJ70" i="43"/>
  <c r="EN70" i="43"/>
  <c r="ER70" i="43"/>
  <c r="EV70" i="43"/>
  <c r="EZ70" i="43"/>
  <c r="EA70" i="43"/>
  <c r="EG70" i="43"/>
  <c r="EL70" i="43"/>
  <c r="EQ70" i="43"/>
  <c r="EW70" i="43"/>
  <c r="EC70" i="43"/>
  <c r="EH70" i="43"/>
  <c r="EM70" i="43"/>
  <c r="ES70" i="43"/>
  <c r="EX70" i="43"/>
  <c r="ED70" i="43"/>
  <c r="EI70" i="43"/>
  <c r="EO70" i="43"/>
  <c r="ET70" i="43"/>
  <c r="EY70" i="43"/>
  <c r="DZ70" i="43"/>
  <c r="EE70" i="43"/>
  <c r="EK70" i="43"/>
  <c r="EP70" i="43"/>
  <c r="EU70" i="43"/>
  <c r="EQ67" i="43"/>
  <c r="EU67" i="43"/>
  <c r="ER67" i="43"/>
  <c r="EO67" i="43"/>
  <c r="ET67" i="43"/>
  <c r="EY67" i="43"/>
  <c r="EV67" i="43"/>
  <c r="ES67" i="43"/>
  <c r="EX67" i="43"/>
  <c r="EZ67" i="43"/>
  <c r="EW67" i="43"/>
  <c r="EN67" i="43"/>
  <c r="EP67" i="43"/>
  <c r="EC56" i="43"/>
  <c r="EG56" i="43"/>
  <c r="EK56" i="43"/>
  <c r="EO56" i="43"/>
  <c r="ES56" i="43"/>
  <c r="EW56" i="43"/>
  <c r="EB56" i="43"/>
  <c r="EF56" i="43"/>
  <c r="EJ56" i="43"/>
  <c r="EN56" i="43"/>
  <c r="ER56" i="43"/>
  <c r="EV56" i="43"/>
  <c r="EZ56" i="43"/>
  <c r="EE56" i="43"/>
  <c r="EM56" i="43"/>
  <c r="EU56" i="43"/>
  <c r="DZ56" i="43"/>
  <c r="EH56" i="43"/>
  <c r="EP56" i="43"/>
  <c r="EX56" i="43"/>
  <c r="EA56" i="43"/>
  <c r="EI56" i="43"/>
  <c r="EQ56" i="43"/>
  <c r="EY56" i="43"/>
  <c r="ED56" i="43"/>
  <c r="EL56" i="43"/>
  <c r="ET56" i="43"/>
  <c r="EC50" i="43"/>
  <c r="EG50" i="43"/>
  <c r="EK50" i="43"/>
  <c r="EO50" i="43"/>
  <c r="ES50" i="43"/>
  <c r="EW50" i="43"/>
  <c r="DZ50" i="43"/>
  <c r="ED50" i="43"/>
  <c r="EH50" i="43"/>
  <c r="EL50" i="43"/>
  <c r="EP50" i="43"/>
  <c r="ET50" i="43"/>
  <c r="EX50" i="43"/>
  <c r="EB50" i="43"/>
  <c r="EF50" i="43"/>
  <c r="EJ50" i="43"/>
  <c r="EN50" i="43"/>
  <c r="ER50" i="43"/>
  <c r="EV50" i="43"/>
  <c r="EZ50" i="43"/>
  <c r="EE50" i="43"/>
  <c r="EU50" i="43"/>
  <c r="EI50" i="43"/>
  <c r="EY50" i="43"/>
  <c r="EM50" i="43"/>
  <c r="EA50" i="43"/>
  <c r="EQ50" i="43"/>
  <c r="EB44" i="43"/>
  <c r="EF44" i="43"/>
  <c r="EJ44" i="43"/>
  <c r="EN44" i="43"/>
  <c r="ER44" i="43"/>
  <c r="EV44" i="43"/>
  <c r="EZ44" i="43"/>
  <c r="EA44" i="43"/>
  <c r="EG44" i="43"/>
  <c r="EL44" i="43"/>
  <c r="EQ44" i="43"/>
  <c r="EW44" i="43"/>
  <c r="EC44" i="43"/>
  <c r="EH44" i="43"/>
  <c r="EM44" i="43"/>
  <c r="ES44" i="43"/>
  <c r="EX44" i="43"/>
  <c r="ED44" i="43"/>
  <c r="EI44" i="43"/>
  <c r="EO44" i="43"/>
  <c r="ET44" i="43"/>
  <c r="EY44" i="43"/>
  <c r="DZ44" i="43"/>
  <c r="EE44" i="43"/>
  <c r="EK44" i="43"/>
  <c r="EP44" i="43"/>
  <c r="EU44" i="43"/>
  <c r="EC40" i="43"/>
  <c r="EG40" i="43"/>
  <c r="EK40" i="43"/>
  <c r="EO40" i="43"/>
  <c r="ES40" i="43"/>
  <c r="EW40" i="43"/>
  <c r="EB40" i="43"/>
  <c r="EF40" i="43"/>
  <c r="EJ40" i="43"/>
  <c r="EN40" i="43"/>
  <c r="ER40" i="43"/>
  <c r="EV40" i="43"/>
  <c r="EZ40" i="43"/>
  <c r="ED40" i="43"/>
  <c r="EL40" i="43"/>
  <c r="ET40" i="43"/>
  <c r="EE40" i="43"/>
  <c r="EM40" i="43"/>
  <c r="EU40" i="43"/>
  <c r="DZ40" i="43"/>
  <c r="EH40" i="43"/>
  <c r="EP40" i="43"/>
  <c r="EX40" i="43"/>
  <c r="EA40" i="43"/>
  <c r="EI40" i="43"/>
  <c r="EQ40" i="43"/>
  <c r="EY40" i="43"/>
  <c r="EC36" i="43"/>
  <c r="EG36" i="43"/>
  <c r="EK36" i="43"/>
  <c r="EO36" i="43"/>
  <c r="ES36" i="43"/>
  <c r="EW36" i="43"/>
  <c r="EB36" i="43"/>
  <c r="EF36" i="43"/>
  <c r="EJ36" i="43"/>
  <c r="EN36" i="43"/>
  <c r="ER36" i="43"/>
  <c r="EV36" i="43"/>
  <c r="EZ36" i="43"/>
  <c r="DZ36" i="43"/>
  <c r="EH36" i="43"/>
  <c r="EP36" i="43"/>
  <c r="EX36" i="43"/>
  <c r="EA36" i="43"/>
  <c r="EI36" i="43"/>
  <c r="EQ36" i="43"/>
  <c r="EY36" i="43"/>
  <c r="ED36" i="43"/>
  <c r="EL36" i="43"/>
  <c r="ET36" i="43"/>
  <c r="EE36" i="43"/>
  <c r="EM36" i="43"/>
  <c r="EU36" i="43"/>
  <c r="EA31" i="43"/>
  <c r="EE31" i="43"/>
  <c r="EI31" i="43"/>
  <c r="EM31" i="43"/>
  <c r="EQ31" i="43"/>
  <c r="EU31" i="43"/>
  <c r="DZ31" i="43"/>
  <c r="EF31" i="43"/>
  <c r="EK31" i="43"/>
  <c r="EP31" i="43"/>
  <c r="EV31" i="43"/>
  <c r="EZ31" i="43"/>
  <c r="EB31" i="43"/>
  <c r="EG31" i="43"/>
  <c r="EL31" i="43"/>
  <c r="ER31" i="43"/>
  <c r="EW31" i="43"/>
  <c r="EC31" i="43"/>
  <c r="EH31" i="43"/>
  <c r="EN31" i="43"/>
  <c r="ES31" i="43"/>
  <c r="EX31" i="43"/>
  <c r="ED31" i="43"/>
  <c r="EJ31" i="43"/>
  <c r="EO31" i="43"/>
  <c r="ET31" i="43"/>
  <c r="EY31" i="43"/>
  <c r="EC25" i="43"/>
  <c r="EG25" i="43"/>
  <c r="EK25" i="43"/>
  <c r="EO25" i="43"/>
  <c r="ES25" i="43"/>
  <c r="EW25" i="43"/>
  <c r="EB25" i="43"/>
  <c r="EH25" i="43"/>
  <c r="EM25" i="43"/>
  <c r="ER25" i="43"/>
  <c r="EX25" i="43"/>
  <c r="ED25" i="43"/>
  <c r="EI25" i="43"/>
  <c r="EN25" i="43"/>
  <c r="ET25" i="43"/>
  <c r="EY25" i="43"/>
  <c r="DZ25" i="43"/>
  <c r="EE25" i="43"/>
  <c r="EJ25" i="43"/>
  <c r="EP25" i="43"/>
  <c r="EU25" i="43"/>
  <c r="EZ25" i="43"/>
  <c r="EA25" i="43"/>
  <c r="EF25" i="43"/>
  <c r="EL25" i="43"/>
  <c r="EQ25" i="43"/>
  <c r="EV25" i="43"/>
  <c r="EB23" i="43"/>
  <c r="EF23" i="43"/>
  <c r="EJ23" i="43"/>
  <c r="EN23" i="43"/>
  <c r="ER23" i="43"/>
  <c r="EV23" i="43"/>
  <c r="EZ23" i="43"/>
  <c r="EA23" i="43"/>
  <c r="EE23" i="43"/>
  <c r="EI23" i="43"/>
  <c r="EM23" i="43"/>
  <c r="EQ23" i="43"/>
  <c r="EU23" i="43"/>
  <c r="EY23" i="43"/>
  <c r="EG23" i="43"/>
  <c r="EO23" i="43"/>
  <c r="EW23" i="43"/>
  <c r="DZ23" i="43"/>
  <c r="EH23" i="43"/>
  <c r="EP23" i="43"/>
  <c r="EX23" i="43"/>
  <c r="EC23" i="43"/>
  <c r="EK23" i="43"/>
  <c r="ES23" i="43"/>
  <c r="ED23" i="43"/>
  <c r="EL23" i="43"/>
  <c r="ET23" i="43"/>
  <c r="DZ21" i="43"/>
  <c r="ED21" i="43"/>
  <c r="EH21" i="43"/>
  <c r="EL21" i="43"/>
  <c r="EP21" i="43"/>
  <c r="ET21" i="43"/>
  <c r="EX21" i="43"/>
  <c r="EC21" i="43"/>
  <c r="EG21" i="43"/>
  <c r="EK21" i="43"/>
  <c r="EO21" i="43"/>
  <c r="ES21" i="43"/>
  <c r="EW21" i="43"/>
  <c r="EE21" i="43"/>
  <c r="EM21" i="43"/>
  <c r="EU21" i="43"/>
  <c r="EF21" i="43"/>
  <c r="EN21" i="43"/>
  <c r="EV21" i="43"/>
  <c r="EA21" i="43"/>
  <c r="EI21" i="43"/>
  <c r="EQ21" i="43"/>
  <c r="EY21" i="43"/>
  <c r="EB21" i="43"/>
  <c r="EJ21" i="43"/>
  <c r="ER21" i="43"/>
  <c r="EZ21" i="43"/>
  <c r="DZ8" i="43"/>
  <c r="ED8" i="43"/>
  <c r="EH8" i="43"/>
  <c r="EL8" i="43"/>
  <c r="EP8" i="43"/>
  <c r="ET8" i="43"/>
  <c r="EX8" i="43"/>
  <c r="EA8" i="43"/>
  <c r="EE8" i="43"/>
  <c r="EI8" i="43"/>
  <c r="EM8" i="43"/>
  <c r="EQ8" i="43"/>
  <c r="EU8" i="43"/>
  <c r="EY8" i="43"/>
  <c r="EB8" i="43"/>
  <c r="EF8" i="43"/>
  <c r="EJ8" i="43"/>
  <c r="EN8" i="43"/>
  <c r="EC8" i="43"/>
  <c r="EG8" i="43"/>
  <c r="EK8" i="43"/>
  <c r="EO8" i="43"/>
  <c r="ES8" i="43"/>
  <c r="EW8" i="43"/>
  <c r="ER8" i="43"/>
  <c r="EV8" i="43"/>
  <c r="EZ8" i="43"/>
  <c r="EA9" i="43"/>
  <c r="EE9" i="43"/>
  <c r="EI9" i="43"/>
  <c r="EM9" i="43"/>
  <c r="EQ9" i="43"/>
  <c r="EU9" i="43"/>
  <c r="EY9" i="43"/>
  <c r="EB9" i="43"/>
  <c r="EF9" i="43"/>
  <c r="EJ9" i="43"/>
  <c r="EN9" i="43"/>
  <c r="ER9" i="43"/>
  <c r="EV9" i="43"/>
  <c r="DZ9" i="43"/>
  <c r="ED9" i="43"/>
  <c r="EH9" i="43"/>
  <c r="EL9" i="43"/>
  <c r="EP9" i="43"/>
  <c r="ET9" i="43"/>
  <c r="EX9" i="43"/>
  <c r="EG9" i="43"/>
  <c r="EW9" i="43"/>
  <c r="EK9" i="43"/>
  <c r="EZ9" i="43"/>
  <c r="EO9" i="43"/>
  <c r="EC9" i="43"/>
  <c r="ES9" i="43"/>
  <c r="EC71" i="43"/>
  <c r="EG71" i="43"/>
  <c r="EK71" i="43"/>
  <c r="EO71" i="43"/>
  <c r="ES71" i="43"/>
  <c r="EW71" i="43"/>
  <c r="EA71" i="43"/>
  <c r="EF71" i="43"/>
  <c r="EL71" i="43"/>
  <c r="EQ71" i="43"/>
  <c r="EV71" i="43"/>
  <c r="EB71" i="43"/>
  <c r="EH71" i="43"/>
  <c r="EM71" i="43"/>
  <c r="ER71" i="43"/>
  <c r="EX71" i="43"/>
  <c r="ED71" i="43"/>
  <c r="EI71" i="43"/>
  <c r="EN71" i="43"/>
  <c r="ET71" i="43"/>
  <c r="EY71" i="43"/>
  <c r="DZ71" i="43"/>
  <c r="EE71" i="43"/>
  <c r="EJ71" i="43"/>
  <c r="EP71" i="43"/>
  <c r="EU71" i="43"/>
  <c r="EZ71" i="43"/>
  <c r="ES68" i="43"/>
  <c r="EP68" i="43"/>
  <c r="EZ68" i="43"/>
  <c r="EW68" i="43"/>
  <c r="ET68" i="43"/>
  <c r="EY68" i="43"/>
  <c r="EN68" i="43"/>
  <c r="EX68" i="43"/>
  <c r="ER68" i="43"/>
  <c r="EO68" i="43"/>
  <c r="EQ68" i="43"/>
  <c r="EV68" i="43"/>
  <c r="EU68" i="43"/>
  <c r="EA66" i="43"/>
  <c r="EE66" i="43"/>
  <c r="EI66" i="43"/>
  <c r="EM66" i="43"/>
  <c r="EQ66" i="43"/>
  <c r="EU66" i="43"/>
  <c r="EY66" i="43"/>
  <c r="EB66" i="43"/>
  <c r="EG66" i="43"/>
  <c r="EL66" i="43"/>
  <c r="ER66" i="43"/>
  <c r="EW66" i="43"/>
  <c r="EC66" i="43"/>
  <c r="EH66" i="43"/>
  <c r="EN66" i="43"/>
  <c r="ES66" i="43"/>
  <c r="EX66" i="43"/>
  <c r="ED66" i="43"/>
  <c r="EJ66" i="43"/>
  <c r="EO66" i="43"/>
  <c r="ET66" i="43"/>
  <c r="EZ66" i="43"/>
  <c r="DZ66" i="43"/>
  <c r="EF66" i="43"/>
  <c r="EK66" i="43"/>
  <c r="EP66" i="43"/>
  <c r="EV66" i="43"/>
  <c r="DZ64" i="43"/>
  <c r="ED64" i="43"/>
  <c r="EH64" i="43"/>
  <c r="EL64" i="43"/>
  <c r="EP64" i="43"/>
  <c r="ET64" i="43"/>
  <c r="EX64" i="43"/>
  <c r="EC64" i="43"/>
  <c r="EG64" i="43"/>
  <c r="EK64" i="43"/>
  <c r="EO64" i="43"/>
  <c r="ES64" i="43"/>
  <c r="EW64" i="43"/>
  <c r="EF64" i="43"/>
  <c r="EN64" i="43"/>
  <c r="EV64" i="43"/>
  <c r="EA64" i="43"/>
  <c r="EI64" i="43"/>
  <c r="EQ64" i="43"/>
  <c r="EY64" i="43"/>
  <c r="EB64" i="43"/>
  <c r="EJ64" i="43"/>
  <c r="ER64" i="43"/>
  <c r="EZ64" i="43"/>
  <c r="EE64" i="43"/>
  <c r="EM64" i="43"/>
  <c r="EU64" i="43"/>
  <c r="EN62" i="43"/>
  <c r="EZ62" i="43"/>
  <c r="EP62" i="43"/>
  <c r="EV62" i="43"/>
  <c r="EY62" i="43"/>
  <c r="EW62" i="43"/>
  <c r="ER62" i="43"/>
  <c r="EU62" i="43"/>
  <c r="EX62" i="43"/>
  <c r="ES62" i="43"/>
  <c r="EQ62" i="43"/>
  <c r="ET62" i="43"/>
  <c r="EO62" i="43"/>
  <c r="EB60" i="43"/>
  <c r="EF60" i="43"/>
  <c r="EJ60" i="43"/>
  <c r="EN60" i="43"/>
  <c r="ER60" i="43"/>
  <c r="EV60" i="43"/>
  <c r="EZ60" i="43"/>
  <c r="EA60" i="43"/>
  <c r="EE60" i="43"/>
  <c r="EI60" i="43"/>
  <c r="EM60" i="43"/>
  <c r="EQ60" i="43"/>
  <c r="EU60" i="43"/>
  <c r="EY60" i="43"/>
  <c r="ED60" i="43"/>
  <c r="EL60" i="43"/>
  <c r="ET60" i="43"/>
  <c r="EG60" i="43"/>
  <c r="EO60" i="43"/>
  <c r="EW60" i="43"/>
  <c r="DZ60" i="43"/>
  <c r="EH60" i="43"/>
  <c r="EP60" i="43"/>
  <c r="EX60" i="43"/>
  <c r="EC60" i="43"/>
  <c r="EK60" i="43"/>
  <c r="ES60" i="43"/>
  <c r="EB55" i="43"/>
  <c r="EF55" i="43"/>
  <c r="EJ55" i="43"/>
  <c r="EN55" i="43"/>
  <c r="ER55" i="43"/>
  <c r="EV55" i="43"/>
  <c r="EZ55" i="43"/>
  <c r="EC55" i="43"/>
  <c r="EG55" i="43"/>
  <c r="EK55" i="43"/>
  <c r="EA55" i="43"/>
  <c r="EE55" i="43"/>
  <c r="EI55" i="43"/>
  <c r="EM55" i="43"/>
  <c r="EQ55" i="43"/>
  <c r="EU55" i="43"/>
  <c r="EY55" i="43"/>
  <c r="ED55" i="43"/>
  <c r="EP55" i="43"/>
  <c r="EX55" i="43"/>
  <c r="EH55" i="43"/>
  <c r="ES55" i="43"/>
  <c r="EL55" i="43"/>
  <c r="ET55" i="43"/>
  <c r="DZ55" i="43"/>
  <c r="EO55" i="43"/>
  <c r="EW55" i="43"/>
  <c r="DZ53" i="43"/>
  <c r="ED53" i="43"/>
  <c r="EH53" i="43"/>
  <c r="EL53" i="43"/>
  <c r="EP53" i="43"/>
  <c r="ET53" i="43"/>
  <c r="EX53" i="43"/>
  <c r="EA53" i="43"/>
  <c r="EE53" i="43"/>
  <c r="EI53" i="43"/>
  <c r="EM53" i="43"/>
  <c r="EQ53" i="43"/>
  <c r="EU53" i="43"/>
  <c r="EY53" i="43"/>
  <c r="EC53" i="43"/>
  <c r="EG53" i="43"/>
  <c r="EK53" i="43"/>
  <c r="EO53" i="43"/>
  <c r="ES53" i="43"/>
  <c r="EW53" i="43"/>
  <c r="EJ53" i="43"/>
  <c r="EZ53" i="43"/>
  <c r="EN53" i="43"/>
  <c r="EB53" i="43"/>
  <c r="ER53" i="43"/>
  <c r="EF53" i="43"/>
  <c r="EV53" i="43"/>
  <c r="EB49" i="43"/>
  <c r="EF49" i="43"/>
  <c r="EJ49" i="43"/>
  <c r="EN49" i="43"/>
  <c r="ER49" i="43"/>
  <c r="EV49" i="43"/>
  <c r="EZ49" i="43"/>
  <c r="EC49" i="43"/>
  <c r="EG49" i="43"/>
  <c r="EK49" i="43"/>
  <c r="EO49" i="43"/>
  <c r="ES49" i="43"/>
  <c r="EW49" i="43"/>
  <c r="DZ49" i="43"/>
  <c r="ED49" i="43"/>
  <c r="EH49" i="43"/>
  <c r="EL49" i="43"/>
  <c r="EA49" i="43"/>
  <c r="EE49" i="43"/>
  <c r="EI49" i="43"/>
  <c r="EM49" i="43"/>
  <c r="EQ49" i="43"/>
  <c r="EU49" i="43"/>
  <c r="EY49" i="43"/>
  <c r="EP49" i="43"/>
  <c r="ET49" i="43"/>
  <c r="EX49" i="43"/>
  <c r="EA47" i="43"/>
  <c r="EE47" i="43"/>
  <c r="EI47" i="43"/>
  <c r="EM47" i="43"/>
  <c r="DZ47" i="43"/>
  <c r="EF47" i="43"/>
  <c r="EK47" i="43"/>
  <c r="EP47" i="43"/>
  <c r="ET47" i="43"/>
  <c r="EX47" i="43"/>
  <c r="EB47" i="43"/>
  <c r="EG47" i="43"/>
  <c r="EL47" i="43"/>
  <c r="EQ47" i="43"/>
  <c r="EU47" i="43"/>
  <c r="EY47" i="43"/>
  <c r="EC47" i="43"/>
  <c r="EH47" i="43"/>
  <c r="EN47" i="43"/>
  <c r="ER47" i="43"/>
  <c r="EV47" i="43"/>
  <c r="EZ47" i="43"/>
  <c r="ED47" i="43"/>
  <c r="EJ47" i="43"/>
  <c r="EO47" i="43"/>
  <c r="ES47" i="43"/>
  <c r="EW47" i="43"/>
  <c r="EA43" i="43"/>
  <c r="EE43" i="43"/>
  <c r="EI43" i="43"/>
  <c r="EM43" i="43"/>
  <c r="EQ43" i="43"/>
  <c r="EU43" i="43"/>
  <c r="EY43" i="43"/>
  <c r="EB43" i="43"/>
  <c r="EG43" i="43"/>
  <c r="EL43" i="43"/>
  <c r="ER43" i="43"/>
  <c r="EW43" i="43"/>
  <c r="EC43" i="43"/>
  <c r="EH43" i="43"/>
  <c r="EN43" i="43"/>
  <c r="ES43" i="43"/>
  <c r="EX43" i="43"/>
  <c r="ED43" i="43"/>
  <c r="EJ43" i="43"/>
  <c r="EO43" i="43"/>
  <c r="ET43" i="43"/>
  <c r="EZ43" i="43"/>
  <c r="DZ43" i="43"/>
  <c r="EF43" i="43"/>
  <c r="EK43" i="43"/>
  <c r="EP43" i="43"/>
  <c r="EV43" i="43"/>
  <c r="DZ41" i="43"/>
  <c r="ED41" i="43"/>
  <c r="EH41" i="43"/>
  <c r="EL41" i="43"/>
  <c r="EP41" i="43"/>
  <c r="ET41" i="43"/>
  <c r="EX41" i="43"/>
  <c r="EC41" i="43"/>
  <c r="EG41" i="43"/>
  <c r="EK41" i="43"/>
  <c r="EO41" i="43"/>
  <c r="ES41" i="43"/>
  <c r="EW41" i="43"/>
  <c r="EA41" i="43"/>
  <c r="EI41" i="43"/>
  <c r="EQ41" i="43"/>
  <c r="EY41" i="43"/>
  <c r="EB41" i="43"/>
  <c r="EJ41" i="43"/>
  <c r="ER41" i="43"/>
  <c r="EZ41" i="43"/>
  <c r="EE41" i="43"/>
  <c r="EM41" i="43"/>
  <c r="EU41" i="43"/>
  <c r="EF41" i="43"/>
  <c r="EN41" i="43"/>
  <c r="EV41" i="43"/>
  <c r="EB39" i="43"/>
  <c r="EF39" i="43"/>
  <c r="EJ39" i="43"/>
  <c r="EN39" i="43"/>
  <c r="ER39" i="43"/>
  <c r="EV39" i="43"/>
  <c r="EZ39" i="43"/>
  <c r="EA39" i="43"/>
  <c r="EE39" i="43"/>
  <c r="EI39" i="43"/>
  <c r="EM39" i="43"/>
  <c r="EQ39" i="43"/>
  <c r="EU39" i="43"/>
  <c r="EY39" i="43"/>
  <c r="EG39" i="43"/>
  <c r="EO39" i="43"/>
  <c r="EW39" i="43"/>
  <c r="DZ39" i="43"/>
  <c r="EH39" i="43"/>
  <c r="EP39" i="43"/>
  <c r="EX39" i="43"/>
  <c r="EC39" i="43"/>
  <c r="EK39" i="43"/>
  <c r="ES39" i="43"/>
  <c r="ED39" i="43"/>
  <c r="EL39" i="43"/>
  <c r="ET39" i="43"/>
  <c r="DZ37" i="43"/>
  <c r="ED37" i="43"/>
  <c r="EH37" i="43"/>
  <c r="EL37" i="43"/>
  <c r="EP37" i="43"/>
  <c r="ET37" i="43"/>
  <c r="EX37" i="43"/>
  <c r="EC37" i="43"/>
  <c r="EG37" i="43"/>
  <c r="EK37" i="43"/>
  <c r="EO37" i="43"/>
  <c r="ES37" i="43"/>
  <c r="EW37" i="43"/>
  <c r="EE37" i="43"/>
  <c r="EM37" i="43"/>
  <c r="EU37" i="43"/>
  <c r="EF37" i="43"/>
  <c r="EN37" i="43"/>
  <c r="EV37" i="43"/>
  <c r="EA37" i="43"/>
  <c r="EI37" i="43"/>
  <c r="EQ37" i="43"/>
  <c r="EY37" i="43"/>
  <c r="EB37" i="43"/>
  <c r="EJ37" i="43"/>
  <c r="ER37" i="43"/>
  <c r="EZ37" i="43"/>
  <c r="EA34" i="43"/>
  <c r="EE34" i="43"/>
  <c r="EI34" i="43"/>
  <c r="EM34" i="43"/>
  <c r="EQ34" i="43"/>
  <c r="EU34" i="43"/>
  <c r="EY34" i="43"/>
  <c r="EB34" i="43"/>
  <c r="EF34" i="43"/>
  <c r="EJ34" i="43"/>
  <c r="EN34" i="43"/>
  <c r="ER34" i="43"/>
  <c r="EV34" i="43"/>
  <c r="EZ34" i="43"/>
  <c r="DZ34" i="43"/>
  <c r="ED34" i="43"/>
  <c r="EH34" i="43"/>
  <c r="EL34" i="43"/>
  <c r="EP34" i="43"/>
  <c r="ET34" i="43"/>
  <c r="EX34" i="43"/>
  <c r="EG34" i="43"/>
  <c r="EW34" i="43"/>
  <c r="EK34" i="43"/>
  <c r="EO34" i="43"/>
  <c r="EC34" i="43"/>
  <c r="ES34" i="43"/>
  <c r="EC32" i="43"/>
  <c r="EG32" i="43"/>
  <c r="EK32" i="43"/>
  <c r="EO32" i="43"/>
  <c r="ES32" i="43"/>
  <c r="EW32" i="43"/>
  <c r="DZ32" i="43"/>
  <c r="ED32" i="43"/>
  <c r="EH32" i="43"/>
  <c r="EL32" i="43"/>
  <c r="EP32" i="43"/>
  <c r="ET32" i="43"/>
  <c r="EX32" i="43"/>
  <c r="EA32" i="43"/>
  <c r="EE32" i="43"/>
  <c r="EI32" i="43"/>
  <c r="EM32" i="43"/>
  <c r="EQ32" i="43"/>
  <c r="EU32" i="43"/>
  <c r="EY32" i="43"/>
  <c r="EB32" i="43"/>
  <c r="EF32" i="43"/>
  <c r="EJ32" i="43"/>
  <c r="EN32" i="43"/>
  <c r="ER32" i="43"/>
  <c r="EV32" i="43"/>
  <c r="EZ32" i="43"/>
  <c r="DZ30" i="43"/>
  <c r="ED30" i="43"/>
  <c r="EH30" i="43"/>
  <c r="EL30" i="43"/>
  <c r="EP30" i="43"/>
  <c r="ET30" i="43"/>
  <c r="EX30" i="43"/>
  <c r="EA30" i="43"/>
  <c r="EF30" i="43"/>
  <c r="EK30" i="43"/>
  <c r="EQ30" i="43"/>
  <c r="EV30" i="43"/>
  <c r="EB30" i="43"/>
  <c r="EG30" i="43"/>
  <c r="EM30" i="43"/>
  <c r="ER30" i="43"/>
  <c r="EW30" i="43"/>
  <c r="EC30" i="43"/>
  <c r="EI30" i="43"/>
  <c r="EN30" i="43"/>
  <c r="ES30" i="43"/>
  <c r="EY30" i="43"/>
  <c r="EE30" i="43"/>
  <c r="EJ30" i="43"/>
  <c r="EO30" i="43"/>
  <c r="EU30" i="43"/>
  <c r="EZ30" i="43"/>
  <c r="EB28" i="43"/>
  <c r="EF28" i="43"/>
  <c r="EJ28" i="43"/>
  <c r="EN28" i="43"/>
  <c r="ER28" i="43"/>
  <c r="EV28" i="43"/>
  <c r="EZ28" i="43"/>
  <c r="EA28" i="43"/>
  <c r="EG28" i="43"/>
  <c r="EL28" i="43"/>
  <c r="EQ28" i="43"/>
  <c r="EW28" i="43"/>
  <c r="EC28" i="43"/>
  <c r="EH28" i="43"/>
  <c r="EM28" i="43"/>
  <c r="ES28" i="43"/>
  <c r="EX28" i="43"/>
  <c r="ED28" i="43"/>
  <c r="EI28" i="43"/>
  <c r="EO28" i="43"/>
  <c r="ET28" i="43"/>
  <c r="EY28" i="43"/>
  <c r="DZ28" i="43"/>
  <c r="EE28" i="43"/>
  <c r="EK28" i="43"/>
  <c r="EP28" i="43"/>
  <c r="EU28" i="43"/>
  <c r="EC24" i="43"/>
  <c r="EG24" i="43"/>
  <c r="EK24" i="43"/>
  <c r="EO24" i="43"/>
  <c r="EB24" i="43"/>
  <c r="EF24" i="43"/>
  <c r="EJ24" i="43"/>
  <c r="EN24" i="43"/>
  <c r="ER24" i="43"/>
  <c r="EV24" i="43"/>
  <c r="EZ24" i="43"/>
  <c r="ED24" i="43"/>
  <c r="EL24" i="43"/>
  <c r="ES24" i="43"/>
  <c r="EX24" i="43"/>
  <c r="EE24" i="43"/>
  <c r="EM24" i="43"/>
  <c r="ET24" i="43"/>
  <c r="EY24" i="43"/>
  <c r="DZ24" i="43"/>
  <c r="EH24" i="43"/>
  <c r="EP24" i="43"/>
  <c r="EU24" i="43"/>
  <c r="EA24" i="43"/>
  <c r="EI24" i="43"/>
  <c r="EQ24" i="43"/>
  <c r="EW24" i="43"/>
  <c r="EB19" i="43"/>
  <c r="EF19" i="43"/>
  <c r="EJ19" i="43"/>
  <c r="EN19" i="43"/>
  <c r="ER19" i="43"/>
  <c r="EV19" i="43"/>
  <c r="EZ19" i="43"/>
  <c r="EC19" i="43"/>
  <c r="EG19" i="43"/>
  <c r="EK19" i="43"/>
  <c r="EA19" i="43"/>
  <c r="EE19" i="43"/>
  <c r="EI19" i="43"/>
  <c r="EM19" i="43"/>
  <c r="EQ19" i="43"/>
  <c r="EU19" i="43"/>
  <c r="EY19" i="43"/>
  <c r="EH19" i="43"/>
  <c r="ES19" i="43"/>
  <c r="EL19" i="43"/>
  <c r="ET19" i="43"/>
  <c r="DZ19" i="43"/>
  <c r="EO19" i="43"/>
  <c r="EW19" i="43"/>
  <c r="ED19" i="43"/>
  <c r="EP19" i="43"/>
  <c r="EX19" i="43"/>
  <c r="DZ17" i="43"/>
  <c r="ED17" i="43"/>
  <c r="EH17" i="43"/>
  <c r="EL17" i="43"/>
  <c r="EP17" i="43"/>
  <c r="ET17" i="43"/>
  <c r="EX17" i="43"/>
  <c r="EA17" i="43"/>
  <c r="EE17" i="43"/>
  <c r="EI17" i="43"/>
  <c r="EM17" i="43"/>
  <c r="EQ17" i="43"/>
  <c r="EU17" i="43"/>
  <c r="EY17" i="43"/>
  <c r="EB17" i="43"/>
  <c r="EF17" i="43"/>
  <c r="EJ17" i="43"/>
  <c r="EC17" i="43"/>
  <c r="EG17" i="43"/>
  <c r="EK17" i="43"/>
  <c r="EO17" i="43"/>
  <c r="ES17" i="43"/>
  <c r="EW17" i="43"/>
  <c r="EN17" i="43"/>
  <c r="ER17" i="43"/>
  <c r="EV17" i="43"/>
  <c r="EZ17" i="43"/>
  <c r="EB15" i="43"/>
  <c r="EF15" i="43"/>
  <c r="EJ15" i="43"/>
  <c r="EN15" i="43"/>
  <c r="ER15" i="43"/>
  <c r="EV15" i="43"/>
  <c r="EZ15" i="43"/>
  <c r="ED15" i="43"/>
  <c r="EI15" i="43"/>
  <c r="EO15" i="43"/>
  <c r="ET15" i="43"/>
  <c r="EY15" i="43"/>
  <c r="DZ15" i="43"/>
  <c r="EE15" i="43"/>
  <c r="EK15" i="43"/>
  <c r="EP15" i="43"/>
  <c r="EU15" i="43"/>
  <c r="EA15" i="43"/>
  <c r="EG15" i="43"/>
  <c r="EL15" i="43"/>
  <c r="EQ15" i="43"/>
  <c r="EW15" i="43"/>
  <c r="EC15" i="43"/>
  <c r="EH15" i="43"/>
  <c r="EM15" i="43"/>
  <c r="ES15" i="43"/>
  <c r="EX15" i="43"/>
  <c r="EA13" i="43"/>
  <c r="EE13" i="43"/>
  <c r="DZ13" i="43"/>
  <c r="ED13" i="43"/>
  <c r="EH13" i="43"/>
  <c r="EL13" i="43"/>
  <c r="EP13" i="43"/>
  <c r="ET13" i="43"/>
  <c r="EX13" i="43"/>
  <c r="EC13" i="43"/>
  <c r="EJ13" i="43"/>
  <c r="EO13" i="43"/>
  <c r="EU13" i="43"/>
  <c r="EZ13" i="43"/>
  <c r="EF13" i="43"/>
  <c r="EK13" i="43"/>
  <c r="EQ13" i="43"/>
  <c r="EV13" i="43"/>
  <c r="EG13" i="43"/>
  <c r="EM13" i="43"/>
  <c r="ER13" i="43"/>
  <c r="EW13" i="43"/>
  <c r="EB13" i="43"/>
  <c r="EI13" i="43"/>
  <c r="EN13" i="43"/>
  <c r="ES13" i="43"/>
  <c r="EY13" i="43"/>
  <c r="EC11" i="43"/>
  <c r="EG11" i="43"/>
  <c r="EK11" i="43"/>
  <c r="EO11" i="43"/>
  <c r="ES11" i="43"/>
  <c r="EW11" i="43"/>
  <c r="EB11" i="43"/>
  <c r="EF11" i="43"/>
  <c r="EJ11" i="43"/>
  <c r="EN11" i="43"/>
  <c r="ER11" i="43"/>
  <c r="EV11" i="43"/>
  <c r="EZ11" i="43"/>
  <c r="EA11" i="43"/>
  <c r="EI11" i="43"/>
  <c r="EQ11" i="43"/>
  <c r="EY11" i="43"/>
  <c r="ED11" i="43"/>
  <c r="EL11" i="43"/>
  <c r="ET11" i="43"/>
  <c r="EE11" i="43"/>
  <c r="EM11" i="43"/>
  <c r="EU11" i="43"/>
  <c r="DZ11" i="43"/>
  <c r="EH11" i="43"/>
  <c r="EP11" i="43"/>
  <c r="EX11" i="43"/>
  <c r="EA5" i="43"/>
  <c r="EE5" i="43"/>
  <c r="EI5" i="43"/>
  <c r="EM5" i="43"/>
  <c r="EQ5" i="43"/>
  <c r="EU5" i="43"/>
  <c r="EY5" i="43"/>
  <c r="EB5" i="43"/>
  <c r="EF5" i="43"/>
  <c r="EJ5" i="43"/>
  <c r="EN5" i="43"/>
  <c r="ER5" i="43"/>
  <c r="EV5" i="43"/>
  <c r="EZ5" i="43"/>
  <c r="EC5" i="43"/>
  <c r="EG5" i="43"/>
  <c r="EK5" i="43"/>
  <c r="EO5" i="43"/>
  <c r="ES5" i="43"/>
  <c r="EW5" i="43"/>
  <c r="DZ5" i="43"/>
  <c r="ED5" i="43"/>
  <c r="EH5" i="43"/>
  <c r="EL5" i="43"/>
  <c r="EP5" i="43"/>
  <c r="ET5" i="43"/>
  <c r="EX5" i="43"/>
  <c r="EB74" i="43"/>
  <c r="EF74" i="43"/>
  <c r="EJ74" i="43"/>
  <c r="EN74" i="43"/>
  <c r="ER74" i="43"/>
  <c r="EV74" i="43"/>
  <c r="EZ74" i="43"/>
  <c r="EC74" i="43"/>
  <c r="EG74" i="43"/>
  <c r="EK74" i="43"/>
  <c r="EO74" i="43"/>
  <c r="ES74" i="43"/>
  <c r="EW74" i="43"/>
  <c r="DZ74" i="43"/>
  <c r="ED74" i="43"/>
  <c r="EH74" i="43"/>
  <c r="EL74" i="43"/>
  <c r="EP74" i="43"/>
  <c r="ET74" i="43"/>
  <c r="EX74" i="43"/>
  <c r="EA74" i="43"/>
  <c r="EE74" i="43"/>
  <c r="EI74" i="43"/>
  <c r="EM74" i="43"/>
  <c r="EQ74" i="43"/>
  <c r="EU74" i="43"/>
  <c r="EY74" i="43"/>
  <c r="EA22" i="43"/>
  <c r="EE22" i="43"/>
  <c r="EI22" i="43"/>
  <c r="EM22" i="43"/>
  <c r="EQ22" i="43"/>
  <c r="EU22" i="43"/>
  <c r="EY22" i="43"/>
  <c r="DZ22" i="43"/>
  <c r="ED22" i="43"/>
  <c r="EH22" i="43"/>
  <c r="EL22" i="43"/>
  <c r="EP22" i="43"/>
  <c r="ET22" i="43"/>
  <c r="EX22" i="43"/>
  <c r="EB22" i="43"/>
  <c r="EJ22" i="43"/>
  <c r="ER22" i="43"/>
  <c r="EZ22" i="43"/>
  <c r="EC22" i="43"/>
  <c r="EK22" i="43"/>
  <c r="ES22" i="43"/>
  <c r="EF22" i="43"/>
  <c r="EN22" i="43"/>
  <c r="EV22" i="43"/>
  <c r="EG22" i="43"/>
  <c r="EO22" i="43"/>
  <c r="EW22" i="43"/>
  <c r="EB10" i="43"/>
  <c r="EF10" i="43"/>
  <c r="EJ10" i="43"/>
  <c r="EN10" i="43"/>
  <c r="ER10" i="43"/>
  <c r="EV10" i="43"/>
  <c r="EZ10" i="43"/>
  <c r="EA10" i="43"/>
  <c r="EE10" i="43"/>
  <c r="EI10" i="43"/>
  <c r="EM10" i="43"/>
  <c r="EQ10" i="43"/>
  <c r="EU10" i="43"/>
  <c r="EY10" i="43"/>
  <c r="ED10" i="43"/>
  <c r="EL10" i="43"/>
  <c r="ET10" i="43"/>
  <c r="EG10" i="43"/>
  <c r="EO10" i="43"/>
  <c r="EW10" i="43"/>
  <c r="DZ10" i="43"/>
  <c r="EH10" i="43"/>
  <c r="EP10" i="43"/>
  <c r="EX10" i="43"/>
  <c r="EC10" i="43"/>
  <c r="EK10" i="43"/>
  <c r="ES10" i="43"/>
  <c r="EA73" i="43"/>
  <c r="DZ73" i="43"/>
  <c r="EE73" i="43"/>
  <c r="EI73" i="43"/>
  <c r="EM73" i="43"/>
  <c r="EQ73" i="43"/>
  <c r="EU73" i="43"/>
  <c r="EY73" i="43"/>
  <c r="EB73" i="43"/>
  <c r="EF73" i="43"/>
  <c r="EJ73" i="43"/>
  <c r="EN73" i="43"/>
  <c r="ER73" i="43"/>
  <c r="EV73" i="43"/>
  <c r="EZ73" i="43"/>
  <c r="EC73" i="43"/>
  <c r="EG73" i="43"/>
  <c r="EK73" i="43"/>
  <c r="EO73" i="43"/>
  <c r="ES73" i="43"/>
  <c r="EW73" i="43"/>
  <c r="ED73" i="43"/>
  <c r="EH73" i="43"/>
  <c r="EL73" i="43"/>
  <c r="EP73" i="43"/>
  <c r="ET73" i="43"/>
  <c r="EX73" i="43"/>
  <c r="EA65" i="43"/>
  <c r="EE65" i="43"/>
  <c r="EI65" i="43"/>
  <c r="EM65" i="43"/>
  <c r="DZ65" i="43"/>
  <c r="ED65" i="43"/>
  <c r="EH65" i="43"/>
  <c r="EL65" i="43"/>
  <c r="EP65" i="43"/>
  <c r="ET65" i="43"/>
  <c r="EX65" i="43"/>
  <c r="EC65" i="43"/>
  <c r="EK65" i="43"/>
  <c r="ER65" i="43"/>
  <c r="EW65" i="43"/>
  <c r="EF65" i="43"/>
  <c r="EN65" i="43"/>
  <c r="ES65" i="43"/>
  <c r="EY65" i="43"/>
  <c r="EG65" i="43"/>
  <c r="EO65" i="43"/>
  <c r="EU65" i="43"/>
  <c r="EZ65" i="43"/>
  <c r="EB65" i="43"/>
  <c r="EJ65" i="43"/>
  <c r="EQ65" i="43"/>
  <c r="EV65" i="43"/>
  <c r="EC63" i="43"/>
  <c r="EG63" i="43"/>
  <c r="EK63" i="43"/>
  <c r="EO63" i="43"/>
  <c r="ES63" i="43"/>
  <c r="EW63" i="43"/>
  <c r="EB63" i="43"/>
  <c r="EF63" i="43"/>
  <c r="EJ63" i="43"/>
  <c r="EN63" i="43"/>
  <c r="ER63" i="43"/>
  <c r="EV63" i="43"/>
  <c r="EZ63" i="43"/>
  <c r="EA63" i="43"/>
  <c r="EI63" i="43"/>
  <c r="EQ63" i="43"/>
  <c r="EY63" i="43"/>
  <c r="ED63" i="43"/>
  <c r="EL63" i="43"/>
  <c r="ET63" i="43"/>
  <c r="EE63" i="43"/>
  <c r="EM63" i="43"/>
  <c r="EU63" i="43"/>
  <c r="DZ63" i="43"/>
  <c r="EH63" i="43"/>
  <c r="EP63" i="43"/>
  <c r="EX63" i="43"/>
  <c r="ES61" i="43"/>
  <c r="EQ61" i="43"/>
  <c r="ET61" i="43"/>
  <c r="EO61" i="43"/>
  <c r="EZ61" i="43"/>
  <c r="EP61" i="43"/>
  <c r="EN61" i="43"/>
  <c r="EV61" i="43"/>
  <c r="EY61" i="43"/>
  <c r="EW61" i="43"/>
  <c r="ER61" i="43"/>
  <c r="EU61" i="43"/>
  <c r="EX61" i="43"/>
  <c r="EA54" i="43"/>
  <c r="EE54" i="43"/>
  <c r="EI54" i="43"/>
  <c r="EM54" i="43"/>
  <c r="EQ54" i="43"/>
  <c r="EU54" i="43"/>
  <c r="EY54" i="43"/>
  <c r="EB54" i="43"/>
  <c r="EF54" i="43"/>
  <c r="EJ54" i="43"/>
  <c r="EN54" i="43"/>
  <c r="ER54" i="43"/>
  <c r="EV54" i="43"/>
  <c r="EZ54" i="43"/>
  <c r="DZ54" i="43"/>
  <c r="ED54" i="43"/>
  <c r="EH54" i="43"/>
  <c r="EL54" i="43"/>
  <c r="EP54" i="43"/>
  <c r="ET54" i="43"/>
  <c r="EX54" i="43"/>
  <c r="EO54" i="43"/>
  <c r="EC54" i="43"/>
  <c r="ES54" i="43"/>
  <c r="EG54" i="43"/>
  <c r="EW54" i="43"/>
  <c r="EK54" i="43"/>
  <c r="EA48" i="43"/>
  <c r="EE48" i="43"/>
  <c r="EI48" i="43"/>
  <c r="EM48" i="43"/>
  <c r="EQ48" i="43"/>
  <c r="EU48" i="43"/>
  <c r="EY48" i="43"/>
  <c r="EB48" i="43"/>
  <c r="EF48" i="43"/>
  <c r="EJ48" i="43"/>
  <c r="EN48" i="43"/>
  <c r="ER48" i="43"/>
  <c r="EV48" i="43"/>
  <c r="EZ48" i="43"/>
  <c r="EC48" i="43"/>
  <c r="EG48" i="43"/>
  <c r="EK48" i="43"/>
  <c r="EO48" i="43"/>
  <c r="ES48" i="43"/>
  <c r="EW48" i="43"/>
  <c r="DZ48" i="43"/>
  <c r="ED48" i="43"/>
  <c r="EH48" i="43"/>
  <c r="EL48" i="43"/>
  <c r="EP48" i="43"/>
  <c r="ET48" i="43"/>
  <c r="EX48" i="43"/>
  <c r="EA42" i="43"/>
  <c r="EE42" i="43"/>
  <c r="EI42" i="43"/>
  <c r="EM42" i="43"/>
  <c r="EQ42" i="43"/>
  <c r="EU42" i="43"/>
  <c r="EY42" i="43"/>
  <c r="DZ42" i="43"/>
  <c r="ED42" i="43"/>
  <c r="EH42" i="43"/>
  <c r="EL42" i="43"/>
  <c r="EP42" i="43"/>
  <c r="ET42" i="43"/>
  <c r="EX42" i="43"/>
  <c r="EF42" i="43"/>
  <c r="EN42" i="43"/>
  <c r="EV42" i="43"/>
  <c r="EG42" i="43"/>
  <c r="EO42" i="43"/>
  <c r="EW42" i="43"/>
  <c r="EB42" i="43"/>
  <c r="EJ42" i="43"/>
  <c r="ER42" i="43"/>
  <c r="EZ42" i="43"/>
  <c r="EC42" i="43"/>
  <c r="EK42" i="43"/>
  <c r="ES42" i="43"/>
  <c r="EA38" i="43"/>
  <c r="EE38" i="43"/>
  <c r="EI38" i="43"/>
  <c r="EM38" i="43"/>
  <c r="EQ38" i="43"/>
  <c r="EU38" i="43"/>
  <c r="EY38" i="43"/>
  <c r="DZ38" i="43"/>
  <c r="ED38" i="43"/>
  <c r="EH38" i="43"/>
  <c r="EL38" i="43"/>
  <c r="EP38" i="43"/>
  <c r="ET38" i="43"/>
  <c r="EX38" i="43"/>
  <c r="EB38" i="43"/>
  <c r="EJ38" i="43"/>
  <c r="ER38" i="43"/>
  <c r="EZ38" i="43"/>
  <c r="EC38" i="43"/>
  <c r="EK38" i="43"/>
  <c r="ES38" i="43"/>
  <c r="EF38" i="43"/>
  <c r="EN38" i="43"/>
  <c r="EV38" i="43"/>
  <c r="EG38" i="43"/>
  <c r="EO38" i="43"/>
  <c r="EW38" i="43"/>
  <c r="DZ33" i="43"/>
  <c r="ED33" i="43"/>
  <c r="EH33" i="43"/>
  <c r="EL33" i="43"/>
  <c r="EP33" i="43"/>
  <c r="ET33" i="43"/>
  <c r="EX33" i="43"/>
  <c r="EA33" i="43"/>
  <c r="EE33" i="43"/>
  <c r="EI33" i="43"/>
  <c r="EM33" i="43"/>
  <c r="EQ33" i="43"/>
  <c r="EU33" i="43"/>
  <c r="EY33" i="43"/>
  <c r="EC33" i="43"/>
  <c r="EG33" i="43"/>
  <c r="EK33" i="43"/>
  <c r="EO33" i="43"/>
  <c r="ES33" i="43"/>
  <c r="EW33" i="43"/>
  <c r="EB33" i="43"/>
  <c r="ER33" i="43"/>
  <c r="EF33" i="43"/>
  <c r="EV33" i="43"/>
  <c r="EJ33" i="43"/>
  <c r="EZ33" i="43"/>
  <c r="EN33" i="43"/>
  <c r="EC29" i="43"/>
  <c r="EG29" i="43"/>
  <c r="EK29" i="43"/>
  <c r="EO29" i="43"/>
  <c r="ES29" i="43"/>
  <c r="EW29" i="43"/>
  <c r="EA29" i="43"/>
  <c r="EF29" i="43"/>
  <c r="EL29" i="43"/>
  <c r="EQ29" i="43"/>
  <c r="EV29" i="43"/>
  <c r="EB29" i="43"/>
  <c r="EH29" i="43"/>
  <c r="EM29" i="43"/>
  <c r="ER29" i="43"/>
  <c r="EX29" i="43"/>
  <c r="ED29" i="43"/>
  <c r="EI29" i="43"/>
  <c r="EN29" i="43"/>
  <c r="ET29" i="43"/>
  <c r="EY29" i="43"/>
  <c r="DZ29" i="43"/>
  <c r="EE29" i="43"/>
  <c r="EJ29" i="43"/>
  <c r="EP29" i="43"/>
  <c r="EU29" i="43"/>
  <c r="EZ29" i="43"/>
  <c r="EC20" i="43"/>
  <c r="EG20" i="43"/>
  <c r="EK20" i="43"/>
  <c r="EO20" i="43"/>
  <c r="ES20" i="43"/>
  <c r="EW20" i="43"/>
  <c r="EB20" i="43"/>
  <c r="EF20" i="43"/>
  <c r="EJ20" i="43"/>
  <c r="EN20" i="43"/>
  <c r="ER20" i="43"/>
  <c r="EV20" i="43"/>
  <c r="EZ20" i="43"/>
  <c r="DZ20" i="43"/>
  <c r="EH20" i="43"/>
  <c r="EP20" i="43"/>
  <c r="EX20" i="43"/>
  <c r="EA20" i="43"/>
  <c r="EI20" i="43"/>
  <c r="EQ20" i="43"/>
  <c r="EY20" i="43"/>
  <c r="ED20" i="43"/>
  <c r="EL20" i="43"/>
  <c r="ET20" i="43"/>
  <c r="EE20" i="43"/>
  <c r="EM20" i="43"/>
  <c r="EU20" i="43"/>
  <c r="EA18" i="43"/>
  <c r="EE18" i="43"/>
  <c r="EI18" i="43"/>
  <c r="EM18" i="43"/>
  <c r="EQ18" i="43"/>
  <c r="EU18" i="43"/>
  <c r="EY18" i="43"/>
  <c r="EB18" i="43"/>
  <c r="EF18" i="43"/>
  <c r="EJ18" i="43"/>
  <c r="EN18" i="43"/>
  <c r="ER18" i="43"/>
  <c r="EV18" i="43"/>
  <c r="EZ18" i="43"/>
  <c r="DZ18" i="43"/>
  <c r="ED18" i="43"/>
  <c r="EH18" i="43"/>
  <c r="EL18" i="43"/>
  <c r="EP18" i="43"/>
  <c r="ET18" i="43"/>
  <c r="EX18" i="43"/>
  <c r="EC18" i="43"/>
  <c r="ES18" i="43"/>
  <c r="EG18" i="43"/>
  <c r="EW18" i="43"/>
  <c r="EK18" i="43"/>
  <c r="EO18" i="43"/>
  <c r="EC16" i="43"/>
  <c r="EG16" i="43"/>
  <c r="EK16" i="43"/>
  <c r="EO16" i="43"/>
  <c r="ED16" i="43"/>
  <c r="EI16" i="43"/>
  <c r="EN16" i="43"/>
  <c r="ES16" i="43"/>
  <c r="EW16" i="43"/>
  <c r="DZ16" i="43"/>
  <c r="EE16" i="43"/>
  <c r="EJ16" i="43"/>
  <c r="EP16" i="43"/>
  <c r="ET16" i="43"/>
  <c r="EX16" i="43"/>
  <c r="EA16" i="43"/>
  <c r="EF16" i="43"/>
  <c r="EL16" i="43"/>
  <c r="EQ16" i="43"/>
  <c r="EU16" i="43"/>
  <c r="EY16" i="43"/>
  <c r="EB16" i="43"/>
  <c r="EH16" i="43"/>
  <c r="EM16" i="43"/>
  <c r="ER16" i="43"/>
  <c r="EV16" i="43"/>
  <c r="EZ16" i="43"/>
  <c r="EA14" i="43"/>
  <c r="EE14" i="43"/>
  <c r="EI14" i="43"/>
  <c r="EM14" i="43"/>
  <c r="EQ14" i="43"/>
  <c r="EU14" i="43"/>
  <c r="EY14" i="43"/>
  <c r="ED14" i="43"/>
  <c r="EJ14" i="43"/>
  <c r="EO14" i="43"/>
  <c r="ET14" i="43"/>
  <c r="EZ14" i="43"/>
  <c r="DZ14" i="43"/>
  <c r="EF14" i="43"/>
  <c r="EK14" i="43"/>
  <c r="EP14" i="43"/>
  <c r="EV14" i="43"/>
  <c r="EB14" i="43"/>
  <c r="EG14" i="43"/>
  <c r="EL14" i="43"/>
  <c r="ER14" i="43"/>
  <c r="EW14" i="43"/>
  <c r="EC14" i="43"/>
  <c r="EH14" i="43"/>
  <c r="EN14" i="43"/>
  <c r="ES14" i="43"/>
  <c r="EX14" i="43"/>
  <c r="DZ12" i="43"/>
  <c r="ED12" i="43"/>
  <c r="EH12" i="43"/>
  <c r="EL12" i="43"/>
  <c r="EP12" i="43"/>
  <c r="ET12" i="43"/>
  <c r="EX12" i="43"/>
  <c r="EC12" i="43"/>
  <c r="EG12" i="43"/>
  <c r="EK12" i="43"/>
  <c r="EO12" i="43"/>
  <c r="ES12" i="43"/>
  <c r="EW12" i="43"/>
  <c r="EF12" i="43"/>
  <c r="EN12" i="43"/>
  <c r="EV12" i="43"/>
  <c r="EA12" i="43"/>
  <c r="EI12" i="43"/>
  <c r="EQ12" i="43"/>
  <c r="EY12" i="43"/>
  <c r="EB12" i="43"/>
  <c r="EJ12" i="43"/>
  <c r="ER12" i="43"/>
  <c r="EZ12" i="43"/>
  <c r="EE12" i="43"/>
  <c r="EM12" i="43"/>
  <c r="EU12" i="43"/>
  <c r="EA3" i="43"/>
  <c r="EE3" i="43"/>
  <c r="EI3" i="43"/>
  <c r="EM3" i="43"/>
  <c r="EQ3" i="43"/>
  <c r="EU3" i="43"/>
  <c r="EY3" i="43"/>
  <c r="EB3" i="43"/>
  <c r="EF3" i="43"/>
  <c r="EJ3" i="43"/>
  <c r="EN3" i="43"/>
  <c r="ER3" i="43"/>
  <c r="EV3" i="43"/>
  <c r="EZ3" i="43"/>
  <c r="EC3" i="43"/>
  <c r="EG3" i="43"/>
  <c r="EK3" i="43"/>
  <c r="EO3" i="43"/>
  <c r="ES3" i="43"/>
  <c r="EW3" i="43"/>
  <c r="DZ3" i="43"/>
  <c r="ED3" i="43"/>
  <c r="EH3" i="43"/>
  <c r="EL3" i="43"/>
  <c r="EP3" i="43"/>
  <c r="ET3" i="43"/>
  <c r="EX3" i="43"/>
  <c r="BU3" i="43"/>
  <c r="BU62" i="43"/>
  <c r="BV62" i="43" s="1"/>
  <c r="CH62" i="43"/>
  <c r="I62" i="43" s="1"/>
  <c r="CA62" i="43"/>
  <c r="CC62" i="43"/>
  <c r="BX62" i="43"/>
  <c r="BY62" i="43"/>
  <c r="CG62" i="43"/>
  <c r="CD62" i="43"/>
  <c r="CE62" i="43"/>
  <c r="BZ62" i="43"/>
  <c r="CB62" i="43"/>
  <c r="CF62" i="43"/>
  <c r="CU62" i="43"/>
  <c r="CP62" i="43"/>
  <c r="CK62" i="43"/>
  <c r="CR62" i="43"/>
  <c r="CQ62" i="43"/>
  <c r="CL62" i="43"/>
  <c r="CN62" i="43"/>
  <c r="CM62" i="43"/>
  <c r="CS62" i="43"/>
  <c r="CJ62" i="43"/>
  <c r="J62" i="43" s="1"/>
  <c r="CI62" i="43"/>
  <c r="CT62" i="43"/>
  <c r="CO62" i="43"/>
  <c r="CA61" i="43"/>
  <c r="CH61" i="43"/>
  <c r="I61" i="43" s="1"/>
  <c r="CE61" i="43"/>
  <c r="BY61" i="43"/>
  <c r="CG61" i="43"/>
  <c r="CB61" i="43"/>
  <c r="CD61" i="43"/>
  <c r="CF61" i="43"/>
  <c r="CC61" i="43"/>
  <c r="BZ61" i="43"/>
  <c r="BX61" i="43"/>
  <c r="CR61" i="43"/>
  <c r="CM61" i="43"/>
  <c r="CO61" i="43"/>
  <c r="CN61" i="43"/>
  <c r="CI61" i="43"/>
  <c r="CT61" i="43"/>
  <c r="CK61" i="43"/>
  <c r="CJ61" i="43"/>
  <c r="J61" i="43" s="1"/>
  <c r="CU61" i="43"/>
  <c r="CP61" i="43"/>
  <c r="CQ61" i="43"/>
  <c r="CL61" i="43"/>
  <c r="CS61" i="43"/>
  <c r="CA70" i="43"/>
  <c r="CH70" i="43"/>
  <c r="CP70" i="43"/>
  <c r="CO70" i="43"/>
  <c r="CJ70" i="43"/>
  <c r="CI70" i="43"/>
  <c r="CL70" i="43"/>
  <c r="CK70" i="43"/>
  <c r="CR70" i="43"/>
  <c r="CQ70" i="43"/>
  <c r="CT70" i="43"/>
  <c r="CS70" i="43"/>
  <c r="CN70" i="43"/>
  <c r="CM70" i="43"/>
  <c r="CU70" i="43"/>
  <c r="CC70" i="43"/>
  <c r="CB70" i="43"/>
  <c r="CG70" i="43"/>
  <c r="CD70" i="43"/>
  <c r="CF70" i="43"/>
  <c r="CE70" i="43"/>
  <c r="BW70" i="43"/>
  <c r="BX70" i="43"/>
  <c r="BV70" i="43"/>
  <c r="BY70" i="43"/>
  <c r="BZ70" i="43"/>
  <c r="CR63" i="43"/>
  <c r="BP63" i="43" s="1"/>
  <c r="CU63" i="43"/>
  <c r="BS63" i="43" s="1"/>
  <c r="CT63" i="43"/>
  <c r="BR63" i="43" s="1"/>
  <c r="CO63" i="43"/>
  <c r="BM63" i="43" s="1"/>
  <c r="CN63" i="43"/>
  <c r="BL63" i="43" s="1"/>
  <c r="CQ63" i="43"/>
  <c r="BO63" i="43" s="1"/>
  <c r="CP63" i="43"/>
  <c r="BN63" i="43" s="1"/>
  <c r="CK63" i="43"/>
  <c r="BI63" i="43" s="1"/>
  <c r="CJ63" i="43"/>
  <c r="BH63" i="43" s="1"/>
  <c r="CM63" i="43"/>
  <c r="BK63" i="43" s="1"/>
  <c r="CL63" i="43"/>
  <c r="BJ63" i="43" s="1"/>
  <c r="CI63" i="43"/>
  <c r="BG63" i="43" s="1"/>
  <c r="CS63" i="43"/>
  <c r="BQ63" i="43" s="1"/>
  <c r="CA18" i="43"/>
  <c r="CH18" i="43"/>
  <c r="CP18" i="43"/>
  <c r="CJ18" i="43"/>
  <c r="CI18" i="43"/>
  <c r="CL18" i="43"/>
  <c r="CR18" i="43"/>
  <c r="CT18" i="43"/>
  <c r="CN18" i="43"/>
  <c r="CM18" i="43"/>
  <c r="CO18" i="43"/>
  <c r="CQ18" i="43"/>
  <c r="CK18" i="43"/>
  <c r="CU18" i="43"/>
  <c r="CS18" i="43"/>
  <c r="CC18" i="43"/>
  <c r="CB18" i="43"/>
  <c r="CG18" i="43"/>
  <c r="CF18" i="43"/>
  <c r="CE18" i="43"/>
  <c r="CD18" i="43"/>
  <c r="BX18" i="43"/>
  <c r="BV18" i="43"/>
  <c r="BY18" i="43"/>
  <c r="BZ18" i="43"/>
  <c r="BW18" i="43"/>
  <c r="CA12" i="43"/>
  <c r="CH12" i="43"/>
  <c r="CT12" i="43"/>
  <c r="CS12" i="43"/>
  <c r="CP12" i="43"/>
  <c r="CL12" i="43"/>
  <c r="CR12" i="43"/>
  <c r="CQ12" i="43"/>
  <c r="CO12" i="43"/>
  <c r="CN12" i="43"/>
  <c r="CM12" i="43"/>
  <c r="CU12" i="43"/>
  <c r="CK12" i="43"/>
  <c r="CJ12" i="43"/>
  <c r="CI12" i="43"/>
  <c r="CB12" i="43"/>
  <c r="CD12" i="43"/>
  <c r="CF12" i="43"/>
  <c r="CC12" i="43"/>
  <c r="CG12" i="43"/>
  <c r="CE12" i="43"/>
  <c r="BY12" i="43"/>
  <c r="BV12" i="43"/>
  <c r="BZ12" i="43"/>
  <c r="BX12" i="43"/>
  <c r="BW12" i="43"/>
  <c r="CA21" i="43"/>
  <c r="CH21" i="43"/>
  <c r="CI21" i="43"/>
  <c r="CL21" i="43"/>
  <c r="CS21" i="43"/>
  <c r="CR21" i="43"/>
  <c r="CQ21" i="43"/>
  <c r="CT21" i="43"/>
  <c r="CO21" i="43"/>
  <c r="CN21" i="43"/>
  <c r="CM21" i="43"/>
  <c r="CP21" i="43"/>
  <c r="CK21" i="43"/>
  <c r="CJ21" i="43"/>
  <c r="CF21" i="43"/>
  <c r="CU21" i="43"/>
  <c r="CB21" i="43"/>
  <c r="CE21" i="43"/>
  <c r="CG21" i="43"/>
  <c r="CC21" i="43"/>
  <c r="CD21" i="43"/>
  <c r="BY21" i="43"/>
  <c r="BV21" i="43"/>
  <c r="BZ21" i="43"/>
  <c r="BX21" i="43"/>
  <c r="BW21" i="43"/>
  <c r="BW8" i="43"/>
  <c r="CA8" i="43"/>
  <c r="CE8" i="43"/>
  <c r="CI8" i="43"/>
  <c r="CM8" i="43"/>
  <c r="CQ8" i="43"/>
  <c r="CU8" i="43"/>
  <c r="BX8" i="43"/>
  <c r="CB8" i="43"/>
  <c r="CF8" i="43"/>
  <c r="CJ8" i="43"/>
  <c r="CN8" i="43"/>
  <c r="CR8" i="43"/>
  <c r="BY8" i="43"/>
  <c r="CC8" i="43"/>
  <c r="CG8" i="43"/>
  <c r="CK8" i="43"/>
  <c r="CO8" i="43"/>
  <c r="CS8" i="43"/>
  <c r="BV8" i="43"/>
  <c r="BZ8" i="43"/>
  <c r="CD8" i="43"/>
  <c r="CH8" i="43"/>
  <c r="CL8" i="43"/>
  <c r="CP8" i="43"/>
  <c r="CT8" i="43"/>
  <c r="CT9" i="43"/>
  <c r="CS9" i="43"/>
  <c r="CN9" i="43"/>
  <c r="CQ9" i="43"/>
  <c r="CP9" i="43"/>
  <c r="CO9" i="43"/>
  <c r="CJ9" i="43"/>
  <c r="CM9" i="43"/>
  <c r="CL9" i="43"/>
  <c r="CK9" i="43"/>
  <c r="CI9" i="43"/>
  <c r="CR9" i="43"/>
  <c r="CU9" i="43"/>
  <c r="CA9" i="43"/>
  <c r="CH9" i="43"/>
  <c r="CE9" i="43"/>
  <c r="CC9" i="43"/>
  <c r="BW9" i="43"/>
  <c r="BV9" i="43"/>
  <c r="CG9" i="43"/>
  <c r="BZ9" i="43"/>
  <c r="CD9" i="43"/>
  <c r="CF9" i="43"/>
  <c r="BX9" i="43"/>
  <c r="BY9" i="43"/>
  <c r="CB9" i="43"/>
  <c r="BW3" i="43"/>
  <c r="CA3" i="43"/>
  <c r="CE3" i="43"/>
  <c r="CI3" i="43"/>
  <c r="CM3" i="43"/>
  <c r="CQ3" i="43"/>
  <c r="CU3" i="43"/>
  <c r="BX3" i="43"/>
  <c r="CB3" i="43"/>
  <c r="CF3" i="43"/>
  <c r="CJ3" i="43"/>
  <c r="CN3" i="43"/>
  <c r="CR3" i="43"/>
  <c r="BY3" i="43"/>
  <c r="CC3" i="43"/>
  <c r="CG3" i="43"/>
  <c r="CK3" i="43"/>
  <c r="CO3" i="43"/>
  <c r="CS3" i="43"/>
  <c r="BV3" i="43"/>
  <c r="BZ3" i="43"/>
  <c r="CD3" i="43"/>
  <c r="CH3" i="43"/>
  <c r="CL3" i="43"/>
  <c r="CP3" i="43"/>
  <c r="CT3" i="43"/>
  <c r="CS73" i="43"/>
  <c r="BQ73" i="43" s="1"/>
  <c r="CQ73" i="43"/>
  <c r="BO73" i="43" s="1"/>
  <c r="CP73" i="43"/>
  <c r="BN73" i="43" s="1"/>
  <c r="CO73" i="43"/>
  <c r="BM73" i="43" s="1"/>
  <c r="CR73" i="43"/>
  <c r="BP73" i="43" s="1"/>
  <c r="CM73" i="43"/>
  <c r="BK73" i="43" s="1"/>
  <c r="CL73" i="43"/>
  <c r="BJ73" i="43" s="1"/>
  <c r="CK73" i="43"/>
  <c r="BI73" i="43" s="1"/>
  <c r="CN73" i="43"/>
  <c r="BL73" i="43" s="1"/>
  <c r="CI73" i="43"/>
  <c r="BG73" i="43" s="1"/>
  <c r="CJ73" i="43"/>
  <c r="BH73" i="43" s="1"/>
  <c r="CU73" i="43"/>
  <c r="BS73" i="43" s="1"/>
  <c r="CT73" i="43"/>
  <c r="BR73" i="43" s="1"/>
  <c r="CK65" i="43"/>
  <c r="BI65" i="43" s="1"/>
  <c r="CJ65" i="43"/>
  <c r="BH65" i="43" s="1"/>
  <c r="CU65" i="43"/>
  <c r="BS65" i="43" s="1"/>
  <c r="CT65" i="43"/>
  <c r="BR65" i="43" s="1"/>
  <c r="CQ65" i="43"/>
  <c r="BO65" i="43" s="1"/>
  <c r="CP65" i="43"/>
  <c r="BN65" i="43" s="1"/>
  <c r="CS65" i="43"/>
  <c r="BQ65" i="43" s="1"/>
  <c r="CR65" i="43"/>
  <c r="BP65" i="43" s="1"/>
  <c r="CM65" i="43"/>
  <c r="BK65" i="43" s="1"/>
  <c r="CL65" i="43"/>
  <c r="BJ65" i="43" s="1"/>
  <c r="CO65" i="43"/>
  <c r="BM65" i="43" s="1"/>
  <c r="CN65" i="43"/>
  <c r="BL65" i="43" s="1"/>
  <c r="CI65" i="43"/>
  <c r="BG65" i="43" s="1"/>
  <c r="CA54" i="43"/>
  <c r="CH54" i="43"/>
  <c r="CP54" i="43"/>
  <c r="CN54" i="43"/>
  <c r="CI54" i="43"/>
  <c r="CL54" i="43"/>
  <c r="CS54" i="43"/>
  <c r="CJ54" i="43"/>
  <c r="CO54" i="43"/>
  <c r="CQ54" i="43"/>
  <c r="CT54" i="43"/>
  <c r="CK54" i="43"/>
  <c r="CR54" i="43"/>
  <c r="CM54" i="43"/>
  <c r="CU54" i="43"/>
  <c r="CC54" i="43"/>
  <c r="CG54" i="43"/>
  <c r="CB54" i="43"/>
  <c r="CF54" i="43"/>
  <c r="CE54" i="43"/>
  <c r="CD54" i="43"/>
  <c r="BZ54" i="43"/>
  <c r="BW54" i="43"/>
  <c r="BX54" i="43"/>
  <c r="BV54" i="43"/>
  <c r="BY54" i="43"/>
  <c r="CA40" i="43"/>
  <c r="CH40" i="43"/>
  <c r="CM40" i="43"/>
  <c r="CS40" i="43"/>
  <c r="CR40" i="43"/>
  <c r="CI40" i="43"/>
  <c r="CT40" i="43"/>
  <c r="CO40" i="43"/>
  <c r="CN40" i="43"/>
  <c r="CP40" i="43"/>
  <c r="CK40" i="43"/>
  <c r="CJ40" i="43"/>
  <c r="CQ40" i="43"/>
  <c r="CL40" i="43"/>
  <c r="CU40" i="43"/>
  <c r="CC40" i="43"/>
  <c r="CB40" i="43"/>
  <c r="CG40" i="43"/>
  <c r="CD40" i="43"/>
  <c r="CF40" i="43"/>
  <c r="CE40" i="43"/>
  <c r="BX40" i="43"/>
  <c r="BW40" i="43"/>
  <c r="BY40" i="43"/>
  <c r="BV40" i="43"/>
  <c r="BZ40" i="43"/>
  <c r="CA16" i="43"/>
  <c r="CH16" i="43"/>
  <c r="CT16" i="43"/>
  <c r="CS16" i="43"/>
  <c r="CR16" i="43"/>
  <c r="CP16" i="43"/>
  <c r="CN16" i="43"/>
  <c r="CL16" i="43"/>
  <c r="CJ16" i="43"/>
  <c r="CK16" i="43"/>
  <c r="CM16" i="43"/>
  <c r="CI16" i="43"/>
  <c r="CO16" i="43"/>
  <c r="CQ16" i="43"/>
  <c r="CU16" i="43"/>
  <c r="CC16" i="43"/>
  <c r="CD16" i="43"/>
  <c r="CF16" i="43"/>
  <c r="CE16" i="43"/>
  <c r="CG16" i="43"/>
  <c r="CB16" i="43"/>
  <c r="BY16" i="43"/>
  <c r="BV16" i="43"/>
  <c r="BZ16" i="43"/>
  <c r="BX16" i="43"/>
  <c r="BW16" i="43"/>
  <c r="CT74" i="43"/>
  <c r="BR74" i="43" s="1"/>
  <c r="CS74" i="43"/>
  <c r="BQ74" i="43" s="1"/>
  <c r="CR74" i="43"/>
  <c r="BP74" i="43" s="1"/>
  <c r="CU74" i="43"/>
  <c r="BS74" i="43" s="1"/>
  <c r="CP74" i="43"/>
  <c r="BN74" i="43" s="1"/>
  <c r="CO74" i="43"/>
  <c r="BM74" i="43" s="1"/>
  <c r="CN74" i="43"/>
  <c r="BL74" i="43" s="1"/>
  <c r="CQ74" i="43"/>
  <c r="BO74" i="43" s="1"/>
  <c r="CM74" i="43"/>
  <c r="BK74" i="43" s="1"/>
  <c r="BY71" i="43"/>
  <c r="CC71" i="43"/>
  <c r="CG71" i="43"/>
  <c r="CK71" i="43"/>
  <c r="CO71" i="43"/>
  <c r="CS71" i="43"/>
  <c r="BV71" i="43"/>
  <c r="BZ71" i="43"/>
  <c r="CD71" i="43"/>
  <c r="CH71" i="43"/>
  <c r="CL71" i="43"/>
  <c r="CP71" i="43"/>
  <c r="CT71" i="43"/>
  <c r="BW71" i="43"/>
  <c r="CA71" i="43"/>
  <c r="CE71" i="43"/>
  <c r="CI71" i="43"/>
  <c r="CM71" i="43"/>
  <c r="CQ71" i="43"/>
  <c r="CU71" i="43"/>
  <c r="BX71" i="43"/>
  <c r="CB71" i="43"/>
  <c r="CF71" i="43"/>
  <c r="CJ71" i="43"/>
  <c r="CN71" i="43"/>
  <c r="CR71" i="43"/>
  <c r="CK66" i="43"/>
  <c r="BI66" i="43" s="1"/>
  <c r="CN66" i="43"/>
  <c r="BL66" i="43" s="1"/>
  <c r="CM66" i="43"/>
  <c r="BK66" i="43" s="1"/>
  <c r="CJ66" i="43"/>
  <c r="BH66" i="43" s="1"/>
  <c r="CI66" i="43"/>
  <c r="BG66" i="43" s="1"/>
  <c r="CT66" i="43"/>
  <c r="BR66" i="43" s="1"/>
  <c r="CS66" i="43"/>
  <c r="BQ66" i="43" s="1"/>
  <c r="CU66" i="43"/>
  <c r="BS66" i="43" s="1"/>
  <c r="CP66" i="43"/>
  <c r="BN66" i="43" s="1"/>
  <c r="CO66" i="43"/>
  <c r="BM66" i="43" s="1"/>
  <c r="CR66" i="43"/>
  <c r="BP66" i="43" s="1"/>
  <c r="CQ66" i="43"/>
  <c r="BO66" i="43" s="1"/>
  <c r="CL66" i="43"/>
  <c r="BJ66" i="43" s="1"/>
  <c r="CU64" i="43"/>
  <c r="BS64" i="43" s="1"/>
  <c r="CR64" i="43"/>
  <c r="BP64" i="43" s="1"/>
  <c r="CQ64" i="43"/>
  <c r="BO64" i="43" s="1"/>
  <c r="CT64" i="43"/>
  <c r="BR64" i="43" s="1"/>
  <c r="CS64" i="43"/>
  <c r="BQ64" i="43" s="1"/>
  <c r="CN64" i="43"/>
  <c r="BL64" i="43" s="1"/>
  <c r="CM64" i="43"/>
  <c r="BK64" i="43" s="1"/>
  <c r="CP64" i="43"/>
  <c r="BN64" i="43" s="1"/>
  <c r="CO64" i="43"/>
  <c r="BM64" i="43" s="1"/>
  <c r="CJ64" i="43"/>
  <c r="BH64" i="43" s="1"/>
  <c r="CI64" i="43"/>
  <c r="BG64" i="43" s="1"/>
  <c r="CL64" i="43"/>
  <c r="BJ64" i="43" s="1"/>
  <c r="CK64" i="43"/>
  <c r="BI64" i="43" s="1"/>
  <c r="CM55" i="43"/>
  <c r="BK55" i="43" s="1"/>
  <c r="CS55" i="43"/>
  <c r="BQ55" i="43" s="1"/>
  <c r="CR55" i="43"/>
  <c r="BP55" i="43" s="1"/>
  <c r="CI55" i="43"/>
  <c r="BG55" i="43" s="1"/>
  <c r="CT55" i="43"/>
  <c r="BR55" i="43" s="1"/>
  <c r="CO55" i="43"/>
  <c r="BM55" i="43" s="1"/>
  <c r="CN55" i="43"/>
  <c r="BL55" i="43" s="1"/>
  <c r="CU55" i="43"/>
  <c r="BS55" i="43" s="1"/>
  <c r="CP55" i="43"/>
  <c r="BN55" i="43" s="1"/>
  <c r="CK55" i="43"/>
  <c r="BI55" i="43" s="1"/>
  <c r="CJ55" i="43"/>
  <c r="BH55" i="43" s="1"/>
  <c r="CQ55" i="43"/>
  <c r="BO55" i="43" s="1"/>
  <c r="CL55" i="43"/>
  <c r="BJ55" i="43" s="1"/>
  <c r="CA53" i="43"/>
  <c r="CH53" i="43"/>
  <c r="CI53" i="43"/>
  <c r="CT53" i="43"/>
  <c r="CK53" i="43"/>
  <c r="CP53" i="43"/>
  <c r="CR53" i="43"/>
  <c r="CQ53" i="43"/>
  <c r="CL53" i="43"/>
  <c r="CS53" i="43"/>
  <c r="CN53" i="43"/>
  <c r="CM53" i="43"/>
  <c r="CO53" i="43"/>
  <c r="CJ53" i="43"/>
  <c r="CF53" i="43"/>
  <c r="CU53" i="43"/>
  <c r="CB53" i="43"/>
  <c r="CG53" i="43"/>
  <c r="CD53" i="43"/>
  <c r="CC53" i="43"/>
  <c r="CE53" i="43"/>
  <c r="BW53" i="43"/>
  <c r="BZ53" i="43"/>
  <c r="BX53" i="43"/>
  <c r="BY53" i="43"/>
  <c r="BV53" i="43"/>
  <c r="CA37" i="43"/>
  <c r="CH37" i="43"/>
  <c r="CT37" i="43"/>
  <c r="CS37" i="43"/>
  <c r="CR37" i="43"/>
  <c r="CP37" i="43"/>
  <c r="CO37" i="43"/>
  <c r="CN37" i="43"/>
  <c r="CL37" i="43"/>
  <c r="CJ37" i="43"/>
  <c r="CI37" i="43"/>
  <c r="CU37" i="43"/>
  <c r="CQ37" i="43"/>
  <c r="CK37" i="43"/>
  <c r="CM37" i="43"/>
  <c r="CB37" i="43"/>
  <c r="CD37" i="43"/>
  <c r="CE37" i="43"/>
  <c r="CF37" i="43"/>
  <c r="CC37" i="43"/>
  <c r="CG37" i="43"/>
  <c r="BY37" i="43"/>
  <c r="BV37" i="43"/>
  <c r="BZ37" i="43"/>
  <c r="BX37" i="43"/>
  <c r="BW37" i="43"/>
  <c r="CH30" i="43"/>
  <c r="CA30" i="43"/>
  <c r="CS30" i="43"/>
  <c r="CJ30" i="43"/>
  <c r="CQ30" i="43"/>
  <c r="CP30" i="43"/>
  <c r="CO30" i="43"/>
  <c r="CM30" i="43"/>
  <c r="CL30" i="43"/>
  <c r="CK30" i="43"/>
  <c r="CR30" i="43"/>
  <c r="CI30" i="43"/>
  <c r="CN30" i="43"/>
  <c r="CT30" i="43"/>
  <c r="CU30" i="43"/>
  <c r="CB30" i="43"/>
  <c r="CC30" i="43"/>
  <c r="CE30" i="43"/>
  <c r="CG30" i="43"/>
  <c r="CF30" i="43"/>
  <c r="CD30" i="43"/>
  <c r="BW30" i="43"/>
  <c r="BY30" i="43"/>
  <c r="BX30" i="43"/>
  <c r="BV30" i="43"/>
  <c r="BZ30" i="43"/>
  <c r="CA28" i="43"/>
  <c r="CH28" i="43"/>
  <c r="CI28" i="43"/>
  <c r="CS28" i="43"/>
  <c r="CR28" i="43"/>
  <c r="CQ28" i="43"/>
  <c r="CO28" i="43"/>
  <c r="CM28" i="43"/>
  <c r="CK28" i="43"/>
  <c r="CJ28" i="43"/>
  <c r="CL28" i="43"/>
  <c r="CT28" i="43"/>
  <c r="CE28" i="43"/>
  <c r="CG28" i="43"/>
  <c r="CP28" i="43"/>
  <c r="CU28" i="43"/>
  <c r="CN28" i="43"/>
  <c r="CD28" i="43"/>
  <c r="CF28" i="43"/>
  <c r="CB28" i="43"/>
  <c r="CC28" i="43"/>
  <c r="BX28" i="43"/>
  <c r="BY28" i="43"/>
  <c r="BV28" i="43"/>
  <c r="BW28" i="43"/>
  <c r="BZ28" i="43"/>
  <c r="CH19" i="43"/>
  <c r="I19" i="43" s="1"/>
  <c r="CA19" i="43"/>
  <c r="CS19" i="43"/>
  <c r="CM19" i="43"/>
  <c r="CP19" i="43"/>
  <c r="CO19" i="43"/>
  <c r="CI19" i="43"/>
  <c r="CL19" i="43"/>
  <c r="CK19" i="43"/>
  <c r="CQ19" i="43"/>
  <c r="CT19" i="43"/>
  <c r="CR19" i="43"/>
  <c r="CN19" i="43"/>
  <c r="CJ19" i="43"/>
  <c r="CU19" i="43"/>
  <c r="CD19" i="43"/>
  <c r="CC19" i="43"/>
  <c r="CG19" i="43"/>
  <c r="CE19" i="43"/>
  <c r="CB19" i="43"/>
  <c r="CF19" i="43"/>
  <c r="BY19" i="43"/>
  <c r="BX19" i="43"/>
  <c r="BV19" i="43"/>
  <c r="BZ19" i="43"/>
  <c r="BW19" i="43"/>
  <c r="CA17" i="43"/>
  <c r="CH17" i="43"/>
  <c r="CI17" i="43"/>
  <c r="CS17" i="43"/>
  <c r="CQ17" i="43"/>
  <c r="CO17" i="43"/>
  <c r="CM17" i="43"/>
  <c r="CK17" i="43"/>
  <c r="CJ17" i="43"/>
  <c r="CL17" i="43"/>
  <c r="CR17" i="43"/>
  <c r="CT17" i="43"/>
  <c r="CN17" i="43"/>
  <c r="CP17" i="43"/>
  <c r="CU17" i="43"/>
  <c r="CD17" i="43"/>
  <c r="CC17" i="43"/>
  <c r="CE17" i="43"/>
  <c r="CG17" i="43"/>
  <c r="CB17" i="43"/>
  <c r="CF17" i="43"/>
  <c r="BY17" i="43"/>
  <c r="BV17" i="43"/>
  <c r="BW17" i="43"/>
  <c r="BZ17" i="43"/>
  <c r="BX17" i="43"/>
  <c r="CH15" i="43"/>
  <c r="CA15" i="43"/>
  <c r="CM15" i="43"/>
  <c r="CP15" i="43"/>
  <c r="CO15" i="43"/>
  <c r="CI15" i="43"/>
  <c r="CQ15" i="43"/>
  <c r="CT15" i="43"/>
  <c r="CS15" i="43"/>
  <c r="CR15" i="43"/>
  <c r="CL15" i="43"/>
  <c r="CU15" i="43"/>
  <c r="CN15" i="43"/>
  <c r="CK15" i="43"/>
  <c r="CJ15" i="43"/>
  <c r="CB15" i="43"/>
  <c r="CD15" i="43"/>
  <c r="CC15" i="43"/>
  <c r="CE15" i="43"/>
  <c r="CG15" i="43"/>
  <c r="CF15" i="43"/>
  <c r="BY15" i="43"/>
  <c r="BX15" i="43"/>
  <c r="BV15" i="43"/>
  <c r="BZ15" i="43"/>
  <c r="BW15" i="43"/>
  <c r="CA13" i="43"/>
  <c r="CH13" i="43"/>
  <c r="CS13" i="43"/>
  <c r="CO13" i="43"/>
  <c r="CK13" i="43"/>
  <c r="CJ13" i="43"/>
  <c r="CI13" i="43"/>
  <c r="CL13" i="43"/>
  <c r="CN13" i="43"/>
  <c r="CU13" i="43"/>
  <c r="CQ13" i="43"/>
  <c r="CT13" i="43"/>
  <c r="CR13" i="43"/>
  <c r="CM13" i="43"/>
  <c r="CP13" i="43"/>
  <c r="CB13" i="43"/>
  <c r="CC13" i="43"/>
  <c r="CF13" i="43"/>
  <c r="CE13" i="43"/>
  <c r="CG13" i="43"/>
  <c r="CD13" i="43"/>
  <c r="BY13" i="43"/>
  <c r="BV13" i="43"/>
  <c r="BW13" i="43"/>
  <c r="BZ13" i="43"/>
  <c r="BX13" i="43"/>
  <c r="CH11" i="43"/>
  <c r="CA11" i="43"/>
  <c r="CM11" i="43"/>
  <c r="CP11" i="43"/>
  <c r="CI11" i="43"/>
  <c r="CQ11" i="43"/>
  <c r="CT11" i="43"/>
  <c r="CS11" i="43"/>
  <c r="CR11" i="43"/>
  <c r="CK11" i="43"/>
  <c r="CJ11" i="43"/>
  <c r="CL11" i="43"/>
  <c r="CO11" i="43"/>
  <c r="CN11" i="43"/>
  <c r="CU11" i="43"/>
  <c r="CD11" i="43"/>
  <c r="CC11" i="43"/>
  <c r="CE11" i="43"/>
  <c r="CF11" i="43"/>
  <c r="CG11" i="43"/>
  <c r="CB11" i="43"/>
  <c r="BY11" i="43"/>
  <c r="BX11" i="43"/>
  <c r="BV11" i="43"/>
  <c r="BZ11" i="43"/>
  <c r="BW11" i="43"/>
  <c r="CH67" i="43"/>
  <c r="CA67" i="43"/>
  <c r="CN67" i="43"/>
  <c r="CQ67" i="43"/>
  <c r="CP67" i="43"/>
  <c r="CK67" i="43"/>
  <c r="CJ67" i="43"/>
  <c r="CM67" i="43"/>
  <c r="CL67" i="43"/>
  <c r="CI67" i="43"/>
  <c r="CS67" i="43"/>
  <c r="CR67" i="43"/>
  <c r="CT67" i="43"/>
  <c r="CO67" i="43"/>
  <c r="CU67" i="43"/>
  <c r="CB67" i="43"/>
  <c r="CD67" i="43"/>
  <c r="CE67" i="43"/>
  <c r="CG67" i="43"/>
  <c r="CF67" i="43"/>
  <c r="CC67" i="43"/>
  <c r="BX67" i="43"/>
  <c r="BW67" i="43"/>
  <c r="BY67" i="43"/>
  <c r="BV67" i="43"/>
  <c r="BZ67" i="43"/>
  <c r="CH38" i="43"/>
  <c r="CA38" i="43"/>
  <c r="CS38" i="43"/>
  <c r="CJ38" i="43"/>
  <c r="CQ38" i="43"/>
  <c r="CP38" i="43"/>
  <c r="CO38" i="43"/>
  <c r="CM38" i="43"/>
  <c r="CL38" i="43"/>
  <c r="CK38" i="43"/>
  <c r="CR38" i="43"/>
  <c r="CI38" i="43"/>
  <c r="CN38" i="43"/>
  <c r="CT38" i="43"/>
  <c r="CU38" i="43"/>
  <c r="CD38" i="43"/>
  <c r="CC38" i="43"/>
  <c r="CG38" i="43"/>
  <c r="CB38" i="43"/>
  <c r="CF38" i="43"/>
  <c r="CE38" i="43"/>
  <c r="BZ38" i="43"/>
  <c r="BW38" i="43"/>
  <c r="BY38" i="43"/>
  <c r="BX38" i="43"/>
  <c r="BV38" i="43"/>
  <c r="CA29" i="43"/>
  <c r="CH29" i="43"/>
  <c r="CP29" i="43"/>
  <c r="CJ29" i="43"/>
  <c r="CI29" i="43"/>
  <c r="CL29" i="43"/>
  <c r="CS29" i="43"/>
  <c r="CQ29" i="43"/>
  <c r="CT29" i="43"/>
  <c r="CR29" i="43"/>
  <c r="CN29" i="43"/>
  <c r="CM29" i="43"/>
  <c r="CO29" i="43"/>
  <c r="CK29" i="43"/>
  <c r="CU29" i="43"/>
  <c r="CB29" i="43"/>
  <c r="CD29" i="43"/>
  <c r="CF29" i="43"/>
  <c r="CC29" i="43"/>
  <c r="CG29" i="43"/>
  <c r="CE29" i="43"/>
  <c r="BX29" i="43"/>
  <c r="BV29" i="43"/>
  <c r="BY29" i="43"/>
  <c r="BZ29" i="43"/>
  <c r="BW29" i="43"/>
  <c r="BY20" i="43"/>
  <c r="CC20" i="43"/>
  <c r="CG20" i="43"/>
  <c r="CK20" i="43"/>
  <c r="CO20" i="43"/>
  <c r="CS20" i="43"/>
  <c r="BV20" i="43"/>
  <c r="BZ20" i="43"/>
  <c r="CD20" i="43"/>
  <c r="CH20" i="43"/>
  <c r="CL20" i="43"/>
  <c r="CP20" i="43"/>
  <c r="CT20" i="43"/>
  <c r="BW20" i="43"/>
  <c r="CA20" i="43"/>
  <c r="CE20" i="43"/>
  <c r="CI20" i="43"/>
  <c r="CM20" i="43"/>
  <c r="CQ20" i="43"/>
  <c r="CU20" i="43"/>
  <c r="BX20" i="43"/>
  <c r="CB20" i="43"/>
  <c r="CF20" i="43"/>
  <c r="CJ20" i="43"/>
  <c r="CN20" i="43"/>
  <c r="CR20" i="43"/>
  <c r="CA14" i="43"/>
  <c r="CH14" i="43"/>
  <c r="CJ14" i="43"/>
  <c r="CI14" i="43"/>
  <c r="CR14" i="43"/>
  <c r="CN14" i="43"/>
  <c r="CM14" i="43"/>
  <c r="CP14" i="43"/>
  <c r="CO14" i="43"/>
  <c r="CT14" i="43"/>
  <c r="CS14" i="43"/>
  <c r="CL14" i="43"/>
  <c r="CK14" i="43"/>
  <c r="CQ14" i="43"/>
  <c r="CU14" i="43"/>
  <c r="CD14" i="43"/>
  <c r="CE14" i="43"/>
  <c r="CC14" i="43"/>
  <c r="CG14" i="43"/>
  <c r="CB14" i="43"/>
  <c r="CF14" i="43"/>
  <c r="BX14" i="43"/>
  <c r="BV14" i="43"/>
  <c r="BY14" i="43"/>
  <c r="BZ14" i="43"/>
  <c r="BW14" i="43"/>
  <c r="BW72" i="43"/>
  <c r="CA72" i="43"/>
  <c r="CE72" i="43"/>
  <c r="CI72" i="43"/>
  <c r="CM72" i="43"/>
  <c r="CQ72" i="43"/>
  <c r="CU72" i="43"/>
  <c r="BX72" i="43"/>
  <c r="CB72" i="43"/>
  <c r="CF72" i="43"/>
  <c r="CJ72" i="43"/>
  <c r="CN72" i="43"/>
  <c r="CR72" i="43"/>
  <c r="BY72" i="43"/>
  <c r="CC72" i="43"/>
  <c r="CG72" i="43"/>
  <c r="CK72" i="43"/>
  <c r="CO72" i="43"/>
  <c r="CS72" i="43"/>
  <c r="BV72" i="43"/>
  <c r="BZ72" i="43"/>
  <c r="CD72" i="43"/>
  <c r="CH72" i="43"/>
  <c r="CL72" i="43"/>
  <c r="CP72" i="43"/>
  <c r="CT72" i="43"/>
  <c r="BW22" i="43"/>
  <c r="CA22" i="43"/>
  <c r="CE22" i="43"/>
  <c r="CI22" i="43"/>
  <c r="CM22" i="43"/>
  <c r="CQ22" i="43"/>
  <c r="CU22" i="43"/>
  <c r="BX22" i="43"/>
  <c r="CB22" i="43"/>
  <c r="CF22" i="43"/>
  <c r="CJ22" i="43"/>
  <c r="CN22" i="43"/>
  <c r="CR22" i="43"/>
  <c r="BY22" i="43"/>
  <c r="CC22" i="43"/>
  <c r="CG22" i="43"/>
  <c r="CK22" i="43"/>
  <c r="CO22" i="43"/>
  <c r="CS22" i="43"/>
  <c r="BV22" i="43"/>
  <c r="BZ22" i="43"/>
  <c r="CD22" i="43"/>
  <c r="CH22" i="43"/>
  <c r="CL22" i="43"/>
  <c r="CP22" i="43"/>
  <c r="CT22" i="43"/>
  <c r="CA10" i="43"/>
  <c r="CH10" i="43"/>
  <c r="CJ10" i="43"/>
  <c r="CI10" i="43"/>
  <c r="CR10" i="43"/>
  <c r="CN10" i="43"/>
  <c r="CM10" i="43"/>
  <c r="CP10" i="43"/>
  <c r="CO10" i="43"/>
  <c r="CQ10" i="43"/>
  <c r="CT10" i="43"/>
  <c r="CS10" i="43"/>
  <c r="CU10" i="43"/>
  <c r="CL10" i="43"/>
  <c r="CK10" i="43"/>
  <c r="CG10" i="43"/>
  <c r="CB10" i="43"/>
  <c r="CF10" i="43"/>
  <c r="CE10" i="43"/>
  <c r="CC10" i="43"/>
  <c r="CD10" i="43"/>
  <c r="BX10" i="43"/>
  <c r="BY10" i="43"/>
  <c r="BZ10" i="43"/>
  <c r="BV10" i="43"/>
  <c r="BW10" i="43"/>
  <c r="BY5" i="43"/>
  <c r="CC5" i="43"/>
  <c r="CG5" i="43"/>
  <c r="CK5" i="43"/>
  <c r="CO5" i="43"/>
  <c r="CS5" i="43"/>
  <c r="BV5" i="43"/>
  <c r="BZ5" i="43"/>
  <c r="CD5" i="43"/>
  <c r="CH5" i="43"/>
  <c r="CL5" i="43"/>
  <c r="CP5" i="43"/>
  <c r="CT5" i="43"/>
  <c r="BW5" i="43"/>
  <c r="CA5" i="43"/>
  <c r="CE5" i="43"/>
  <c r="CI5" i="43"/>
  <c r="CM5" i="43"/>
  <c r="CQ5" i="43"/>
  <c r="CU5" i="43"/>
  <c r="BX5" i="43"/>
  <c r="CB5" i="43"/>
  <c r="CF5" i="43"/>
  <c r="CJ5" i="43"/>
  <c r="CN5" i="43"/>
  <c r="CR5" i="43"/>
  <c r="BU2" i="43"/>
  <c r="Q2" i="43"/>
  <c r="DP72" i="43"/>
  <c r="DT72" i="43"/>
  <c r="DX72" i="43"/>
  <c r="DR72" i="43"/>
  <c r="DV72" i="43"/>
  <c r="DU72" i="43"/>
  <c r="DO72" i="43"/>
  <c r="DW72" i="43"/>
  <c r="DQ72" i="43"/>
  <c r="DB72" i="43"/>
  <c r="DF72" i="43"/>
  <c r="DJ72" i="43"/>
  <c r="DN72" i="43"/>
  <c r="CY72" i="43"/>
  <c r="DC72" i="43"/>
  <c r="DG72" i="43"/>
  <c r="DK72" i="43"/>
  <c r="DS72" i="43"/>
  <c r="CZ72" i="43"/>
  <c r="DD72" i="43"/>
  <c r="DH72" i="43"/>
  <c r="DL72" i="43"/>
  <c r="DE72" i="43"/>
  <c r="DI72" i="43"/>
  <c r="DM72" i="43"/>
  <c r="DA72" i="43"/>
  <c r="DP74" i="43"/>
  <c r="DT74" i="43"/>
  <c r="DX74" i="43"/>
  <c r="DR74" i="43"/>
  <c r="DV74" i="43"/>
  <c r="DQ74" i="43"/>
  <c r="DS74" i="43"/>
  <c r="DU74" i="43"/>
  <c r="DO74" i="43"/>
  <c r="DB74" i="43"/>
  <c r="DF74" i="43"/>
  <c r="DJ74" i="43"/>
  <c r="DN74" i="43"/>
  <c r="DW74" i="43"/>
  <c r="CY74" i="43"/>
  <c r="DC74" i="43"/>
  <c r="DG74" i="43"/>
  <c r="DK74" i="43"/>
  <c r="CZ74" i="43"/>
  <c r="DD74" i="43"/>
  <c r="DH74" i="43"/>
  <c r="DL74" i="43"/>
  <c r="DE74" i="43"/>
  <c r="DI74" i="43"/>
  <c r="DM74" i="43"/>
  <c r="DA74" i="43"/>
  <c r="DO67" i="43"/>
  <c r="DS67" i="43"/>
  <c r="DW67" i="43"/>
  <c r="DP67" i="43"/>
  <c r="DT67" i="43"/>
  <c r="DU67" i="43"/>
  <c r="DQ67" i="43"/>
  <c r="DX67" i="43"/>
  <c r="DV67" i="43"/>
  <c r="DR67" i="43"/>
  <c r="DB67" i="43"/>
  <c r="DF67" i="43"/>
  <c r="DJ67" i="43"/>
  <c r="DN67" i="43"/>
  <c r="CY67" i="43"/>
  <c r="DC67" i="43"/>
  <c r="DG67" i="43"/>
  <c r="DK67" i="43"/>
  <c r="CZ67" i="43"/>
  <c r="DD67" i="43"/>
  <c r="DH67" i="43"/>
  <c r="DL67" i="43"/>
  <c r="DE67" i="43"/>
  <c r="DI67" i="43"/>
  <c r="DM67" i="43"/>
  <c r="DA67" i="43"/>
  <c r="DO63" i="43"/>
  <c r="DS63" i="43"/>
  <c r="DW63" i="43"/>
  <c r="DP63" i="43"/>
  <c r="DT63" i="43"/>
  <c r="DX63" i="43"/>
  <c r="DU63" i="43"/>
  <c r="DQ63" i="43"/>
  <c r="DR63" i="43"/>
  <c r="DV63" i="43"/>
  <c r="DB63" i="43"/>
  <c r="DF63" i="43"/>
  <c r="DJ63" i="43"/>
  <c r="DN63" i="43"/>
  <c r="CY63" i="43"/>
  <c r="DC63" i="43"/>
  <c r="DG63" i="43"/>
  <c r="DK63" i="43"/>
  <c r="CZ63" i="43"/>
  <c r="DD63" i="43"/>
  <c r="DH63" i="43"/>
  <c r="DL63" i="43"/>
  <c r="DE63" i="43"/>
  <c r="DI63" i="43"/>
  <c r="DM63" i="43"/>
  <c r="DA63" i="43"/>
  <c r="DQ54" i="43"/>
  <c r="DU54" i="43"/>
  <c r="DO54" i="43"/>
  <c r="DS54" i="43"/>
  <c r="DW54" i="43"/>
  <c r="DP54" i="43"/>
  <c r="DT54" i="43"/>
  <c r="DX54" i="43"/>
  <c r="DR54" i="43"/>
  <c r="DV54" i="43"/>
  <c r="DB54" i="43"/>
  <c r="DF54" i="43"/>
  <c r="DJ54" i="43"/>
  <c r="DN54" i="43"/>
  <c r="CY54" i="43"/>
  <c r="DC54" i="43"/>
  <c r="DG54" i="43"/>
  <c r="DK54" i="43"/>
  <c r="CZ54" i="43"/>
  <c r="DD54" i="43"/>
  <c r="DH54" i="43"/>
  <c r="DL54" i="43"/>
  <c r="DE54" i="43"/>
  <c r="DI54" i="43"/>
  <c r="DM54" i="43"/>
  <c r="DA54" i="43"/>
  <c r="DQ48" i="43"/>
  <c r="DU48" i="43"/>
  <c r="DO48" i="43"/>
  <c r="DS48" i="43"/>
  <c r="DW48" i="43"/>
  <c r="DP48" i="43"/>
  <c r="DT48" i="43"/>
  <c r="DX48" i="43"/>
  <c r="DR48" i="43"/>
  <c r="DV48" i="43"/>
  <c r="DB48" i="43"/>
  <c r="DF48" i="43"/>
  <c r="DJ48" i="43"/>
  <c r="DN48" i="43"/>
  <c r="CY48" i="43"/>
  <c r="DC48" i="43"/>
  <c r="DG48" i="43"/>
  <c r="DK48" i="43"/>
  <c r="CZ48" i="43"/>
  <c r="DD48" i="43"/>
  <c r="DH48" i="43"/>
  <c r="DL48" i="43"/>
  <c r="DE48" i="43"/>
  <c r="DI48" i="43"/>
  <c r="DM48" i="43"/>
  <c r="DA48" i="43"/>
  <c r="DP42" i="43"/>
  <c r="DT42" i="43"/>
  <c r="DO42" i="43"/>
  <c r="DU42" i="43"/>
  <c r="DR42" i="43"/>
  <c r="DW42" i="43"/>
  <c r="DS42" i="43"/>
  <c r="DX42" i="43"/>
  <c r="DV42" i="43"/>
  <c r="DQ42" i="43"/>
  <c r="DB42" i="43"/>
  <c r="DF42" i="43"/>
  <c r="DJ42" i="43"/>
  <c r="DN42" i="43"/>
  <c r="DA42" i="43"/>
  <c r="DG42" i="43"/>
  <c r="DL42" i="43"/>
  <c r="DC42" i="43"/>
  <c r="DH42" i="43"/>
  <c r="DM42" i="43"/>
  <c r="CY42" i="43"/>
  <c r="DD42" i="43"/>
  <c r="DI42" i="43"/>
  <c r="DE42" i="43"/>
  <c r="DK42" i="43"/>
  <c r="CZ42" i="43"/>
  <c r="CX36" i="43"/>
  <c r="DP36" i="43"/>
  <c r="DT36" i="43"/>
  <c r="DX36" i="43"/>
  <c r="DQ36" i="43"/>
  <c r="DV36" i="43"/>
  <c r="DS36" i="43"/>
  <c r="DO36" i="43"/>
  <c r="DU36" i="43"/>
  <c r="DW36" i="43"/>
  <c r="DR36" i="43"/>
  <c r="DB36" i="43"/>
  <c r="I241" i="45" s="1"/>
  <c r="DF36" i="43"/>
  <c r="M241" i="45" s="1"/>
  <c r="DJ36" i="43"/>
  <c r="Q241" i="45" s="1"/>
  <c r="DN36" i="43"/>
  <c r="DA36" i="43"/>
  <c r="H241" i="45" s="1"/>
  <c r="DG36" i="43"/>
  <c r="N241" i="45" s="1"/>
  <c r="DL36" i="43"/>
  <c r="S241" i="45" s="1"/>
  <c r="DC36" i="43"/>
  <c r="J241" i="45" s="1"/>
  <c r="DH36" i="43"/>
  <c r="O241" i="45" s="1"/>
  <c r="DM36" i="43"/>
  <c r="T241" i="45" s="1"/>
  <c r="CY36" i="43"/>
  <c r="F241" i="45" s="1"/>
  <c r="DD36" i="43"/>
  <c r="K241" i="45" s="1"/>
  <c r="DI36" i="43"/>
  <c r="P241" i="45" s="1"/>
  <c r="CZ36" i="43"/>
  <c r="G241" i="45" s="1"/>
  <c r="DE36" i="43"/>
  <c r="L241" i="45" s="1"/>
  <c r="DK36" i="43"/>
  <c r="R241" i="45" s="1"/>
  <c r="DR31" i="43"/>
  <c r="DV31" i="43"/>
  <c r="DS31" i="43"/>
  <c r="DX31" i="43"/>
  <c r="DP31" i="43"/>
  <c r="DU31" i="43"/>
  <c r="DQ31" i="43"/>
  <c r="DW31" i="43"/>
  <c r="DO31" i="43"/>
  <c r="CZ31" i="43"/>
  <c r="G223" i="45" s="1"/>
  <c r="DD31" i="43"/>
  <c r="K223" i="45" s="1"/>
  <c r="DH31" i="43"/>
  <c r="O223" i="45" s="1"/>
  <c r="DL31" i="43"/>
  <c r="S223" i="45" s="1"/>
  <c r="DT31" i="43"/>
  <c r="DA31" i="43"/>
  <c r="H223" i="45" s="1"/>
  <c r="DE31" i="43"/>
  <c r="L223" i="45" s="1"/>
  <c r="DI31" i="43"/>
  <c r="P223" i="45" s="1"/>
  <c r="DM31" i="43"/>
  <c r="T223" i="45" s="1"/>
  <c r="DB31" i="43"/>
  <c r="I223" i="45" s="1"/>
  <c r="DF31" i="43"/>
  <c r="M223" i="45" s="1"/>
  <c r="DJ31" i="43"/>
  <c r="Q223" i="45" s="1"/>
  <c r="DN31" i="43"/>
  <c r="DG31" i="43"/>
  <c r="N223" i="45" s="1"/>
  <c r="DK31" i="43"/>
  <c r="R223" i="45" s="1"/>
  <c r="CY31" i="43"/>
  <c r="F223" i="45" s="1"/>
  <c r="DC31" i="43"/>
  <c r="J223" i="45" s="1"/>
  <c r="DQ10" i="43"/>
  <c r="DU10" i="43"/>
  <c r="DR10" i="43"/>
  <c r="DW10" i="43"/>
  <c r="DO10" i="43"/>
  <c r="DT10" i="43"/>
  <c r="DP10" i="43"/>
  <c r="DV10" i="43"/>
  <c r="DS10" i="43"/>
  <c r="DX10" i="43"/>
  <c r="DA10" i="43"/>
  <c r="DE10" i="43"/>
  <c r="DI10" i="43"/>
  <c r="DM10" i="43"/>
  <c r="CY10" i="43"/>
  <c r="DC10" i="43"/>
  <c r="DG10" i="43"/>
  <c r="DK10" i="43"/>
  <c r="DF10" i="43"/>
  <c r="DN10" i="43"/>
  <c r="CZ10" i="43"/>
  <c r="DH10" i="43"/>
  <c r="DB10" i="43"/>
  <c r="DJ10" i="43"/>
  <c r="DD10" i="43"/>
  <c r="DL10" i="43"/>
  <c r="DR5" i="43"/>
  <c r="DV5" i="43"/>
  <c r="DQ5" i="43"/>
  <c r="DU5" i="43"/>
  <c r="DT5" i="43"/>
  <c r="DP5" i="43"/>
  <c r="DX5" i="43"/>
  <c r="DS5" i="43"/>
  <c r="DO5" i="43"/>
  <c r="DW5" i="43"/>
  <c r="DA5" i="43"/>
  <c r="DE5" i="43"/>
  <c r="DI5" i="43"/>
  <c r="DM5" i="43"/>
  <c r="CY5" i="43"/>
  <c r="DC5" i="43"/>
  <c r="DG5" i="43"/>
  <c r="DK5" i="43"/>
  <c r="DF5" i="43"/>
  <c r="DN5" i="43"/>
  <c r="CZ5" i="43"/>
  <c r="DH5" i="43"/>
  <c r="DB5" i="43"/>
  <c r="DJ5" i="43"/>
  <c r="DD5" i="43"/>
  <c r="DL5" i="43"/>
  <c r="DP68" i="43"/>
  <c r="DT68" i="43"/>
  <c r="DX68" i="43"/>
  <c r="DR68" i="43"/>
  <c r="DV68" i="43"/>
  <c r="DU68" i="43"/>
  <c r="DO68" i="43"/>
  <c r="DW68" i="43"/>
  <c r="DQ68" i="43"/>
  <c r="DB68" i="43"/>
  <c r="DF68" i="43"/>
  <c r="DJ68" i="43"/>
  <c r="DN68" i="43"/>
  <c r="DS68" i="43"/>
  <c r="CY68" i="43"/>
  <c r="DC68" i="43"/>
  <c r="DG68" i="43"/>
  <c r="DK68" i="43"/>
  <c r="CZ68" i="43"/>
  <c r="DD68" i="43"/>
  <c r="DH68" i="43"/>
  <c r="DL68" i="43"/>
  <c r="DE68" i="43"/>
  <c r="DI68" i="43"/>
  <c r="DM68" i="43"/>
  <c r="DA68" i="43"/>
  <c r="G64" i="43"/>
  <c r="DQ64" i="43"/>
  <c r="DU64" i="43"/>
  <c r="DR64" i="43"/>
  <c r="DV64" i="43"/>
  <c r="DS64" i="43"/>
  <c r="DO64" i="43"/>
  <c r="DW64" i="43"/>
  <c r="DT64" i="43"/>
  <c r="DX64" i="43"/>
  <c r="DB64" i="43"/>
  <c r="DF64" i="43"/>
  <c r="DJ64" i="43"/>
  <c r="DN64" i="43"/>
  <c r="CY64" i="43"/>
  <c r="DC64" i="43"/>
  <c r="DG64" i="43"/>
  <c r="DK64" i="43"/>
  <c r="DP64" i="43"/>
  <c r="CZ64" i="43"/>
  <c r="DD64" i="43"/>
  <c r="DH64" i="43"/>
  <c r="DL64" i="43"/>
  <c r="DE64" i="43"/>
  <c r="DI64" i="43"/>
  <c r="DM64" i="43"/>
  <c r="DA64" i="43"/>
  <c r="CX62" i="43"/>
  <c r="DQ62" i="43"/>
  <c r="DU62" i="43"/>
  <c r="DR62" i="43"/>
  <c r="DV62" i="43"/>
  <c r="DO62" i="43"/>
  <c r="DW62" i="43"/>
  <c r="DS62" i="43"/>
  <c r="DX62" i="43"/>
  <c r="DP62" i="43"/>
  <c r="DB62" i="43"/>
  <c r="DF62" i="43"/>
  <c r="DJ62" i="43"/>
  <c r="DN62" i="43"/>
  <c r="DT62" i="43"/>
  <c r="CY62" i="43"/>
  <c r="DC62" i="43"/>
  <c r="DG62" i="43"/>
  <c r="DK62" i="43"/>
  <c r="CZ62" i="43"/>
  <c r="DD62" i="43"/>
  <c r="DH62" i="43"/>
  <c r="DL62" i="43"/>
  <c r="DE62" i="43"/>
  <c r="DI62" i="43"/>
  <c r="DM62" i="43"/>
  <c r="DA62" i="43"/>
  <c r="DO55" i="43"/>
  <c r="DS55" i="43"/>
  <c r="DW55" i="43"/>
  <c r="DQ55" i="43"/>
  <c r="DU55" i="43"/>
  <c r="DR55" i="43"/>
  <c r="DV55" i="43"/>
  <c r="DP55" i="43"/>
  <c r="DX55" i="43"/>
  <c r="DT55" i="43"/>
  <c r="DB55" i="43"/>
  <c r="DF55" i="43"/>
  <c r="DJ55" i="43"/>
  <c r="DN55" i="43"/>
  <c r="CY55" i="43"/>
  <c r="DC55" i="43"/>
  <c r="DG55" i="43"/>
  <c r="DK55" i="43"/>
  <c r="CZ55" i="43"/>
  <c r="DD55" i="43"/>
  <c r="DH55" i="43"/>
  <c r="DL55" i="43"/>
  <c r="DE55" i="43"/>
  <c r="DI55" i="43"/>
  <c r="DM55" i="43"/>
  <c r="DA55" i="43"/>
  <c r="G49" i="43"/>
  <c r="C318" i="45" s="1"/>
  <c r="DO49" i="43"/>
  <c r="DS49" i="43"/>
  <c r="DW49" i="43"/>
  <c r="DQ49" i="43"/>
  <c r="DU49" i="43"/>
  <c r="DR49" i="43"/>
  <c r="DV49" i="43"/>
  <c r="DT49" i="43"/>
  <c r="DX49" i="43"/>
  <c r="DP49" i="43"/>
  <c r="DB49" i="43"/>
  <c r="DF49" i="43"/>
  <c r="DJ49" i="43"/>
  <c r="DN49" i="43"/>
  <c r="CY49" i="43"/>
  <c r="DC49" i="43"/>
  <c r="DG49" i="43"/>
  <c r="DK49" i="43"/>
  <c r="CZ49" i="43"/>
  <c r="DD49" i="43"/>
  <c r="DH49" i="43"/>
  <c r="DL49" i="43"/>
  <c r="DE49" i="43"/>
  <c r="DI49" i="43"/>
  <c r="DM49" i="43"/>
  <c r="DA49" i="43"/>
  <c r="DR41" i="43"/>
  <c r="DV41" i="43"/>
  <c r="DO41" i="43"/>
  <c r="DT41" i="43"/>
  <c r="DQ41" i="43"/>
  <c r="DW41" i="43"/>
  <c r="DS41" i="43"/>
  <c r="DX41" i="43"/>
  <c r="DP41" i="43"/>
  <c r="DU41" i="43"/>
  <c r="DB41" i="43"/>
  <c r="DF41" i="43"/>
  <c r="DJ41" i="43"/>
  <c r="DN41" i="43"/>
  <c r="DA41" i="43"/>
  <c r="DG41" i="43"/>
  <c r="DL41" i="43"/>
  <c r="DC41" i="43"/>
  <c r="DH41" i="43"/>
  <c r="DM41" i="43"/>
  <c r="CY41" i="43"/>
  <c r="DD41" i="43"/>
  <c r="DI41" i="43"/>
  <c r="CZ41" i="43"/>
  <c r="DE41" i="43"/>
  <c r="DK41" i="43"/>
  <c r="D41" i="45"/>
  <c r="DR37" i="43"/>
  <c r="DV37" i="43"/>
  <c r="DQ37" i="43"/>
  <c r="DW37" i="43"/>
  <c r="DO37" i="43"/>
  <c r="DT37" i="43"/>
  <c r="DP37" i="43"/>
  <c r="DU37" i="43"/>
  <c r="DS37" i="43"/>
  <c r="DX37" i="43"/>
  <c r="DB37" i="43"/>
  <c r="I247" i="45" s="1"/>
  <c r="DF37" i="43"/>
  <c r="M247" i="45" s="1"/>
  <c r="DJ37" i="43"/>
  <c r="Q247" i="45" s="1"/>
  <c r="DN37" i="43"/>
  <c r="DA37" i="43"/>
  <c r="H247" i="45" s="1"/>
  <c r="DG37" i="43"/>
  <c r="DL37" i="43"/>
  <c r="S247" i="45" s="1"/>
  <c r="DC37" i="43"/>
  <c r="DH37" i="43"/>
  <c r="O247" i="45" s="1"/>
  <c r="DM37" i="43"/>
  <c r="CY37" i="43"/>
  <c r="F247" i="45" s="1"/>
  <c r="DD37" i="43"/>
  <c r="K247" i="45" s="1"/>
  <c r="DI37" i="43"/>
  <c r="P247" i="45" s="1"/>
  <c r="CZ37" i="43"/>
  <c r="DE37" i="43"/>
  <c r="L247" i="45" s="1"/>
  <c r="DK37" i="43"/>
  <c r="R247" i="45" s="1"/>
  <c r="DP30" i="43"/>
  <c r="DT30" i="43"/>
  <c r="DX30" i="43"/>
  <c r="DR30" i="43"/>
  <c r="DW30" i="43"/>
  <c r="DO30" i="43"/>
  <c r="DU30" i="43"/>
  <c r="DQ30" i="43"/>
  <c r="DV30" i="43"/>
  <c r="DS30" i="43"/>
  <c r="CZ30" i="43"/>
  <c r="DD30" i="43"/>
  <c r="DH30" i="43"/>
  <c r="DL30" i="43"/>
  <c r="DA30" i="43"/>
  <c r="DE30" i="43"/>
  <c r="DI30" i="43"/>
  <c r="DM30" i="43"/>
  <c r="DB30" i="43"/>
  <c r="DF30" i="43"/>
  <c r="DJ30" i="43"/>
  <c r="DN30" i="43"/>
  <c r="DG30" i="43"/>
  <c r="DK30" i="43"/>
  <c r="CY30" i="43"/>
  <c r="DC30" i="43"/>
  <c r="CX24" i="43"/>
  <c r="DP24" i="43"/>
  <c r="DT24" i="43"/>
  <c r="DX24" i="43"/>
  <c r="DS24" i="43"/>
  <c r="DQ24" i="43"/>
  <c r="DV24" i="43"/>
  <c r="DR24" i="43"/>
  <c r="DW24" i="43"/>
  <c r="DO24" i="43"/>
  <c r="DU24" i="43"/>
  <c r="CZ24" i="43"/>
  <c r="DD24" i="43"/>
  <c r="DH24" i="43"/>
  <c r="DL24" i="43"/>
  <c r="DA24" i="43"/>
  <c r="DE24" i="43"/>
  <c r="DI24" i="43"/>
  <c r="DM24" i="43"/>
  <c r="DB24" i="43"/>
  <c r="DF24" i="43"/>
  <c r="DJ24" i="43"/>
  <c r="DN24" i="43"/>
  <c r="DG24" i="43"/>
  <c r="DK24" i="43"/>
  <c r="CY24" i="43"/>
  <c r="DC24" i="43"/>
  <c r="DP20" i="43"/>
  <c r="DT20" i="43"/>
  <c r="DX20" i="43"/>
  <c r="DQ20" i="43"/>
  <c r="DV20" i="43"/>
  <c r="DS20" i="43"/>
  <c r="DO20" i="43"/>
  <c r="DU20" i="43"/>
  <c r="DR20" i="43"/>
  <c r="DW20" i="43"/>
  <c r="CZ20" i="43"/>
  <c r="DD20" i="43"/>
  <c r="DH20" i="43"/>
  <c r="DL20" i="43"/>
  <c r="DA20" i="43"/>
  <c r="DE20" i="43"/>
  <c r="DI20" i="43"/>
  <c r="DM20" i="43"/>
  <c r="DB20" i="43"/>
  <c r="DF20" i="43"/>
  <c r="DJ20" i="43"/>
  <c r="DN20" i="43"/>
  <c r="DG20" i="43"/>
  <c r="DK20" i="43"/>
  <c r="CY20" i="43"/>
  <c r="DC20" i="43"/>
  <c r="DO14" i="43"/>
  <c r="DS14" i="43"/>
  <c r="DW14" i="43"/>
  <c r="DP14" i="43"/>
  <c r="DU14" i="43"/>
  <c r="DR14" i="43"/>
  <c r="DX14" i="43"/>
  <c r="DT14" i="43"/>
  <c r="DV14" i="43"/>
  <c r="DQ14" i="43"/>
  <c r="DA14" i="43"/>
  <c r="CY14" i="43"/>
  <c r="DD14" i="43"/>
  <c r="DH14" i="43"/>
  <c r="DL14" i="43"/>
  <c r="CZ14" i="43"/>
  <c r="DE14" i="43"/>
  <c r="DI14" i="43"/>
  <c r="DM14" i="43"/>
  <c r="DB14" i="43"/>
  <c r="DF14" i="43"/>
  <c r="DJ14" i="43"/>
  <c r="DN14" i="43"/>
  <c r="DG14" i="43"/>
  <c r="DK14" i="43"/>
  <c r="DC14" i="43"/>
  <c r="DR73" i="43"/>
  <c r="DV73" i="43"/>
  <c r="DP73" i="43"/>
  <c r="DT73" i="43"/>
  <c r="DX73" i="43"/>
  <c r="DS73" i="43"/>
  <c r="DU73" i="43"/>
  <c r="DO73" i="43"/>
  <c r="DW73" i="43"/>
  <c r="DB73" i="43"/>
  <c r="DF73" i="43"/>
  <c r="DJ73" i="43"/>
  <c r="DN73" i="43"/>
  <c r="CY73" i="43"/>
  <c r="DC73" i="43"/>
  <c r="DG73" i="43"/>
  <c r="DK73" i="43"/>
  <c r="CZ73" i="43"/>
  <c r="DD73" i="43"/>
  <c r="DH73" i="43"/>
  <c r="DL73" i="43"/>
  <c r="DE73" i="43"/>
  <c r="DQ73" i="43"/>
  <c r="DI73" i="43"/>
  <c r="DM73" i="43"/>
  <c r="DA73" i="43"/>
  <c r="DQ66" i="43"/>
  <c r="DU66" i="43"/>
  <c r="DR66" i="43"/>
  <c r="DV66" i="43"/>
  <c r="DO66" i="43"/>
  <c r="DW66" i="43"/>
  <c r="DS66" i="43"/>
  <c r="DP66" i="43"/>
  <c r="DT66" i="43"/>
  <c r="DX66" i="43"/>
  <c r="DB66" i="43"/>
  <c r="DF66" i="43"/>
  <c r="DJ66" i="43"/>
  <c r="DN66" i="43"/>
  <c r="CY66" i="43"/>
  <c r="DC66" i="43"/>
  <c r="DG66" i="43"/>
  <c r="DK66" i="43"/>
  <c r="CZ66" i="43"/>
  <c r="DD66" i="43"/>
  <c r="DH66" i="43"/>
  <c r="DL66" i="43"/>
  <c r="DE66" i="43"/>
  <c r="DI66" i="43"/>
  <c r="DM66" i="43"/>
  <c r="DA66" i="43"/>
  <c r="DQ60" i="43"/>
  <c r="DU60" i="43"/>
  <c r="DR60" i="43"/>
  <c r="DV60" i="43"/>
  <c r="DS60" i="43"/>
  <c r="DO60" i="43"/>
  <c r="DW60" i="43"/>
  <c r="DP60" i="43"/>
  <c r="DT60" i="43"/>
  <c r="DX60" i="43"/>
  <c r="DB60" i="43"/>
  <c r="DF60" i="43"/>
  <c r="DJ60" i="43"/>
  <c r="DN60" i="43"/>
  <c r="CY60" i="43"/>
  <c r="DC60" i="43"/>
  <c r="DG60" i="43"/>
  <c r="DK60" i="43"/>
  <c r="CZ60" i="43"/>
  <c r="DD60" i="43"/>
  <c r="DH60" i="43"/>
  <c r="DL60" i="43"/>
  <c r="DE60" i="43"/>
  <c r="DI60" i="43"/>
  <c r="DM60" i="43"/>
  <c r="DA60" i="43"/>
  <c r="G53" i="43"/>
  <c r="C330" i="45" s="1"/>
  <c r="DO53" i="43"/>
  <c r="DS53" i="43"/>
  <c r="DW53" i="43"/>
  <c r="DQ53" i="43"/>
  <c r="DU53" i="43"/>
  <c r="DR53" i="43"/>
  <c r="DV53" i="43"/>
  <c r="DP53" i="43"/>
  <c r="DT53" i="43"/>
  <c r="DX53" i="43"/>
  <c r="DB53" i="43"/>
  <c r="DF53" i="43"/>
  <c r="DJ53" i="43"/>
  <c r="DN53" i="43"/>
  <c r="CY53" i="43"/>
  <c r="DC53" i="43"/>
  <c r="DG53" i="43"/>
  <c r="DK53" i="43"/>
  <c r="CZ53" i="43"/>
  <c r="DD53" i="43"/>
  <c r="DH53" i="43"/>
  <c r="DL53" i="43"/>
  <c r="DE53" i="43"/>
  <c r="DI53" i="43"/>
  <c r="DM53" i="43"/>
  <c r="DA53" i="43"/>
  <c r="DO47" i="43"/>
  <c r="DS47" i="43"/>
  <c r="DW47" i="43"/>
  <c r="DQ47" i="43"/>
  <c r="DU47" i="43"/>
  <c r="DR47" i="43"/>
  <c r="DV47" i="43"/>
  <c r="DX47" i="43"/>
  <c r="DT47" i="43"/>
  <c r="DP47" i="43"/>
  <c r="DB47" i="43"/>
  <c r="DF47" i="43"/>
  <c r="DJ47" i="43"/>
  <c r="DN47" i="43"/>
  <c r="CY47" i="43"/>
  <c r="DC47" i="43"/>
  <c r="DG47" i="43"/>
  <c r="DK47" i="43"/>
  <c r="CZ47" i="43"/>
  <c r="DD47" i="43"/>
  <c r="DH47" i="43"/>
  <c r="DL47" i="43"/>
  <c r="DE47" i="43"/>
  <c r="DI47" i="43"/>
  <c r="DM47" i="43"/>
  <c r="DA47" i="43"/>
  <c r="DO43" i="43"/>
  <c r="DS43" i="43"/>
  <c r="DW43" i="43"/>
  <c r="DQ43" i="43"/>
  <c r="DU43" i="43"/>
  <c r="DR43" i="43"/>
  <c r="DV43" i="43"/>
  <c r="DP43" i="43"/>
  <c r="DT43" i="43"/>
  <c r="DB43" i="43"/>
  <c r="DF43" i="43"/>
  <c r="DJ43" i="43"/>
  <c r="DN43" i="43"/>
  <c r="DX43" i="43"/>
  <c r="DA43" i="43"/>
  <c r="DG43" i="43"/>
  <c r="DL43" i="43"/>
  <c r="DC43" i="43"/>
  <c r="DH43" i="43"/>
  <c r="DM43" i="43"/>
  <c r="CY43" i="43"/>
  <c r="DD43" i="43"/>
  <c r="DI43" i="43"/>
  <c r="DK43" i="43"/>
  <c r="CZ43" i="43"/>
  <c r="DE43" i="43"/>
  <c r="DR39" i="43"/>
  <c r="DV39" i="43"/>
  <c r="DS39" i="43"/>
  <c r="DX39" i="43"/>
  <c r="DP39" i="43"/>
  <c r="DU39" i="43"/>
  <c r="DQ39" i="43"/>
  <c r="DW39" i="43"/>
  <c r="DO39" i="43"/>
  <c r="DT39" i="43"/>
  <c r="DB39" i="43"/>
  <c r="DF39" i="43"/>
  <c r="DJ39" i="43"/>
  <c r="DN39" i="43"/>
  <c r="DA39" i="43"/>
  <c r="DG39" i="43"/>
  <c r="DL39" i="43"/>
  <c r="DC39" i="43"/>
  <c r="DH39" i="43"/>
  <c r="DM39" i="43"/>
  <c r="CY39" i="43"/>
  <c r="DD39" i="43"/>
  <c r="DI39" i="43"/>
  <c r="DK39" i="43"/>
  <c r="CZ39" i="43"/>
  <c r="DE39" i="43"/>
  <c r="DP34" i="43"/>
  <c r="DT34" i="43"/>
  <c r="DX34" i="43"/>
  <c r="DO34" i="43"/>
  <c r="DU34" i="43"/>
  <c r="DR34" i="43"/>
  <c r="DW34" i="43"/>
  <c r="DS34" i="43"/>
  <c r="DV34" i="43"/>
  <c r="DQ34" i="43"/>
  <c r="DA34" i="43"/>
  <c r="H253" i="45" s="1"/>
  <c r="DE34" i="43"/>
  <c r="L253" i="45" s="1"/>
  <c r="DI34" i="43"/>
  <c r="P253" i="45" s="1"/>
  <c r="DM34" i="43"/>
  <c r="T253" i="45" s="1"/>
  <c r="DB34" i="43"/>
  <c r="I253" i="45" s="1"/>
  <c r="DF34" i="43"/>
  <c r="M253" i="45" s="1"/>
  <c r="DJ34" i="43"/>
  <c r="Q253" i="45" s="1"/>
  <c r="DN34" i="43"/>
  <c r="DC34" i="43"/>
  <c r="J253" i="45" s="1"/>
  <c r="DK34" i="43"/>
  <c r="R253" i="45" s="1"/>
  <c r="DD34" i="43"/>
  <c r="K253" i="45" s="1"/>
  <c r="DL34" i="43"/>
  <c r="S253" i="45" s="1"/>
  <c r="CY34" i="43"/>
  <c r="F253" i="45" s="1"/>
  <c r="DG34" i="43"/>
  <c r="N253" i="45" s="1"/>
  <c r="CZ34" i="43"/>
  <c r="G253" i="45" s="1"/>
  <c r="DH34" i="43"/>
  <c r="O253" i="45" s="1"/>
  <c r="DP32" i="43"/>
  <c r="DT32" i="43"/>
  <c r="DX32" i="43"/>
  <c r="DS32" i="43"/>
  <c r="DQ32" i="43"/>
  <c r="DV32" i="43"/>
  <c r="DR32" i="43"/>
  <c r="DW32" i="43"/>
  <c r="DU32" i="43"/>
  <c r="DO32" i="43"/>
  <c r="CZ32" i="43"/>
  <c r="G229" i="45" s="1"/>
  <c r="DD32" i="43"/>
  <c r="K229" i="45" s="1"/>
  <c r="DH32" i="43"/>
  <c r="O229" i="45" s="1"/>
  <c r="DL32" i="43"/>
  <c r="S229" i="45" s="1"/>
  <c r="DA32" i="43"/>
  <c r="H229" i="45" s="1"/>
  <c r="DE32" i="43"/>
  <c r="L229" i="45" s="1"/>
  <c r="DI32" i="43"/>
  <c r="P229" i="45" s="1"/>
  <c r="DM32" i="43"/>
  <c r="T229" i="45" s="1"/>
  <c r="DB32" i="43"/>
  <c r="I229" i="45" s="1"/>
  <c r="DF32" i="43"/>
  <c r="M229" i="45" s="1"/>
  <c r="DJ32" i="43"/>
  <c r="Q229" i="45" s="1"/>
  <c r="DN32" i="43"/>
  <c r="DG32" i="43"/>
  <c r="N229" i="45" s="1"/>
  <c r="DK32" i="43"/>
  <c r="R229" i="45" s="1"/>
  <c r="CY32" i="43"/>
  <c r="F229" i="45" s="1"/>
  <c r="DC32" i="43"/>
  <c r="J229" i="45" s="1"/>
  <c r="DP28" i="43"/>
  <c r="DT28" i="43"/>
  <c r="DX28" i="43"/>
  <c r="DQ28" i="43"/>
  <c r="DV28" i="43"/>
  <c r="DS28" i="43"/>
  <c r="DO28" i="43"/>
  <c r="DU28" i="43"/>
  <c r="DR28" i="43"/>
  <c r="DW28" i="43"/>
  <c r="CZ28" i="43"/>
  <c r="DD28" i="43"/>
  <c r="DH28" i="43"/>
  <c r="DL28" i="43"/>
  <c r="DA28" i="43"/>
  <c r="DE28" i="43"/>
  <c r="DI28" i="43"/>
  <c r="DM28" i="43"/>
  <c r="DB28" i="43"/>
  <c r="DF28" i="43"/>
  <c r="DJ28" i="43"/>
  <c r="DN28" i="43"/>
  <c r="DG28" i="43"/>
  <c r="DK28" i="43"/>
  <c r="CY28" i="43"/>
  <c r="DC28" i="43"/>
  <c r="DR21" i="43"/>
  <c r="DV21" i="43"/>
  <c r="DQ21" i="43"/>
  <c r="DW21" i="43"/>
  <c r="DO21" i="43"/>
  <c r="DT21" i="43"/>
  <c r="DP21" i="43"/>
  <c r="DU21" i="43"/>
  <c r="DX21" i="43"/>
  <c r="DS21" i="43"/>
  <c r="CZ21" i="43"/>
  <c r="DD21" i="43"/>
  <c r="DH21" i="43"/>
  <c r="DL21" i="43"/>
  <c r="DA21" i="43"/>
  <c r="DE21" i="43"/>
  <c r="DI21" i="43"/>
  <c r="DM21" i="43"/>
  <c r="DB21" i="43"/>
  <c r="DF21" i="43"/>
  <c r="DJ21" i="43"/>
  <c r="DN21" i="43"/>
  <c r="DG21" i="43"/>
  <c r="DK21" i="43"/>
  <c r="CY21" i="43"/>
  <c r="DC21" i="43"/>
  <c r="DP18" i="43"/>
  <c r="DT18" i="43"/>
  <c r="DX18" i="43"/>
  <c r="DO18" i="43"/>
  <c r="DU18" i="43"/>
  <c r="DR18" i="43"/>
  <c r="DW18" i="43"/>
  <c r="DS18" i="43"/>
  <c r="DQ18" i="43"/>
  <c r="CZ18" i="43"/>
  <c r="DD18" i="43"/>
  <c r="DH18" i="43"/>
  <c r="DL18" i="43"/>
  <c r="DA18" i="43"/>
  <c r="DE18" i="43"/>
  <c r="DI18" i="43"/>
  <c r="DM18" i="43"/>
  <c r="DB18" i="43"/>
  <c r="DF18" i="43"/>
  <c r="DJ18" i="43"/>
  <c r="DN18" i="43"/>
  <c r="DG18" i="43"/>
  <c r="DV18" i="43"/>
  <c r="DK18" i="43"/>
  <c r="CY18" i="43"/>
  <c r="DC18" i="43"/>
  <c r="DR16" i="43"/>
  <c r="DP16" i="43"/>
  <c r="DT16" i="43"/>
  <c r="DX16" i="43"/>
  <c r="DQ16" i="43"/>
  <c r="DS16" i="43"/>
  <c r="DV16" i="43"/>
  <c r="DO16" i="43"/>
  <c r="DW16" i="43"/>
  <c r="CZ16" i="43"/>
  <c r="DD16" i="43"/>
  <c r="DH16" i="43"/>
  <c r="DL16" i="43"/>
  <c r="DA16" i="43"/>
  <c r="DE16" i="43"/>
  <c r="DI16" i="43"/>
  <c r="DM16" i="43"/>
  <c r="DU16" i="43"/>
  <c r="DB16" i="43"/>
  <c r="DF16" i="43"/>
  <c r="DJ16" i="43"/>
  <c r="DN16" i="43"/>
  <c r="DG16" i="43"/>
  <c r="DK16" i="43"/>
  <c r="CY16" i="43"/>
  <c r="DC16" i="43"/>
  <c r="DO12" i="43"/>
  <c r="DS12" i="43"/>
  <c r="DW12" i="43"/>
  <c r="DT12" i="43"/>
  <c r="DQ12" i="43"/>
  <c r="DV12" i="43"/>
  <c r="DR12" i="43"/>
  <c r="DX12" i="43"/>
  <c r="DU12" i="43"/>
  <c r="DP12" i="43"/>
  <c r="DA12" i="43"/>
  <c r="DE12" i="43"/>
  <c r="DI12" i="43"/>
  <c r="DM12" i="43"/>
  <c r="CY12" i="43"/>
  <c r="DD12" i="43"/>
  <c r="DJ12" i="43"/>
  <c r="CZ12" i="43"/>
  <c r="DF12" i="43"/>
  <c r="DK12" i="43"/>
  <c r="DB12" i="43"/>
  <c r="DG12" i="43"/>
  <c r="DL12" i="43"/>
  <c r="DC12" i="43"/>
  <c r="DH12" i="43"/>
  <c r="DN12" i="43"/>
  <c r="DR69" i="43"/>
  <c r="DV69" i="43"/>
  <c r="DP69" i="43"/>
  <c r="DT69" i="43"/>
  <c r="DX69" i="43"/>
  <c r="DS69" i="43"/>
  <c r="DU69" i="43"/>
  <c r="DO69" i="43"/>
  <c r="DW69" i="43"/>
  <c r="DB69" i="43"/>
  <c r="DF69" i="43"/>
  <c r="DJ69" i="43"/>
  <c r="DN69" i="43"/>
  <c r="CY69" i="43"/>
  <c r="DC69" i="43"/>
  <c r="DG69" i="43"/>
  <c r="DK69" i="43"/>
  <c r="DQ69" i="43"/>
  <c r="CZ69" i="43"/>
  <c r="DD69" i="43"/>
  <c r="DH69" i="43"/>
  <c r="DL69" i="43"/>
  <c r="DE69" i="43"/>
  <c r="DI69" i="43"/>
  <c r="DM69" i="43"/>
  <c r="DA69" i="43"/>
  <c r="DO8" i="43"/>
  <c r="DS8" i="43"/>
  <c r="DW8" i="43"/>
  <c r="DR8" i="43"/>
  <c r="DX8" i="43"/>
  <c r="DP8" i="43"/>
  <c r="DU8" i="43"/>
  <c r="DQ8" i="43"/>
  <c r="DV8" i="43"/>
  <c r="DT8" i="43"/>
  <c r="DA8" i="43"/>
  <c r="DE8" i="43"/>
  <c r="DI8" i="43"/>
  <c r="DM8" i="43"/>
  <c r="CY8" i="43"/>
  <c r="DD8" i="43"/>
  <c r="DJ8" i="43"/>
  <c r="CZ8" i="43"/>
  <c r="DF8" i="43"/>
  <c r="DK8" i="43"/>
  <c r="DB8" i="43"/>
  <c r="DG8" i="43"/>
  <c r="DL8" i="43"/>
  <c r="DH8" i="43"/>
  <c r="DN8" i="43"/>
  <c r="DC8" i="43"/>
  <c r="DO9" i="43"/>
  <c r="DS9" i="43"/>
  <c r="DW9" i="43"/>
  <c r="DQ9" i="43"/>
  <c r="DV9" i="43"/>
  <c r="DT9" i="43"/>
  <c r="DP9" i="43"/>
  <c r="DU9" i="43"/>
  <c r="DR9" i="43"/>
  <c r="DA9" i="43"/>
  <c r="DE9" i="43"/>
  <c r="DI9" i="43"/>
  <c r="DM9" i="43"/>
  <c r="CY9" i="43"/>
  <c r="DC9" i="43"/>
  <c r="DG9" i="43"/>
  <c r="DK9" i="43"/>
  <c r="DF9" i="43"/>
  <c r="DN9" i="43"/>
  <c r="DX9" i="43"/>
  <c r="CZ9" i="43"/>
  <c r="DH9" i="43"/>
  <c r="DB9" i="43"/>
  <c r="DJ9" i="43"/>
  <c r="DL9" i="43"/>
  <c r="DD9" i="43"/>
  <c r="DP3" i="43"/>
  <c r="DT3" i="43"/>
  <c r="DX3" i="43"/>
  <c r="DO3" i="43"/>
  <c r="DS3" i="43"/>
  <c r="DW3" i="43"/>
  <c r="DV3" i="43"/>
  <c r="DR3" i="43"/>
  <c r="DU3" i="43"/>
  <c r="DQ3" i="43"/>
  <c r="DA3" i="43"/>
  <c r="DE3" i="43"/>
  <c r="DI3" i="43"/>
  <c r="DM3" i="43"/>
  <c r="CY3" i="43"/>
  <c r="DC3" i="43"/>
  <c r="DG3" i="43"/>
  <c r="DK3" i="43"/>
  <c r="DF3" i="43"/>
  <c r="DN3" i="43"/>
  <c r="CZ3" i="43"/>
  <c r="DH3" i="43"/>
  <c r="DB3" i="43"/>
  <c r="DJ3" i="43"/>
  <c r="DL3" i="43"/>
  <c r="DD3" i="43"/>
  <c r="DR71" i="43"/>
  <c r="DV71" i="43"/>
  <c r="DP71" i="43"/>
  <c r="DT71" i="43"/>
  <c r="DX71" i="43"/>
  <c r="DO71" i="43"/>
  <c r="DW71" i="43"/>
  <c r="DQ71" i="43"/>
  <c r="DS71" i="43"/>
  <c r="DB71" i="43"/>
  <c r="DF71" i="43"/>
  <c r="DJ71" i="43"/>
  <c r="DN71" i="43"/>
  <c r="DU71" i="43"/>
  <c r="CY71" i="43"/>
  <c r="DC71" i="43"/>
  <c r="DG71" i="43"/>
  <c r="DK71" i="43"/>
  <c r="CZ71" i="43"/>
  <c r="DD71" i="43"/>
  <c r="DH71" i="43"/>
  <c r="DL71" i="43"/>
  <c r="DE71" i="43"/>
  <c r="DI71" i="43"/>
  <c r="DM71" i="43"/>
  <c r="DA71" i="43"/>
  <c r="DP70" i="43"/>
  <c r="DT70" i="43"/>
  <c r="DX70" i="43"/>
  <c r="DR70" i="43"/>
  <c r="DV70" i="43"/>
  <c r="DQ70" i="43"/>
  <c r="DS70" i="43"/>
  <c r="DU70" i="43"/>
  <c r="DW70" i="43"/>
  <c r="DB70" i="43"/>
  <c r="DF70" i="43"/>
  <c r="DJ70" i="43"/>
  <c r="DN70" i="43"/>
  <c r="CY70" i="43"/>
  <c r="DC70" i="43"/>
  <c r="DG70" i="43"/>
  <c r="DK70" i="43"/>
  <c r="CZ70" i="43"/>
  <c r="DD70" i="43"/>
  <c r="DH70" i="43"/>
  <c r="DL70" i="43"/>
  <c r="DO70" i="43"/>
  <c r="DE70" i="43"/>
  <c r="DI70" i="43"/>
  <c r="DM70" i="43"/>
  <c r="DA70" i="43"/>
  <c r="DO65" i="43"/>
  <c r="DS65" i="43"/>
  <c r="DW65" i="43"/>
  <c r="DP65" i="43"/>
  <c r="DT65" i="43"/>
  <c r="DX65" i="43"/>
  <c r="DQ65" i="43"/>
  <c r="DU65" i="43"/>
  <c r="DR65" i="43"/>
  <c r="DB65" i="43"/>
  <c r="DF65" i="43"/>
  <c r="DJ65" i="43"/>
  <c r="DN65" i="43"/>
  <c r="CY65" i="43"/>
  <c r="DC65" i="43"/>
  <c r="DG65" i="43"/>
  <c r="DK65" i="43"/>
  <c r="CZ65" i="43"/>
  <c r="DD65" i="43"/>
  <c r="DH65" i="43"/>
  <c r="DL65" i="43"/>
  <c r="DE65" i="43"/>
  <c r="DI65" i="43"/>
  <c r="DM65" i="43"/>
  <c r="DV65" i="43"/>
  <c r="DA65" i="43"/>
  <c r="DO61" i="43"/>
  <c r="DS61" i="43"/>
  <c r="DW61" i="43"/>
  <c r="DP61" i="43"/>
  <c r="DT61" i="43"/>
  <c r="DX61" i="43"/>
  <c r="DQ61" i="43"/>
  <c r="DU61" i="43"/>
  <c r="DR61" i="43"/>
  <c r="DV61" i="43"/>
  <c r="DB61" i="43"/>
  <c r="DF61" i="43"/>
  <c r="DJ61" i="43"/>
  <c r="DN61" i="43"/>
  <c r="CY61" i="43"/>
  <c r="DC61" i="43"/>
  <c r="DG61" i="43"/>
  <c r="DK61" i="43"/>
  <c r="CZ61" i="43"/>
  <c r="DD61" i="43"/>
  <c r="DH61" i="43"/>
  <c r="DL61" i="43"/>
  <c r="DE61" i="43"/>
  <c r="DI61" i="43"/>
  <c r="DM61" i="43"/>
  <c r="DA61" i="43"/>
  <c r="DQ56" i="43"/>
  <c r="DU56" i="43"/>
  <c r="DO56" i="43"/>
  <c r="DS56" i="43"/>
  <c r="DW56" i="43"/>
  <c r="DP56" i="43"/>
  <c r="DT56" i="43"/>
  <c r="DX56" i="43"/>
  <c r="DV56" i="43"/>
  <c r="DB56" i="43"/>
  <c r="DF56" i="43"/>
  <c r="DJ56" i="43"/>
  <c r="DN56" i="43"/>
  <c r="CY56" i="43"/>
  <c r="DC56" i="43"/>
  <c r="DG56" i="43"/>
  <c r="DK56" i="43"/>
  <c r="DR56" i="43"/>
  <c r="CZ56" i="43"/>
  <c r="DD56" i="43"/>
  <c r="DH56" i="43"/>
  <c r="DL56" i="43"/>
  <c r="DE56" i="43"/>
  <c r="DI56" i="43"/>
  <c r="DM56" i="43"/>
  <c r="DA56" i="43"/>
  <c r="DQ50" i="43"/>
  <c r="DU50" i="43"/>
  <c r="DO50" i="43"/>
  <c r="DS50" i="43"/>
  <c r="DW50" i="43"/>
  <c r="DP50" i="43"/>
  <c r="DT50" i="43"/>
  <c r="DX50" i="43"/>
  <c r="DV50" i="43"/>
  <c r="DB50" i="43"/>
  <c r="DF50" i="43"/>
  <c r="DJ50" i="43"/>
  <c r="DN50" i="43"/>
  <c r="DR50" i="43"/>
  <c r="CY50" i="43"/>
  <c r="DC50" i="43"/>
  <c r="DG50" i="43"/>
  <c r="DK50" i="43"/>
  <c r="CZ50" i="43"/>
  <c r="DD50" i="43"/>
  <c r="DH50" i="43"/>
  <c r="DL50" i="43"/>
  <c r="DE50" i="43"/>
  <c r="DI50" i="43"/>
  <c r="DM50" i="43"/>
  <c r="DA50" i="43"/>
  <c r="DQ44" i="43"/>
  <c r="DU44" i="43"/>
  <c r="DO44" i="43"/>
  <c r="DS44" i="43"/>
  <c r="DW44" i="43"/>
  <c r="DP44" i="43"/>
  <c r="DT44" i="43"/>
  <c r="DX44" i="43"/>
  <c r="DV44" i="43"/>
  <c r="DR44" i="43"/>
  <c r="DB44" i="43"/>
  <c r="DF44" i="43"/>
  <c r="DJ44" i="43"/>
  <c r="DN44" i="43"/>
  <c r="DA44" i="43"/>
  <c r="DG44" i="43"/>
  <c r="DL44" i="43"/>
  <c r="DC44" i="43"/>
  <c r="DH44" i="43"/>
  <c r="DM44" i="43"/>
  <c r="CY44" i="43"/>
  <c r="DD44" i="43"/>
  <c r="DI44" i="43"/>
  <c r="CZ44" i="43"/>
  <c r="DE44" i="43"/>
  <c r="DK44" i="43"/>
  <c r="G40" i="43"/>
  <c r="C270" i="45" s="1"/>
  <c r="DP40" i="43"/>
  <c r="DT40" i="43"/>
  <c r="DX40" i="43"/>
  <c r="DS40" i="43"/>
  <c r="DQ40" i="43"/>
  <c r="DV40" i="43"/>
  <c r="DR40" i="43"/>
  <c r="DW40" i="43"/>
  <c r="DU40" i="43"/>
  <c r="DO40" i="43"/>
  <c r="DB40" i="43"/>
  <c r="DF40" i="43"/>
  <c r="DJ40" i="43"/>
  <c r="DN40" i="43"/>
  <c r="DA40" i="43"/>
  <c r="DG40" i="43"/>
  <c r="DL40" i="43"/>
  <c r="DC40" i="43"/>
  <c r="DH40" i="43"/>
  <c r="DM40" i="43"/>
  <c r="CY40" i="43"/>
  <c r="DD40" i="43"/>
  <c r="DI40" i="43"/>
  <c r="CZ40" i="43"/>
  <c r="DE40" i="43"/>
  <c r="DK40" i="43"/>
  <c r="DP38" i="43"/>
  <c r="DT38" i="43"/>
  <c r="DX38" i="43"/>
  <c r="DR38" i="43"/>
  <c r="DW38" i="43"/>
  <c r="DO38" i="43"/>
  <c r="DU38" i="43"/>
  <c r="DQ38" i="43"/>
  <c r="DV38" i="43"/>
  <c r="DS38" i="43"/>
  <c r="DB38" i="43"/>
  <c r="DF38" i="43"/>
  <c r="DJ38" i="43"/>
  <c r="DN38" i="43"/>
  <c r="DA38" i="43"/>
  <c r="DG38" i="43"/>
  <c r="DL38" i="43"/>
  <c r="DC38" i="43"/>
  <c r="DH38" i="43"/>
  <c r="DM38" i="43"/>
  <c r="CY38" i="43"/>
  <c r="DD38" i="43"/>
  <c r="DI38" i="43"/>
  <c r="DE38" i="43"/>
  <c r="DK38" i="43"/>
  <c r="CZ38" i="43"/>
  <c r="DR33" i="43"/>
  <c r="DV33" i="43"/>
  <c r="DO33" i="43"/>
  <c r="DT33" i="43"/>
  <c r="DQ33" i="43"/>
  <c r="DW33" i="43"/>
  <c r="DS33" i="43"/>
  <c r="DX33" i="43"/>
  <c r="DP33" i="43"/>
  <c r="DA33" i="43"/>
  <c r="H235" i="45" s="1"/>
  <c r="DE33" i="43"/>
  <c r="L235" i="45" s="1"/>
  <c r="DI33" i="43"/>
  <c r="P235" i="45" s="1"/>
  <c r="DM33" i="43"/>
  <c r="T235" i="45" s="1"/>
  <c r="DU33" i="43"/>
  <c r="DB33" i="43"/>
  <c r="I235" i="45" s="1"/>
  <c r="DF33" i="43"/>
  <c r="M235" i="45" s="1"/>
  <c r="DJ33" i="43"/>
  <c r="Q235" i="45" s="1"/>
  <c r="DN33" i="43"/>
  <c r="DC33" i="43"/>
  <c r="J235" i="45" s="1"/>
  <c r="DK33" i="43"/>
  <c r="R235" i="45" s="1"/>
  <c r="DD33" i="43"/>
  <c r="K235" i="45" s="1"/>
  <c r="DL33" i="43"/>
  <c r="S235" i="45" s="1"/>
  <c r="CY33" i="43"/>
  <c r="F235" i="45" s="1"/>
  <c r="DG33" i="43"/>
  <c r="N235" i="45" s="1"/>
  <c r="DH33" i="43"/>
  <c r="O235" i="45" s="1"/>
  <c r="CZ33" i="43"/>
  <c r="G235" i="45" s="1"/>
  <c r="CX29" i="43"/>
  <c r="DR29" i="43"/>
  <c r="DV29" i="43"/>
  <c r="DQ29" i="43"/>
  <c r="DW29" i="43"/>
  <c r="DO29" i="43"/>
  <c r="DT29" i="43"/>
  <c r="DP29" i="43"/>
  <c r="DU29" i="43"/>
  <c r="DX29" i="43"/>
  <c r="DS29" i="43"/>
  <c r="CZ29" i="43"/>
  <c r="DD29" i="43"/>
  <c r="DH29" i="43"/>
  <c r="DL29" i="43"/>
  <c r="DA29" i="43"/>
  <c r="DE29" i="43"/>
  <c r="DI29" i="43"/>
  <c r="DM29" i="43"/>
  <c r="DB29" i="43"/>
  <c r="DF29" i="43"/>
  <c r="DJ29" i="43"/>
  <c r="DN29" i="43"/>
  <c r="DG29" i="43"/>
  <c r="DK29" i="43"/>
  <c r="CY29" i="43"/>
  <c r="DC29" i="43"/>
  <c r="DR25" i="43"/>
  <c r="DV25" i="43"/>
  <c r="DO25" i="43"/>
  <c r="DT25" i="43"/>
  <c r="DQ25" i="43"/>
  <c r="DW25" i="43"/>
  <c r="DS25" i="43"/>
  <c r="DX25" i="43"/>
  <c r="DU25" i="43"/>
  <c r="CZ25" i="43"/>
  <c r="DD25" i="43"/>
  <c r="DH25" i="43"/>
  <c r="DL25" i="43"/>
  <c r="DA25" i="43"/>
  <c r="DE25" i="43"/>
  <c r="DI25" i="43"/>
  <c r="DM25" i="43"/>
  <c r="DP25" i="43"/>
  <c r="DB25" i="43"/>
  <c r="DF25" i="43"/>
  <c r="DJ25" i="43"/>
  <c r="DN25" i="43"/>
  <c r="DG25" i="43"/>
  <c r="DK25" i="43"/>
  <c r="CY25" i="43"/>
  <c r="DC25" i="43"/>
  <c r="DR23" i="43"/>
  <c r="DV23" i="43"/>
  <c r="DS23" i="43"/>
  <c r="DX23" i="43"/>
  <c r="DP23" i="43"/>
  <c r="DU23" i="43"/>
  <c r="DQ23" i="43"/>
  <c r="DW23" i="43"/>
  <c r="DT23" i="43"/>
  <c r="CZ23" i="43"/>
  <c r="DD23" i="43"/>
  <c r="DH23" i="43"/>
  <c r="DL23" i="43"/>
  <c r="DO23" i="43"/>
  <c r="DA23" i="43"/>
  <c r="DE23" i="43"/>
  <c r="DI23" i="43"/>
  <c r="DM23" i="43"/>
  <c r="DB23" i="43"/>
  <c r="DF23" i="43"/>
  <c r="DJ23" i="43"/>
  <c r="DN23" i="43"/>
  <c r="DG23" i="43"/>
  <c r="DK23" i="43"/>
  <c r="CY23" i="43"/>
  <c r="DC23" i="43"/>
  <c r="P22" i="43"/>
  <c r="DP22" i="43"/>
  <c r="DT22" i="43"/>
  <c r="DX22" i="43"/>
  <c r="DR22" i="43"/>
  <c r="DW22" i="43"/>
  <c r="DO22" i="43"/>
  <c r="DU22" i="43"/>
  <c r="DQ22" i="43"/>
  <c r="DV22" i="43"/>
  <c r="DS22" i="43"/>
  <c r="CZ22" i="43"/>
  <c r="DD22" i="43"/>
  <c r="DH22" i="43"/>
  <c r="DL22" i="43"/>
  <c r="DA22" i="43"/>
  <c r="DE22" i="43"/>
  <c r="DI22" i="43"/>
  <c r="DM22" i="43"/>
  <c r="DB22" i="43"/>
  <c r="DF22" i="43"/>
  <c r="DJ22" i="43"/>
  <c r="DN22" i="43"/>
  <c r="DG22" i="43"/>
  <c r="DK22" i="43"/>
  <c r="CY22" i="43"/>
  <c r="DC22" i="43"/>
  <c r="DR19" i="43"/>
  <c r="DV19" i="43"/>
  <c r="DP19" i="43"/>
  <c r="DU19" i="43"/>
  <c r="DS19" i="43"/>
  <c r="DX19" i="43"/>
  <c r="DO19" i="43"/>
  <c r="DT19" i="43"/>
  <c r="DW19" i="43"/>
  <c r="DQ19" i="43"/>
  <c r="CZ19" i="43"/>
  <c r="DD19" i="43"/>
  <c r="DH19" i="43"/>
  <c r="DL19" i="43"/>
  <c r="DA19" i="43"/>
  <c r="DE19" i="43"/>
  <c r="DI19" i="43"/>
  <c r="DM19" i="43"/>
  <c r="DB19" i="43"/>
  <c r="DF19" i="43"/>
  <c r="DJ19" i="43"/>
  <c r="DN19" i="43"/>
  <c r="DG19" i="43"/>
  <c r="DK19" i="43"/>
  <c r="CY19" i="43"/>
  <c r="DC19" i="43"/>
  <c r="DR17" i="43"/>
  <c r="DV17" i="43"/>
  <c r="DO17" i="43"/>
  <c r="DT17" i="43"/>
  <c r="DQ17" i="43"/>
  <c r="DW17" i="43"/>
  <c r="DS17" i="43"/>
  <c r="DX17" i="43"/>
  <c r="DU17" i="43"/>
  <c r="DP17" i="43"/>
  <c r="CZ17" i="43"/>
  <c r="DD17" i="43"/>
  <c r="DH17" i="43"/>
  <c r="DL17" i="43"/>
  <c r="DA17" i="43"/>
  <c r="DE17" i="43"/>
  <c r="DI17" i="43"/>
  <c r="DM17" i="43"/>
  <c r="DB17" i="43"/>
  <c r="DF17" i="43"/>
  <c r="DJ17" i="43"/>
  <c r="DN17" i="43"/>
  <c r="DG17" i="43"/>
  <c r="DK17" i="43"/>
  <c r="CY17" i="43"/>
  <c r="DC17" i="43"/>
  <c r="DP15" i="43"/>
  <c r="DT15" i="43"/>
  <c r="DX15" i="43"/>
  <c r="DR15" i="43"/>
  <c r="DV15" i="43"/>
  <c r="DO15" i="43"/>
  <c r="DS15" i="43"/>
  <c r="DW15" i="43"/>
  <c r="DU15" i="43"/>
  <c r="DQ15" i="43"/>
  <c r="CZ15" i="43"/>
  <c r="DD15" i="43"/>
  <c r="DH15" i="43"/>
  <c r="DL15" i="43"/>
  <c r="DA15" i="43"/>
  <c r="DE15" i="43"/>
  <c r="DI15" i="43"/>
  <c r="DM15" i="43"/>
  <c r="DB15" i="43"/>
  <c r="DF15" i="43"/>
  <c r="DJ15" i="43"/>
  <c r="DN15" i="43"/>
  <c r="DG15" i="43"/>
  <c r="DK15" i="43"/>
  <c r="CY15" i="43"/>
  <c r="DC15" i="43"/>
  <c r="DQ13" i="43"/>
  <c r="DU13" i="43"/>
  <c r="DO13" i="43"/>
  <c r="DT13" i="43"/>
  <c r="DR13" i="43"/>
  <c r="DW13" i="43"/>
  <c r="DS13" i="43"/>
  <c r="DX13" i="43"/>
  <c r="DV13" i="43"/>
  <c r="DP13" i="43"/>
  <c r="DA13" i="43"/>
  <c r="DE13" i="43"/>
  <c r="DI13" i="43"/>
  <c r="DM13" i="43"/>
  <c r="CY13" i="43"/>
  <c r="DD13" i="43"/>
  <c r="DJ13" i="43"/>
  <c r="CZ13" i="43"/>
  <c r="DF13" i="43"/>
  <c r="DK13" i="43"/>
  <c r="DB13" i="43"/>
  <c r="DG13" i="43"/>
  <c r="DL13" i="43"/>
  <c r="DC13" i="43"/>
  <c r="DH13" i="43"/>
  <c r="DN13" i="43"/>
  <c r="G11" i="43"/>
  <c r="DQ11" i="43"/>
  <c r="DU11" i="43"/>
  <c r="DS11" i="43"/>
  <c r="DX11" i="43"/>
  <c r="DP11" i="43"/>
  <c r="DV11" i="43"/>
  <c r="DR11" i="43"/>
  <c r="DW11" i="43"/>
  <c r="DT11" i="43"/>
  <c r="DA11" i="43"/>
  <c r="DE11" i="43"/>
  <c r="DI11" i="43"/>
  <c r="DM11" i="43"/>
  <c r="DO11" i="43"/>
  <c r="CY11" i="43"/>
  <c r="DD11" i="43"/>
  <c r="DJ11" i="43"/>
  <c r="CZ11" i="43"/>
  <c r="DF11" i="43"/>
  <c r="DK11" i="43"/>
  <c r="DB11" i="43"/>
  <c r="DG11" i="43"/>
  <c r="DL11" i="43"/>
  <c r="DN11" i="43"/>
  <c r="DC11" i="43"/>
  <c r="DH11" i="43"/>
  <c r="BU72" i="43"/>
  <c r="BU20" i="43"/>
  <c r="BU22" i="43"/>
  <c r="BU5" i="43"/>
  <c r="CX70" i="43"/>
  <c r="CX37" i="43"/>
  <c r="G12" i="43"/>
  <c r="CX38" i="43"/>
  <c r="G31" i="43"/>
  <c r="C221" i="45" s="1"/>
  <c r="CX33" i="43"/>
  <c r="CX31" i="43"/>
  <c r="CX48" i="43"/>
  <c r="G70" i="43"/>
  <c r="G68" i="43"/>
  <c r="CX68" i="43"/>
  <c r="CX12" i="43"/>
  <c r="CX74" i="43"/>
  <c r="CX47" i="43"/>
  <c r="G74" i="43"/>
  <c r="G47" i="43"/>
  <c r="C306" i="45" s="1"/>
  <c r="G38" i="43"/>
  <c r="G37" i="43"/>
  <c r="G33" i="43"/>
  <c r="CX20" i="43"/>
  <c r="G20" i="43"/>
  <c r="G16" i="43"/>
  <c r="CX10" i="43"/>
  <c r="CX22" i="43"/>
  <c r="CX60" i="43"/>
  <c r="G48" i="43"/>
  <c r="C312" i="45" s="1"/>
  <c r="CX42" i="43"/>
  <c r="CX16" i="43"/>
  <c r="CX2" i="43"/>
  <c r="DZ2" i="43" s="1"/>
  <c r="CX56" i="43"/>
  <c r="G63" i="43"/>
  <c r="CX61" i="43"/>
  <c r="CX64" i="43"/>
  <c r="CX54" i="43"/>
  <c r="G54" i="43"/>
  <c r="CX44" i="43"/>
  <c r="G22" i="43"/>
  <c r="D367" i="45"/>
  <c r="E368" i="45" s="1"/>
  <c r="E369" i="45" s="1"/>
  <c r="CX50" i="43"/>
  <c r="G42" i="43"/>
  <c r="C282" i="45" s="1"/>
  <c r="CX18" i="43"/>
  <c r="CX14" i="43"/>
  <c r="CW2" i="43"/>
  <c r="CX72" i="43"/>
  <c r="G72" i="43"/>
  <c r="G66" i="43"/>
  <c r="C65" i="45" s="1"/>
  <c r="CX63" i="43"/>
  <c r="G60" i="43"/>
  <c r="C343" i="45" s="1"/>
  <c r="G44" i="43"/>
  <c r="C294" i="45" s="1"/>
  <c r="G30" i="43"/>
  <c r="C34" i="45" s="1"/>
  <c r="D34" i="45"/>
  <c r="G24" i="43"/>
  <c r="G25" i="43"/>
  <c r="D270" i="45"/>
  <c r="E271" i="45" s="1"/>
  <c r="E272" i="45" s="1"/>
  <c r="G29" i="43"/>
  <c r="G28" i="43"/>
  <c r="CX25" i="43"/>
  <c r="CX66" i="43"/>
  <c r="G56" i="43"/>
  <c r="C349" i="45" s="1"/>
  <c r="G50" i="43"/>
  <c r="CX40" i="43"/>
  <c r="G39" i="43"/>
  <c r="G32" i="43"/>
  <c r="C227" i="45" s="1"/>
  <c r="G18" i="43"/>
  <c r="G14" i="43"/>
  <c r="G10" i="43"/>
  <c r="CX5" i="43"/>
  <c r="CX73" i="43"/>
  <c r="G73" i="43"/>
  <c r="CX71" i="43"/>
  <c r="BU71" i="43"/>
  <c r="G71" i="43"/>
  <c r="CX69" i="43"/>
  <c r="G69" i="43"/>
  <c r="C68" i="45" s="1"/>
  <c r="CX67" i="43"/>
  <c r="G67" i="43"/>
  <c r="CX65" i="43"/>
  <c r="G65" i="43"/>
  <c r="C64" i="45" s="1"/>
  <c r="G61" i="43"/>
  <c r="C361" i="45" s="1"/>
  <c r="G55" i="43"/>
  <c r="C337" i="45" s="1"/>
  <c r="CX55" i="43"/>
  <c r="D361" i="45"/>
  <c r="E362" i="45" s="1"/>
  <c r="E363" i="45" s="1"/>
  <c r="G62" i="43"/>
  <c r="C367" i="45" s="1"/>
  <c r="D330" i="45"/>
  <c r="E331" i="45" s="1"/>
  <c r="E332" i="45" s="1"/>
  <c r="G43" i="43"/>
  <c r="C288" i="45" s="1"/>
  <c r="CX43" i="43"/>
  <c r="G41" i="43"/>
  <c r="C276" i="45" s="1"/>
  <c r="CX41" i="43"/>
  <c r="CX53" i="43"/>
  <c r="CX49" i="43"/>
  <c r="G34" i="43"/>
  <c r="C251" i="45" s="1"/>
  <c r="CX34" i="43"/>
  <c r="CX39" i="43"/>
  <c r="G23" i="43"/>
  <c r="CX23" i="43"/>
  <c r="CX32" i="43"/>
  <c r="CX30" i="43"/>
  <c r="CX28" i="43"/>
  <c r="G21" i="43"/>
  <c r="CX21" i="43"/>
  <c r="G19" i="43"/>
  <c r="CX19" i="43"/>
  <c r="G17" i="43"/>
  <c r="CX17" i="43"/>
  <c r="CX15" i="43"/>
  <c r="G15" i="43"/>
  <c r="G13" i="43"/>
  <c r="CX13" i="43"/>
  <c r="CX11" i="43"/>
  <c r="P8" i="43"/>
  <c r="G8" i="43"/>
  <c r="CX8" i="43"/>
  <c r="G9" i="43"/>
  <c r="CX9" i="43"/>
  <c r="BU8" i="43"/>
  <c r="G5" i="43"/>
  <c r="D7" i="48" s="1"/>
  <c r="B4" i="65" s="1"/>
  <c r="C324" i="45" l="1"/>
  <c r="D51" i="48"/>
  <c r="K51" i="48"/>
  <c r="J51" i="48"/>
  <c r="D239" i="45"/>
  <c r="E240" i="45" s="1"/>
  <c r="C40" i="45"/>
  <c r="C239" i="45"/>
  <c r="FD9" i="43"/>
  <c r="FF9" i="43"/>
  <c r="FB9" i="43"/>
  <c r="FE9" i="43"/>
  <c r="FC9" i="43"/>
  <c r="FC14" i="43"/>
  <c r="FE14" i="43"/>
  <c r="FF14" i="43"/>
  <c r="FD14" i="43"/>
  <c r="FB14" i="43"/>
  <c r="FC18" i="43"/>
  <c r="FF18" i="43"/>
  <c r="FE18" i="43"/>
  <c r="FB18" i="43"/>
  <c r="FD18" i="43"/>
  <c r="FE20" i="43"/>
  <c r="FC20" i="43"/>
  <c r="FD20" i="43"/>
  <c r="FF20" i="43"/>
  <c r="FB20" i="43"/>
  <c r="FE48" i="43"/>
  <c r="FD48" i="43"/>
  <c r="FC48" i="43"/>
  <c r="FF48" i="43"/>
  <c r="FB48" i="43"/>
  <c r="FC63" i="43"/>
  <c r="FF63" i="43"/>
  <c r="FB63" i="43"/>
  <c r="FE63" i="43"/>
  <c r="FD63" i="43"/>
  <c r="FD73" i="43"/>
  <c r="FC73" i="43"/>
  <c r="FF73" i="43"/>
  <c r="FB73" i="43"/>
  <c r="FE73" i="43"/>
  <c r="FC10" i="43"/>
  <c r="FE10" i="43"/>
  <c r="FD10" i="43"/>
  <c r="FF10" i="43"/>
  <c r="FB10" i="43"/>
  <c r="FC22" i="43"/>
  <c r="FF22" i="43"/>
  <c r="FE22" i="43"/>
  <c r="FD22" i="43"/>
  <c r="FB22" i="43"/>
  <c r="FE24" i="43"/>
  <c r="FD24" i="43"/>
  <c r="FC24" i="43"/>
  <c r="FF24" i="43"/>
  <c r="FB24" i="43"/>
  <c r="FE28" i="43"/>
  <c r="FC28" i="43"/>
  <c r="FD28" i="43"/>
  <c r="FF28" i="43"/>
  <c r="FB28" i="43"/>
  <c r="FF39" i="43"/>
  <c r="FB39" i="43"/>
  <c r="FE39" i="43"/>
  <c r="FD39" i="43"/>
  <c r="FC39" i="43"/>
  <c r="FD41" i="43"/>
  <c r="FC41" i="43"/>
  <c r="FF41" i="43"/>
  <c r="FB41" i="43"/>
  <c r="FE41" i="43"/>
  <c r="FD49" i="43"/>
  <c r="FC49" i="43"/>
  <c r="FF49" i="43"/>
  <c r="FB49" i="43"/>
  <c r="FE49" i="43"/>
  <c r="FF53" i="43"/>
  <c r="FB53" i="43"/>
  <c r="FE53" i="43"/>
  <c r="FD53" i="43"/>
  <c r="FC53" i="43"/>
  <c r="FF71" i="43"/>
  <c r="FB71" i="43"/>
  <c r="FE71" i="43"/>
  <c r="FD71" i="43"/>
  <c r="FC71" i="43"/>
  <c r="FF23" i="43"/>
  <c r="FB23" i="43"/>
  <c r="FD23" i="43"/>
  <c r="FE23" i="43"/>
  <c r="FC23" i="43"/>
  <c r="FD25" i="43"/>
  <c r="FF25" i="43"/>
  <c r="FB25" i="43"/>
  <c r="FE25" i="43"/>
  <c r="FC25" i="43"/>
  <c r="FC70" i="43"/>
  <c r="FF70" i="43"/>
  <c r="FB70" i="43"/>
  <c r="FE70" i="43"/>
  <c r="FD70" i="43"/>
  <c r="FD29" i="43"/>
  <c r="FC29" i="43"/>
  <c r="FF29" i="43"/>
  <c r="FB29" i="43"/>
  <c r="FE29" i="43"/>
  <c r="FC38" i="43"/>
  <c r="FB38" i="43"/>
  <c r="FF38" i="43"/>
  <c r="FE38" i="43"/>
  <c r="FD38" i="43"/>
  <c r="FF19" i="43"/>
  <c r="FB19" i="43"/>
  <c r="FD19" i="43"/>
  <c r="FC19" i="43"/>
  <c r="FE19" i="43"/>
  <c r="FD66" i="43"/>
  <c r="FC66" i="43"/>
  <c r="FF66" i="43"/>
  <c r="FB66" i="43"/>
  <c r="FE66" i="43"/>
  <c r="FE12" i="43"/>
  <c r="FD12" i="43"/>
  <c r="FC12" i="43"/>
  <c r="FF12" i="43"/>
  <c r="FB12" i="43"/>
  <c r="FE54" i="43"/>
  <c r="FD54" i="43"/>
  <c r="FC54" i="43"/>
  <c r="FF54" i="43"/>
  <c r="FB54" i="43"/>
  <c r="FC74" i="43"/>
  <c r="FF74" i="43"/>
  <c r="FB74" i="43"/>
  <c r="FE74" i="43"/>
  <c r="FD74" i="43"/>
  <c r="FF11" i="43"/>
  <c r="FB11" i="43"/>
  <c r="FD11" i="43"/>
  <c r="FE11" i="43"/>
  <c r="FC11" i="43"/>
  <c r="FD13" i="43"/>
  <c r="FF13" i="43"/>
  <c r="FB13" i="43"/>
  <c r="FE13" i="43"/>
  <c r="FC13" i="43"/>
  <c r="FD17" i="43"/>
  <c r="FF17" i="43"/>
  <c r="FB17" i="43"/>
  <c r="FE17" i="43"/>
  <c r="FC17" i="43"/>
  <c r="FC30" i="43"/>
  <c r="FB30" i="43"/>
  <c r="FE30" i="43"/>
  <c r="FD30" i="43"/>
  <c r="FF30" i="43"/>
  <c r="FC34" i="43"/>
  <c r="FB34" i="43"/>
  <c r="FF34" i="43"/>
  <c r="FE34" i="43"/>
  <c r="FD34" i="43"/>
  <c r="FF43" i="43"/>
  <c r="FB43" i="43"/>
  <c r="FE43" i="43"/>
  <c r="FD43" i="43"/>
  <c r="FC43" i="43"/>
  <c r="FF31" i="43"/>
  <c r="FB31" i="43"/>
  <c r="FD31" i="43"/>
  <c r="FE31" i="43"/>
  <c r="FC31" i="43"/>
  <c r="FE36" i="43"/>
  <c r="FD36" i="43"/>
  <c r="FC36" i="43"/>
  <c r="FF36" i="43"/>
  <c r="FB36" i="43"/>
  <c r="FC50" i="43"/>
  <c r="FF50" i="43"/>
  <c r="FB50" i="43"/>
  <c r="FE50" i="43"/>
  <c r="FD50" i="43"/>
  <c r="FD33" i="43"/>
  <c r="FF33" i="43"/>
  <c r="FB33" i="43"/>
  <c r="FE33" i="43"/>
  <c r="FC33" i="43"/>
  <c r="FD55" i="43"/>
  <c r="FC55" i="43"/>
  <c r="FF55" i="43"/>
  <c r="FB55" i="43"/>
  <c r="FE55" i="43"/>
  <c r="FE16" i="43"/>
  <c r="FD16" i="43"/>
  <c r="FC16" i="43"/>
  <c r="FF16" i="43"/>
  <c r="FB16" i="43"/>
  <c r="FC42" i="43"/>
  <c r="FF42" i="43"/>
  <c r="FB42" i="43"/>
  <c r="FE42" i="43"/>
  <c r="FD42" i="43"/>
  <c r="FE65" i="43"/>
  <c r="FD65" i="43"/>
  <c r="FC65" i="43"/>
  <c r="FF65" i="43"/>
  <c r="FB65" i="43"/>
  <c r="FF15" i="43"/>
  <c r="FB15" i="43"/>
  <c r="FE15" i="43"/>
  <c r="FD15" i="43"/>
  <c r="FC15" i="43"/>
  <c r="FE32" i="43"/>
  <c r="FD32" i="43"/>
  <c r="FC32" i="43"/>
  <c r="FF32" i="43"/>
  <c r="FB32" i="43"/>
  <c r="FD37" i="43"/>
  <c r="FF37" i="43"/>
  <c r="FB37" i="43"/>
  <c r="FE37" i="43"/>
  <c r="FC37" i="43"/>
  <c r="FF47" i="43"/>
  <c r="FB47" i="43"/>
  <c r="FE47" i="43"/>
  <c r="FD47" i="43"/>
  <c r="FC47" i="43"/>
  <c r="FD60" i="43"/>
  <c r="FC60" i="43"/>
  <c r="FF60" i="43"/>
  <c r="FB60" i="43"/>
  <c r="FE60" i="43"/>
  <c r="FF64" i="43"/>
  <c r="FB64" i="43"/>
  <c r="FE64" i="43"/>
  <c r="FD64" i="43"/>
  <c r="FC64" i="43"/>
  <c r="FD21" i="43"/>
  <c r="FC21" i="43"/>
  <c r="FF21" i="43"/>
  <c r="FB21" i="43"/>
  <c r="FE21" i="43"/>
  <c r="FE40" i="43"/>
  <c r="FD40" i="43"/>
  <c r="FC40" i="43"/>
  <c r="FF40" i="43"/>
  <c r="FB40" i="43"/>
  <c r="FE44" i="43"/>
  <c r="FD44" i="43"/>
  <c r="FC44" i="43"/>
  <c r="FF44" i="43"/>
  <c r="FB44" i="43"/>
  <c r="FC56" i="43"/>
  <c r="FF56" i="43"/>
  <c r="FB56" i="43"/>
  <c r="FE56" i="43"/>
  <c r="FD56" i="43"/>
  <c r="FE72" i="43"/>
  <c r="FD72" i="43"/>
  <c r="FC72" i="43"/>
  <c r="FF72" i="43"/>
  <c r="FB72" i="43"/>
  <c r="J67" i="43"/>
  <c r="I15" i="43"/>
  <c r="J10" i="43"/>
  <c r="J38" i="43"/>
  <c r="J53" i="43"/>
  <c r="I53" i="43"/>
  <c r="I54" i="43"/>
  <c r="J12" i="43"/>
  <c r="I12" i="43"/>
  <c r="J37" i="43"/>
  <c r="I37" i="43"/>
  <c r="I16" i="43"/>
  <c r="I40" i="43"/>
  <c r="I9" i="43"/>
  <c r="J9" i="43"/>
  <c r="I70" i="43"/>
  <c r="J14" i="43"/>
  <c r="J13" i="43"/>
  <c r="I13" i="43"/>
  <c r="I17" i="43"/>
  <c r="I30" i="43"/>
  <c r="J16" i="43"/>
  <c r="J54" i="43"/>
  <c r="J21" i="43"/>
  <c r="I21" i="43"/>
  <c r="J70" i="43"/>
  <c r="I10" i="43"/>
  <c r="J29" i="43"/>
  <c r="I11" i="43"/>
  <c r="I14" i="43"/>
  <c r="I29" i="43"/>
  <c r="I38" i="43"/>
  <c r="I67" i="43"/>
  <c r="J11" i="43"/>
  <c r="J15" i="43"/>
  <c r="J17" i="43"/>
  <c r="J28" i="43"/>
  <c r="I28" i="43"/>
  <c r="J30" i="43"/>
  <c r="J40" i="43"/>
  <c r="I18" i="43"/>
  <c r="J18" i="43"/>
  <c r="J19" i="43"/>
  <c r="Q5" i="43"/>
  <c r="AC5" i="43"/>
  <c r="J247" i="45"/>
  <c r="E235" i="45"/>
  <c r="E247" i="45"/>
  <c r="E7" i="48"/>
  <c r="O3" i="43"/>
  <c r="E253" i="45"/>
  <c r="E223" i="45"/>
  <c r="E241" i="45"/>
  <c r="E229" i="45"/>
  <c r="I8" i="43"/>
  <c r="F11" i="48" s="1"/>
  <c r="J8" i="43"/>
  <c r="G11" i="48" s="1"/>
  <c r="R2" i="43"/>
  <c r="BV2" i="43"/>
  <c r="D343" i="45"/>
  <c r="E344" i="45" s="1"/>
  <c r="E345" i="45" s="1"/>
  <c r="D288" i="45"/>
  <c r="E289" i="45" s="1"/>
  <c r="E290" i="45" s="1"/>
  <c r="D282" i="45"/>
  <c r="E283" i="45" s="1"/>
  <c r="E284" i="45" s="1"/>
  <c r="D251" i="45"/>
  <c r="E252" i="45" s="1"/>
  <c r="D245" i="45"/>
  <c r="E246" i="45" s="1"/>
  <c r="P5" i="43"/>
  <c r="T5" i="43"/>
  <c r="X5" i="43"/>
  <c r="AB5" i="43"/>
  <c r="U5" i="43"/>
  <c r="Y5" i="43"/>
  <c r="R5" i="43"/>
  <c r="V5" i="43"/>
  <c r="Z5" i="43"/>
  <c r="S5" i="43"/>
  <c r="W5" i="43"/>
  <c r="AA5" i="43"/>
  <c r="D276" i="45"/>
  <c r="E277" i="45" s="1"/>
  <c r="E278" i="45" s="1"/>
  <c r="D68" i="45"/>
  <c r="N247" i="45"/>
  <c r="T247" i="45"/>
  <c r="G247" i="45"/>
  <c r="Q8" i="43"/>
  <c r="S8" i="43" s="1"/>
  <c r="R8" i="43"/>
  <c r="D221" i="45"/>
  <c r="E222" i="45" s="1"/>
  <c r="D324" i="45"/>
  <c r="E325" i="45" s="1"/>
  <c r="E326" i="45" s="1"/>
  <c r="D227" i="45"/>
  <c r="E228" i="45" s="1"/>
  <c r="D312" i="45"/>
  <c r="E313" i="45" s="1"/>
  <c r="E314" i="45" s="1"/>
  <c r="Q22" i="43"/>
  <c r="D318" i="45"/>
  <c r="E319" i="45" s="1"/>
  <c r="E320" i="45" s="1"/>
  <c r="D64" i="45"/>
  <c r="D337" i="45"/>
  <c r="E338" i="45" s="1"/>
  <c r="E339" i="45" s="1"/>
  <c r="D294" i="45"/>
  <c r="E295" i="45" s="1"/>
  <c r="E296" i="45" s="1"/>
  <c r="D349" i="45"/>
  <c r="E350" i="45" s="1"/>
  <c r="E351" i="45" s="1"/>
  <c r="D306" i="45"/>
  <c r="E307" i="45" s="1"/>
  <c r="E308" i="45" s="1"/>
  <c r="D65" i="45"/>
  <c r="D264" i="45"/>
  <c r="E265" i="45" s="1"/>
  <c r="E266" i="45" s="1"/>
  <c r="D42" i="45"/>
  <c r="D59" i="45"/>
  <c r="D355" i="45"/>
  <c r="E356" i="45" s="1"/>
  <c r="E357" i="45" s="1"/>
  <c r="C59" i="45"/>
  <c r="C355" i="45"/>
  <c r="D30" i="45"/>
  <c r="D191" i="45"/>
  <c r="E192" i="45" s="1"/>
  <c r="E193" i="45" s="1"/>
  <c r="C42" i="45"/>
  <c r="C264" i="45"/>
  <c r="C233" i="45"/>
  <c r="C39" i="45"/>
  <c r="C41" i="45"/>
  <c r="C245" i="45"/>
  <c r="D71" i="45"/>
  <c r="C30" i="45"/>
  <c r="C191" i="45"/>
  <c r="D39" i="45"/>
  <c r="D233" i="45"/>
  <c r="E234" i="45" s="1"/>
  <c r="P72" i="43"/>
  <c r="P20" i="43"/>
  <c r="Q20" i="43" s="1"/>
  <c r="AS2" i="43"/>
  <c r="CY2" i="43"/>
  <c r="EA2" i="43" s="1"/>
  <c r="AT2" i="43"/>
  <c r="P71" i="43"/>
  <c r="T8" i="43" l="1"/>
  <c r="R22" i="43"/>
  <c r="Q72" i="43"/>
  <c r="R72" i="43"/>
  <c r="R20" i="43"/>
  <c r="Q71" i="43"/>
  <c r="R71" i="43" s="1"/>
  <c r="S20" i="43"/>
  <c r="S22" i="43"/>
  <c r="U8" i="43"/>
  <c r="T20" i="43"/>
  <c r="B4" i="47"/>
  <c r="I6" i="60"/>
  <c r="H6" i="60"/>
  <c r="G6" i="60"/>
  <c r="F6" i="60"/>
  <c r="E6" i="60"/>
  <c r="H7" i="48"/>
  <c r="O7" i="48" s="1"/>
  <c r="AC7" i="48" s="1"/>
  <c r="H11" i="48"/>
  <c r="N7" i="48"/>
  <c r="C6" i="57" s="1"/>
  <c r="S2" i="43"/>
  <c r="BW2" i="43"/>
  <c r="CZ2" i="43"/>
  <c r="EB2" i="43" s="1"/>
  <c r="AU2" i="43"/>
  <c r="D336" i="45"/>
  <c r="AH7" i="48" l="1"/>
  <c r="AJ7" i="48" s="1"/>
  <c r="AB7" i="48"/>
  <c r="T71" i="43"/>
  <c r="S71" i="43"/>
  <c r="U22" i="43"/>
  <c r="U20" i="43"/>
  <c r="S72" i="43"/>
  <c r="T22" i="43"/>
  <c r="V8" i="43"/>
  <c r="U7" i="48"/>
  <c r="D4" i="65"/>
  <c r="I5" i="65" s="1"/>
  <c r="T7" i="48"/>
  <c r="C4" i="65"/>
  <c r="P7" i="48"/>
  <c r="O11" i="48"/>
  <c r="AC11" i="48" s="1"/>
  <c r="AJ11" i="48" s="1"/>
  <c r="AK11" i="48" s="1"/>
  <c r="P11" i="48"/>
  <c r="T2" i="43"/>
  <c r="BX2" i="43"/>
  <c r="AV2" i="43"/>
  <c r="DA2" i="43"/>
  <c r="EC2" i="43" s="1"/>
  <c r="AG7" i="48" l="1"/>
  <c r="AI7" i="48" s="1"/>
  <c r="AK7" i="48" s="1"/>
  <c r="V7" i="48"/>
  <c r="AD7" i="48"/>
  <c r="V11" i="48"/>
  <c r="AD11" i="48"/>
  <c r="V20" i="43"/>
  <c r="V22" i="43"/>
  <c r="J6" i="60"/>
  <c r="U71" i="43"/>
  <c r="T72" i="43"/>
  <c r="W20" i="43"/>
  <c r="U11" i="48"/>
  <c r="D8" i="65"/>
  <c r="U2" i="43"/>
  <c r="BY2" i="43"/>
  <c r="DB2" i="43"/>
  <c r="ED2" i="43" s="1"/>
  <c r="AW2" i="43"/>
  <c r="K6" i="60" l="1"/>
  <c r="W8" i="43"/>
  <c r="L6" i="60" s="1"/>
  <c r="X8" i="43"/>
  <c r="M6" i="60" s="1"/>
  <c r="V71" i="43"/>
  <c r="U72" i="43"/>
  <c r="W22" i="43"/>
  <c r="X20" i="43"/>
  <c r="V2" i="43"/>
  <c r="BZ2" i="43"/>
  <c r="AX2" i="43"/>
  <c r="DC2" i="43"/>
  <c r="EE2" i="43" s="1"/>
  <c r="X22" i="43" l="1"/>
  <c r="Z22" i="43"/>
  <c r="Y22" i="43"/>
  <c r="W71" i="43"/>
  <c r="Y20" i="43"/>
  <c r="Z8" i="43"/>
  <c r="Y8" i="43"/>
  <c r="V72" i="43"/>
  <c r="W72" i="43" s="1"/>
  <c r="X72" i="43" s="1"/>
  <c r="W2" i="43"/>
  <c r="CA2" i="43"/>
  <c r="DD2" i="43"/>
  <c r="EF2" i="43" s="1"/>
  <c r="AY2" i="43"/>
  <c r="Y72" i="43" l="1"/>
  <c r="AA22" i="43"/>
  <c r="Z20" i="43"/>
  <c r="N6" i="60"/>
  <c r="X71" i="43"/>
  <c r="X2" i="43"/>
  <c r="CB2" i="43"/>
  <c r="AZ2" i="43"/>
  <c r="DE2" i="43"/>
  <c r="EG2" i="43" s="1"/>
  <c r="AA71" i="43" l="1"/>
  <c r="AB71" i="43" s="1"/>
  <c r="AC71" i="43" s="1"/>
  <c r="AD71" i="43" s="1"/>
  <c r="AE71" i="43" s="1"/>
  <c r="AF71" i="43" s="1"/>
  <c r="AG71" i="43" s="1"/>
  <c r="AH71" i="43" s="1"/>
  <c r="AI71" i="43" s="1"/>
  <c r="AJ71" i="43" s="1"/>
  <c r="AK71" i="43" s="1"/>
  <c r="AL71" i="43" s="1"/>
  <c r="AM71" i="43" s="1"/>
  <c r="AN71" i="43" s="1"/>
  <c r="AO71" i="43" s="1"/>
  <c r="AP71" i="43" s="1"/>
  <c r="Y71" i="43"/>
  <c r="Z71" i="43" s="1"/>
  <c r="Z72" i="43"/>
  <c r="AA20" i="43"/>
  <c r="O6" i="60"/>
  <c r="AA8" i="43"/>
  <c r="AB22" i="43"/>
  <c r="Y2" i="43"/>
  <c r="CC2" i="43"/>
  <c r="BA2" i="43"/>
  <c r="DF2" i="43"/>
  <c r="EH2" i="43" s="1"/>
  <c r="AB20" i="43" l="1"/>
  <c r="AC20" i="43" s="1"/>
  <c r="AD20" i="43" s="1"/>
  <c r="AE20" i="43" s="1"/>
  <c r="AF20" i="43" s="1"/>
  <c r="AG20" i="43" s="1"/>
  <c r="AH20" i="43" s="1"/>
  <c r="AI20" i="43" s="1"/>
  <c r="AJ20" i="43" s="1"/>
  <c r="AK20" i="43" s="1"/>
  <c r="AL20" i="43" s="1"/>
  <c r="AM20" i="43" s="1"/>
  <c r="AN20" i="43" s="1"/>
  <c r="AO20" i="43" s="1"/>
  <c r="AP20" i="43" s="1"/>
  <c r="AC22" i="43"/>
  <c r="AD22" i="43" s="1"/>
  <c r="AE22" i="43" s="1"/>
  <c r="AF22" i="43" s="1"/>
  <c r="AG22" i="43" s="1"/>
  <c r="AH22" i="43" s="1"/>
  <c r="AI22" i="43" s="1"/>
  <c r="AJ22" i="43" s="1"/>
  <c r="AK22" i="43" s="1"/>
  <c r="AL22" i="43" s="1"/>
  <c r="AM22" i="43" s="1"/>
  <c r="AN22" i="43" s="1"/>
  <c r="AO22" i="43" s="1"/>
  <c r="AP22" i="43" s="1"/>
  <c r="AA72" i="43"/>
  <c r="AB72" i="43" s="1"/>
  <c r="AC72" i="43" s="1"/>
  <c r="AD72" i="43"/>
  <c r="AE72" i="43" s="1"/>
  <c r="AF72" i="43" s="1"/>
  <c r="AG72" i="43" s="1"/>
  <c r="AH72" i="43" s="1"/>
  <c r="AI72" i="43" s="1"/>
  <c r="AJ72" i="43" s="1"/>
  <c r="AK72" i="43" s="1"/>
  <c r="AL72" i="43" s="1"/>
  <c r="AM72" i="43" s="1"/>
  <c r="AN72" i="43" s="1"/>
  <c r="AO72" i="43" s="1"/>
  <c r="AP72" i="43" s="1"/>
  <c r="AB8" i="43"/>
  <c r="Z2" i="43"/>
  <c r="CD2" i="43"/>
  <c r="DG2" i="43"/>
  <c r="EI2" i="43" s="1"/>
  <c r="BB2" i="43"/>
  <c r="P6" i="60" l="1"/>
  <c r="AC8" i="43"/>
  <c r="AA2" i="43"/>
  <c r="CE2" i="43"/>
  <c r="DH2" i="43"/>
  <c r="EJ2" i="43" s="1"/>
  <c r="BC2" i="43"/>
  <c r="AH29" i="48" l="1"/>
  <c r="Q6" i="60"/>
  <c r="AD8" i="43"/>
  <c r="AE8" i="43" s="1"/>
  <c r="AB2" i="43"/>
  <c r="CF2" i="43"/>
  <c r="BD2" i="43"/>
  <c r="DI2" i="43"/>
  <c r="EK2" i="43" s="1"/>
  <c r="F41" i="24"/>
  <c r="D41" i="24" s="1"/>
  <c r="F40" i="24"/>
  <c r="D40" i="24" s="1"/>
  <c r="F39" i="24"/>
  <c r="D39" i="24" s="1"/>
  <c r="F38" i="24"/>
  <c r="D38" i="24" s="1"/>
  <c r="BU10" i="43"/>
  <c r="BU11" i="43"/>
  <c r="BU12" i="43"/>
  <c r="BU13" i="43"/>
  <c r="BU14" i="43"/>
  <c r="BU15" i="43"/>
  <c r="BU16" i="43"/>
  <c r="BU17" i="43"/>
  <c r="BU18" i="43"/>
  <c r="BU19" i="43"/>
  <c r="BU28" i="43"/>
  <c r="BU61" i="43"/>
  <c r="BU67" i="43"/>
  <c r="BU37" i="43"/>
  <c r="BU38" i="43"/>
  <c r="BU29" i="43"/>
  <c r="BU53" i="43"/>
  <c r="BU21" i="43"/>
  <c r="BU70" i="43"/>
  <c r="BU30" i="43"/>
  <c r="BU40" i="43"/>
  <c r="BU54" i="43"/>
  <c r="BU9" i="43"/>
  <c r="D6" i="60" l="1"/>
  <c r="R6" i="60" s="1"/>
  <c r="AF8" i="43"/>
  <c r="AG8" i="43" s="1"/>
  <c r="AH8" i="43" s="1"/>
  <c r="AI8" i="43" s="1"/>
  <c r="AJ8" i="43" s="1"/>
  <c r="AK8" i="43" s="1"/>
  <c r="AL8" i="43" s="1"/>
  <c r="AM8" i="43" s="1"/>
  <c r="AN8" i="43" s="1"/>
  <c r="AO8" i="43" s="1"/>
  <c r="AP8" i="43" s="1"/>
  <c r="BW61" i="43"/>
  <c r="G364" i="45" s="1"/>
  <c r="BW62" i="43"/>
  <c r="BV61" i="43"/>
  <c r="AC2" i="43"/>
  <c r="C2" i="31" s="1"/>
  <c r="CG2" i="43"/>
  <c r="BE2" i="43"/>
  <c r="DJ2" i="43"/>
  <c r="EL2" i="43" s="1"/>
  <c r="E364" i="45"/>
  <c r="E333" i="45"/>
  <c r="T340" i="45"/>
  <c r="S340" i="45"/>
  <c r="I370" i="45"/>
  <c r="T370" i="45"/>
  <c r="P370" i="45"/>
  <c r="L370" i="45"/>
  <c r="H370" i="45"/>
  <c r="S370" i="45"/>
  <c r="O370" i="45"/>
  <c r="K370" i="45"/>
  <c r="R370" i="45"/>
  <c r="N370" i="45"/>
  <c r="J370" i="45"/>
  <c r="Q370" i="45"/>
  <c r="M370" i="45"/>
  <c r="E370" i="45"/>
  <c r="T364" i="45"/>
  <c r="P364" i="45"/>
  <c r="L364" i="45"/>
  <c r="H364" i="45"/>
  <c r="S364" i="45"/>
  <c r="O364" i="45"/>
  <c r="K364" i="45"/>
  <c r="R364" i="45"/>
  <c r="N364" i="45"/>
  <c r="J364" i="45"/>
  <c r="Q364" i="45"/>
  <c r="M364" i="45"/>
  <c r="I364" i="45"/>
  <c r="L333" i="45"/>
  <c r="S333" i="45"/>
  <c r="O333" i="45"/>
  <c r="K333" i="45"/>
  <c r="G333" i="45"/>
  <c r="T333" i="45"/>
  <c r="R333" i="45"/>
  <c r="N333" i="45"/>
  <c r="J333" i="45"/>
  <c r="F333" i="45"/>
  <c r="P333" i="45"/>
  <c r="H333" i="45"/>
  <c r="Q333" i="45"/>
  <c r="M333" i="45"/>
  <c r="I333" i="45"/>
  <c r="E273" i="45"/>
  <c r="L273" i="45"/>
  <c r="S273" i="45"/>
  <c r="O273" i="45"/>
  <c r="K273" i="45"/>
  <c r="G273" i="45"/>
  <c r="T273" i="45"/>
  <c r="H273" i="45"/>
  <c r="R273" i="45"/>
  <c r="N273" i="45"/>
  <c r="J273" i="45"/>
  <c r="F273" i="45"/>
  <c r="P273" i="45"/>
  <c r="Q273" i="45"/>
  <c r="M273" i="45"/>
  <c r="I273" i="45"/>
  <c r="E248" i="45"/>
  <c r="I248" i="45"/>
  <c r="F248" i="45"/>
  <c r="J248" i="45"/>
  <c r="N248" i="45"/>
  <c r="R248" i="45"/>
  <c r="Q248" i="45"/>
  <c r="G248" i="45"/>
  <c r="K248" i="45"/>
  <c r="O248" i="45"/>
  <c r="S248" i="45"/>
  <c r="M248" i="45"/>
  <c r="H248" i="45"/>
  <c r="L248" i="45"/>
  <c r="P248" i="45"/>
  <c r="T248" i="45"/>
  <c r="K54" i="43"/>
  <c r="K40" i="43"/>
  <c r="K30" i="43"/>
  <c r="K70" i="43"/>
  <c r="K21" i="43"/>
  <c r="K53" i="43"/>
  <c r="K29" i="43"/>
  <c r="K38" i="43"/>
  <c r="K37" i="43"/>
  <c r="K67" i="43"/>
  <c r="K62" i="43"/>
  <c r="K61" i="43"/>
  <c r="K28" i="43"/>
  <c r="K19" i="43"/>
  <c r="K18" i="43"/>
  <c r="K17" i="43"/>
  <c r="K16" i="43"/>
  <c r="K15" i="43"/>
  <c r="K14" i="43"/>
  <c r="K13" i="43"/>
  <c r="K12" i="43"/>
  <c r="K11" i="43"/>
  <c r="K10" i="43"/>
  <c r="F3" i="24"/>
  <c r="D3" i="24" s="1"/>
  <c r="F4" i="24"/>
  <c r="D4" i="24" s="1"/>
  <c r="F5" i="24"/>
  <c r="D5" i="24" s="1"/>
  <c r="F6" i="24"/>
  <c r="D6" i="24" s="1"/>
  <c r="F7" i="24"/>
  <c r="D7" i="24" s="1"/>
  <c r="F8" i="24"/>
  <c r="D8" i="24" s="1"/>
  <c r="F9" i="24"/>
  <c r="D9" i="24" s="1"/>
  <c r="F10" i="24"/>
  <c r="D10" i="24" s="1"/>
  <c r="F11" i="24"/>
  <c r="D11" i="24" s="1"/>
  <c r="F12" i="24"/>
  <c r="D12" i="24" s="1"/>
  <c r="F42" i="24"/>
  <c r="D42" i="24" s="1"/>
  <c r="F43" i="24"/>
  <c r="D43" i="24" s="1"/>
  <c r="F14" i="24"/>
  <c r="D14" i="24" s="1"/>
  <c r="F47" i="24"/>
  <c r="D47" i="24" s="1"/>
  <c r="F56" i="24"/>
  <c r="D56" i="24" s="1"/>
  <c r="F21" i="24"/>
  <c r="D21" i="24" s="1"/>
  <c r="F63" i="24"/>
  <c r="D63" i="24" s="1"/>
  <c r="F22" i="24"/>
  <c r="D22" i="24" s="1"/>
  <c r="F23" i="24"/>
  <c r="D23" i="24" s="1"/>
  <c r="F28" i="24"/>
  <c r="D28" i="24" s="1"/>
  <c r="F29" i="24"/>
  <c r="D29" i="24" s="1"/>
  <c r="F31" i="24"/>
  <c r="D31" i="24" s="1"/>
  <c r="F32" i="24"/>
  <c r="F13" i="24"/>
  <c r="D13" i="24" s="1"/>
  <c r="F20" i="24"/>
  <c r="D20" i="24" s="1"/>
  <c r="F24" i="24"/>
  <c r="D24" i="24" s="1"/>
  <c r="F25" i="24"/>
  <c r="D25" i="24" s="1"/>
  <c r="F15" i="24"/>
  <c r="D15" i="24" s="1"/>
  <c r="F18" i="24"/>
  <c r="D18" i="24" s="1"/>
  <c r="F35" i="24"/>
  <c r="D35" i="24" s="1"/>
  <c r="F36" i="24"/>
  <c r="D36" i="24" s="1"/>
  <c r="F30" i="24"/>
  <c r="D30" i="24" s="1"/>
  <c r="F26" i="24"/>
  <c r="D26" i="24" s="1"/>
  <c r="F27" i="24"/>
  <c r="D27" i="24" s="1"/>
  <c r="F16" i="24"/>
  <c r="D16" i="24" s="1"/>
  <c r="F44" i="24"/>
  <c r="D44" i="24" s="1"/>
  <c r="F49" i="24"/>
  <c r="D49" i="24" s="1"/>
  <c r="F17" i="24"/>
  <c r="D17" i="24" s="1"/>
  <c r="F50" i="24"/>
  <c r="D50" i="24" s="1"/>
  <c r="F51" i="24"/>
  <c r="D51" i="24" s="1"/>
  <c r="F19" i="24"/>
  <c r="D19" i="24" s="1"/>
  <c r="F52" i="24"/>
  <c r="D52" i="24" s="1"/>
  <c r="F53" i="24"/>
  <c r="D53" i="24" s="1"/>
  <c r="F55" i="24"/>
  <c r="D55" i="24" s="1"/>
  <c r="F57" i="24"/>
  <c r="D57" i="24" s="1"/>
  <c r="F58" i="24"/>
  <c r="D58" i="24" s="1"/>
  <c r="F59" i="24"/>
  <c r="D59" i="24" s="1"/>
  <c r="F62" i="24"/>
  <c r="D62" i="24" s="1"/>
  <c r="F2" i="24"/>
  <c r="D2" i="24" s="1"/>
  <c r="G83" i="45"/>
  <c r="F83" i="45"/>
  <c r="E83" i="45"/>
  <c r="ER23" i="24" l="1"/>
  <c r="EC62" i="43" s="1"/>
  <c r="EP23" i="24"/>
  <c r="EA62" i="43" s="1"/>
  <c r="ES23" i="24"/>
  <c r="ED62" i="43" s="1"/>
  <c r="EY23" i="24"/>
  <c r="EJ62" i="43" s="1"/>
  <c r="FB23" i="24"/>
  <c r="EM62" i="43" s="1"/>
  <c r="EO23" i="24"/>
  <c r="DZ62" i="43" s="1"/>
  <c r="EZ23" i="24"/>
  <c r="EK62" i="43" s="1"/>
  <c r="EU23" i="24"/>
  <c r="EF62" i="43" s="1"/>
  <c r="EX23" i="24"/>
  <c r="EI62" i="43" s="1"/>
  <c r="FA23" i="24"/>
  <c r="EL62" i="43" s="1"/>
  <c r="EV23" i="24"/>
  <c r="EG62" i="43" s="1"/>
  <c r="EQ23" i="24"/>
  <c r="EB62" i="43" s="1"/>
  <c r="ET23" i="24"/>
  <c r="EE62" i="43" s="1"/>
  <c r="EW23" i="24"/>
  <c r="EH62" i="43" s="1"/>
  <c r="EQ29" i="24"/>
  <c r="EB68" i="43" s="1"/>
  <c r="ER29" i="24"/>
  <c r="EC68" i="43" s="1"/>
  <c r="FA29" i="24"/>
  <c r="EL68" i="43" s="1"/>
  <c r="EX29" i="24"/>
  <c r="EI68" i="43" s="1"/>
  <c r="FB29" i="24"/>
  <c r="EM68" i="43" s="1"/>
  <c r="EU29" i="24"/>
  <c r="EF68" i="43" s="1"/>
  <c r="EV29" i="24"/>
  <c r="EG68" i="43" s="1"/>
  <c r="EO29" i="24"/>
  <c r="DZ68" i="43" s="1"/>
  <c r="EY29" i="24"/>
  <c r="EJ68" i="43" s="1"/>
  <c r="EZ29" i="24"/>
  <c r="EK68" i="43" s="1"/>
  <c r="ES29" i="24"/>
  <c r="ED68" i="43" s="1"/>
  <c r="EP29" i="24"/>
  <c r="EA68" i="43" s="1"/>
  <c r="EW29" i="24"/>
  <c r="EH68" i="43" s="1"/>
  <c r="ET29" i="24"/>
  <c r="EE68" i="43" s="1"/>
  <c r="EV22" i="24"/>
  <c r="EG61" i="43" s="1"/>
  <c r="EU22" i="24"/>
  <c r="EF61" i="43" s="1"/>
  <c r="ER22" i="24"/>
  <c r="EC61" i="43" s="1"/>
  <c r="EQ22" i="24"/>
  <c r="EB61" i="43" s="1"/>
  <c r="EX22" i="24"/>
  <c r="EI61" i="43" s="1"/>
  <c r="ES22" i="24"/>
  <c r="ED61" i="43" s="1"/>
  <c r="EP22" i="24"/>
  <c r="EA61" i="43" s="1"/>
  <c r="ET22" i="24"/>
  <c r="EE61" i="43" s="1"/>
  <c r="EO22" i="24"/>
  <c r="DZ61" i="43" s="1"/>
  <c r="EZ22" i="24"/>
  <c r="EK61" i="43" s="1"/>
  <c r="EY22" i="24"/>
  <c r="EJ61" i="43" s="1"/>
  <c r="FA22" i="24"/>
  <c r="EL61" i="43" s="1"/>
  <c r="FB22" i="24"/>
  <c r="EM61" i="43" s="1"/>
  <c r="EW22" i="24"/>
  <c r="EH61" i="43" s="1"/>
  <c r="EO30" i="24"/>
  <c r="DZ69" i="43" s="1"/>
  <c r="EX30" i="24"/>
  <c r="EI69" i="43" s="1"/>
  <c r="EV30" i="24"/>
  <c r="EG69" i="43" s="1"/>
  <c r="ES30" i="24"/>
  <c r="ED69" i="43" s="1"/>
  <c r="FB30" i="24"/>
  <c r="EM69" i="43" s="1"/>
  <c r="EZ30" i="24"/>
  <c r="EK69" i="43" s="1"/>
  <c r="EW30" i="24"/>
  <c r="EH69" i="43" s="1"/>
  <c r="EP30" i="24"/>
  <c r="EA69" i="43" s="1"/>
  <c r="EQ30" i="24"/>
  <c r="EB69" i="43" s="1"/>
  <c r="EY30" i="24"/>
  <c r="EJ69" i="43" s="1"/>
  <c r="FA30" i="24"/>
  <c r="EL69" i="43" s="1"/>
  <c r="ET30" i="24"/>
  <c r="EE69" i="43" s="1"/>
  <c r="EU30" i="24"/>
  <c r="EF69" i="43" s="1"/>
  <c r="ER30" i="24"/>
  <c r="EC69" i="43" s="1"/>
  <c r="FA28" i="24"/>
  <c r="EL67" i="43" s="1"/>
  <c r="FB28" i="24"/>
  <c r="EM67" i="43" s="1"/>
  <c r="EV28" i="24"/>
  <c r="EG67" i="43" s="1"/>
  <c r="EO28" i="24"/>
  <c r="DZ67" i="43" s="1"/>
  <c r="EP28" i="24"/>
  <c r="EA67" i="43" s="1"/>
  <c r="EZ28" i="24"/>
  <c r="EK67" i="43" s="1"/>
  <c r="ES28" i="24"/>
  <c r="ED67" i="43" s="1"/>
  <c r="ET28" i="24"/>
  <c r="EE67" i="43" s="1"/>
  <c r="EQ28" i="24"/>
  <c r="EB67" i="43" s="1"/>
  <c r="EW28" i="24"/>
  <c r="EH67" i="43" s="1"/>
  <c r="EX28" i="24"/>
  <c r="EI67" i="43" s="1"/>
  <c r="EU28" i="24"/>
  <c r="EF67" i="43" s="1"/>
  <c r="ER28" i="24"/>
  <c r="EC67" i="43" s="1"/>
  <c r="EY28" i="24"/>
  <c r="EJ67" i="43" s="1"/>
  <c r="T25" i="24"/>
  <c r="O25" i="24"/>
  <c r="R25" i="24"/>
  <c r="M25" i="24"/>
  <c r="L25" i="24"/>
  <c r="K25" i="24"/>
  <c r="J25" i="24"/>
  <c r="H25" i="24"/>
  <c r="Q25" i="24"/>
  <c r="P25" i="24"/>
  <c r="N25" i="24"/>
  <c r="I25" i="24"/>
  <c r="G25" i="24"/>
  <c r="S25" i="24"/>
  <c r="R21" i="24"/>
  <c r="T21" i="24"/>
  <c r="K21" i="24"/>
  <c r="J21" i="24"/>
  <c r="I21" i="24"/>
  <c r="G21" i="24"/>
  <c r="S21" i="24"/>
  <c r="N21" i="24"/>
  <c r="Q21" i="24"/>
  <c r="H21" i="24"/>
  <c r="P21" i="24"/>
  <c r="O21" i="24"/>
  <c r="M21" i="24"/>
  <c r="L21" i="24"/>
  <c r="Q27" i="24"/>
  <c r="T27" i="24"/>
  <c r="H27" i="24"/>
  <c r="R27" i="24"/>
  <c r="P27" i="24"/>
  <c r="M27" i="24"/>
  <c r="N27" i="24"/>
  <c r="J27" i="24"/>
  <c r="I27" i="24"/>
  <c r="O27" i="24"/>
  <c r="S27" i="24"/>
  <c r="L27" i="24"/>
  <c r="K27" i="24"/>
  <c r="G27" i="24"/>
  <c r="H24" i="24"/>
  <c r="P24" i="24"/>
  <c r="R24" i="24"/>
  <c r="T24" i="24"/>
  <c r="M24" i="24"/>
  <c r="J24" i="24"/>
  <c r="S24" i="24"/>
  <c r="N24" i="24"/>
  <c r="Q24" i="24"/>
  <c r="K24" i="24"/>
  <c r="O24" i="24"/>
  <c r="G24" i="24"/>
  <c r="L24" i="24"/>
  <c r="I24" i="24"/>
  <c r="S31" i="24"/>
  <c r="I31" i="24"/>
  <c r="H31" i="24"/>
  <c r="Q31" i="24"/>
  <c r="T31" i="24"/>
  <c r="J31" i="24"/>
  <c r="O31" i="24"/>
  <c r="R31" i="24"/>
  <c r="P31" i="24"/>
  <c r="G31" i="24"/>
  <c r="N31" i="24"/>
  <c r="M31" i="24"/>
  <c r="L31" i="24"/>
  <c r="K31" i="24"/>
  <c r="N26" i="24"/>
  <c r="R26" i="24"/>
  <c r="T26" i="24"/>
  <c r="P26" i="24"/>
  <c r="S26" i="24"/>
  <c r="M26" i="24"/>
  <c r="Q26" i="24"/>
  <c r="O26" i="24"/>
  <c r="H26" i="24"/>
  <c r="K26" i="24"/>
  <c r="J26" i="24"/>
  <c r="I26" i="24"/>
  <c r="L26" i="24"/>
  <c r="G26" i="24"/>
  <c r="D32" i="24"/>
  <c r="AK32" i="24"/>
  <c r="X32" i="24"/>
  <c r="V32" i="24"/>
  <c r="AL32" i="24"/>
  <c r="AJ32" i="24"/>
  <c r="F364" i="45"/>
  <c r="F370" i="45"/>
  <c r="G370" i="45"/>
  <c r="CH2" i="43"/>
  <c r="AD2" i="43"/>
  <c r="AE2" i="43" s="1"/>
  <c r="D2" i="31" s="1"/>
  <c r="BF2" i="43"/>
  <c r="DK2" i="43"/>
  <c r="EM2" i="43" s="1"/>
  <c r="K9" i="43"/>
  <c r="A62" i="48"/>
  <c r="J62" i="48" s="1"/>
  <c r="A52" i="48"/>
  <c r="A50" i="48"/>
  <c r="A45" i="48"/>
  <c r="G32" i="24" l="1"/>
  <c r="K45" i="48"/>
  <c r="J45" i="48"/>
  <c r="K50" i="48"/>
  <c r="J50" i="48"/>
  <c r="K52" i="48"/>
  <c r="J52" i="48"/>
  <c r="FD69" i="43"/>
  <c r="FC69" i="43"/>
  <c r="FE69" i="43"/>
  <c r="FE68" i="43"/>
  <c r="FD68" i="43"/>
  <c r="FC68" i="43"/>
  <c r="FC62" i="43"/>
  <c r="FE62" i="43"/>
  <c r="FD62" i="43"/>
  <c r="FD61" i="43"/>
  <c r="FC61" i="43"/>
  <c r="FE61" i="43"/>
  <c r="FE67" i="43"/>
  <c r="FD67" i="43"/>
  <c r="FC67" i="43"/>
  <c r="P32" i="24"/>
  <c r="T32" i="24"/>
  <c r="Q32" i="24"/>
  <c r="N32" i="24"/>
  <c r="R32" i="24"/>
  <c r="O32" i="24"/>
  <c r="S32" i="24"/>
  <c r="H32" i="24"/>
  <c r="L32" i="24"/>
  <c r="I32" i="24"/>
  <c r="M32" i="24"/>
  <c r="J32" i="24"/>
  <c r="K32" i="24"/>
  <c r="U32" i="24"/>
  <c r="CI74" i="43" s="1"/>
  <c r="BG74" i="43" s="1"/>
  <c r="W32" i="24"/>
  <c r="CK74" i="43" s="1"/>
  <c r="BI74" i="43" s="1"/>
  <c r="BU75" i="43"/>
  <c r="CA75" i="43"/>
  <c r="AY75" i="43" s="1"/>
  <c r="CH75" i="43"/>
  <c r="BF75" i="43" s="1"/>
  <c r="CI75" i="43"/>
  <c r="BG75" i="43" s="1"/>
  <c r="CK75" i="43"/>
  <c r="BI75" i="43" s="1"/>
  <c r="CJ75" i="43"/>
  <c r="BH75" i="43" s="1"/>
  <c r="CJ74" i="43"/>
  <c r="BH74" i="43" s="1"/>
  <c r="CL75" i="43"/>
  <c r="BJ75" i="43" s="1"/>
  <c r="CL74" i="43"/>
  <c r="BJ74" i="43" s="1"/>
  <c r="K62" i="48"/>
  <c r="BU63" i="43"/>
  <c r="BW65" i="43"/>
  <c r="AU65" i="43" s="1"/>
  <c r="BY65" i="43"/>
  <c r="AW65" i="43" s="1"/>
  <c r="BZ65" i="43"/>
  <c r="AX65" i="43" s="1"/>
  <c r="BV65" i="43"/>
  <c r="AT65" i="43" s="1"/>
  <c r="BX65" i="43"/>
  <c r="AV65" i="43" s="1"/>
  <c r="CA65" i="43"/>
  <c r="AY65" i="43" s="1"/>
  <c r="CE64" i="43"/>
  <c r="BC64" i="43" s="1"/>
  <c r="CC64" i="43"/>
  <c r="BA64" i="43" s="1"/>
  <c r="CG64" i="43"/>
  <c r="BE64" i="43" s="1"/>
  <c r="CD64" i="43"/>
  <c r="BB64" i="43" s="1"/>
  <c r="CF64" i="43"/>
  <c r="BD64" i="43" s="1"/>
  <c r="CB64" i="43"/>
  <c r="AZ64" i="43" s="1"/>
  <c r="CH64" i="43"/>
  <c r="BF64" i="43" s="1"/>
  <c r="CE66" i="43"/>
  <c r="BC66" i="43" s="1"/>
  <c r="CC66" i="43"/>
  <c r="BA66" i="43" s="1"/>
  <c r="CB66" i="43"/>
  <c r="AZ66" i="43" s="1"/>
  <c r="CF66" i="43"/>
  <c r="BD66" i="43" s="1"/>
  <c r="CD66" i="43"/>
  <c r="BB66" i="43" s="1"/>
  <c r="CG66" i="43"/>
  <c r="BE66" i="43" s="1"/>
  <c r="CH66" i="43"/>
  <c r="BF66" i="43" s="1"/>
  <c r="BW73" i="43"/>
  <c r="AU73" i="43" s="1"/>
  <c r="BZ73" i="43"/>
  <c r="AX73" i="43" s="1"/>
  <c r="BV73" i="43"/>
  <c r="AT73" i="43" s="1"/>
  <c r="BY73" i="43"/>
  <c r="AW73" i="43" s="1"/>
  <c r="BX73" i="43"/>
  <c r="AV73" i="43" s="1"/>
  <c r="CA73" i="43"/>
  <c r="AY73" i="43" s="1"/>
  <c r="BW63" i="43"/>
  <c r="AU63" i="43" s="1"/>
  <c r="BZ63" i="43"/>
  <c r="AX63" i="43" s="1"/>
  <c r="BY63" i="43"/>
  <c r="AW63" i="43" s="1"/>
  <c r="BX63" i="43"/>
  <c r="AV63" i="43" s="1"/>
  <c r="BV63" i="43"/>
  <c r="AT63" i="43" s="1"/>
  <c r="CA63" i="43"/>
  <c r="AY63" i="43" s="1"/>
  <c r="BU55" i="43"/>
  <c r="BU66" i="43"/>
  <c r="CD65" i="43"/>
  <c r="BB65" i="43" s="1"/>
  <c r="CG65" i="43"/>
  <c r="BE65" i="43" s="1"/>
  <c r="CB65" i="43"/>
  <c r="AZ65" i="43" s="1"/>
  <c r="CC65" i="43"/>
  <c r="BA65" i="43" s="1"/>
  <c r="CF65" i="43"/>
  <c r="BD65" i="43" s="1"/>
  <c r="CE65" i="43"/>
  <c r="BC65" i="43" s="1"/>
  <c r="CH65" i="43"/>
  <c r="BF65" i="43" s="1"/>
  <c r="CE73" i="43"/>
  <c r="BC73" i="43" s="1"/>
  <c r="CC73" i="43"/>
  <c r="BA73" i="43" s="1"/>
  <c r="CD73" i="43"/>
  <c r="BB73" i="43" s="1"/>
  <c r="CF73" i="43"/>
  <c r="BD73" i="43" s="1"/>
  <c r="CG73" i="43"/>
  <c r="BE73" i="43" s="1"/>
  <c r="CB73" i="43"/>
  <c r="AZ73" i="43" s="1"/>
  <c r="CH73" i="43"/>
  <c r="BF73" i="43" s="1"/>
  <c r="CD63" i="43"/>
  <c r="BB63" i="43" s="1"/>
  <c r="CG63" i="43"/>
  <c r="BE63" i="43" s="1"/>
  <c r="CC63" i="43"/>
  <c r="BA63" i="43" s="1"/>
  <c r="CB63" i="43"/>
  <c r="AZ63" i="43" s="1"/>
  <c r="CF63" i="43"/>
  <c r="BD63" i="43" s="1"/>
  <c r="CE63" i="43"/>
  <c r="BC63" i="43" s="1"/>
  <c r="CH63" i="43"/>
  <c r="BF63" i="43" s="1"/>
  <c r="BW55" i="43"/>
  <c r="AU55" i="43" s="1"/>
  <c r="BZ55" i="43"/>
  <c r="AX55" i="43" s="1"/>
  <c r="BX55" i="43"/>
  <c r="AV55" i="43" s="1"/>
  <c r="BY55" i="43"/>
  <c r="AW55" i="43" s="1"/>
  <c r="BV55" i="43"/>
  <c r="AT55" i="43" s="1"/>
  <c r="CA55" i="43"/>
  <c r="AY55" i="43" s="1"/>
  <c r="BU64" i="43"/>
  <c r="BU65" i="43"/>
  <c r="BU73" i="43"/>
  <c r="CC55" i="43"/>
  <c r="BA55" i="43" s="1"/>
  <c r="CG55" i="43"/>
  <c r="BE55" i="43" s="1"/>
  <c r="CD55" i="43"/>
  <c r="BB55" i="43" s="1"/>
  <c r="CF55" i="43"/>
  <c r="BD55" i="43" s="1"/>
  <c r="CE55" i="43"/>
  <c r="BC55" i="43" s="1"/>
  <c r="CB55" i="43"/>
  <c r="AZ55" i="43" s="1"/>
  <c r="CH55" i="43"/>
  <c r="BF55" i="43" s="1"/>
  <c r="BW64" i="43"/>
  <c r="AU64" i="43" s="1"/>
  <c r="BX64" i="43"/>
  <c r="AV64" i="43" s="1"/>
  <c r="BV64" i="43"/>
  <c r="AT64" i="43" s="1"/>
  <c r="BY64" i="43"/>
  <c r="AW64" i="43" s="1"/>
  <c r="BZ64" i="43"/>
  <c r="AX64" i="43" s="1"/>
  <c r="CA64" i="43"/>
  <c r="AY64" i="43" s="1"/>
  <c r="BW66" i="43"/>
  <c r="AU66" i="43" s="1"/>
  <c r="BY66" i="43"/>
  <c r="AW66" i="43" s="1"/>
  <c r="BX66" i="43"/>
  <c r="AV66" i="43" s="1"/>
  <c r="BV66" i="43"/>
  <c r="AT66" i="43" s="1"/>
  <c r="BZ66" i="43"/>
  <c r="AX66" i="43" s="1"/>
  <c r="CA66" i="43"/>
  <c r="AY66" i="43" s="1"/>
  <c r="M52" i="48"/>
  <c r="M50" i="48"/>
  <c r="M62" i="48"/>
  <c r="CI2" i="43"/>
  <c r="DL2" i="43"/>
  <c r="EN2" i="43" s="1"/>
  <c r="BG2" i="43"/>
  <c r="D62" i="48"/>
  <c r="B73" i="65" s="1"/>
  <c r="E62" i="48"/>
  <c r="M45" i="48"/>
  <c r="AS73" i="43" l="1"/>
  <c r="AS75" i="43"/>
  <c r="P75" i="43" s="1"/>
  <c r="AS64" i="43"/>
  <c r="AS66" i="43"/>
  <c r="AS55" i="43"/>
  <c r="AS63" i="43"/>
  <c r="AS65" i="43"/>
  <c r="CG74" i="43"/>
  <c r="BE74" i="43" s="1"/>
  <c r="BU74" i="43"/>
  <c r="BZ74" i="43"/>
  <c r="AX74" i="43" s="1"/>
  <c r="CH74" i="43"/>
  <c r="BF74" i="43" s="1"/>
  <c r="CF74" i="43"/>
  <c r="BD74" i="43" s="1"/>
  <c r="CB74" i="43"/>
  <c r="AZ74" i="43" s="1"/>
  <c r="CC74" i="43"/>
  <c r="BA74" i="43" s="1"/>
  <c r="CE74" i="43"/>
  <c r="BC74" i="43" s="1"/>
  <c r="CD74" i="43"/>
  <c r="BB74" i="43" s="1"/>
  <c r="BY74" i="43"/>
  <c r="AW74" i="43" s="1"/>
  <c r="BW74" i="43"/>
  <c r="AU74" i="43" s="1"/>
  <c r="BX74" i="43"/>
  <c r="AV74" i="43" s="1"/>
  <c r="CA74" i="43"/>
  <c r="AY74" i="43" s="1"/>
  <c r="BV74" i="43"/>
  <c r="AT74" i="43" s="1"/>
  <c r="CG75" i="43"/>
  <c r="BE75" i="43" s="1"/>
  <c r="BY75" i="43"/>
  <c r="AW75" i="43" s="1"/>
  <c r="BW75" i="43"/>
  <c r="AU75" i="43" s="1"/>
  <c r="CB75" i="43"/>
  <c r="AZ75" i="43" s="1"/>
  <c r="CC75" i="43"/>
  <c r="BA75" i="43" s="1"/>
  <c r="BX75" i="43"/>
  <c r="AV75" i="43" s="1"/>
  <c r="CE75" i="43"/>
  <c r="BC75" i="43" s="1"/>
  <c r="CD75" i="43"/>
  <c r="BB75" i="43" s="1"/>
  <c r="BZ75" i="43"/>
  <c r="AX75" i="43" s="1"/>
  <c r="CF75" i="43"/>
  <c r="BD75" i="43" s="1"/>
  <c r="BV75" i="43"/>
  <c r="AT75" i="43" s="1"/>
  <c r="AH26" i="24"/>
  <c r="P340" i="45"/>
  <c r="K340" i="45"/>
  <c r="J340" i="45"/>
  <c r="J66" i="43"/>
  <c r="I66" i="43"/>
  <c r="E340" i="45"/>
  <c r="I55" i="43"/>
  <c r="J55" i="43"/>
  <c r="J63" i="43"/>
  <c r="I63" i="43"/>
  <c r="R340" i="45"/>
  <c r="N340" i="45"/>
  <c r="J64" i="43"/>
  <c r="I64" i="43"/>
  <c r="F340" i="45"/>
  <c r="G340" i="45"/>
  <c r="AH27" i="24"/>
  <c r="AH21" i="24"/>
  <c r="AH24" i="24"/>
  <c r="L340" i="45"/>
  <c r="Q340" i="45"/>
  <c r="J73" i="43"/>
  <c r="I73" i="43"/>
  <c r="J65" i="43"/>
  <c r="I65" i="43"/>
  <c r="AH25" i="24"/>
  <c r="I340" i="45"/>
  <c r="O340" i="45"/>
  <c r="M340" i="45"/>
  <c r="AH31" i="24"/>
  <c r="H340" i="45"/>
  <c r="AF2" i="43"/>
  <c r="CJ2" i="43"/>
  <c r="BH2" i="43"/>
  <c r="DM2" i="43"/>
  <c r="EO2" i="43" s="1"/>
  <c r="N62" i="48"/>
  <c r="C26" i="57" s="1"/>
  <c r="C73" i="65" l="1"/>
  <c r="AB62" i="48"/>
  <c r="AI62" i="48" s="1"/>
  <c r="AS74" i="43"/>
  <c r="K55" i="43"/>
  <c r="K66" i="43"/>
  <c r="K65" i="43"/>
  <c r="K73" i="43"/>
  <c r="K63" i="43"/>
  <c r="K64" i="43"/>
  <c r="AH32" i="24"/>
  <c r="I74" i="43"/>
  <c r="J74" i="43"/>
  <c r="J75" i="43"/>
  <c r="G79" i="48" s="1"/>
  <c r="I75" i="43"/>
  <c r="F79" i="48" s="1"/>
  <c r="E61" i="57" s="1"/>
  <c r="P65" i="43"/>
  <c r="P63" i="43"/>
  <c r="P73" i="43"/>
  <c r="P64" i="43"/>
  <c r="P66" i="43"/>
  <c r="E341" i="45"/>
  <c r="E342" i="45" s="1"/>
  <c r="P55" i="43"/>
  <c r="AG2" i="43"/>
  <c r="CK2" i="43"/>
  <c r="DN2" i="43"/>
  <c r="EP2" i="43" s="1"/>
  <c r="T62" i="48"/>
  <c r="D50" i="48"/>
  <c r="B67" i="65" s="1"/>
  <c r="E50" i="48"/>
  <c r="D52" i="48"/>
  <c r="E52" i="48"/>
  <c r="D45" i="48"/>
  <c r="B62" i="65" s="1"/>
  <c r="E45" i="48"/>
  <c r="B68" i="65" l="1"/>
  <c r="B69" i="65"/>
  <c r="F78" i="48"/>
  <c r="G78" i="48"/>
  <c r="P74" i="43"/>
  <c r="F341" i="45"/>
  <c r="Q74" i="43"/>
  <c r="K74" i="43"/>
  <c r="K75" i="43"/>
  <c r="L79" i="48" s="1"/>
  <c r="R74" i="43"/>
  <c r="Q55" i="43"/>
  <c r="S74" i="43"/>
  <c r="Q64" i="43"/>
  <c r="T74" i="43"/>
  <c r="U74" i="43"/>
  <c r="E64" i="45"/>
  <c r="E65" i="45"/>
  <c r="R55" i="43"/>
  <c r="V74" i="43"/>
  <c r="Q73" i="43"/>
  <c r="Q63" i="43"/>
  <c r="Q75" i="43"/>
  <c r="E337" i="45"/>
  <c r="D16" i="60"/>
  <c r="E16" i="60"/>
  <c r="F16" i="60"/>
  <c r="AH2" i="43"/>
  <c r="CL2" i="43"/>
  <c r="DO2" i="43"/>
  <c r="EQ2" i="43" s="1"/>
  <c r="N52" i="48"/>
  <c r="N50" i="48"/>
  <c r="C12" i="57" s="1"/>
  <c r="N45" i="48"/>
  <c r="C22" i="57" s="1"/>
  <c r="C69" i="65" l="1"/>
  <c r="C14" i="57"/>
  <c r="L78" i="48"/>
  <c r="C13" i="57"/>
  <c r="C15" i="57"/>
  <c r="C68" i="65"/>
  <c r="AB52" i="48"/>
  <c r="C62" i="65"/>
  <c r="AB45" i="48"/>
  <c r="AI45" i="48" s="1"/>
  <c r="C67" i="65"/>
  <c r="AB50" i="48"/>
  <c r="H341" i="45"/>
  <c r="R63" i="43"/>
  <c r="G341" i="45"/>
  <c r="G337" i="45"/>
  <c r="H338" i="45" s="1"/>
  <c r="F337" i="45"/>
  <c r="G338" i="45" s="1"/>
  <c r="R75" i="43"/>
  <c r="S55" i="43"/>
  <c r="S73" i="43"/>
  <c r="X74" i="43"/>
  <c r="Q65" i="43"/>
  <c r="W74" i="43"/>
  <c r="S75" i="43"/>
  <c r="T64" i="43"/>
  <c r="R64" i="43"/>
  <c r="S64" i="43"/>
  <c r="S63" i="43"/>
  <c r="R73" i="43"/>
  <c r="Q66" i="43"/>
  <c r="U64" i="43"/>
  <c r="F338" i="45"/>
  <c r="AI2" i="43"/>
  <c r="CM2" i="43"/>
  <c r="DP2" i="43"/>
  <c r="ER2" i="43" s="1"/>
  <c r="T52" i="48"/>
  <c r="T45" i="48"/>
  <c r="T50" i="48"/>
  <c r="AG50" i="48" l="1"/>
  <c r="AI50" i="48" s="1"/>
  <c r="AG52" i="48"/>
  <c r="AI52" i="48" s="1"/>
  <c r="H16" i="60"/>
  <c r="T73" i="43"/>
  <c r="G16" i="60"/>
  <c r="V64" i="43"/>
  <c r="T63" i="43"/>
  <c r="U63" i="43"/>
  <c r="V63" i="43"/>
  <c r="U73" i="43"/>
  <c r="Y74" i="43"/>
  <c r="F65" i="45"/>
  <c r="W64" i="43"/>
  <c r="F64" i="45"/>
  <c r="H337" i="45"/>
  <c r="I338" i="45" s="1"/>
  <c r="I339" i="45" s="1"/>
  <c r="V73" i="43"/>
  <c r="T75" i="43"/>
  <c r="H339" i="45"/>
  <c r="H342" i="45"/>
  <c r="F339" i="45"/>
  <c r="F342" i="45"/>
  <c r="G342" i="45"/>
  <c r="G339" i="45"/>
  <c r="AJ2" i="43"/>
  <c r="DQ2" i="43"/>
  <c r="ES2" i="43" s="1"/>
  <c r="CN2" i="43"/>
  <c r="R66" i="43" l="1"/>
  <c r="I16" i="60"/>
  <c r="I341" i="45"/>
  <c r="I342" i="45" s="1"/>
  <c r="T55" i="43"/>
  <c r="Z74" i="43"/>
  <c r="W73" i="43"/>
  <c r="R65" i="43"/>
  <c r="W63" i="43"/>
  <c r="U75" i="43"/>
  <c r="X64" i="43"/>
  <c r="AK2" i="43"/>
  <c r="CO2" i="43"/>
  <c r="DR2" i="43"/>
  <c r="ET2" i="43" s="1"/>
  <c r="A55" i="45"/>
  <c r="A54" i="45"/>
  <c r="A50" i="45"/>
  <c r="A49" i="45"/>
  <c r="A48" i="45"/>
  <c r="V75" i="43" l="1"/>
  <c r="W75" i="43"/>
  <c r="J16" i="60"/>
  <c r="AA74" i="43"/>
  <c r="Y64" i="43"/>
  <c r="Z64" i="43"/>
  <c r="L16" i="60"/>
  <c r="X63" i="43"/>
  <c r="Z63" i="43"/>
  <c r="Y63" i="43"/>
  <c r="AB74" i="43"/>
  <c r="I337" i="45"/>
  <c r="J338" i="45" s="1"/>
  <c r="G65" i="45"/>
  <c r="X73" i="43"/>
  <c r="G64" i="45"/>
  <c r="AL2" i="43"/>
  <c r="CP2" i="43"/>
  <c r="DS2" i="43"/>
  <c r="EU2" i="43" s="1"/>
  <c r="A55" i="48"/>
  <c r="J55" i="48" s="1"/>
  <c r="AA64" i="43" l="1"/>
  <c r="AB64" i="43"/>
  <c r="S65" i="43"/>
  <c r="J339" i="45"/>
  <c r="AC74" i="43"/>
  <c r="S66" i="43"/>
  <c r="J341" i="45"/>
  <c r="J342" i="45" s="1"/>
  <c r="U55" i="43"/>
  <c r="Y73" i="43"/>
  <c r="K16" i="60"/>
  <c r="X75" i="43"/>
  <c r="AA63" i="43"/>
  <c r="K55" i="48"/>
  <c r="AM2" i="43"/>
  <c r="CQ2" i="43"/>
  <c r="DT2" i="43"/>
  <c r="EV2" i="43" s="1"/>
  <c r="G55" i="48"/>
  <c r="M55" i="48"/>
  <c r="AB63" i="43" l="1"/>
  <c r="AC63" i="43"/>
  <c r="AD63" i="43" s="1"/>
  <c r="Y75" i="43"/>
  <c r="H65" i="45"/>
  <c r="AC64" i="43"/>
  <c r="AD64" i="43" s="1"/>
  <c r="AE64" i="43"/>
  <c r="AF64" i="43" s="1"/>
  <c r="AG64" i="43" s="1"/>
  <c r="AH64" i="43" s="1"/>
  <c r="AI64" i="43" s="1"/>
  <c r="AJ64" i="43" s="1"/>
  <c r="AK64" i="43" s="1"/>
  <c r="AL64" i="43" s="1"/>
  <c r="AM64" i="43" s="1"/>
  <c r="AN64" i="43" s="1"/>
  <c r="AO64" i="43" s="1"/>
  <c r="AP64" i="43" s="1"/>
  <c r="AD74" i="43"/>
  <c r="AE74" i="43" s="1"/>
  <c r="M16" i="60"/>
  <c r="H64" i="45"/>
  <c r="J337" i="45"/>
  <c r="K338" i="45" s="1"/>
  <c r="AE63" i="43"/>
  <c r="AF63" i="43" s="1"/>
  <c r="AG63" i="43" s="1"/>
  <c r="AH63" i="43" s="1"/>
  <c r="AI63" i="43" s="1"/>
  <c r="AJ63" i="43" s="1"/>
  <c r="AK63" i="43" s="1"/>
  <c r="AL63" i="43"/>
  <c r="AM63" i="43" s="1"/>
  <c r="AN63" i="43" s="1"/>
  <c r="AO63" i="43" s="1"/>
  <c r="AP63" i="43" s="1"/>
  <c r="N16" i="60"/>
  <c r="Z73" i="43"/>
  <c r="AH74" i="43"/>
  <c r="AI74" i="43" s="1"/>
  <c r="AJ74" i="43" s="1"/>
  <c r="AK74" i="43" s="1"/>
  <c r="AL74" i="43" s="1"/>
  <c r="AM74" i="43" s="1"/>
  <c r="AN74" i="43" s="1"/>
  <c r="AO74" i="43" s="1"/>
  <c r="AP74" i="43" s="1"/>
  <c r="AN2" i="43"/>
  <c r="DU2" i="43"/>
  <c r="EW2" i="43" s="1"/>
  <c r="CR2" i="43"/>
  <c r="E55" i="48"/>
  <c r="D54" i="45"/>
  <c r="D55" i="48"/>
  <c r="B32" i="65" s="1"/>
  <c r="C54" i="45"/>
  <c r="A43" i="48"/>
  <c r="J43" i="48" s="1"/>
  <c r="A42" i="48"/>
  <c r="J42" i="48" s="1"/>
  <c r="A41" i="48"/>
  <c r="J41" i="48" s="1"/>
  <c r="AF74" i="43" l="1"/>
  <c r="AG74" i="43" s="1"/>
  <c r="K341" i="45"/>
  <c r="K342" i="45" s="1"/>
  <c r="V55" i="43"/>
  <c r="Z75" i="43"/>
  <c r="O16" i="60"/>
  <c r="AA73" i="43"/>
  <c r="K339" i="45"/>
  <c r="T65" i="43"/>
  <c r="T66" i="43"/>
  <c r="K43" i="48"/>
  <c r="K41" i="48"/>
  <c r="K42" i="48"/>
  <c r="G41" i="48"/>
  <c r="AO2" i="43"/>
  <c r="CS2" i="43"/>
  <c r="DV2" i="43"/>
  <c r="EX2" i="43" s="1"/>
  <c r="M42" i="48"/>
  <c r="M41" i="48"/>
  <c r="M43" i="48"/>
  <c r="F55" i="48"/>
  <c r="N55" i="48"/>
  <c r="D41" i="48"/>
  <c r="B29" i="65" s="1"/>
  <c r="E41" i="48"/>
  <c r="C32" i="65" l="1"/>
  <c r="AB55" i="48"/>
  <c r="AI55" i="48" s="1"/>
  <c r="K337" i="45"/>
  <c r="L338" i="45" s="1"/>
  <c r="I64" i="45"/>
  <c r="AB73" i="43"/>
  <c r="I65" i="45"/>
  <c r="AA75" i="43"/>
  <c r="AP2" i="43"/>
  <c r="CT2" i="43"/>
  <c r="DW2" i="43"/>
  <c r="EY2" i="43" s="1"/>
  <c r="T55" i="48"/>
  <c r="L55" i="48"/>
  <c r="D43" i="48"/>
  <c r="B60" i="65" s="1"/>
  <c r="C49" i="45"/>
  <c r="E42" i="48"/>
  <c r="D48" i="45"/>
  <c r="D42" i="48"/>
  <c r="B30" i="65" s="1"/>
  <c r="C48" i="45"/>
  <c r="E43" i="48"/>
  <c r="D49" i="45"/>
  <c r="N41" i="48"/>
  <c r="C29" i="65" l="1"/>
  <c r="AB41" i="48"/>
  <c r="AI41" i="48" s="1"/>
  <c r="L341" i="45"/>
  <c r="L342" i="45" s="1"/>
  <c r="W55" i="43"/>
  <c r="B7" i="47"/>
  <c r="AC73" i="43"/>
  <c r="AB75" i="43"/>
  <c r="P16" i="60"/>
  <c r="U66" i="43"/>
  <c r="U65" i="43"/>
  <c r="L339" i="45"/>
  <c r="CU2" i="43"/>
  <c r="DX2" i="43"/>
  <c r="EZ2" i="43" s="1"/>
  <c r="T41" i="48"/>
  <c r="N42" i="48"/>
  <c r="N43" i="48"/>
  <c r="A415" i="45"/>
  <c r="A414" i="45"/>
  <c r="A413" i="45"/>
  <c r="A412" i="45"/>
  <c r="A411" i="45"/>
  <c r="A410" i="45"/>
  <c r="A220" i="45"/>
  <c r="A219" i="45"/>
  <c r="A218" i="45"/>
  <c r="A217" i="45"/>
  <c r="A216" i="45"/>
  <c r="A215" i="45"/>
  <c r="A397" i="45"/>
  <c r="A396" i="45"/>
  <c r="A395" i="45"/>
  <c r="A394" i="45"/>
  <c r="A393" i="45"/>
  <c r="A392" i="45"/>
  <c r="A391" i="45"/>
  <c r="A390" i="45"/>
  <c r="A389" i="45"/>
  <c r="A388" i="45"/>
  <c r="A387" i="45"/>
  <c r="A386" i="45"/>
  <c r="C60" i="65" l="1"/>
  <c r="AB43" i="48"/>
  <c r="AI43" i="48" s="1"/>
  <c r="C30" i="65"/>
  <c r="AB42" i="48"/>
  <c r="AI42" i="48" s="1"/>
  <c r="C8" i="31"/>
  <c r="AC75" i="43"/>
  <c r="Q16" i="60"/>
  <c r="R16" i="60" s="1"/>
  <c r="J64" i="45"/>
  <c r="V65" i="43"/>
  <c r="L337" i="45"/>
  <c r="M338" i="45" s="1"/>
  <c r="J65" i="45"/>
  <c r="V66" i="43"/>
  <c r="AD73" i="43"/>
  <c r="AE73" i="43" s="1"/>
  <c r="T42" i="48"/>
  <c r="T43" i="48"/>
  <c r="E413" i="45"/>
  <c r="M413" i="45"/>
  <c r="Q413" i="45"/>
  <c r="I413" i="45"/>
  <c r="G413" i="45"/>
  <c r="K413" i="45"/>
  <c r="O413" i="45"/>
  <c r="S413" i="45"/>
  <c r="H413" i="45"/>
  <c r="L413" i="45"/>
  <c r="P413" i="45"/>
  <c r="T413" i="45"/>
  <c r="F413" i="45"/>
  <c r="J413" i="45"/>
  <c r="N413" i="45"/>
  <c r="R413" i="45"/>
  <c r="H78" i="48" l="1"/>
  <c r="O78" i="48" s="1"/>
  <c r="H79" i="48"/>
  <c r="AF73" i="43"/>
  <c r="AG73" i="43" s="1"/>
  <c r="AH73" i="43" s="1"/>
  <c r="AI73" i="43" s="1"/>
  <c r="AJ73" i="43" s="1"/>
  <c r="AK73" i="43" s="1"/>
  <c r="AL73" i="43" s="1"/>
  <c r="AM73" i="43" s="1"/>
  <c r="AN73" i="43" s="1"/>
  <c r="AO73" i="43" s="1"/>
  <c r="AP73" i="43" s="1"/>
  <c r="AD75" i="43"/>
  <c r="AE75" i="43" s="1"/>
  <c r="C7" i="47"/>
  <c r="M341" i="45"/>
  <c r="M342" i="45" s="1"/>
  <c r="X55" i="43"/>
  <c r="K64" i="45"/>
  <c r="W65" i="43"/>
  <c r="M339" i="45"/>
  <c r="D8" i="31"/>
  <c r="K65" i="45"/>
  <c r="W66" i="43"/>
  <c r="A68" i="48"/>
  <c r="J68" i="48" s="1"/>
  <c r="A67" i="48"/>
  <c r="J67" i="48" s="1"/>
  <c r="A32" i="48"/>
  <c r="J32" i="48" s="1"/>
  <c r="A27" i="48"/>
  <c r="J27" i="48" s="1"/>
  <c r="T217" i="45"/>
  <c r="P78" i="48" l="1"/>
  <c r="V78" i="48" s="1"/>
  <c r="I78" i="48"/>
  <c r="I79" i="48"/>
  <c r="O79" i="48"/>
  <c r="P79" i="48"/>
  <c r="U78" i="48"/>
  <c r="AC78" i="48"/>
  <c r="AJ78" i="48" s="1"/>
  <c r="AK78" i="48" s="1"/>
  <c r="AF75" i="43"/>
  <c r="AG75" i="43" s="1"/>
  <c r="AH75" i="43" s="1"/>
  <c r="AI75" i="43" s="1"/>
  <c r="AJ75" i="43" s="1"/>
  <c r="AK75" i="43" s="1"/>
  <c r="AL75" i="43" s="1"/>
  <c r="AM75" i="43" s="1"/>
  <c r="AN75" i="43" s="1"/>
  <c r="AO75" i="43" s="1"/>
  <c r="AP75" i="43" s="1"/>
  <c r="L65" i="45"/>
  <c r="X66" i="43"/>
  <c r="M337" i="45"/>
  <c r="N338" i="45" s="1"/>
  <c r="L64" i="45"/>
  <c r="X65" i="43"/>
  <c r="K27" i="48"/>
  <c r="K32" i="48"/>
  <c r="K67" i="48"/>
  <c r="K68" i="48"/>
  <c r="G67" i="48"/>
  <c r="G68" i="48"/>
  <c r="G32" i="48"/>
  <c r="M67" i="48"/>
  <c r="M68" i="48"/>
  <c r="M27" i="48"/>
  <c r="M32" i="48"/>
  <c r="C392" i="45"/>
  <c r="D386" i="45"/>
  <c r="E387" i="45" s="1"/>
  <c r="E388" i="45" s="1"/>
  <c r="C386" i="45"/>
  <c r="D392" i="45"/>
  <c r="E393" i="45" s="1"/>
  <c r="E394" i="45" s="1"/>
  <c r="D27" i="48"/>
  <c r="B51" i="65" s="1"/>
  <c r="E27" i="48"/>
  <c r="C215" i="45"/>
  <c r="E217" i="45"/>
  <c r="I217" i="45"/>
  <c r="M217" i="45"/>
  <c r="Q217" i="45"/>
  <c r="F217" i="45"/>
  <c r="J217" i="45"/>
  <c r="N217" i="45"/>
  <c r="R217" i="45"/>
  <c r="G217" i="45"/>
  <c r="K217" i="45"/>
  <c r="O217" i="45"/>
  <c r="S217" i="45"/>
  <c r="D215" i="45"/>
  <c r="E216" i="45" s="1"/>
  <c r="H217" i="45"/>
  <c r="L217" i="45"/>
  <c r="P217" i="45"/>
  <c r="F61" i="57" l="1"/>
  <c r="D61" i="57"/>
  <c r="AD78" i="48"/>
  <c r="V79" i="48"/>
  <c r="AD79" i="48"/>
  <c r="U79" i="48"/>
  <c r="AC79" i="48"/>
  <c r="AJ79" i="48" s="1"/>
  <c r="AK79" i="48" s="1"/>
  <c r="F60" i="57"/>
  <c r="D60" i="57"/>
  <c r="N339" i="45"/>
  <c r="N341" i="45"/>
  <c r="N342" i="45" s="1"/>
  <c r="Y55" i="43"/>
  <c r="M65" i="45"/>
  <c r="Y66" i="43"/>
  <c r="M64" i="45"/>
  <c r="Y65" i="43"/>
  <c r="E68" i="48"/>
  <c r="E32" i="48"/>
  <c r="D68" i="48"/>
  <c r="B40" i="65" s="1"/>
  <c r="E67" i="48"/>
  <c r="D67" i="48"/>
  <c r="B39" i="65" s="1"/>
  <c r="D32" i="48"/>
  <c r="B26" i="65" s="1"/>
  <c r="N27" i="48"/>
  <c r="C32" i="57" l="1"/>
  <c r="C51" i="65"/>
  <c r="AB27" i="48"/>
  <c r="AI27" i="48" s="1"/>
  <c r="N65" i="45"/>
  <c r="Z66" i="43"/>
  <c r="N64" i="45"/>
  <c r="Z65" i="43"/>
  <c r="N337" i="45"/>
  <c r="O338" i="45" s="1"/>
  <c r="T27" i="48"/>
  <c r="N32" i="48"/>
  <c r="N68" i="48"/>
  <c r="N67" i="48"/>
  <c r="C45" i="57" s="1"/>
  <c r="C40" i="65" l="1"/>
  <c r="AB68" i="48"/>
  <c r="AI68" i="48" s="1"/>
  <c r="C26" i="65"/>
  <c r="AB32" i="48"/>
  <c r="AI32" i="48" s="1"/>
  <c r="C39" i="65"/>
  <c r="AB67" i="48"/>
  <c r="AI67" i="48" s="1"/>
  <c r="O339" i="45"/>
  <c r="O341" i="45"/>
  <c r="O342" i="45" s="1"/>
  <c r="Z55" i="43"/>
  <c r="O65" i="45"/>
  <c r="AA66" i="43"/>
  <c r="O64" i="45"/>
  <c r="AA65" i="43"/>
  <c r="T32" i="48"/>
  <c r="T68" i="48"/>
  <c r="T67" i="48"/>
  <c r="A44" i="48"/>
  <c r="J44" i="48" s="1"/>
  <c r="P64" i="45" l="1"/>
  <c r="AB65" i="43"/>
  <c r="P65" i="45"/>
  <c r="AB66" i="43"/>
  <c r="O337" i="45"/>
  <c r="P338" i="45" s="1"/>
  <c r="K44" i="48"/>
  <c r="M44" i="48"/>
  <c r="Q64" i="45" l="1"/>
  <c r="AC65" i="43"/>
  <c r="P339" i="45"/>
  <c r="Q65" i="45"/>
  <c r="AC66" i="43"/>
  <c r="P341" i="45"/>
  <c r="P342" i="45" s="1"/>
  <c r="AA55" i="43"/>
  <c r="D44" i="48"/>
  <c r="B61" i="65" s="1"/>
  <c r="C50" i="45"/>
  <c r="E44" i="48"/>
  <c r="D50" i="45"/>
  <c r="P337" i="45" l="1"/>
  <c r="Q338" i="45" s="1"/>
  <c r="AD66" i="43"/>
  <c r="R65" i="45"/>
  <c r="H68" i="48"/>
  <c r="AD65" i="43"/>
  <c r="R64" i="45"/>
  <c r="H67" i="48"/>
  <c r="N44" i="48"/>
  <c r="C16" i="57" s="1"/>
  <c r="A71" i="48"/>
  <c r="J71" i="48" s="1"/>
  <c r="C61" i="65" l="1"/>
  <c r="AB44" i="48"/>
  <c r="AI44" i="48" s="1"/>
  <c r="S65" i="45"/>
  <c r="AE66" i="43"/>
  <c r="S64" i="45"/>
  <c r="AE65" i="43"/>
  <c r="Q339" i="45"/>
  <c r="Q341" i="45"/>
  <c r="Q342" i="45" s="1"/>
  <c r="AB55" i="43"/>
  <c r="K71" i="48"/>
  <c r="T44" i="48"/>
  <c r="G71" i="48"/>
  <c r="M71" i="48"/>
  <c r="F71" i="48"/>
  <c r="T412" i="45"/>
  <c r="E412" i="45"/>
  <c r="C410" i="45"/>
  <c r="D410" i="45"/>
  <c r="E411" i="45" s="1"/>
  <c r="L71" i="48"/>
  <c r="Q337" i="45" l="1"/>
  <c r="R338" i="45" s="1"/>
  <c r="AF65" i="43"/>
  <c r="AG65" i="43" s="1"/>
  <c r="AH65" i="43" s="1"/>
  <c r="AI65" i="43" s="1"/>
  <c r="AJ65" i="43" s="1"/>
  <c r="AK65" i="43" s="1"/>
  <c r="AL65" i="43" s="1"/>
  <c r="AM65" i="43" s="1"/>
  <c r="AN65" i="43" s="1"/>
  <c r="AO65" i="43" s="1"/>
  <c r="AP65" i="43" s="1"/>
  <c r="T64" i="45"/>
  <c r="I67" i="48"/>
  <c r="AF66" i="43"/>
  <c r="AG66" i="43" s="1"/>
  <c r="AH66" i="43" s="1"/>
  <c r="AI66" i="43" s="1"/>
  <c r="AJ66" i="43" s="1"/>
  <c r="AK66" i="43" s="1"/>
  <c r="AL66" i="43" s="1"/>
  <c r="AM66" i="43" s="1"/>
  <c r="AN66" i="43" s="1"/>
  <c r="AO66" i="43" s="1"/>
  <c r="AP66" i="43" s="1"/>
  <c r="T65" i="45"/>
  <c r="I68" i="48"/>
  <c r="S412" i="45"/>
  <c r="R412" i="45"/>
  <c r="H412" i="45"/>
  <c r="K412" i="45"/>
  <c r="M412" i="45"/>
  <c r="G412" i="45"/>
  <c r="F412" i="45"/>
  <c r="I412" i="45"/>
  <c r="L412" i="45"/>
  <c r="O412" i="45"/>
  <c r="N412" i="45"/>
  <c r="Q412" i="45"/>
  <c r="P412" i="45"/>
  <c r="J412" i="45"/>
  <c r="D71" i="48"/>
  <c r="B43" i="65" s="1"/>
  <c r="E71" i="48"/>
  <c r="R341" i="45" l="1"/>
  <c r="R342" i="45" s="1"/>
  <c r="AC55" i="43"/>
  <c r="R339" i="45"/>
  <c r="N71" i="48"/>
  <c r="C39" i="57" s="1"/>
  <c r="A22" i="48"/>
  <c r="J22" i="48" s="1"/>
  <c r="C43" i="65" l="1"/>
  <c r="AB71" i="48"/>
  <c r="AI71" i="48" s="1"/>
  <c r="R337" i="45"/>
  <c r="S338" i="45" s="1"/>
  <c r="K22" i="48"/>
  <c r="T71" i="48"/>
  <c r="M22" i="48"/>
  <c r="J166" i="40"/>
  <c r="I166" i="40"/>
  <c r="I167" i="40" s="1"/>
  <c r="I165" i="40"/>
  <c r="J165" i="40" s="1"/>
  <c r="J164" i="40"/>
  <c r="I164" i="40"/>
  <c r="I163" i="40"/>
  <c r="J163" i="40" s="1"/>
  <c r="J162" i="40"/>
  <c r="I162" i="40"/>
  <c r="I161" i="40"/>
  <c r="J161" i="40" s="1"/>
  <c r="J160" i="40"/>
  <c r="I160" i="40"/>
  <c r="I159" i="40"/>
  <c r="J159" i="40" s="1"/>
  <c r="J158" i="40"/>
  <c r="I158" i="40"/>
  <c r="I157" i="40"/>
  <c r="J157" i="40" s="1"/>
  <c r="J156" i="40"/>
  <c r="I156" i="40"/>
  <c r="I155" i="40"/>
  <c r="J155" i="40" s="1"/>
  <c r="I154" i="40"/>
  <c r="I149" i="40"/>
  <c r="I150" i="40" s="1"/>
  <c r="I146" i="40"/>
  <c r="I147" i="40" s="1"/>
  <c r="I144" i="40"/>
  <c r="I145" i="40" s="1"/>
  <c r="I142" i="40"/>
  <c r="I143" i="40" s="1"/>
  <c r="I138" i="40"/>
  <c r="I139" i="40" s="1"/>
  <c r="I134" i="40"/>
  <c r="I135" i="40" s="1"/>
  <c r="I130" i="40"/>
  <c r="I131" i="40" s="1"/>
  <c r="I129" i="40"/>
  <c r="I125" i="40"/>
  <c r="I126" i="40" s="1"/>
  <c r="I121" i="40"/>
  <c r="I122" i="40" s="1"/>
  <c r="I117" i="40"/>
  <c r="I118" i="40" s="1"/>
  <c r="I113" i="40"/>
  <c r="I114" i="40" s="1"/>
  <c r="I109" i="40"/>
  <c r="I110" i="40" s="1"/>
  <c r="I108" i="40"/>
  <c r="I104" i="40"/>
  <c r="I105" i="40" s="1"/>
  <c r="I100" i="40"/>
  <c r="I101" i="40" s="1"/>
  <c r="I96" i="40"/>
  <c r="I97" i="40" s="1"/>
  <c r="J92" i="40"/>
  <c r="I92" i="40"/>
  <c r="I93" i="40" s="1"/>
  <c r="I91" i="40"/>
  <c r="J91" i="40" s="1"/>
  <c r="J90" i="40"/>
  <c r="I90" i="40"/>
  <c r="I89" i="40"/>
  <c r="I85" i="40"/>
  <c r="I86" i="40" s="1"/>
  <c r="I84" i="40"/>
  <c r="I83" i="40"/>
  <c r="J83" i="40" s="1"/>
  <c r="I82" i="40"/>
  <c r="I78" i="40"/>
  <c r="I79" i="40" s="1"/>
  <c r="I74" i="40"/>
  <c r="I75" i="40" s="1"/>
  <c r="J70" i="40"/>
  <c r="I70" i="40"/>
  <c r="I71" i="40" s="1"/>
  <c r="I69" i="40"/>
  <c r="J69" i="40" s="1"/>
  <c r="I68" i="40"/>
  <c r="J66" i="40"/>
  <c r="I66" i="40"/>
  <c r="I67" i="40" s="1"/>
  <c r="I65" i="40"/>
  <c r="I61" i="40"/>
  <c r="I62" i="40" s="1"/>
  <c r="I57" i="40"/>
  <c r="I58" i="40" s="1"/>
  <c r="I59" i="40" s="1"/>
  <c r="I60" i="40" s="1"/>
  <c r="I53" i="40"/>
  <c r="I54" i="40" s="1"/>
  <c r="I51" i="40"/>
  <c r="I52" i="40" s="1"/>
  <c r="I47" i="40"/>
  <c r="I48" i="40" s="1"/>
  <c r="I43" i="40"/>
  <c r="I44" i="40" s="1"/>
  <c r="I39" i="40"/>
  <c r="I40" i="40" s="1"/>
  <c r="I35" i="40"/>
  <c r="I36" i="40" s="1"/>
  <c r="I34" i="40"/>
  <c r="I30" i="40"/>
  <c r="I31" i="40" s="1"/>
  <c r="I26" i="40"/>
  <c r="I27" i="40" s="1"/>
  <c r="I25" i="40"/>
  <c r="I24" i="40"/>
  <c r="I20" i="40"/>
  <c r="I21" i="40" s="1"/>
  <c r="I16" i="40"/>
  <c r="I17" i="40" s="1"/>
  <c r="I12" i="40"/>
  <c r="I13" i="40" s="1"/>
  <c r="I11" i="40"/>
  <c r="J11" i="40" s="1"/>
  <c r="I10" i="40"/>
  <c r="I6" i="40"/>
  <c r="I7" i="40" s="1"/>
  <c r="I5" i="40"/>
  <c r="J5" i="40" s="1"/>
  <c r="E7" i="28"/>
  <c r="T445" i="45"/>
  <c r="S445" i="45"/>
  <c r="R445" i="45"/>
  <c r="Q445" i="45"/>
  <c r="P445" i="45"/>
  <c r="O445" i="45"/>
  <c r="N445" i="45"/>
  <c r="M445" i="45"/>
  <c r="L445" i="45"/>
  <c r="K445" i="45"/>
  <c r="J445" i="45"/>
  <c r="I445" i="45"/>
  <c r="H445" i="45"/>
  <c r="G445" i="45"/>
  <c r="F445" i="45"/>
  <c r="E445" i="45"/>
  <c r="A439" i="45"/>
  <c r="A438" i="45"/>
  <c r="A437" i="45"/>
  <c r="A436" i="45"/>
  <c r="A435" i="45"/>
  <c r="A434" i="45"/>
  <c r="A433" i="45"/>
  <c r="A432" i="45"/>
  <c r="A431" i="45"/>
  <c r="A430" i="45"/>
  <c r="A429" i="45"/>
  <c r="A428" i="45"/>
  <c r="A427" i="45"/>
  <c r="A426" i="45"/>
  <c r="A425" i="45"/>
  <c r="A424" i="45"/>
  <c r="A423" i="45"/>
  <c r="A422" i="45"/>
  <c r="A421" i="45"/>
  <c r="A420" i="45"/>
  <c r="A419" i="45"/>
  <c r="A418" i="45"/>
  <c r="A417" i="45"/>
  <c r="A416" i="45"/>
  <c r="A409" i="45"/>
  <c r="A408" i="45"/>
  <c r="A407" i="45"/>
  <c r="A406" i="45"/>
  <c r="A405" i="45"/>
  <c r="A404" i="45"/>
  <c r="T407" i="45" s="1"/>
  <c r="A403" i="45"/>
  <c r="A402" i="45"/>
  <c r="A401" i="45"/>
  <c r="A400" i="45"/>
  <c r="A399" i="45"/>
  <c r="A398" i="45"/>
  <c r="A385" i="45"/>
  <c r="A384" i="45"/>
  <c r="A383" i="45"/>
  <c r="A382" i="45"/>
  <c r="A381" i="45"/>
  <c r="A380" i="45"/>
  <c r="A379" i="45"/>
  <c r="A378" i="45"/>
  <c r="A377" i="45"/>
  <c r="A376" i="45"/>
  <c r="A375" i="45"/>
  <c r="A374" i="45"/>
  <c r="A373" i="45"/>
  <c r="A336" i="45"/>
  <c r="A305" i="45"/>
  <c r="A304" i="45"/>
  <c r="A303" i="45"/>
  <c r="A302" i="45"/>
  <c r="A301" i="45"/>
  <c r="A300" i="45"/>
  <c r="A263" i="45"/>
  <c r="A262" i="45"/>
  <c r="A261" i="45"/>
  <c r="A260" i="45"/>
  <c r="A259" i="45"/>
  <c r="A258" i="45"/>
  <c r="A257" i="45"/>
  <c r="A214" i="45"/>
  <c r="A213" i="45"/>
  <c r="A212" i="45"/>
  <c r="A211" i="45"/>
  <c r="A210" i="45"/>
  <c r="A209" i="45"/>
  <c r="A208" i="45"/>
  <c r="A207" i="45"/>
  <c r="A206" i="45"/>
  <c r="A205" i="45"/>
  <c r="A204" i="45"/>
  <c r="A203" i="45"/>
  <c r="T205" i="45" s="1"/>
  <c r="A190" i="45"/>
  <c r="A189" i="45"/>
  <c r="A188" i="45"/>
  <c r="A187" i="45"/>
  <c r="A186" i="45"/>
  <c r="A185" i="45"/>
  <c r="A184" i="45"/>
  <c r="A183" i="45"/>
  <c r="A182" i="45"/>
  <c r="A181" i="45"/>
  <c r="A180" i="45"/>
  <c r="A179" i="45"/>
  <c r="A178" i="45"/>
  <c r="A177" i="45"/>
  <c r="A176" i="45"/>
  <c r="A175" i="45"/>
  <c r="A174" i="45"/>
  <c r="A173" i="45"/>
  <c r="A172" i="45"/>
  <c r="A171" i="45"/>
  <c r="A170" i="45"/>
  <c r="A169" i="45"/>
  <c r="A168" i="45"/>
  <c r="A167" i="45"/>
  <c r="A166" i="45"/>
  <c r="A165" i="45"/>
  <c r="A164" i="45"/>
  <c r="A163" i="45"/>
  <c r="A162" i="45"/>
  <c r="A161" i="45"/>
  <c r="A160" i="45"/>
  <c r="N162" i="45" s="1"/>
  <c r="A159" i="45"/>
  <c r="A158" i="45"/>
  <c r="A157" i="45"/>
  <c r="A156" i="45"/>
  <c r="A155" i="45"/>
  <c r="A154" i="45"/>
  <c r="A153" i="45"/>
  <c r="A152" i="45"/>
  <c r="A151" i="45"/>
  <c r="A150" i="45"/>
  <c r="A149" i="45"/>
  <c r="A148" i="45"/>
  <c r="Q150" i="45" s="1"/>
  <c r="A147" i="45"/>
  <c r="A146" i="45"/>
  <c r="A145" i="45"/>
  <c r="A144" i="45"/>
  <c r="A143" i="45"/>
  <c r="A142" i="45"/>
  <c r="A141" i="45"/>
  <c r="A140" i="45"/>
  <c r="A139" i="45"/>
  <c r="A138" i="45"/>
  <c r="A137" i="45"/>
  <c r="A136" i="45"/>
  <c r="A135" i="45"/>
  <c r="A134" i="45"/>
  <c r="A133" i="45"/>
  <c r="A132" i="45"/>
  <c r="A131" i="45"/>
  <c r="A130" i="45"/>
  <c r="A129" i="45"/>
  <c r="A128" i="45"/>
  <c r="A127" i="45"/>
  <c r="A126" i="45"/>
  <c r="A125" i="45"/>
  <c r="A124" i="45"/>
  <c r="A123" i="45"/>
  <c r="A122" i="45"/>
  <c r="A121" i="45"/>
  <c r="A120" i="45"/>
  <c r="A119" i="45"/>
  <c r="A118" i="45"/>
  <c r="A117" i="45"/>
  <c r="A116" i="45"/>
  <c r="Q118" i="45" s="1"/>
  <c r="A115" i="45"/>
  <c r="A114" i="45"/>
  <c r="A113" i="45"/>
  <c r="A112" i="45"/>
  <c r="A111" i="45"/>
  <c r="A110" i="45"/>
  <c r="A109" i="45"/>
  <c r="A108" i="45"/>
  <c r="A107" i="45"/>
  <c r="A106" i="45"/>
  <c r="A105" i="45"/>
  <c r="A104" i="45"/>
  <c r="A103" i="45"/>
  <c r="A102" i="45"/>
  <c r="J106" i="45" s="1"/>
  <c r="A101" i="45"/>
  <c r="A100" i="45"/>
  <c r="A99" i="45"/>
  <c r="A98" i="45"/>
  <c r="A97" i="45"/>
  <c r="A96" i="45"/>
  <c r="O98" i="45" s="1"/>
  <c r="A95" i="45"/>
  <c r="A94" i="45"/>
  <c r="A93" i="45"/>
  <c r="A92" i="45"/>
  <c r="A91" i="45"/>
  <c r="A90" i="45"/>
  <c r="N92" i="45" s="1"/>
  <c r="A89" i="45"/>
  <c r="A88" i="45"/>
  <c r="A87" i="45"/>
  <c r="A86" i="45"/>
  <c r="A85" i="45"/>
  <c r="A84" i="45"/>
  <c r="A83" i="45"/>
  <c r="A82" i="45"/>
  <c r="A81" i="45"/>
  <c r="A80" i="45"/>
  <c r="A79" i="45"/>
  <c r="A77" i="45"/>
  <c r="A72" i="45"/>
  <c r="A70" i="45"/>
  <c r="A69" i="45"/>
  <c r="A67" i="45"/>
  <c r="A66" i="45"/>
  <c r="A63" i="45"/>
  <c r="A62" i="45"/>
  <c r="A61" i="45"/>
  <c r="A60" i="45"/>
  <c r="A58" i="45"/>
  <c r="A57" i="45"/>
  <c r="A56" i="45"/>
  <c r="A53" i="45"/>
  <c r="A52" i="45"/>
  <c r="A51" i="45"/>
  <c r="A47" i="45"/>
  <c r="A46" i="45"/>
  <c r="A45" i="45"/>
  <c r="A44" i="45"/>
  <c r="D44" i="45" s="1"/>
  <c r="A43" i="45"/>
  <c r="A38" i="45"/>
  <c r="A37" i="45"/>
  <c r="A35" i="45"/>
  <c r="A33" i="45"/>
  <c r="A32" i="45"/>
  <c r="A29" i="45"/>
  <c r="A28" i="45"/>
  <c r="A22" i="45"/>
  <c r="A21" i="45"/>
  <c r="A20" i="45"/>
  <c r="A19" i="45"/>
  <c r="A18" i="45"/>
  <c r="A17" i="45"/>
  <c r="A16" i="45"/>
  <c r="A15" i="45"/>
  <c r="A14" i="45"/>
  <c r="A13" i="45"/>
  <c r="A12" i="45"/>
  <c r="A11" i="45"/>
  <c r="A10" i="45"/>
  <c r="A9" i="45"/>
  <c r="A8" i="45"/>
  <c r="A7" i="45"/>
  <c r="A6" i="45"/>
  <c r="C3" i="47"/>
  <c r="B3" i="47"/>
  <c r="C2" i="47"/>
  <c r="B2" i="47"/>
  <c r="A77" i="48"/>
  <c r="A76" i="48"/>
  <c r="A74" i="48"/>
  <c r="J74" i="48" s="1"/>
  <c r="A73" i="48"/>
  <c r="J73" i="48" s="1"/>
  <c r="A72" i="48"/>
  <c r="J72" i="48" s="1"/>
  <c r="A70" i="48"/>
  <c r="J70" i="48" s="1"/>
  <c r="A69" i="48"/>
  <c r="J69" i="48" s="1"/>
  <c r="A66" i="48"/>
  <c r="J66" i="48" s="1"/>
  <c r="A65" i="48"/>
  <c r="J65" i="48" s="1"/>
  <c r="A64" i="48"/>
  <c r="J64" i="48" s="1"/>
  <c r="A63" i="48"/>
  <c r="J63" i="48" s="1"/>
  <c r="A61" i="48"/>
  <c r="J61" i="48" s="1"/>
  <c r="A58" i="48"/>
  <c r="J58" i="48" s="1"/>
  <c r="A57" i="48"/>
  <c r="J57" i="48" s="1"/>
  <c r="A54" i="48"/>
  <c r="J54" i="48" s="1"/>
  <c r="A49" i="48"/>
  <c r="J49" i="48" s="1"/>
  <c r="A48" i="48"/>
  <c r="J48" i="48" s="1"/>
  <c r="A47" i="48"/>
  <c r="J47" i="48" s="1"/>
  <c r="A40" i="48"/>
  <c r="J40" i="48" s="1"/>
  <c r="A56" i="48"/>
  <c r="J56" i="48" s="1"/>
  <c r="A39" i="48"/>
  <c r="J39" i="48" s="1"/>
  <c r="A38" i="48"/>
  <c r="J38" i="48" s="1"/>
  <c r="A36" i="48"/>
  <c r="J36" i="48" s="1"/>
  <c r="A35" i="48"/>
  <c r="J35" i="48" s="1"/>
  <c r="A34" i="48"/>
  <c r="J34" i="48" s="1"/>
  <c r="A33" i="48"/>
  <c r="J33" i="48" s="1"/>
  <c r="A31" i="48"/>
  <c r="J31" i="48" s="1"/>
  <c r="A30" i="48"/>
  <c r="J30" i="48" s="1"/>
  <c r="A26" i="48"/>
  <c r="J26" i="48" s="1"/>
  <c r="A25" i="48"/>
  <c r="J25" i="48" s="1"/>
  <c r="A23" i="48"/>
  <c r="J23" i="48" s="1"/>
  <c r="A21" i="48"/>
  <c r="J21" i="48" s="1"/>
  <c r="A20" i="48"/>
  <c r="J20" i="48" s="1"/>
  <c r="A19" i="48"/>
  <c r="J19" i="48" s="1"/>
  <c r="A18" i="48"/>
  <c r="J18" i="48" s="1"/>
  <c r="A17" i="48"/>
  <c r="J17" i="48" s="1"/>
  <c r="A16" i="48"/>
  <c r="J16" i="48" s="1"/>
  <c r="A15" i="48"/>
  <c r="J15" i="48" s="1"/>
  <c r="A14" i="48"/>
  <c r="J14" i="48" s="1"/>
  <c r="A13" i="48"/>
  <c r="J13" i="48" s="1"/>
  <c r="A12" i="48"/>
  <c r="J12" i="48" s="1"/>
  <c r="A10" i="48"/>
  <c r="J10" i="48" s="1"/>
  <c r="A9" i="48"/>
  <c r="J9" i="48" s="1"/>
  <c r="A8" i="48"/>
  <c r="J8" i="48" s="1"/>
  <c r="A6" i="48"/>
  <c r="E6" i="48" s="1"/>
  <c r="N5" i="48"/>
  <c r="AB5" i="48" s="1"/>
  <c r="AI5" i="48" s="1"/>
  <c r="J75" i="48" l="1"/>
  <c r="J24" i="48"/>
  <c r="H76" i="48"/>
  <c r="I76" i="48"/>
  <c r="H77" i="48"/>
  <c r="I77" i="48"/>
  <c r="S341" i="45"/>
  <c r="S342" i="45" s="1"/>
  <c r="AD55" i="43"/>
  <c r="S339" i="45"/>
  <c r="J61" i="40"/>
  <c r="J84" i="40"/>
  <c r="J25" i="40"/>
  <c r="J85" i="40"/>
  <c r="J130" i="40"/>
  <c r="J109" i="40"/>
  <c r="K48" i="48"/>
  <c r="K72" i="48"/>
  <c r="K34" i="48"/>
  <c r="K39" i="48"/>
  <c r="K30" i="48"/>
  <c r="K35" i="48"/>
  <c r="K56" i="48"/>
  <c r="K49" i="48"/>
  <c r="K61" i="48"/>
  <c r="K66" i="48"/>
  <c r="H66" i="48"/>
  <c r="I66" i="48"/>
  <c r="K73" i="48"/>
  <c r="H73" i="48"/>
  <c r="I73" i="48"/>
  <c r="K26" i="48"/>
  <c r="K65" i="48"/>
  <c r="H65" i="48"/>
  <c r="I65" i="48"/>
  <c r="K31" i="48"/>
  <c r="K36" i="48"/>
  <c r="K40" i="48"/>
  <c r="K54" i="48"/>
  <c r="K63" i="48"/>
  <c r="K69" i="48"/>
  <c r="K74" i="48"/>
  <c r="H74" i="48"/>
  <c r="I74" i="48"/>
  <c r="K58" i="48"/>
  <c r="K33" i="48"/>
  <c r="K38" i="48"/>
  <c r="K47" i="48"/>
  <c r="K57" i="48"/>
  <c r="H57" i="48"/>
  <c r="K64" i="48"/>
  <c r="K70" i="48"/>
  <c r="K17" i="48"/>
  <c r="K21" i="48"/>
  <c r="H21" i="48"/>
  <c r="I21" i="48"/>
  <c r="K12" i="48"/>
  <c r="K20" i="48"/>
  <c r="K13" i="48"/>
  <c r="K9" i="48"/>
  <c r="K18" i="48"/>
  <c r="K23" i="48"/>
  <c r="H23" i="48"/>
  <c r="I23" i="48"/>
  <c r="K16" i="48"/>
  <c r="K8" i="48"/>
  <c r="K14" i="48"/>
  <c r="K10" i="48"/>
  <c r="I10" i="48"/>
  <c r="H10" i="48"/>
  <c r="K15" i="48"/>
  <c r="K19" i="48"/>
  <c r="K25" i="48"/>
  <c r="G57" i="48"/>
  <c r="G70" i="48"/>
  <c r="G21" i="48"/>
  <c r="I14" i="40"/>
  <c r="I22" i="40"/>
  <c r="I32" i="40"/>
  <c r="I37" i="40"/>
  <c r="I45" i="40"/>
  <c r="J53" i="40"/>
  <c r="I8" i="40"/>
  <c r="I18" i="40"/>
  <c r="I28" i="40"/>
  <c r="I41" i="40"/>
  <c r="I49" i="40"/>
  <c r="I55" i="40"/>
  <c r="J54" i="40"/>
  <c r="J6" i="40"/>
  <c r="J7" i="40" s="1"/>
  <c r="J12" i="40"/>
  <c r="J13" i="40" s="1"/>
  <c r="J26" i="40"/>
  <c r="J27" i="40" s="1"/>
  <c r="J35" i="40"/>
  <c r="J36" i="40" s="1"/>
  <c r="J62" i="40"/>
  <c r="I63" i="40"/>
  <c r="J71" i="40"/>
  <c r="I72" i="40"/>
  <c r="I76" i="40"/>
  <c r="J93" i="40"/>
  <c r="I94" i="40"/>
  <c r="I98" i="40"/>
  <c r="I106" i="40"/>
  <c r="J110" i="40"/>
  <c r="I111" i="40"/>
  <c r="I115" i="40"/>
  <c r="I123" i="40"/>
  <c r="I140" i="40"/>
  <c r="J146" i="40"/>
  <c r="I151" i="40"/>
  <c r="J167" i="40"/>
  <c r="I168" i="40"/>
  <c r="J68" i="40"/>
  <c r="J67" i="40"/>
  <c r="I80" i="40"/>
  <c r="J86" i="40"/>
  <c r="I87" i="40"/>
  <c r="I102" i="40"/>
  <c r="I119" i="40"/>
  <c r="I127" i="40"/>
  <c r="J131" i="40"/>
  <c r="I132" i="40"/>
  <c r="I136" i="40"/>
  <c r="J144" i="40"/>
  <c r="J145" i="40" s="1"/>
  <c r="J147" i="40"/>
  <c r="I148" i="40"/>
  <c r="N106" i="45"/>
  <c r="G12" i="48"/>
  <c r="G16" i="48"/>
  <c r="G20" i="48"/>
  <c r="G39" i="48"/>
  <c r="G65" i="48"/>
  <c r="G77" i="48"/>
  <c r="G8" i="48"/>
  <c r="G13" i="48"/>
  <c r="G17" i="48"/>
  <c r="G30" i="48"/>
  <c r="G56" i="48"/>
  <c r="G66" i="48"/>
  <c r="G9" i="48"/>
  <c r="G14" i="48"/>
  <c r="G18" i="48"/>
  <c r="G31" i="48"/>
  <c r="G54" i="48"/>
  <c r="G63" i="48"/>
  <c r="G69" i="48"/>
  <c r="G10" i="48"/>
  <c r="G15" i="48"/>
  <c r="G19" i="48"/>
  <c r="G64" i="48"/>
  <c r="G76" i="48"/>
  <c r="F21" i="48"/>
  <c r="F73" i="48"/>
  <c r="E48" i="57" s="1"/>
  <c r="F23" i="48"/>
  <c r="D38" i="48"/>
  <c r="B27" i="65" s="1"/>
  <c r="M57" i="48"/>
  <c r="F70" i="48"/>
  <c r="S105" i="45"/>
  <c r="R106" i="45"/>
  <c r="F106" i="45"/>
  <c r="M74" i="48"/>
  <c r="F74" i="48"/>
  <c r="N142" i="45"/>
  <c r="P130" i="45"/>
  <c r="N119" i="45"/>
  <c r="F432" i="45"/>
  <c r="Q395" i="45"/>
  <c r="D128" i="45"/>
  <c r="M136" i="45"/>
  <c r="C160" i="45"/>
  <c r="K124" i="45"/>
  <c r="R124" i="45"/>
  <c r="C140" i="45"/>
  <c r="I211" i="45"/>
  <c r="L400" i="45"/>
  <c r="T118" i="45"/>
  <c r="I156" i="45"/>
  <c r="K168" i="45"/>
  <c r="G418" i="45"/>
  <c r="N418" i="45"/>
  <c r="F124" i="45"/>
  <c r="M124" i="45"/>
  <c r="S124" i="45"/>
  <c r="M156" i="45"/>
  <c r="O168" i="45"/>
  <c r="P400" i="45"/>
  <c r="K406" i="45"/>
  <c r="C416" i="45"/>
  <c r="I418" i="45"/>
  <c r="Q418" i="45"/>
  <c r="J118" i="45"/>
  <c r="P118" i="45"/>
  <c r="G124" i="45"/>
  <c r="N124" i="45"/>
  <c r="T130" i="45"/>
  <c r="F150" i="45"/>
  <c r="Q156" i="45"/>
  <c r="E211" i="45"/>
  <c r="O211" i="45"/>
  <c r="H400" i="45"/>
  <c r="R400" i="45"/>
  <c r="C404" i="45"/>
  <c r="D416" i="45"/>
  <c r="E417" i="45" s="1"/>
  <c r="K418" i="45"/>
  <c r="R418" i="45"/>
  <c r="L118" i="45"/>
  <c r="L92" i="45"/>
  <c r="P112" i="45"/>
  <c r="H118" i="45"/>
  <c r="R118" i="45"/>
  <c r="C122" i="45"/>
  <c r="I124" i="45"/>
  <c r="Q124" i="45"/>
  <c r="I136" i="45"/>
  <c r="E156" i="45"/>
  <c r="G211" i="45"/>
  <c r="Q211" i="45"/>
  <c r="D58" i="48"/>
  <c r="B70" i="65" s="1"/>
  <c r="J400" i="45"/>
  <c r="T400" i="45"/>
  <c r="G406" i="45"/>
  <c r="N406" i="45"/>
  <c r="F418" i="45"/>
  <c r="M418" i="45"/>
  <c r="S418" i="45"/>
  <c r="E169" i="45"/>
  <c r="K105" i="45"/>
  <c r="H151" i="45"/>
  <c r="I377" i="45"/>
  <c r="M169" i="45"/>
  <c r="T124" i="45"/>
  <c r="Q136" i="45"/>
  <c r="R156" i="45"/>
  <c r="D435" i="45"/>
  <c r="R136" i="45"/>
  <c r="K407" i="45"/>
  <c r="S168" i="45"/>
  <c r="O407" i="45"/>
  <c r="H106" i="45"/>
  <c r="L106" i="45"/>
  <c r="P106" i="45"/>
  <c r="T106" i="45"/>
  <c r="T112" i="45"/>
  <c r="G407" i="45"/>
  <c r="E106" i="45"/>
  <c r="I106" i="45"/>
  <c r="M106" i="45"/>
  <c r="Q106" i="45"/>
  <c r="T211" i="45"/>
  <c r="G106" i="45"/>
  <c r="K106" i="45"/>
  <c r="O106" i="45"/>
  <c r="S106" i="45"/>
  <c r="M104" i="45"/>
  <c r="M211" i="45"/>
  <c r="S400" i="45"/>
  <c r="T418" i="45"/>
  <c r="S407" i="45"/>
  <c r="R98" i="45"/>
  <c r="M98" i="45"/>
  <c r="Q98" i="45"/>
  <c r="I98" i="45"/>
  <c r="K98" i="45"/>
  <c r="R105" i="45"/>
  <c r="N105" i="45"/>
  <c r="J105" i="45"/>
  <c r="F105" i="45"/>
  <c r="T105" i="45"/>
  <c r="P105" i="45"/>
  <c r="L105" i="45"/>
  <c r="H105" i="45"/>
  <c r="I105" i="45"/>
  <c r="Q105" i="45"/>
  <c r="S150" i="45"/>
  <c r="R150" i="45"/>
  <c r="M150" i="45"/>
  <c r="H150" i="45"/>
  <c r="P150" i="45"/>
  <c r="J150" i="45"/>
  <c r="N150" i="45"/>
  <c r="S98" i="45"/>
  <c r="M105" i="45"/>
  <c r="Q142" i="45"/>
  <c r="R142" i="45"/>
  <c r="J142" i="45"/>
  <c r="F142" i="45"/>
  <c r="C148" i="45"/>
  <c r="I150" i="45"/>
  <c r="T150" i="45"/>
  <c r="Q162" i="45"/>
  <c r="R162" i="45"/>
  <c r="J162" i="45"/>
  <c r="F162" i="45"/>
  <c r="C172" i="45"/>
  <c r="T168" i="45"/>
  <c r="Q168" i="45"/>
  <c r="I168" i="45"/>
  <c r="M168" i="45"/>
  <c r="G168" i="45"/>
  <c r="G98" i="45"/>
  <c r="G105" i="45"/>
  <c r="O105" i="45"/>
  <c r="L150" i="45"/>
  <c r="C179" i="45"/>
  <c r="G218" i="45"/>
  <c r="F92" i="45"/>
  <c r="G136" i="45"/>
  <c r="O136" i="45"/>
  <c r="G156" i="45"/>
  <c r="O156" i="45"/>
  <c r="H436" i="45"/>
  <c r="L10" i="48"/>
  <c r="E93" i="45"/>
  <c r="I93" i="45"/>
  <c r="M93" i="45"/>
  <c r="Q93" i="45"/>
  <c r="H99" i="45"/>
  <c r="L99" i="45"/>
  <c r="P99" i="45"/>
  <c r="T99" i="45"/>
  <c r="K113" i="45"/>
  <c r="O113" i="45"/>
  <c r="S113" i="45"/>
  <c r="F119" i="45"/>
  <c r="J119" i="45"/>
  <c r="R119" i="45"/>
  <c r="E125" i="45"/>
  <c r="I125" i="45"/>
  <c r="M125" i="45"/>
  <c r="Q125" i="45"/>
  <c r="H131" i="45"/>
  <c r="L131" i="45"/>
  <c r="P131" i="45"/>
  <c r="T131" i="45"/>
  <c r="K137" i="45"/>
  <c r="O137" i="45"/>
  <c r="S137" i="45"/>
  <c r="F143" i="45"/>
  <c r="J143" i="45"/>
  <c r="N143" i="45"/>
  <c r="R143" i="45"/>
  <c r="E151" i="45"/>
  <c r="I151" i="45"/>
  <c r="M151" i="45"/>
  <c r="Q151" i="45"/>
  <c r="H157" i="45"/>
  <c r="L157" i="45"/>
  <c r="P157" i="45"/>
  <c r="T157" i="45"/>
  <c r="K163" i="45"/>
  <c r="O163" i="45"/>
  <c r="S163" i="45"/>
  <c r="H206" i="45"/>
  <c r="L206" i="45"/>
  <c r="P206" i="45"/>
  <c r="C90" i="45"/>
  <c r="R92" i="45"/>
  <c r="F118" i="45"/>
  <c r="N118" i="45"/>
  <c r="J124" i="45"/>
  <c r="O124" i="45"/>
  <c r="K136" i="45"/>
  <c r="S136" i="45"/>
  <c r="K156" i="45"/>
  <c r="S156" i="45"/>
  <c r="K211" i="45"/>
  <c r="S211" i="45"/>
  <c r="C63" i="45"/>
  <c r="D72" i="45"/>
  <c r="D73" i="45" s="1"/>
  <c r="D174" i="45" s="1"/>
  <c r="D76" i="48"/>
  <c r="B75" i="65" s="1"/>
  <c r="L21" i="48"/>
  <c r="K93" i="45"/>
  <c r="O93" i="45"/>
  <c r="F99" i="45"/>
  <c r="J99" i="45"/>
  <c r="N99" i="45"/>
  <c r="E113" i="45"/>
  <c r="I113" i="45"/>
  <c r="M113" i="45"/>
  <c r="Q113" i="45"/>
  <c r="L119" i="45"/>
  <c r="P119" i="45"/>
  <c r="T119" i="45"/>
  <c r="O125" i="45"/>
  <c r="S125" i="45"/>
  <c r="F131" i="45"/>
  <c r="J131" i="45"/>
  <c r="N131" i="45"/>
  <c r="E137" i="45"/>
  <c r="I137" i="45"/>
  <c r="M137" i="45"/>
  <c r="Q137" i="45"/>
  <c r="H143" i="45"/>
  <c r="L143" i="45"/>
  <c r="K151" i="45"/>
  <c r="O151" i="45"/>
  <c r="S151" i="45"/>
  <c r="F157" i="45"/>
  <c r="J157" i="45"/>
  <c r="N157" i="45"/>
  <c r="R157" i="45"/>
  <c r="E163" i="45"/>
  <c r="F93" i="45"/>
  <c r="N93" i="45"/>
  <c r="E99" i="45"/>
  <c r="I99" i="45"/>
  <c r="M99" i="45"/>
  <c r="Q99" i="45"/>
  <c r="H113" i="45"/>
  <c r="L113" i="45"/>
  <c r="P113" i="45"/>
  <c r="T113" i="45"/>
  <c r="K119" i="45"/>
  <c r="O119" i="45"/>
  <c r="S119" i="45"/>
  <c r="F125" i="45"/>
  <c r="J125" i="45"/>
  <c r="N125" i="45"/>
  <c r="E131" i="45"/>
  <c r="I131" i="45"/>
  <c r="M131" i="45"/>
  <c r="Q131" i="45"/>
  <c r="H137" i="45"/>
  <c r="L137" i="45"/>
  <c r="K143" i="45"/>
  <c r="O143" i="45"/>
  <c r="S143" i="45"/>
  <c r="F151" i="45"/>
  <c r="J151" i="45"/>
  <c r="N151" i="45"/>
  <c r="R151" i="45"/>
  <c r="E157" i="45"/>
  <c r="I157" i="45"/>
  <c r="M157" i="45"/>
  <c r="Q157" i="45"/>
  <c r="L163" i="45"/>
  <c r="P163" i="45"/>
  <c r="T163" i="45"/>
  <c r="I206" i="45"/>
  <c r="M206" i="45"/>
  <c r="J206" i="45"/>
  <c r="N206" i="45"/>
  <c r="R206" i="45"/>
  <c r="F401" i="45"/>
  <c r="J401" i="45"/>
  <c r="N401" i="45"/>
  <c r="R401" i="45"/>
  <c r="H432" i="45"/>
  <c r="P432" i="45"/>
  <c r="T432" i="45"/>
  <c r="G436" i="45"/>
  <c r="K436" i="45"/>
  <c r="O436" i="45"/>
  <c r="S436" i="45"/>
  <c r="H377" i="45"/>
  <c r="L377" i="45"/>
  <c r="P377" i="45"/>
  <c r="G395" i="45"/>
  <c r="K395" i="45"/>
  <c r="O395" i="45"/>
  <c r="S395" i="45"/>
  <c r="R218" i="45"/>
  <c r="H169" i="45"/>
  <c r="L169" i="45"/>
  <c r="P169" i="45"/>
  <c r="T169" i="45"/>
  <c r="K419" i="45"/>
  <c r="O419" i="45"/>
  <c r="S419" i="45"/>
  <c r="F400" i="45"/>
  <c r="N400" i="45"/>
  <c r="J418" i="45"/>
  <c r="O418" i="45"/>
  <c r="H93" i="45"/>
  <c r="L93" i="45"/>
  <c r="P93" i="45"/>
  <c r="T93" i="45"/>
  <c r="K99" i="45"/>
  <c r="O99" i="45"/>
  <c r="S99" i="45"/>
  <c r="F113" i="45"/>
  <c r="J113" i="45"/>
  <c r="N113" i="45"/>
  <c r="R113" i="45"/>
  <c r="E119" i="45"/>
  <c r="I119" i="45"/>
  <c r="M119" i="45"/>
  <c r="Q119" i="45"/>
  <c r="H125" i="45"/>
  <c r="L125" i="45"/>
  <c r="P125" i="45"/>
  <c r="T125" i="45"/>
  <c r="K131" i="45"/>
  <c r="O131" i="45"/>
  <c r="S131" i="45"/>
  <c r="F137" i="45"/>
  <c r="J137" i="45"/>
  <c r="N137" i="45"/>
  <c r="R137" i="45"/>
  <c r="E143" i="45"/>
  <c r="I143" i="45"/>
  <c r="M143" i="45"/>
  <c r="Q143" i="45"/>
  <c r="L151" i="45"/>
  <c r="P151" i="45"/>
  <c r="T151" i="45"/>
  <c r="K157" i="45"/>
  <c r="O157" i="45"/>
  <c r="S157" i="45"/>
  <c r="F163" i="45"/>
  <c r="J163" i="45"/>
  <c r="N163" i="45"/>
  <c r="R163" i="45"/>
  <c r="K206" i="45"/>
  <c r="O206" i="45"/>
  <c r="S206" i="45"/>
  <c r="K401" i="45"/>
  <c r="O401" i="45"/>
  <c r="S401" i="45"/>
  <c r="I432" i="45"/>
  <c r="M432" i="45"/>
  <c r="Q432" i="45"/>
  <c r="L436" i="45"/>
  <c r="P436" i="45"/>
  <c r="T436" i="45"/>
  <c r="M377" i="45"/>
  <c r="Q377" i="45"/>
  <c r="H395" i="45"/>
  <c r="L395" i="45"/>
  <c r="P395" i="45"/>
  <c r="T395" i="45"/>
  <c r="I169" i="45"/>
  <c r="Q169" i="45"/>
  <c r="H419" i="45"/>
  <c r="L419" i="45"/>
  <c r="P419" i="45"/>
  <c r="T419" i="45"/>
  <c r="C44" i="45"/>
  <c r="E407" i="45"/>
  <c r="I407" i="45"/>
  <c r="M407" i="45"/>
  <c r="Q407" i="45"/>
  <c r="F407" i="45"/>
  <c r="J407" i="45"/>
  <c r="N407" i="45"/>
  <c r="R407" i="45"/>
  <c r="T206" i="45"/>
  <c r="H401" i="45"/>
  <c r="L401" i="45"/>
  <c r="T401" i="45"/>
  <c r="J432" i="45"/>
  <c r="N432" i="45"/>
  <c r="R432" i="45"/>
  <c r="I436" i="45"/>
  <c r="M436" i="45"/>
  <c r="Q436" i="45"/>
  <c r="F377" i="45"/>
  <c r="J377" i="45"/>
  <c r="N377" i="45"/>
  <c r="R377" i="45"/>
  <c r="I395" i="45"/>
  <c r="M395" i="45"/>
  <c r="F169" i="45"/>
  <c r="J169" i="45"/>
  <c r="N169" i="45"/>
  <c r="R169" i="45"/>
  <c r="E419" i="45"/>
  <c r="I419" i="45"/>
  <c r="M419" i="45"/>
  <c r="Q419" i="45"/>
  <c r="E401" i="45"/>
  <c r="I401" i="45"/>
  <c r="M401" i="45"/>
  <c r="Q401" i="45"/>
  <c r="G432" i="45"/>
  <c r="K432" i="45"/>
  <c r="F436" i="45"/>
  <c r="J436" i="45"/>
  <c r="N437" i="45"/>
  <c r="R436" i="45"/>
  <c r="G377" i="45"/>
  <c r="K377" i="45"/>
  <c r="S377" i="45"/>
  <c r="F395" i="45"/>
  <c r="J395" i="45"/>
  <c r="K169" i="45"/>
  <c r="O169" i="45"/>
  <c r="S169" i="45"/>
  <c r="F419" i="45"/>
  <c r="J419" i="45"/>
  <c r="N419" i="45"/>
  <c r="R419" i="45"/>
  <c r="H407" i="45"/>
  <c r="L407" i="45"/>
  <c r="P407" i="45"/>
  <c r="H92" i="45"/>
  <c r="M92" i="45"/>
  <c r="T92" i="45"/>
  <c r="T104" i="45"/>
  <c r="P104" i="45"/>
  <c r="L104" i="45"/>
  <c r="H104" i="45"/>
  <c r="O104" i="45"/>
  <c r="K104" i="45"/>
  <c r="S104" i="45"/>
  <c r="G104" i="45"/>
  <c r="R104" i="45"/>
  <c r="N104" i="45"/>
  <c r="J104" i="45"/>
  <c r="F104" i="45"/>
  <c r="Q104" i="45"/>
  <c r="E12" i="48"/>
  <c r="E8" i="48"/>
  <c r="I92" i="45"/>
  <c r="S112" i="45"/>
  <c r="O112" i="45"/>
  <c r="K112" i="45"/>
  <c r="G112" i="45"/>
  <c r="J112" i="45"/>
  <c r="D12" i="48"/>
  <c r="B9" i="65" s="1"/>
  <c r="R112" i="45"/>
  <c r="N112" i="45"/>
  <c r="F112" i="45"/>
  <c r="Q112" i="45"/>
  <c r="M112" i="45"/>
  <c r="I112" i="45"/>
  <c r="H112" i="45"/>
  <c r="S130" i="45"/>
  <c r="O130" i="45"/>
  <c r="K130" i="45"/>
  <c r="G130" i="45"/>
  <c r="R130" i="45"/>
  <c r="N130" i="45"/>
  <c r="J130" i="45"/>
  <c r="F130" i="45"/>
  <c r="D15" i="48"/>
  <c r="B12" i="65" s="1"/>
  <c r="Q130" i="45"/>
  <c r="M130" i="45"/>
  <c r="I130" i="45"/>
  <c r="H130" i="45"/>
  <c r="S92" i="45"/>
  <c r="O92" i="45"/>
  <c r="K92" i="45"/>
  <c r="G92" i="45"/>
  <c r="Q92" i="45"/>
  <c r="J92" i="45"/>
  <c r="P92" i="45"/>
  <c r="D10" i="48"/>
  <c r="B7" i="65" s="1"/>
  <c r="I104" i="45"/>
  <c r="L112" i="45"/>
  <c r="L130" i="45"/>
  <c r="E9" i="48"/>
  <c r="H98" i="45"/>
  <c r="L98" i="45"/>
  <c r="P98" i="45"/>
  <c r="T98" i="45"/>
  <c r="E13" i="48"/>
  <c r="G118" i="45"/>
  <c r="K118" i="45"/>
  <c r="O118" i="45"/>
  <c r="S118" i="45"/>
  <c r="E16" i="48"/>
  <c r="H136" i="45"/>
  <c r="L136" i="45"/>
  <c r="P136" i="45"/>
  <c r="T136" i="45"/>
  <c r="G142" i="45"/>
  <c r="K142" i="45"/>
  <c r="O142" i="45"/>
  <c r="S142" i="45"/>
  <c r="C17" i="45"/>
  <c r="E19" i="48"/>
  <c r="H156" i="45"/>
  <c r="L156" i="45"/>
  <c r="P156" i="45"/>
  <c r="T156" i="45"/>
  <c r="G162" i="45"/>
  <c r="K162" i="45"/>
  <c r="O162" i="45"/>
  <c r="S162" i="45"/>
  <c r="F168" i="45"/>
  <c r="J168" i="45"/>
  <c r="N168" i="45"/>
  <c r="R168" i="45"/>
  <c r="C185" i="45"/>
  <c r="C29" i="45"/>
  <c r="I205" i="45"/>
  <c r="M205" i="45"/>
  <c r="Q205" i="45"/>
  <c r="F211" i="45"/>
  <c r="J211" i="45"/>
  <c r="N211" i="45"/>
  <c r="R211" i="45"/>
  <c r="E47" i="48"/>
  <c r="E49" i="48"/>
  <c r="D54" i="48"/>
  <c r="B31" i="65" s="1"/>
  <c r="E61" i="48"/>
  <c r="H142" i="45"/>
  <c r="P142" i="45"/>
  <c r="T142" i="45"/>
  <c r="E20" i="48"/>
  <c r="P162" i="45"/>
  <c r="D23" i="48"/>
  <c r="B20" i="65" s="1"/>
  <c r="E25" i="48"/>
  <c r="D30" i="48"/>
  <c r="B24" i="65" s="1"/>
  <c r="F205" i="45"/>
  <c r="J205" i="45"/>
  <c r="N205" i="45"/>
  <c r="R205" i="45"/>
  <c r="D33" i="48"/>
  <c r="B54" i="65" s="1"/>
  <c r="D36" i="48"/>
  <c r="B57" i="65" s="1"/>
  <c r="D39" i="48"/>
  <c r="B28" i="65" s="1"/>
  <c r="D49" i="48"/>
  <c r="B66" i="65" s="1"/>
  <c r="D61" i="48"/>
  <c r="B71" i="65" s="1"/>
  <c r="E63" i="48"/>
  <c r="T406" i="45"/>
  <c r="E17" i="48"/>
  <c r="L142" i="45"/>
  <c r="H162" i="45"/>
  <c r="L162" i="45"/>
  <c r="T162" i="45"/>
  <c r="D9" i="48"/>
  <c r="B6" i="65" s="1"/>
  <c r="F98" i="45"/>
  <c r="J98" i="45"/>
  <c r="N98" i="45"/>
  <c r="D13" i="48"/>
  <c r="B10" i="65" s="1"/>
  <c r="I118" i="45"/>
  <c r="M118" i="45"/>
  <c r="H124" i="45"/>
  <c r="L124" i="45"/>
  <c r="P124" i="45"/>
  <c r="D16" i="48"/>
  <c r="B13" i="65" s="1"/>
  <c r="F136" i="45"/>
  <c r="J136" i="45"/>
  <c r="N136" i="45"/>
  <c r="I142" i="45"/>
  <c r="M142" i="45"/>
  <c r="E18" i="48"/>
  <c r="G150" i="45"/>
  <c r="K150" i="45"/>
  <c r="O150" i="45"/>
  <c r="D19" i="48"/>
  <c r="B16" i="65" s="1"/>
  <c r="F156" i="45"/>
  <c r="J156" i="45"/>
  <c r="N156" i="45"/>
  <c r="I162" i="45"/>
  <c r="M162" i="45"/>
  <c r="H168" i="45"/>
  <c r="L168" i="45"/>
  <c r="P168" i="45"/>
  <c r="E26" i="48"/>
  <c r="G205" i="45"/>
  <c r="K205" i="45"/>
  <c r="O205" i="45"/>
  <c r="S205" i="45"/>
  <c r="D31" i="48"/>
  <c r="B25" i="65" s="1"/>
  <c r="H211" i="45"/>
  <c r="L211" i="45"/>
  <c r="P211" i="45"/>
  <c r="D34" i="48"/>
  <c r="B55" i="65" s="1"/>
  <c r="D47" i="48"/>
  <c r="B64" i="65" s="1"/>
  <c r="C52" i="45"/>
  <c r="E65" i="48"/>
  <c r="E30" i="48"/>
  <c r="H205" i="45"/>
  <c r="L205" i="45"/>
  <c r="P205" i="45"/>
  <c r="E36" i="48"/>
  <c r="E39" i="48"/>
  <c r="C60" i="45"/>
  <c r="D65" i="48"/>
  <c r="B37" i="65" s="1"/>
  <c r="E48" i="48"/>
  <c r="E57" i="48"/>
  <c r="E58" i="48"/>
  <c r="E64" i="48"/>
  <c r="E66" i="48"/>
  <c r="I400" i="45"/>
  <c r="M400" i="45"/>
  <c r="Q400" i="45"/>
  <c r="E70" i="48"/>
  <c r="D77" i="48"/>
  <c r="S423" i="45"/>
  <c r="C380" i="45"/>
  <c r="E69" i="48"/>
  <c r="G400" i="45"/>
  <c r="K400" i="45"/>
  <c r="O400" i="45"/>
  <c r="H418" i="45"/>
  <c r="L418" i="45"/>
  <c r="P418" i="45"/>
  <c r="D48" i="48"/>
  <c r="B65" i="65" s="1"/>
  <c r="D63" i="48"/>
  <c r="B35" i="65" s="1"/>
  <c r="M25" i="48"/>
  <c r="M6" i="48"/>
  <c r="M26" i="48"/>
  <c r="M31" i="48"/>
  <c r="M40" i="48"/>
  <c r="M54" i="48"/>
  <c r="M58" i="48"/>
  <c r="L70" i="48"/>
  <c r="M76" i="48"/>
  <c r="M33" i="48"/>
  <c r="B2" i="31"/>
  <c r="D4" i="45"/>
  <c r="M36" i="48"/>
  <c r="M34" i="48"/>
  <c r="M66" i="48"/>
  <c r="M39" i="48"/>
  <c r="D57" i="48"/>
  <c r="B34" i="65" s="1"/>
  <c r="L74" i="48"/>
  <c r="M65" i="48"/>
  <c r="M73" i="48"/>
  <c r="L73" i="48"/>
  <c r="M9" i="48"/>
  <c r="M14" i="48"/>
  <c r="M18" i="48"/>
  <c r="M23" i="48"/>
  <c r="M38" i="48"/>
  <c r="M56" i="48"/>
  <c r="M49" i="48"/>
  <c r="M72" i="48"/>
  <c r="M12" i="48"/>
  <c r="M16" i="48"/>
  <c r="M20" i="48"/>
  <c r="M47" i="48"/>
  <c r="M48" i="48"/>
  <c r="M61" i="48"/>
  <c r="M63" i="48"/>
  <c r="M70" i="48"/>
  <c r="L23" i="48"/>
  <c r="M64" i="48"/>
  <c r="M69" i="48"/>
  <c r="D6" i="48"/>
  <c r="B3" i="65" s="1"/>
  <c r="M8" i="48"/>
  <c r="M10" i="48"/>
  <c r="M13" i="48"/>
  <c r="M15" i="48"/>
  <c r="M17" i="48"/>
  <c r="M19" i="48"/>
  <c r="M21" i="48"/>
  <c r="M77" i="48"/>
  <c r="E77" i="48"/>
  <c r="D26" i="48"/>
  <c r="B50" i="65" s="1"/>
  <c r="M30" i="48"/>
  <c r="M35" i="48"/>
  <c r="E38" i="48"/>
  <c r="B77" i="65" l="1"/>
  <c r="B76" i="65"/>
  <c r="AS67" i="43"/>
  <c r="AS28" i="43"/>
  <c r="AS70" i="43"/>
  <c r="P70" i="43" s="1"/>
  <c r="AS38" i="43"/>
  <c r="AS29" i="43"/>
  <c r="P29" i="43" s="1"/>
  <c r="AS15" i="43"/>
  <c r="AS17" i="43"/>
  <c r="E152" i="45" s="1"/>
  <c r="AS13" i="43"/>
  <c r="E126" i="45" s="1"/>
  <c r="AS19" i="43"/>
  <c r="AS53" i="43"/>
  <c r="P53" i="43" s="1"/>
  <c r="AS10" i="43"/>
  <c r="P10" i="43" s="1"/>
  <c r="AS14" i="43"/>
  <c r="E132" i="45" s="1"/>
  <c r="AS62" i="43"/>
  <c r="AS40" i="43"/>
  <c r="AS61" i="43"/>
  <c r="AS9" i="43"/>
  <c r="AS37" i="43"/>
  <c r="E249" i="45" s="1"/>
  <c r="E250" i="45" s="1"/>
  <c r="AS68" i="43"/>
  <c r="AS69" i="43"/>
  <c r="AS54" i="43"/>
  <c r="AS11" i="43"/>
  <c r="AS21" i="43"/>
  <c r="E170" i="45" s="1"/>
  <c r="AS16" i="43"/>
  <c r="P16" i="43" s="1"/>
  <c r="AS12" i="43"/>
  <c r="P12" i="43" s="1"/>
  <c r="AS30" i="43"/>
  <c r="P30" i="43" s="1"/>
  <c r="AS18" i="43"/>
  <c r="E158" i="45" s="1"/>
  <c r="S337" i="45"/>
  <c r="T338" i="45" s="1"/>
  <c r="C46" i="60"/>
  <c r="B8" i="61" s="1"/>
  <c r="K24" i="48"/>
  <c r="I56" i="40"/>
  <c r="J55" i="40"/>
  <c r="I50" i="40"/>
  <c r="I42" i="40"/>
  <c r="I19" i="40"/>
  <c r="I9" i="40"/>
  <c r="J8" i="40"/>
  <c r="I46" i="40"/>
  <c r="I38" i="40"/>
  <c r="J37" i="40"/>
  <c r="I33" i="40"/>
  <c r="I23" i="40"/>
  <c r="I15" i="40"/>
  <c r="J14" i="40"/>
  <c r="J149" i="40"/>
  <c r="J150" i="40" s="1"/>
  <c r="J148" i="40"/>
  <c r="I137" i="40"/>
  <c r="J132" i="40"/>
  <c r="I133" i="40"/>
  <c r="I128" i="40"/>
  <c r="I120" i="40"/>
  <c r="I103" i="40"/>
  <c r="J87" i="40"/>
  <c r="I88" i="40"/>
  <c r="I81" i="40"/>
  <c r="J168" i="40"/>
  <c r="I169" i="40"/>
  <c r="J169" i="40" s="1"/>
  <c r="J151" i="40"/>
  <c r="I152" i="40"/>
  <c r="I141" i="40"/>
  <c r="I124" i="40"/>
  <c r="I116" i="40"/>
  <c r="J111" i="40"/>
  <c r="I112" i="40"/>
  <c r="I107" i="40"/>
  <c r="I99" i="40"/>
  <c r="J94" i="40"/>
  <c r="I95" i="40"/>
  <c r="I77" i="40"/>
  <c r="J72" i="40"/>
  <c r="I73" i="40"/>
  <c r="J63" i="40"/>
  <c r="I64" i="40"/>
  <c r="I29" i="40"/>
  <c r="J28" i="40"/>
  <c r="F68" i="48"/>
  <c r="F67" i="48"/>
  <c r="E45" i="57" s="1"/>
  <c r="F32" i="48"/>
  <c r="F8" i="48"/>
  <c r="N102" i="45"/>
  <c r="N103" i="45" s="1"/>
  <c r="N107" i="45" s="1"/>
  <c r="O102" i="45"/>
  <c r="O103" i="45" s="1"/>
  <c r="O107" i="45" s="1"/>
  <c r="D35" i="48"/>
  <c r="B56" i="65" s="1"/>
  <c r="P426" i="45"/>
  <c r="M72" i="45"/>
  <c r="J72" i="45"/>
  <c r="C20" i="45"/>
  <c r="F4" i="45"/>
  <c r="C67" i="45"/>
  <c r="E56" i="48"/>
  <c r="D55" i="45"/>
  <c r="C55" i="45"/>
  <c r="D18" i="48"/>
  <c r="B15" i="65" s="1"/>
  <c r="P172" i="45"/>
  <c r="D20" i="48"/>
  <c r="B17" i="65" s="1"/>
  <c r="C46" i="45"/>
  <c r="D14" i="48"/>
  <c r="B11" i="65" s="1"/>
  <c r="D56" i="48"/>
  <c r="B33" i="65" s="1"/>
  <c r="C69" i="45"/>
  <c r="C13" i="45"/>
  <c r="C56" i="45"/>
  <c r="C19" i="45"/>
  <c r="C61" i="45"/>
  <c r="C8" i="45"/>
  <c r="D66" i="48"/>
  <c r="B38" i="65" s="1"/>
  <c r="D64" i="48"/>
  <c r="B36" i="65" s="1"/>
  <c r="E218" i="45"/>
  <c r="L212" i="45"/>
  <c r="L218" i="45"/>
  <c r="N212" i="45"/>
  <c r="N218" i="45"/>
  <c r="Q212" i="45"/>
  <c r="Q218" i="45"/>
  <c r="H212" i="45"/>
  <c r="H218" i="45"/>
  <c r="S212" i="45"/>
  <c r="S218" i="45"/>
  <c r="J212" i="45"/>
  <c r="J218" i="45"/>
  <c r="O212" i="45"/>
  <c r="O218" i="45"/>
  <c r="M212" i="45"/>
  <c r="M218" i="45"/>
  <c r="T212" i="45"/>
  <c r="T218" i="45"/>
  <c r="K212" i="45"/>
  <c r="K218" i="45"/>
  <c r="F212" i="45"/>
  <c r="F218" i="45"/>
  <c r="I212" i="45"/>
  <c r="I218" i="45"/>
  <c r="P212" i="45"/>
  <c r="P218" i="45"/>
  <c r="E389" i="45"/>
  <c r="E395" i="45"/>
  <c r="R389" i="45"/>
  <c r="R395" i="45"/>
  <c r="N389" i="45"/>
  <c r="N395" i="45"/>
  <c r="L383" i="45"/>
  <c r="L389" i="45"/>
  <c r="K383" i="45"/>
  <c r="K389" i="45"/>
  <c r="F383" i="45"/>
  <c r="F389" i="45"/>
  <c r="P383" i="45"/>
  <c r="P389" i="45"/>
  <c r="O383" i="45"/>
  <c r="O389" i="45"/>
  <c r="M383" i="45"/>
  <c r="M389" i="45"/>
  <c r="H383" i="45"/>
  <c r="H389" i="45"/>
  <c r="G383" i="45"/>
  <c r="G389" i="45"/>
  <c r="Q383" i="45"/>
  <c r="Q389" i="45"/>
  <c r="J383" i="45"/>
  <c r="J389" i="45"/>
  <c r="I383" i="45"/>
  <c r="I389" i="45"/>
  <c r="T383" i="45"/>
  <c r="T389" i="45"/>
  <c r="S383" i="45"/>
  <c r="S389" i="45"/>
  <c r="T72" i="45"/>
  <c r="D426" i="45"/>
  <c r="E74" i="48"/>
  <c r="H426" i="45"/>
  <c r="E72" i="45"/>
  <c r="G72" i="45"/>
  <c r="I72" i="45"/>
  <c r="K72" i="45"/>
  <c r="L72" i="45"/>
  <c r="N426" i="45"/>
  <c r="E35" i="48"/>
  <c r="N35" i="48" s="1"/>
  <c r="D40" i="48"/>
  <c r="B59" i="65" s="1"/>
  <c r="K102" i="45"/>
  <c r="K103" i="45" s="1"/>
  <c r="K107" i="45" s="1"/>
  <c r="J102" i="45"/>
  <c r="J103" i="45" s="1"/>
  <c r="J107" i="45" s="1"/>
  <c r="I102" i="45"/>
  <c r="I103" i="45" s="1"/>
  <c r="I107" i="45" s="1"/>
  <c r="E54" i="48"/>
  <c r="E168" i="45"/>
  <c r="C43" i="45"/>
  <c r="D14" i="45"/>
  <c r="F102" i="45"/>
  <c r="F103" i="45" s="1"/>
  <c r="F107" i="45" s="1"/>
  <c r="L10" i="45"/>
  <c r="C58" i="45"/>
  <c r="E10" i="48"/>
  <c r="R102" i="45"/>
  <c r="R103" i="45" s="1"/>
  <c r="R107" i="45" s="1"/>
  <c r="M70" i="45"/>
  <c r="D21" i="48"/>
  <c r="B18" i="65" s="1"/>
  <c r="D17" i="48"/>
  <c r="B14" i="65" s="1"/>
  <c r="G423" i="45"/>
  <c r="D70" i="48"/>
  <c r="B42" i="65" s="1"/>
  <c r="C28" i="45"/>
  <c r="C16" i="45"/>
  <c r="E72" i="48"/>
  <c r="D8" i="48"/>
  <c r="B5" i="65" s="1"/>
  <c r="E33" i="48"/>
  <c r="D25" i="48"/>
  <c r="B49" i="65" s="1"/>
  <c r="J423" i="45"/>
  <c r="D69" i="45"/>
  <c r="E15" i="48"/>
  <c r="H423" i="45"/>
  <c r="O20" i="45"/>
  <c r="E34" i="48"/>
  <c r="H20" i="45"/>
  <c r="F172" i="45"/>
  <c r="M21" i="45"/>
  <c r="I173" i="45"/>
  <c r="K173" i="45"/>
  <c r="R21" i="45"/>
  <c r="Q21" i="45"/>
  <c r="E21" i="48"/>
  <c r="T20" i="45"/>
  <c r="Q172" i="45"/>
  <c r="N172" i="45"/>
  <c r="J21" i="45"/>
  <c r="K172" i="45"/>
  <c r="N48" i="48"/>
  <c r="N65" i="48"/>
  <c r="N36" i="48"/>
  <c r="N58" i="48"/>
  <c r="C21" i="57" s="1"/>
  <c r="N39" i="48"/>
  <c r="N20" i="48"/>
  <c r="N63" i="48"/>
  <c r="C43" i="57" s="1"/>
  <c r="N16" i="48"/>
  <c r="N18" i="48"/>
  <c r="N25" i="48"/>
  <c r="N12" i="48"/>
  <c r="N70" i="48"/>
  <c r="N9" i="48"/>
  <c r="E105" i="45"/>
  <c r="F10" i="48"/>
  <c r="E53" i="57" s="1"/>
  <c r="E73" i="48"/>
  <c r="K70" i="45"/>
  <c r="E377" i="45"/>
  <c r="G113" i="45"/>
  <c r="G419" i="45"/>
  <c r="G143" i="45"/>
  <c r="G119" i="45"/>
  <c r="G151" i="45"/>
  <c r="G163" i="45"/>
  <c r="G137" i="45"/>
  <c r="E432" i="45"/>
  <c r="G401" i="45"/>
  <c r="G131" i="45"/>
  <c r="G99" i="45"/>
  <c r="L8" i="48"/>
  <c r="G169" i="45"/>
  <c r="E383" i="45"/>
  <c r="G206" i="45"/>
  <c r="G157" i="45"/>
  <c r="G212" i="45"/>
  <c r="D74" i="48"/>
  <c r="B46" i="65" s="1"/>
  <c r="E76" i="48"/>
  <c r="Q396" i="45"/>
  <c r="R423" i="45"/>
  <c r="Q423" i="45"/>
  <c r="P401" i="45"/>
  <c r="E423" i="45"/>
  <c r="E400" i="45"/>
  <c r="E118" i="45"/>
  <c r="C47" i="45"/>
  <c r="E205" i="45"/>
  <c r="E136" i="45"/>
  <c r="E142" i="45"/>
  <c r="C6" i="45"/>
  <c r="E112" i="45"/>
  <c r="E124" i="45"/>
  <c r="D72" i="48"/>
  <c r="B44" i="65" s="1"/>
  <c r="E162" i="45"/>
  <c r="E92" i="45"/>
  <c r="E104" i="45"/>
  <c r="E418" i="45"/>
  <c r="G172" i="45"/>
  <c r="F433" i="45"/>
  <c r="C70" i="45"/>
  <c r="C72" i="45"/>
  <c r="E130" i="45"/>
  <c r="C7" i="45"/>
  <c r="E150" i="45"/>
  <c r="E98" i="45"/>
  <c r="G20" i="45"/>
  <c r="J426" i="45"/>
  <c r="S70" i="45"/>
  <c r="I433" i="45"/>
  <c r="E21" i="45"/>
  <c r="E173" i="45"/>
  <c r="D73" i="48"/>
  <c r="B45" i="65" s="1"/>
  <c r="N423" i="45"/>
  <c r="N436" i="45"/>
  <c r="N378" i="45"/>
  <c r="I437" i="45"/>
  <c r="H396" i="45"/>
  <c r="H378" i="45"/>
  <c r="N396" i="45"/>
  <c r="O378" i="45"/>
  <c r="O433" i="45"/>
  <c r="H433" i="45"/>
  <c r="S406" i="45"/>
  <c r="Q406" i="45"/>
  <c r="T378" i="45"/>
  <c r="M406" i="45"/>
  <c r="I406" i="45"/>
  <c r="E40" i="48"/>
  <c r="F406" i="45"/>
  <c r="R406" i="45"/>
  <c r="R396" i="45"/>
  <c r="S433" i="45"/>
  <c r="L433" i="45"/>
  <c r="L432" i="45"/>
  <c r="P143" i="45"/>
  <c r="P433" i="45"/>
  <c r="P137" i="45"/>
  <c r="M163" i="45"/>
  <c r="R212" i="45"/>
  <c r="T143" i="45"/>
  <c r="R93" i="45"/>
  <c r="R433" i="45"/>
  <c r="J396" i="45"/>
  <c r="Q163" i="45"/>
  <c r="H437" i="45"/>
  <c r="T433" i="45"/>
  <c r="T377" i="45"/>
  <c r="S93" i="45"/>
  <c r="R131" i="45"/>
  <c r="R99" i="45"/>
  <c r="R125" i="45"/>
  <c r="T137" i="45"/>
  <c r="S378" i="45"/>
  <c r="L437" i="45"/>
  <c r="S396" i="45"/>
  <c r="T396" i="45"/>
  <c r="I396" i="45"/>
  <c r="K433" i="45"/>
  <c r="Q378" i="45"/>
  <c r="K378" i="45"/>
  <c r="E431" i="45"/>
  <c r="J437" i="45"/>
  <c r="J378" i="45"/>
  <c r="E212" i="45"/>
  <c r="M378" i="45"/>
  <c r="O396" i="45"/>
  <c r="F396" i="45"/>
  <c r="P378" i="45"/>
  <c r="N433" i="45"/>
  <c r="N441" i="45" s="1"/>
  <c r="E396" i="45"/>
  <c r="E397" i="45" s="1"/>
  <c r="I378" i="45"/>
  <c r="Q437" i="45"/>
  <c r="O437" i="45"/>
  <c r="G378" i="45"/>
  <c r="G433" i="45"/>
  <c r="N383" i="45"/>
  <c r="F378" i="45"/>
  <c r="P396" i="45"/>
  <c r="G437" i="45"/>
  <c r="F206" i="45"/>
  <c r="G125" i="45"/>
  <c r="G396" i="45"/>
  <c r="H119" i="45"/>
  <c r="G93" i="45"/>
  <c r="O377" i="45"/>
  <c r="O432" i="45"/>
  <c r="E206" i="45"/>
  <c r="H163" i="45"/>
  <c r="M396" i="45"/>
  <c r="E436" i="45"/>
  <c r="P437" i="45"/>
  <c r="K437" i="45"/>
  <c r="R437" i="45"/>
  <c r="M433" i="45"/>
  <c r="L378" i="45"/>
  <c r="I163" i="45"/>
  <c r="K396" i="45"/>
  <c r="J433" i="45"/>
  <c r="K125" i="45"/>
  <c r="R383" i="45"/>
  <c r="Q206" i="45"/>
  <c r="J93" i="45"/>
  <c r="S432" i="45"/>
  <c r="R378" i="45"/>
  <c r="M437" i="45"/>
  <c r="E378" i="45"/>
  <c r="T437" i="45"/>
  <c r="L396" i="45"/>
  <c r="O406" i="45"/>
  <c r="J406" i="45"/>
  <c r="E23" i="48"/>
  <c r="E406" i="45"/>
  <c r="P406" i="45"/>
  <c r="C398" i="45"/>
  <c r="C66" i="45"/>
  <c r="D69" i="48"/>
  <c r="B41" i="65" s="1"/>
  <c r="D380" i="45"/>
  <c r="E381" i="45" s="1"/>
  <c r="E382" i="45" s="1"/>
  <c r="D63" i="45"/>
  <c r="D61" i="45"/>
  <c r="D58" i="45"/>
  <c r="D56" i="45"/>
  <c r="D52" i="45"/>
  <c r="C374" i="45"/>
  <c r="C62" i="45"/>
  <c r="D45" i="45"/>
  <c r="D257" i="45"/>
  <c r="E258" i="45" s="1"/>
  <c r="E259" i="45" s="1"/>
  <c r="D35" i="45"/>
  <c r="D37" i="45"/>
  <c r="D203" i="45"/>
  <c r="E204" i="45" s="1"/>
  <c r="D32" i="45"/>
  <c r="C134" i="45"/>
  <c r="C15" i="45"/>
  <c r="D13" i="45"/>
  <c r="D122" i="45"/>
  <c r="E14" i="48"/>
  <c r="C12" i="45"/>
  <c r="C116" i="45"/>
  <c r="C9" i="45"/>
  <c r="C96" i="45"/>
  <c r="D46" i="45"/>
  <c r="C203" i="45"/>
  <c r="C32" i="45"/>
  <c r="D160" i="45"/>
  <c r="D19" i="45"/>
  <c r="D53" i="45"/>
  <c r="D300" i="45"/>
  <c r="D263" i="45" s="1"/>
  <c r="D51" i="45"/>
  <c r="E22" i="48"/>
  <c r="D166" i="45"/>
  <c r="D22" i="45"/>
  <c r="C10" i="45"/>
  <c r="C102" i="45"/>
  <c r="D110" i="45"/>
  <c r="D11" i="45"/>
  <c r="L406" i="45"/>
  <c r="D374" i="45"/>
  <c r="D62" i="45"/>
  <c r="C300" i="45"/>
  <c r="C51" i="45"/>
  <c r="C18" i="45"/>
  <c r="C154" i="45"/>
  <c r="D17" i="45"/>
  <c r="D148" i="45"/>
  <c r="D140" i="45"/>
  <c r="D16" i="45"/>
  <c r="C45" i="45"/>
  <c r="D179" i="45"/>
  <c r="D28" i="45"/>
  <c r="D57" i="45"/>
  <c r="D116" i="45"/>
  <c r="D12" i="45"/>
  <c r="C128" i="45"/>
  <c r="C14" i="45"/>
  <c r="D90" i="45"/>
  <c r="D8" i="45"/>
  <c r="D431" i="45"/>
  <c r="D439" i="45" s="1"/>
  <c r="D398" i="45"/>
  <c r="E399" i="45" s="1"/>
  <c r="D66" i="45"/>
  <c r="H406" i="45"/>
  <c r="D47" i="45"/>
  <c r="D173" i="45"/>
  <c r="D21" i="45"/>
  <c r="D22" i="48"/>
  <c r="B19" i="65" s="1"/>
  <c r="C166" i="45"/>
  <c r="C22" i="45"/>
  <c r="D172" i="45"/>
  <c r="D20" i="45"/>
  <c r="D60" i="45"/>
  <c r="C57" i="45"/>
  <c r="C53" i="45"/>
  <c r="C257" i="45"/>
  <c r="C35" i="45"/>
  <c r="C173" i="45"/>
  <c r="C21" i="45"/>
  <c r="D38" i="45"/>
  <c r="D15" i="45"/>
  <c r="D134" i="45"/>
  <c r="D9" i="45"/>
  <c r="D96" i="45"/>
  <c r="C110" i="45"/>
  <c r="C11" i="45"/>
  <c r="D10" i="45"/>
  <c r="D102" i="45"/>
  <c r="D423" i="45"/>
  <c r="D70" i="45"/>
  <c r="D404" i="45"/>
  <c r="E405" i="45" s="1"/>
  <c r="D67" i="45"/>
  <c r="D43" i="45"/>
  <c r="C38" i="45"/>
  <c r="C209" i="45"/>
  <c r="C33" i="45"/>
  <c r="D185" i="45"/>
  <c r="E186" i="45" s="1"/>
  <c r="E187" i="45" s="1"/>
  <c r="D29" i="45"/>
  <c r="C37" i="45"/>
  <c r="D154" i="45"/>
  <c r="D18" i="45"/>
  <c r="D88" i="45"/>
  <c r="D7" i="45"/>
  <c r="I4" i="45"/>
  <c r="G4" i="45"/>
  <c r="T10" i="45"/>
  <c r="T102" i="45"/>
  <c r="T103" i="45" s="1"/>
  <c r="T107" i="45" s="1"/>
  <c r="E4" i="45"/>
  <c r="H4" i="45"/>
  <c r="H10" i="45"/>
  <c r="H102" i="45"/>
  <c r="H103" i="45" s="1"/>
  <c r="H107" i="45" s="1"/>
  <c r="N66" i="48"/>
  <c r="C27" i="57" s="1"/>
  <c r="N69" i="48"/>
  <c r="N64" i="48"/>
  <c r="C20" i="57" s="1"/>
  <c r="N57" i="48"/>
  <c r="C44" i="57" s="1"/>
  <c r="N47" i="48"/>
  <c r="C10" i="57" s="1"/>
  <c r="N38" i="48"/>
  <c r="N19" i="48"/>
  <c r="N26" i="48"/>
  <c r="N61" i="48"/>
  <c r="C23" i="57" s="1"/>
  <c r="N77" i="48"/>
  <c r="N49" i="48"/>
  <c r="C11" i="57" s="1"/>
  <c r="N17" i="48"/>
  <c r="N13" i="48"/>
  <c r="N8" i="48"/>
  <c r="N30" i="48"/>
  <c r="C31" i="57" s="1"/>
  <c r="C59" i="57" l="1"/>
  <c r="C76" i="65"/>
  <c r="C38" i="57"/>
  <c r="C52" i="57"/>
  <c r="C55" i="57"/>
  <c r="AB25" i="48"/>
  <c r="AI25" i="48" s="1"/>
  <c r="C33" i="57"/>
  <c r="AB65" i="48"/>
  <c r="AI65" i="48" s="1"/>
  <c r="C40" i="57"/>
  <c r="C65" i="65"/>
  <c r="AB48" i="48"/>
  <c r="AG48" i="48" s="1"/>
  <c r="C24" i="65"/>
  <c r="AB30" i="48"/>
  <c r="AI30" i="48" s="1"/>
  <c r="C66" i="65"/>
  <c r="AB49" i="48"/>
  <c r="C16" i="65"/>
  <c r="AB19" i="48"/>
  <c r="C36" i="65"/>
  <c r="AB64" i="48"/>
  <c r="AI64" i="48" s="1"/>
  <c r="C42" i="65"/>
  <c r="AB70" i="48"/>
  <c r="C13" i="65"/>
  <c r="AB16" i="48"/>
  <c r="C70" i="65"/>
  <c r="AB58" i="48"/>
  <c r="C14" i="65"/>
  <c r="AB17" i="48"/>
  <c r="AI17" i="48" s="1"/>
  <c r="C34" i="65"/>
  <c r="AB57" i="48"/>
  <c r="AI57" i="48" s="1"/>
  <c r="C6" i="65"/>
  <c r="AB9" i="48"/>
  <c r="AI9" i="48" s="1"/>
  <c r="C28" i="65"/>
  <c r="AB39" i="48"/>
  <c r="AI39" i="48" s="1"/>
  <c r="C5" i="65"/>
  <c r="AB8" i="48"/>
  <c r="AE8" i="48" s="1"/>
  <c r="C77" i="65"/>
  <c r="AB77" i="48"/>
  <c r="AI77" i="48" s="1"/>
  <c r="C27" i="65"/>
  <c r="AB38" i="48"/>
  <c r="AI38" i="48" s="1"/>
  <c r="C41" i="65"/>
  <c r="AB69" i="48"/>
  <c r="AI69" i="48" s="1"/>
  <c r="C9" i="65"/>
  <c r="AB12" i="48"/>
  <c r="AI12" i="48" s="1"/>
  <c r="C35" i="65"/>
  <c r="AB63" i="48"/>
  <c r="AI63" i="48" s="1"/>
  <c r="C57" i="65"/>
  <c r="AB36" i="48"/>
  <c r="AI36" i="48" s="1"/>
  <c r="C50" i="65"/>
  <c r="AB26" i="48"/>
  <c r="C15" i="65"/>
  <c r="AB18" i="48"/>
  <c r="C56" i="65"/>
  <c r="AB35" i="48"/>
  <c r="AI35" i="48" s="1"/>
  <c r="C10" i="65"/>
  <c r="AB13" i="48"/>
  <c r="C71" i="65"/>
  <c r="AB61" i="48"/>
  <c r="AI61" i="48" s="1"/>
  <c r="C64" i="65"/>
  <c r="AB47" i="48"/>
  <c r="AI47" i="48" s="1"/>
  <c r="C38" i="65"/>
  <c r="AB66" i="48"/>
  <c r="AI66" i="48" s="1"/>
  <c r="C17" i="65"/>
  <c r="AB20" i="48"/>
  <c r="C49" i="65"/>
  <c r="C37" i="65"/>
  <c r="N1" i="48"/>
  <c r="E365" i="45"/>
  <c r="E366" i="45" s="1"/>
  <c r="P68" i="43"/>
  <c r="AT68" i="43" s="1"/>
  <c r="F408" i="45" s="1"/>
  <c r="E371" i="45"/>
  <c r="E372" i="45" s="1"/>
  <c r="P67" i="43"/>
  <c r="AT67" i="43" s="1"/>
  <c r="F402" i="45" s="1"/>
  <c r="E402" i="45"/>
  <c r="E403" i="45" s="1"/>
  <c r="AT12" i="43"/>
  <c r="Q12" i="43" s="1"/>
  <c r="F116" i="45" s="1"/>
  <c r="F117" i="45" s="1"/>
  <c r="AT16" i="43"/>
  <c r="Q16" i="43" s="1"/>
  <c r="AT10" i="43"/>
  <c r="F100" i="45" s="1"/>
  <c r="AT70" i="43"/>
  <c r="F420" i="45" s="1"/>
  <c r="AT29" i="43"/>
  <c r="Q29" i="43" s="1"/>
  <c r="P37" i="43"/>
  <c r="AT37" i="43" s="1"/>
  <c r="E334" i="45"/>
  <c r="E335" i="45" s="1"/>
  <c r="P62" i="43"/>
  <c r="E408" i="45"/>
  <c r="E409" i="45" s="1"/>
  <c r="E144" i="45"/>
  <c r="E120" i="45"/>
  <c r="D8" i="60"/>
  <c r="E138" i="45"/>
  <c r="D5" i="60"/>
  <c r="P15" i="43"/>
  <c r="P54" i="43"/>
  <c r="P9" i="43"/>
  <c r="D24" i="60"/>
  <c r="P14" i="43"/>
  <c r="P13" i="43"/>
  <c r="P38" i="43"/>
  <c r="D12" i="60"/>
  <c r="P69" i="43"/>
  <c r="E414" i="45"/>
  <c r="E415" i="45" s="1"/>
  <c r="P17" i="43"/>
  <c r="D25" i="60"/>
  <c r="P18" i="43"/>
  <c r="P21" i="43"/>
  <c r="D15" i="60"/>
  <c r="E274" i="45"/>
  <c r="E275" i="45" s="1"/>
  <c r="P40" i="43"/>
  <c r="P28" i="43"/>
  <c r="P61" i="43"/>
  <c r="P11" i="43"/>
  <c r="D7" i="60"/>
  <c r="P19" i="43"/>
  <c r="E330" i="45"/>
  <c r="F331" i="45" s="1"/>
  <c r="F332" i="45" s="1"/>
  <c r="AT53" i="43"/>
  <c r="AT30" i="43"/>
  <c r="F219" i="45" s="1"/>
  <c r="E34" i="45"/>
  <c r="E52" i="57"/>
  <c r="E60" i="57"/>
  <c r="T341" i="45"/>
  <c r="T342" i="45" s="1"/>
  <c r="AE55" i="43"/>
  <c r="T339" i="45"/>
  <c r="E24" i="48"/>
  <c r="J65" i="40"/>
  <c r="J64" i="40"/>
  <c r="J74" i="40"/>
  <c r="J75" i="40" s="1"/>
  <c r="J76" i="40" s="1"/>
  <c r="J77" i="40" s="1"/>
  <c r="J73" i="40"/>
  <c r="J78" i="40"/>
  <c r="J79" i="40" s="1"/>
  <c r="J80" i="40" s="1"/>
  <c r="J81" i="40" s="1"/>
  <c r="J96" i="40"/>
  <c r="J97" i="40" s="1"/>
  <c r="J98" i="40" s="1"/>
  <c r="J99" i="40" s="1"/>
  <c r="J95" i="40"/>
  <c r="J100" i="40"/>
  <c r="J101" i="40" s="1"/>
  <c r="J102" i="40" s="1"/>
  <c r="J103" i="40" s="1"/>
  <c r="J108" i="40"/>
  <c r="J113" i="40"/>
  <c r="J114" i="40" s="1"/>
  <c r="J115" i="40" s="1"/>
  <c r="J116" i="40" s="1"/>
  <c r="J112" i="40"/>
  <c r="J117" i="40"/>
  <c r="J118" i="40" s="1"/>
  <c r="J119" i="40" s="1"/>
  <c r="J120" i="40" s="1"/>
  <c r="J125" i="40"/>
  <c r="J126" i="40" s="1"/>
  <c r="J127" i="40" s="1"/>
  <c r="J128" i="40" s="1"/>
  <c r="J142" i="40"/>
  <c r="J143" i="40" s="1"/>
  <c r="J152" i="40"/>
  <c r="I153" i="40"/>
  <c r="J82" i="40"/>
  <c r="J89" i="40"/>
  <c r="J88" i="40"/>
  <c r="J104" i="40"/>
  <c r="J105" i="40" s="1"/>
  <c r="J106" i="40" s="1"/>
  <c r="J107" i="40" s="1"/>
  <c r="J121" i="40"/>
  <c r="J122" i="40" s="1"/>
  <c r="J123" i="40" s="1"/>
  <c r="J124" i="40" s="1"/>
  <c r="J129" i="40"/>
  <c r="J134" i="40"/>
  <c r="J135" i="40" s="1"/>
  <c r="J136" i="40" s="1"/>
  <c r="J137" i="40" s="1"/>
  <c r="J133" i="40"/>
  <c r="J138" i="40"/>
  <c r="J139" i="40" s="1"/>
  <c r="J140" i="40" s="1"/>
  <c r="J141" i="40" s="1"/>
  <c r="J29" i="40"/>
  <c r="J30" i="40"/>
  <c r="J31" i="40" s="1"/>
  <c r="J32" i="40" s="1"/>
  <c r="J33" i="40" s="1"/>
  <c r="J15" i="40"/>
  <c r="J16" i="40"/>
  <c r="J17" i="40" s="1"/>
  <c r="J18" i="40" s="1"/>
  <c r="J19" i="40" s="1"/>
  <c r="J24" i="40"/>
  <c r="J34" i="40"/>
  <c r="J38" i="40"/>
  <c r="J39" i="40"/>
  <c r="J40" i="40" s="1"/>
  <c r="J41" i="40" s="1"/>
  <c r="J42" i="40" s="1"/>
  <c r="J47" i="40"/>
  <c r="J48" i="40" s="1"/>
  <c r="J49" i="40" s="1"/>
  <c r="J50" i="40" s="1"/>
  <c r="J9" i="40"/>
  <c r="J10" i="40"/>
  <c r="J20" i="40"/>
  <c r="J21" i="40" s="1"/>
  <c r="J22" i="40" s="1"/>
  <c r="J23" i="40" s="1"/>
  <c r="J43" i="40"/>
  <c r="J44" i="40" s="1"/>
  <c r="J45" i="40" s="1"/>
  <c r="J46" i="40" s="1"/>
  <c r="J51" i="40"/>
  <c r="J52" i="40" s="1"/>
  <c r="J57" i="40"/>
  <c r="J58" i="40" s="1"/>
  <c r="J59" i="40" s="1"/>
  <c r="J60" i="40" s="1"/>
  <c r="J56" i="40"/>
  <c r="T17" i="48"/>
  <c r="T13" i="48"/>
  <c r="T26" i="48"/>
  <c r="T38" i="48"/>
  <c r="T9" i="48"/>
  <c r="T12" i="48"/>
  <c r="T18" i="48"/>
  <c r="T39" i="48"/>
  <c r="T36" i="48"/>
  <c r="T48" i="48"/>
  <c r="T19" i="48"/>
  <c r="T70" i="48"/>
  <c r="T25" i="48"/>
  <c r="T16" i="48"/>
  <c r="T20" i="48"/>
  <c r="T35" i="48"/>
  <c r="D373" i="45"/>
  <c r="E301" i="45"/>
  <c r="E302" i="45" s="1"/>
  <c r="T77" i="48"/>
  <c r="T57" i="48"/>
  <c r="T30" i="48"/>
  <c r="T49" i="48"/>
  <c r="T47" i="48"/>
  <c r="T66" i="48"/>
  <c r="T58" i="48"/>
  <c r="T63" i="48"/>
  <c r="T61" i="48"/>
  <c r="T64" i="48"/>
  <c r="T65" i="48"/>
  <c r="T8" i="48"/>
  <c r="T69" i="48"/>
  <c r="P21" i="48"/>
  <c r="N10" i="48"/>
  <c r="C53" i="57" s="1"/>
  <c r="N33" i="48"/>
  <c r="N74" i="48"/>
  <c r="G441" i="45"/>
  <c r="N10" i="45"/>
  <c r="F9" i="48"/>
  <c r="F31" i="48"/>
  <c r="E30" i="57" s="1"/>
  <c r="L76" i="48"/>
  <c r="F76" i="48"/>
  <c r="E58" i="57" s="1"/>
  <c r="F77" i="48"/>
  <c r="E59" i="57" s="1"/>
  <c r="L56" i="48"/>
  <c r="F56" i="48"/>
  <c r="F57" i="48"/>
  <c r="E44" i="57" s="1"/>
  <c r="F39" i="48"/>
  <c r="L65" i="48"/>
  <c r="F65" i="48"/>
  <c r="E40" i="57" s="1"/>
  <c r="F54" i="48"/>
  <c r="E8" i="57" s="1"/>
  <c r="F63" i="48"/>
  <c r="E43" i="57" s="1"/>
  <c r="F41" i="48"/>
  <c r="F69" i="48"/>
  <c r="F72" i="48"/>
  <c r="L30" i="48"/>
  <c r="F30" i="48"/>
  <c r="E31" i="57" s="1"/>
  <c r="F66" i="48"/>
  <c r="E27" i="57" s="1"/>
  <c r="F64" i="48"/>
  <c r="L15" i="48"/>
  <c r="F15" i="48"/>
  <c r="F20" i="48"/>
  <c r="F14" i="48"/>
  <c r="F13" i="48"/>
  <c r="L22" i="48"/>
  <c r="F22" i="48"/>
  <c r="F16" i="48"/>
  <c r="L18" i="48"/>
  <c r="F18" i="48"/>
  <c r="E55" i="57" s="1"/>
  <c r="F17" i="48"/>
  <c r="F12" i="48"/>
  <c r="E54" i="57" s="1"/>
  <c r="F19" i="48"/>
  <c r="R426" i="45"/>
  <c r="R72" i="45"/>
  <c r="L67" i="48"/>
  <c r="L32" i="48"/>
  <c r="S72" i="45"/>
  <c r="F426" i="45"/>
  <c r="O72" i="45"/>
  <c r="O426" i="45"/>
  <c r="L102" i="45"/>
  <c r="L103" i="45" s="1"/>
  <c r="L107" i="45" s="1"/>
  <c r="F72" i="45"/>
  <c r="O10" i="45"/>
  <c r="P72" i="45"/>
  <c r="M10" i="45"/>
  <c r="M426" i="45"/>
  <c r="R20" i="45"/>
  <c r="R172" i="45"/>
  <c r="M102" i="45"/>
  <c r="M103" i="45" s="1"/>
  <c r="M107" i="45" s="1"/>
  <c r="S20" i="45"/>
  <c r="Q72" i="45"/>
  <c r="K426" i="45"/>
  <c r="P73" i="48"/>
  <c r="L423" i="45"/>
  <c r="Q426" i="45"/>
  <c r="G70" i="45"/>
  <c r="S172" i="45"/>
  <c r="K423" i="45"/>
  <c r="M172" i="45"/>
  <c r="M20" i="45"/>
  <c r="E102" i="45"/>
  <c r="E103" i="45" s="1"/>
  <c r="E107" i="45" s="1"/>
  <c r="E10" i="45"/>
  <c r="N56" i="48"/>
  <c r="L426" i="45"/>
  <c r="P74" i="48"/>
  <c r="J20" i="45"/>
  <c r="O172" i="45"/>
  <c r="P102" i="45"/>
  <c r="P103" i="45" s="1"/>
  <c r="P107" i="45" s="1"/>
  <c r="P20" i="45"/>
  <c r="N54" i="48"/>
  <c r="C8" i="57" s="1"/>
  <c r="N34" i="48"/>
  <c r="T426" i="45"/>
  <c r="L20" i="45"/>
  <c r="L172" i="45"/>
  <c r="R70" i="45"/>
  <c r="J172" i="45"/>
  <c r="P10" i="45"/>
  <c r="N20" i="45"/>
  <c r="H72" i="45"/>
  <c r="T172" i="45"/>
  <c r="J70" i="45"/>
  <c r="I426" i="45"/>
  <c r="E426" i="45"/>
  <c r="G10" i="45"/>
  <c r="I172" i="45"/>
  <c r="F10" i="45"/>
  <c r="H70" i="45"/>
  <c r="T70" i="45"/>
  <c r="I10" i="45"/>
  <c r="E215" i="45"/>
  <c r="F216" i="45" s="1"/>
  <c r="E213" i="45"/>
  <c r="E219" i="45"/>
  <c r="E220" i="45" s="1"/>
  <c r="L384" i="45"/>
  <c r="L390" i="45"/>
  <c r="K384" i="45"/>
  <c r="K390" i="45"/>
  <c r="G384" i="45"/>
  <c r="G390" i="45"/>
  <c r="P384" i="45"/>
  <c r="P390" i="45"/>
  <c r="Q384" i="45"/>
  <c r="Q390" i="45"/>
  <c r="M384" i="45"/>
  <c r="M390" i="45"/>
  <c r="O384" i="45"/>
  <c r="O390" i="45"/>
  <c r="R384" i="45"/>
  <c r="R390" i="45"/>
  <c r="E384" i="45"/>
  <c r="E385" i="45" s="1"/>
  <c r="E390" i="45"/>
  <c r="E391" i="45" s="1"/>
  <c r="I384" i="45"/>
  <c r="I390" i="45"/>
  <c r="T384" i="45"/>
  <c r="T390" i="45"/>
  <c r="J384" i="45"/>
  <c r="J390" i="45"/>
  <c r="F384" i="45"/>
  <c r="F390" i="45"/>
  <c r="S384" i="45"/>
  <c r="S390" i="45"/>
  <c r="N384" i="45"/>
  <c r="N390" i="45"/>
  <c r="H384" i="45"/>
  <c r="H390" i="45"/>
  <c r="S426" i="45"/>
  <c r="T423" i="45"/>
  <c r="M423" i="45"/>
  <c r="G426" i="45"/>
  <c r="Q70" i="45"/>
  <c r="R173" i="45"/>
  <c r="N21" i="45"/>
  <c r="K10" i="45"/>
  <c r="M173" i="45"/>
  <c r="N72" i="45"/>
  <c r="L70" i="45"/>
  <c r="P10" i="48"/>
  <c r="G102" i="45"/>
  <c r="G103" i="45" s="1"/>
  <c r="G107" i="45" s="1"/>
  <c r="S21" i="45"/>
  <c r="O21" i="45"/>
  <c r="S102" i="45"/>
  <c r="S103" i="45" s="1"/>
  <c r="S107" i="45" s="1"/>
  <c r="N173" i="45"/>
  <c r="N21" i="48"/>
  <c r="J10" i="45"/>
  <c r="R10" i="45"/>
  <c r="K20" i="45"/>
  <c r="O173" i="45"/>
  <c r="S10" i="45"/>
  <c r="N72" i="48"/>
  <c r="N15" i="48"/>
  <c r="P423" i="45"/>
  <c r="S173" i="45"/>
  <c r="F20" i="45"/>
  <c r="I21" i="45"/>
  <c r="I70" i="45"/>
  <c r="Q173" i="45"/>
  <c r="J173" i="45"/>
  <c r="I20" i="45"/>
  <c r="H172" i="45"/>
  <c r="I423" i="45"/>
  <c r="K21" i="45"/>
  <c r="Q20" i="45"/>
  <c r="N40" i="48"/>
  <c r="C9" i="57" s="1"/>
  <c r="N14" i="48"/>
  <c r="N23" i="48"/>
  <c r="N76" i="48"/>
  <c r="C58" i="57" s="1"/>
  <c r="N22" i="48"/>
  <c r="O21" i="48"/>
  <c r="N73" i="48"/>
  <c r="E437" i="45"/>
  <c r="E438" i="45" s="1"/>
  <c r="P70" i="45"/>
  <c r="F435" i="45"/>
  <c r="G438" i="45" s="1"/>
  <c r="I441" i="45"/>
  <c r="N70" i="45"/>
  <c r="K75" i="48"/>
  <c r="E70" i="45"/>
  <c r="J441" i="45"/>
  <c r="F173" i="45"/>
  <c r="F21" i="45"/>
  <c r="E114" i="45"/>
  <c r="I86" i="45"/>
  <c r="E94" i="45"/>
  <c r="E164" i="45"/>
  <c r="S86" i="45"/>
  <c r="E56" i="45"/>
  <c r="L441" i="45"/>
  <c r="L173" i="45"/>
  <c r="L21" i="45"/>
  <c r="F423" i="45"/>
  <c r="F70" i="45"/>
  <c r="O423" i="45"/>
  <c r="O70" i="45"/>
  <c r="P441" i="45"/>
  <c r="S437" i="45"/>
  <c r="S441" i="45" s="1"/>
  <c r="E207" i="45"/>
  <c r="E208" i="45" s="1"/>
  <c r="O441" i="45"/>
  <c r="H173" i="45"/>
  <c r="H21" i="45"/>
  <c r="N86" i="45"/>
  <c r="H86" i="45"/>
  <c r="L86" i="45"/>
  <c r="H441" i="45"/>
  <c r="E116" i="45"/>
  <c r="E117" i="45" s="1"/>
  <c r="R441" i="45"/>
  <c r="K441" i="45"/>
  <c r="L83" i="45"/>
  <c r="O86" i="45"/>
  <c r="Q86" i="45"/>
  <c r="L435" i="45"/>
  <c r="M438" i="45" s="1"/>
  <c r="B44" i="47"/>
  <c r="F392" i="45"/>
  <c r="G393" i="45" s="1"/>
  <c r="E392" i="45"/>
  <c r="F393" i="45" s="1"/>
  <c r="I435" i="45"/>
  <c r="J438" i="45" s="1"/>
  <c r="S62" i="45"/>
  <c r="K431" i="45"/>
  <c r="L434" i="45" s="1"/>
  <c r="F86" i="45"/>
  <c r="S435" i="45"/>
  <c r="T438" i="45" s="1"/>
  <c r="J435" i="45"/>
  <c r="K438" i="45" s="1"/>
  <c r="H431" i="45"/>
  <c r="I434" i="45" s="1"/>
  <c r="N435" i="45"/>
  <c r="O438" i="45" s="1"/>
  <c r="H435" i="45"/>
  <c r="I438" i="45" s="1"/>
  <c r="Q83" i="45"/>
  <c r="H392" i="45"/>
  <c r="I393" i="45" s="1"/>
  <c r="E86" i="45"/>
  <c r="E433" i="45"/>
  <c r="E434" i="45" s="1"/>
  <c r="G86" i="45"/>
  <c r="O83" i="45"/>
  <c r="I392" i="45"/>
  <c r="J393" i="45" s="1"/>
  <c r="F374" i="45"/>
  <c r="Q433" i="45"/>
  <c r="Q441" i="45" s="1"/>
  <c r="H83" i="45"/>
  <c r="B34" i="47"/>
  <c r="E81" i="45"/>
  <c r="J62" i="45"/>
  <c r="J56" i="45"/>
  <c r="L62" i="45"/>
  <c r="J392" i="45"/>
  <c r="K393" i="45" s="1"/>
  <c r="F437" i="45"/>
  <c r="F441" i="45" s="1"/>
  <c r="R435" i="45"/>
  <c r="Q431" i="45"/>
  <c r="R434" i="45" s="1"/>
  <c r="J431" i="45"/>
  <c r="K434" i="45" s="1"/>
  <c r="R86" i="45"/>
  <c r="P86" i="45"/>
  <c r="K435" i="45"/>
  <c r="L438" i="45" s="1"/>
  <c r="M435" i="45"/>
  <c r="N438" i="45" s="1"/>
  <c r="K86" i="45"/>
  <c r="P435" i="45"/>
  <c r="Q438" i="45" s="1"/>
  <c r="O435" i="45"/>
  <c r="P438" i="45" s="1"/>
  <c r="Q435" i="45"/>
  <c r="R438" i="45" s="1"/>
  <c r="S392" i="45"/>
  <c r="T393" i="45" s="1"/>
  <c r="J86" i="45"/>
  <c r="E100" i="45"/>
  <c r="M441" i="45"/>
  <c r="M56" i="45"/>
  <c r="T86" i="45"/>
  <c r="H374" i="45"/>
  <c r="K62" i="45"/>
  <c r="M62" i="45"/>
  <c r="R374" i="45"/>
  <c r="T441" i="45"/>
  <c r="T435" i="45"/>
  <c r="O392" i="45"/>
  <c r="P393" i="45" s="1"/>
  <c r="N392" i="45"/>
  <c r="O393" i="45" s="1"/>
  <c r="P392" i="45"/>
  <c r="Q393" i="45" s="1"/>
  <c r="Q392" i="45"/>
  <c r="R393" i="45" s="1"/>
  <c r="R431" i="45"/>
  <c r="S434" i="45" s="1"/>
  <c r="S56" i="45"/>
  <c r="O431" i="45"/>
  <c r="P434" i="45" s="1"/>
  <c r="P431" i="45"/>
  <c r="T62" i="45"/>
  <c r="O62" i="45"/>
  <c r="Q62" i="45"/>
  <c r="K392" i="45"/>
  <c r="L393" i="45" s="1"/>
  <c r="R392" i="45"/>
  <c r="S393" i="45" s="1"/>
  <c r="T392" i="45"/>
  <c r="S431" i="45"/>
  <c r="T434" i="45" s="1"/>
  <c r="T431" i="45"/>
  <c r="E374" i="45"/>
  <c r="P62" i="45"/>
  <c r="I374" i="45"/>
  <c r="L392" i="45"/>
  <c r="M393" i="45" s="1"/>
  <c r="M392" i="45"/>
  <c r="N393" i="45" s="1"/>
  <c r="E420" i="45"/>
  <c r="E421" i="45" s="1"/>
  <c r="N431" i="45"/>
  <c r="O434" i="45" s="1"/>
  <c r="M86" i="45"/>
  <c r="R83" i="45"/>
  <c r="G21" i="45"/>
  <c r="P23" i="48"/>
  <c r="G173" i="45"/>
  <c r="F88" i="45"/>
  <c r="F7" i="45"/>
  <c r="P21" i="45"/>
  <c r="P173" i="45"/>
  <c r="E172" i="45"/>
  <c r="E20" i="45"/>
  <c r="D89" i="45"/>
  <c r="E88" i="45"/>
  <c r="E7" i="45"/>
  <c r="Q10" i="45"/>
  <c r="Q102" i="45"/>
  <c r="Q103" i="45" s="1"/>
  <c r="Q107" i="45" s="1"/>
  <c r="T21" i="45"/>
  <c r="T173" i="45"/>
  <c r="D147" i="45"/>
  <c r="D146" i="45" s="1"/>
  <c r="D108" i="45" s="1"/>
  <c r="E375" i="45"/>
  <c r="G88" i="45"/>
  <c r="G7" i="45"/>
  <c r="E180" i="45"/>
  <c r="D25" i="45"/>
  <c r="D6" i="45"/>
  <c r="B4" i="31"/>
  <c r="C5" i="31" s="1"/>
  <c r="D78" i="45"/>
  <c r="D77" i="45" s="1"/>
  <c r="F434" i="45"/>
  <c r="E416" i="45"/>
  <c r="F417" i="45" s="1"/>
  <c r="E69" i="45"/>
  <c r="E435" i="45"/>
  <c r="J4" i="45"/>
  <c r="AG13" i="48" l="1"/>
  <c r="AI13" i="48" s="1"/>
  <c r="AG16" i="48"/>
  <c r="AI16" i="48" s="1"/>
  <c r="AG19" i="48"/>
  <c r="AI19" i="48" s="1"/>
  <c r="AI48" i="48"/>
  <c r="AG70" i="48"/>
  <c r="AI70" i="48" s="1"/>
  <c r="AJ1" i="48" s="1"/>
  <c r="AG18" i="48"/>
  <c r="AI18" i="48" s="1"/>
  <c r="AG8" i="48"/>
  <c r="AI8" i="48" s="1"/>
  <c r="AG20" i="48"/>
  <c r="AI20" i="48" s="1"/>
  <c r="AG26" i="48"/>
  <c r="AI26" i="48" s="1"/>
  <c r="AG58" i="48"/>
  <c r="AI58" i="48" s="1"/>
  <c r="C48" i="57"/>
  <c r="C54" i="57"/>
  <c r="C36" i="57"/>
  <c r="AD10" i="48"/>
  <c r="F53" i="57"/>
  <c r="AD73" i="48"/>
  <c r="F48" i="57"/>
  <c r="C56" i="57"/>
  <c r="AG49" i="48"/>
  <c r="C55" i="65"/>
  <c r="AB34" i="48"/>
  <c r="AI34" i="48" s="1"/>
  <c r="C46" i="65"/>
  <c r="AB74" i="48"/>
  <c r="AI74" i="48" s="1"/>
  <c r="C75" i="65"/>
  <c r="AB76" i="48"/>
  <c r="AI76" i="48" s="1"/>
  <c r="C12" i="65"/>
  <c r="AB15" i="48"/>
  <c r="AI15" i="48" s="1"/>
  <c r="C31" i="65"/>
  <c r="AB54" i="48"/>
  <c r="C59" i="65"/>
  <c r="AB40" i="48"/>
  <c r="AI40" i="48" s="1"/>
  <c r="C33" i="65"/>
  <c r="AB56" i="48"/>
  <c r="AI56" i="48" s="1"/>
  <c r="C54" i="65"/>
  <c r="AB33" i="48"/>
  <c r="AI33" i="48" s="1"/>
  <c r="C45" i="65"/>
  <c r="AB73" i="48"/>
  <c r="AI73" i="48" s="1"/>
  <c r="C20" i="65"/>
  <c r="AB23" i="48"/>
  <c r="AI23" i="48" s="1"/>
  <c r="C44" i="65"/>
  <c r="AB72" i="48"/>
  <c r="AI72" i="48" s="1"/>
  <c r="V74" i="48"/>
  <c r="AD74" i="48"/>
  <c r="C7" i="65"/>
  <c r="AB10" i="48"/>
  <c r="V23" i="48"/>
  <c r="AD23" i="48"/>
  <c r="C19" i="65"/>
  <c r="AB22" i="48"/>
  <c r="AI22" i="48" s="1"/>
  <c r="C18" i="65"/>
  <c r="AB21" i="48"/>
  <c r="AI21" i="48" s="1"/>
  <c r="D18" i="65"/>
  <c r="AC21" i="48"/>
  <c r="AJ21" i="48" s="1"/>
  <c r="C11" i="65"/>
  <c r="AB14" i="48"/>
  <c r="AI14" i="48" s="1"/>
  <c r="V21" i="48"/>
  <c r="AD21" i="48"/>
  <c r="E398" i="45"/>
  <c r="F399" i="45" s="1"/>
  <c r="F403" i="45" s="1"/>
  <c r="E404" i="45"/>
  <c r="F405" i="45" s="1"/>
  <c r="F409" i="45" s="1"/>
  <c r="F421" i="45"/>
  <c r="Q68" i="43"/>
  <c r="AU68" i="43" s="1"/>
  <c r="R68" i="43" s="1"/>
  <c r="AV68" i="43" s="1"/>
  <c r="F213" i="45"/>
  <c r="Q67" i="43"/>
  <c r="AU67" i="43" s="1"/>
  <c r="Q70" i="43"/>
  <c r="F69" i="45" s="1"/>
  <c r="F120" i="45"/>
  <c r="F121" i="45" s="1"/>
  <c r="F144" i="45"/>
  <c r="Q10" i="43"/>
  <c r="F9" i="45" s="1"/>
  <c r="AU29" i="43"/>
  <c r="R29" i="43" s="1"/>
  <c r="AT19" i="43"/>
  <c r="F164" i="45" s="1"/>
  <c r="AT17" i="43"/>
  <c r="Q17" i="43" s="1"/>
  <c r="F148" i="45" s="1"/>
  <c r="AT9" i="43"/>
  <c r="E41" i="45"/>
  <c r="E32" i="45"/>
  <c r="AT21" i="43"/>
  <c r="Q21" i="43" s="1"/>
  <c r="AT13" i="43"/>
  <c r="Q13" i="43" s="1"/>
  <c r="AU13" i="43" s="1"/>
  <c r="AT54" i="43"/>
  <c r="Q54" i="43" s="1"/>
  <c r="AT11" i="43"/>
  <c r="E43" i="45"/>
  <c r="AT18" i="43"/>
  <c r="Q18" i="43" s="1"/>
  <c r="F18" i="45" s="1"/>
  <c r="AT14" i="43"/>
  <c r="F132" i="45" s="1"/>
  <c r="AT15" i="43"/>
  <c r="F138" i="45" s="1"/>
  <c r="E367" i="45"/>
  <c r="F368" i="45" s="1"/>
  <c r="E361" i="45"/>
  <c r="F362" i="45" s="1"/>
  <c r="F363" i="45" s="1"/>
  <c r="AU16" i="43"/>
  <c r="AU12" i="43"/>
  <c r="E245" i="45"/>
  <c r="F246" i="45" s="1"/>
  <c r="AT62" i="43"/>
  <c r="E11" i="45"/>
  <c r="E22" i="45"/>
  <c r="E54" i="45"/>
  <c r="E13" i="45"/>
  <c r="E121" i="45"/>
  <c r="E90" i="45"/>
  <c r="E91" i="45" s="1"/>
  <c r="E95" i="45" s="1"/>
  <c r="E60" i="45"/>
  <c r="E110" i="45"/>
  <c r="E111" i="45" s="1"/>
  <c r="E115" i="45" s="1"/>
  <c r="E128" i="45"/>
  <c r="E129" i="45" s="1"/>
  <c r="E133" i="45" s="1"/>
  <c r="E134" i="45"/>
  <c r="E135" i="45" s="1"/>
  <c r="E139" i="45" s="1"/>
  <c r="E154" i="45"/>
  <c r="E155" i="45" s="1"/>
  <c r="E159" i="45" s="1"/>
  <c r="E148" i="45"/>
  <c r="E149" i="45" s="1"/>
  <c r="E153" i="45" s="1"/>
  <c r="E19" i="45"/>
  <c r="E160" i="45"/>
  <c r="E161" i="45" s="1"/>
  <c r="E165" i="45" s="1"/>
  <c r="AT28" i="43"/>
  <c r="E203" i="45"/>
  <c r="F204" i="45" s="1"/>
  <c r="AT38" i="43"/>
  <c r="E55" i="45"/>
  <c r="E270" i="45"/>
  <c r="F271" i="45" s="1"/>
  <c r="F272" i="45" s="1"/>
  <c r="AT40" i="43"/>
  <c r="AT61" i="43"/>
  <c r="AT69" i="43"/>
  <c r="E68" i="45"/>
  <c r="E410" i="45"/>
  <c r="F411" i="45" s="1"/>
  <c r="Q30" i="43"/>
  <c r="F334" i="45"/>
  <c r="F335" i="45" s="1"/>
  <c r="Q53" i="43"/>
  <c r="F249" i="45"/>
  <c r="Q37" i="43"/>
  <c r="AF55" i="43"/>
  <c r="AG55" i="43" s="1"/>
  <c r="AH55" i="43" s="1"/>
  <c r="AI55" i="43" s="1"/>
  <c r="AJ55" i="43" s="1"/>
  <c r="AK55" i="43" s="1"/>
  <c r="AL55" i="43" s="1"/>
  <c r="AM55" i="43" s="1"/>
  <c r="AN55" i="43" s="1"/>
  <c r="AO55" i="43" s="1"/>
  <c r="AP55" i="43" s="1"/>
  <c r="T337" i="45"/>
  <c r="I57" i="48"/>
  <c r="J154" i="40"/>
  <c r="J153" i="40"/>
  <c r="T22" i="48"/>
  <c r="T23" i="48"/>
  <c r="T72" i="48"/>
  <c r="T21" i="48"/>
  <c r="T74" i="48"/>
  <c r="U21" i="48"/>
  <c r="T15" i="48"/>
  <c r="T34" i="48"/>
  <c r="T56" i="48"/>
  <c r="T33" i="48"/>
  <c r="G375" i="45"/>
  <c r="G376" i="45" s="1"/>
  <c r="V73" i="48"/>
  <c r="T76" i="48"/>
  <c r="T73" i="48"/>
  <c r="T54" i="48"/>
  <c r="T14" i="48"/>
  <c r="V10" i="48"/>
  <c r="T10" i="48"/>
  <c r="T40" i="48"/>
  <c r="L31" i="48"/>
  <c r="L12" i="48"/>
  <c r="L14" i="48"/>
  <c r="L66" i="48"/>
  <c r="L63" i="48"/>
  <c r="L9" i="48"/>
  <c r="L19" i="48"/>
  <c r="L17" i="48"/>
  <c r="L16" i="48"/>
  <c r="L13" i="48"/>
  <c r="L20" i="48"/>
  <c r="L64" i="48"/>
  <c r="L72" i="48"/>
  <c r="L69" i="48"/>
  <c r="L41" i="48"/>
  <c r="L54" i="48"/>
  <c r="L39" i="48"/>
  <c r="L57" i="48"/>
  <c r="L77" i="48"/>
  <c r="P83" i="45"/>
  <c r="I83" i="45"/>
  <c r="K83" i="45"/>
  <c r="M83" i="45"/>
  <c r="J83" i="45"/>
  <c r="N83" i="45"/>
  <c r="O73" i="48"/>
  <c r="O74" i="48"/>
  <c r="E67" i="45"/>
  <c r="F220" i="45"/>
  <c r="R394" i="45"/>
  <c r="R397" i="45"/>
  <c r="I394" i="45"/>
  <c r="I397" i="45"/>
  <c r="G394" i="45"/>
  <c r="G397" i="45"/>
  <c r="Q394" i="45"/>
  <c r="Q397" i="45"/>
  <c r="J394" i="45"/>
  <c r="J397" i="45"/>
  <c r="F394" i="45"/>
  <c r="F397" i="45"/>
  <c r="N394" i="45"/>
  <c r="N397" i="45"/>
  <c r="S394" i="45"/>
  <c r="S397" i="45"/>
  <c r="O394" i="45"/>
  <c r="O397" i="45"/>
  <c r="K394" i="45"/>
  <c r="K397" i="45"/>
  <c r="M394" i="45"/>
  <c r="M397" i="45"/>
  <c r="L397" i="45"/>
  <c r="L394" i="45"/>
  <c r="P397" i="45"/>
  <c r="P394" i="45"/>
  <c r="T397" i="45"/>
  <c r="T394" i="45"/>
  <c r="G386" i="45"/>
  <c r="H387" i="45" s="1"/>
  <c r="H388" i="45" s="1"/>
  <c r="G392" i="45"/>
  <c r="H393" i="45" s="1"/>
  <c r="Q380" i="45"/>
  <c r="R381" i="45" s="1"/>
  <c r="R382" i="45" s="1"/>
  <c r="Q386" i="45"/>
  <c r="R387" i="45" s="1"/>
  <c r="H380" i="45"/>
  <c r="I381" i="45" s="1"/>
  <c r="I382" i="45" s="1"/>
  <c r="H386" i="45"/>
  <c r="I387" i="45" s="1"/>
  <c r="F380" i="45"/>
  <c r="G381" i="45" s="1"/>
  <c r="G382" i="45" s="1"/>
  <c r="F386" i="45"/>
  <c r="G387" i="45" s="1"/>
  <c r="T380" i="45"/>
  <c r="T386" i="45"/>
  <c r="P63" i="45"/>
  <c r="P386" i="45"/>
  <c r="Q387" i="45" s="1"/>
  <c r="I63" i="45"/>
  <c r="I386" i="45"/>
  <c r="J387" i="45" s="1"/>
  <c r="E380" i="45"/>
  <c r="F381" i="45" s="1"/>
  <c r="F382" i="45" s="1"/>
  <c r="E386" i="45"/>
  <c r="F387" i="45" s="1"/>
  <c r="M63" i="45"/>
  <c r="M386" i="45"/>
  <c r="N387" i="45" s="1"/>
  <c r="R380" i="45"/>
  <c r="S381" i="45" s="1"/>
  <c r="S382" i="45" s="1"/>
  <c r="R386" i="45"/>
  <c r="S387" i="45" s="1"/>
  <c r="N380" i="45"/>
  <c r="O381" i="45" s="1"/>
  <c r="O385" i="45" s="1"/>
  <c r="N386" i="45"/>
  <c r="O387" i="45" s="1"/>
  <c r="J380" i="45"/>
  <c r="K381" i="45" s="1"/>
  <c r="K385" i="45" s="1"/>
  <c r="J386" i="45"/>
  <c r="K387" i="45" s="1"/>
  <c r="L63" i="45"/>
  <c r="L386" i="45"/>
  <c r="M387" i="45" s="1"/>
  <c r="K380" i="45"/>
  <c r="L381" i="45" s="1"/>
  <c r="L385" i="45" s="1"/>
  <c r="K386" i="45"/>
  <c r="L387" i="45" s="1"/>
  <c r="O63" i="45"/>
  <c r="O386" i="45"/>
  <c r="P387" i="45" s="1"/>
  <c r="S380" i="45"/>
  <c r="T381" i="45" s="1"/>
  <c r="T385" i="45" s="1"/>
  <c r="S386" i="45"/>
  <c r="T387" i="45" s="1"/>
  <c r="O10" i="48"/>
  <c r="D53" i="57" s="1"/>
  <c r="E8" i="45"/>
  <c r="E15" i="45"/>
  <c r="E140" i="45"/>
  <c r="E141" i="45" s="1"/>
  <c r="E145" i="45" s="1"/>
  <c r="E16" i="45"/>
  <c r="J63" i="45"/>
  <c r="S374" i="45"/>
  <c r="E166" i="45"/>
  <c r="E167" i="45" s="1"/>
  <c r="E171" i="45" s="1"/>
  <c r="F56" i="45"/>
  <c r="G374" i="45"/>
  <c r="E63" i="45"/>
  <c r="O380" i="45"/>
  <c r="P381" i="45" s="1"/>
  <c r="P385" i="45" s="1"/>
  <c r="E53" i="45"/>
  <c r="K56" i="45"/>
  <c r="E18" i="45"/>
  <c r="G431" i="45"/>
  <c r="H434" i="45" s="1"/>
  <c r="R439" i="45"/>
  <c r="M374" i="45"/>
  <c r="S438" i="45"/>
  <c r="O374" i="45"/>
  <c r="E12" i="45"/>
  <c r="K63" i="45"/>
  <c r="N56" i="45"/>
  <c r="G62" i="45"/>
  <c r="L380" i="45"/>
  <c r="M381" i="45" s="1"/>
  <c r="M385" i="45" s="1"/>
  <c r="F16" i="45"/>
  <c r="G63" i="45"/>
  <c r="K439" i="45"/>
  <c r="F140" i="45"/>
  <c r="F141" i="45" s="1"/>
  <c r="L431" i="45"/>
  <c r="M434" i="45" s="1"/>
  <c r="J439" i="45"/>
  <c r="E61" i="45"/>
  <c r="I62" i="45"/>
  <c r="P380" i="45"/>
  <c r="Q381" i="45" s="1"/>
  <c r="Q382" i="45" s="1"/>
  <c r="I431" i="45"/>
  <c r="J434" i="45" s="1"/>
  <c r="F62" i="45"/>
  <c r="E441" i="45"/>
  <c r="F12" i="45"/>
  <c r="I56" i="45"/>
  <c r="N439" i="45"/>
  <c r="O439" i="45"/>
  <c r="H62" i="45"/>
  <c r="M431" i="45"/>
  <c r="N434" i="45" s="1"/>
  <c r="J374" i="45"/>
  <c r="G380" i="45"/>
  <c r="H381" i="45" s="1"/>
  <c r="G56" i="45"/>
  <c r="L56" i="45"/>
  <c r="Q434" i="45"/>
  <c r="Q374" i="45"/>
  <c r="E14" i="45"/>
  <c r="T439" i="45"/>
  <c r="S439" i="45"/>
  <c r="N7" i="45"/>
  <c r="G435" i="45"/>
  <c r="H438" i="45" s="1"/>
  <c r="E122" i="45"/>
  <c r="E123" i="45" s="1"/>
  <c r="E127" i="45" s="1"/>
  <c r="E62" i="45"/>
  <c r="T63" i="45"/>
  <c r="F63" i="45"/>
  <c r="I380" i="45"/>
  <c r="J381" i="45" s="1"/>
  <c r="J382" i="45" s="1"/>
  <c r="H7" i="45"/>
  <c r="H63" i="45"/>
  <c r="R63" i="45"/>
  <c r="H56" i="45"/>
  <c r="K374" i="45"/>
  <c r="P374" i="45"/>
  <c r="H439" i="45"/>
  <c r="F431" i="45"/>
  <c r="O7" i="45"/>
  <c r="M88" i="45"/>
  <c r="S63" i="45"/>
  <c r="L374" i="45"/>
  <c r="Q56" i="45"/>
  <c r="E66" i="45"/>
  <c r="N63" i="45"/>
  <c r="K88" i="45"/>
  <c r="Q7" i="45"/>
  <c r="E17" i="45"/>
  <c r="R88" i="45"/>
  <c r="N374" i="45"/>
  <c r="E96" i="45"/>
  <c r="E9" i="45"/>
  <c r="P56" i="45"/>
  <c r="T56" i="45"/>
  <c r="R56" i="45"/>
  <c r="Q63" i="45"/>
  <c r="O56" i="45"/>
  <c r="M380" i="45"/>
  <c r="N381" i="45" s="1"/>
  <c r="N385" i="45" s="1"/>
  <c r="T374" i="45"/>
  <c r="R62" i="45"/>
  <c r="N62" i="45"/>
  <c r="O23" i="48"/>
  <c r="E79" i="45"/>
  <c r="N6" i="48"/>
  <c r="C5" i="57" s="1"/>
  <c r="E181" i="45"/>
  <c r="E376" i="45"/>
  <c r="E379" i="45"/>
  <c r="F375" i="45"/>
  <c r="E439" i="45"/>
  <c r="F438" i="45"/>
  <c r="K4" i="45"/>
  <c r="P439" i="45"/>
  <c r="J375" i="45"/>
  <c r="S375" i="45"/>
  <c r="Q439" i="45"/>
  <c r="I375" i="45"/>
  <c r="AG54" i="48" l="1"/>
  <c r="AI54" i="48" s="1"/>
  <c r="D48" i="57"/>
  <c r="AG10" i="48"/>
  <c r="AI10" i="48" s="1"/>
  <c r="L4" i="65"/>
  <c r="AI49" i="48"/>
  <c r="C3" i="65"/>
  <c r="C21" i="65" s="1"/>
  <c r="AB6" i="48"/>
  <c r="D45" i="65"/>
  <c r="AC73" i="48"/>
  <c r="AJ73" i="48" s="1"/>
  <c r="AK73" i="48" s="1"/>
  <c r="AK21" i="48"/>
  <c r="D20" i="65"/>
  <c r="AC23" i="48"/>
  <c r="AJ23" i="48" s="1"/>
  <c r="AK23" i="48" s="1"/>
  <c r="D7" i="65"/>
  <c r="I6" i="65" s="1"/>
  <c r="AC10" i="48"/>
  <c r="D46" i="65"/>
  <c r="AC74" i="48"/>
  <c r="AJ74" i="48" s="1"/>
  <c r="AK74" i="48" s="1"/>
  <c r="F94" i="45"/>
  <c r="F371" i="45"/>
  <c r="F372" i="45" s="1"/>
  <c r="F404" i="45"/>
  <c r="G405" i="45" s="1"/>
  <c r="F67" i="45"/>
  <c r="G408" i="45"/>
  <c r="G404" i="45"/>
  <c r="H405" i="45" s="1"/>
  <c r="G67" i="45"/>
  <c r="Q14" i="43"/>
  <c r="AU14" i="43" s="1"/>
  <c r="Q9" i="43"/>
  <c r="F90" i="45" s="1"/>
  <c r="F91" i="45" s="1"/>
  <c r="F145" i="45"/>
  <c r="Q19" i="43"/>
  <c r="F19" i="45" s="1"/>
  <c r="F96" i="45"/>
  <c r="F97" i="45" s="1"/>
  <c r="F101" i="45" s="1"/>
  <c r="F154" i="45"/>
  <c r="F155" i="45" s="1"/>
  <c r="AU18" i="43"/>
  <c r="R18" i="43" s="1"/>
  <c r="G154" i="45" s="1"/>
  <c r="G155" i="45" s="1"/>
  <c r="F122" i="45"/>
  <c r="F123" i="45" s="1"/>
  <c r="F416" i="45"/>
  <c r="G417" i="45" s="1"/>
  <c r="E8" i="60"/>
  <c r="AU70" i="43"/>
  <c r="G420" i="45" s="1"/>
  <c r="F250" i="45"/>
  <c r="G213" i="45"/>
  <c r="F170" i="45"/>
  <c r="F17" i="45"/>
  <c r="E5" i="60"/>
  <c r="AU10" i="43"/>
  <c r="G100" i="45" s="1"/>
  <c r="G126" i="45"/>
  <c r="R13" i="43"/>
  <c r="AV13" i="43" s="1"/>
  <c r="H126" i="45" s="1"/>
  <c r="G402" i="45"/>
  <c r="R67" i="43"/>
  <c r="AV67" i="43" s="1"/>
  <c r="F13" i="45"/>
  <c r="F66" i="45"/>
  <c r="F398" i="45"/>
  <c r="G399" i="45" s="1"/>
  <c r="F126" i="45"/>
  <c r="E7" i="60"/>
  <c r="Q62" i="43"/>
  <c r="F61" i="45" s="1"/>
  <c r="F152" i="45"/>
  <c r="Q11" i="43"/>
  <c r="AU11" i="43" s="1"/>
  <c r="Q15" i="43"/>
  <c r="F134" i="45" s="1"/>
  <c r="F135" i="45" s="1"/>
  <c r="F139" i="45" s="1"/>
  <c r="C34" i="47"/>
  <c r="E25" i="60"/>
  <c r="C44" i="47"/>
  <c r="F114" i="45"/>
  <c r="F158" i="45"/>
  <c r="F81" i="45"/>
  <c r="F53" i="45"/>
  <c r="R12" i="43"/>
  <c r="G120" i="45"/>
  <c r="AU17" i="43"/>
  <c r="F215" i="45"/>
  <c r="G216" i="45" s="1"/>
  <c r="F22" i="45"/>
  <c r="R16" i="43"/>
  <c r="G144" i="45"/>
  <c r="AV29" i="43"/>
  <c r="E147" i="45"/>
  <c r="E146" i="45" s="1"/>
  <c r="E108" i="45" s="1"/>
  <c r="Q69" i="43"/>
  <c r="F414" i="45"/>
  <c r="F415" i="45" s="1"/>
  <c r="E15" i="60"/>
  <c r="AU21" i="43"/>
  <c r="F166" i="45"/>
  <c r="F167" i="45" s="1"/>
  <c r="F274" i="45"/>
  <c r="F275" i="45" s="1"/>
  <c r="Q40" i="43"/>
  <c r="F207" i="45"/>
  <c r="F208" i="45" s="1"/>
  <c r="Q28" i="43"/>
  <c r="AU54" i="43"/>
  <c r="F54" i="45"/>
  <c r="F365" i="45"/>
  <c r="F366" i="45" s="1"/>
  <c r="Q61" i="43"/>
  <c r="E12" i="60"/>
  <c r="Q38" i="43"/>
  <c r="F330" i="45"/>
  <c r="AU53" i="43"/>
  <c r="F245" i="45"/>
  <c r="G246" i="45" s="1"/>
  <c r="F41" i="45"/>
  <c r="AU37" i="43"/>
  <c r="S68" i="43"/>
  <c r="H408" i="45"/>
  <c r="F369" i="45"/>
  <c r="F34" i="45"/>
  <c r="AU30" i="43"/>
  <c r="P77" i="48"/>
  <c r="P76" i="48"/>
  <c r="P57" i="48"/>
  <c r="F44" i="57" s="1"/>
  <c r="P68" i="48"/>
  <c r="P65" i="48"/>
  <c r="F40" i="57" s="1"/>
  <c r="P66" i="48"/>
  <c r="F27" i="57" s="1"/>
  <c r="P67" i="48"/>
  <c r="F45" i="57" s="1"/>
  <c r="U23" i="48"/>
  <c r="U74" i="48"/>
  <c r="G379" i="45"/>
  <c r="E373" i="45"/>
  <c r="P375" i="45"/>
  <c r="P379" i="45" s="1"/>
  <c r="R375" i="45"/>
  <c r="R379" i="45" s="1"/>
  <c r="N375" i="45"/>
  <c r="N379" i="45" s="1"/>
  <c r="H375" i="45"/>
  <c r="H376" i="45" s="1"/>
  <c r="Q375" i="45"/>
  <c r="Q379" i="45" s="1"/>
  <c r="L375" i="45"/>
  <c r="L376" i="45" s="1"/>
  <c r="U73" i="48"/>
  <c r="T6" i="48"/>
  <c r="U10" i="48"/>
  <c r="N24" i="48"/>
  <c r="H391" i="45"/>
  <c r="I385" i="45"/>
  <c r="O382" i="45"/>
  <c r="T382" i="45"/>
  <c r="L382" i="45"/>
  <c r="S385" i="45"/>
  <c r="R385" i="45"/>
  <c r="K382" i="45"/>
  <c r="F385" i="45"/>
  <c r="G385" i="45"/>
  <c r="H397" i="45"/>
  <c r="H394" i="45"/>
  <c r="P391" i="45"/>
  <c r="P388" i="45"/>
  <c r="M388" i="45"/>
  <c r="M391" i="45"/>
  <c r="O388" i="45"/>
  <c r="O391" i="45"/>
  <c r="N388" i="45"/>
  <c r="N391" i="45"/>
  <c r="J391" i="45"/>
  <c r="J388" i="45"/>
  <c r="I388" i="45"/>
  <c r="I391" i="45"/>
  <c r="T391" i="45"/>
  <c r="T388" i="45"/>
  <c r="L391" i="45"/>
  <c r="L388" i="45"/>
  <c r="K388" i="45"/>
  <c r="K391" i="45"/>
  <c r="S388" i="45"/>
  <c r="S391" i="45"/>
  <c r="F388" i="45"/>
  <c r="F391" i="45"/>
  <c r="Q388" i="45"/>
  <c r="Q391" i="45"/>
  <c r="G388" i="45"/>
  <c r="G391" i="45"/>
  <c r="R391" i="45"/>
  <c r="R388" i="45"/>
  <c r="O68" i="48"/>
  <c r="O67" i="48"/>
  <c r="D45" i="57" s="1"/>
  <c r="O76" i="48"/>
  <c r="O57" i="48"/>
  <c r="D44" i="57" s="1"/>
  <c r="O65" i="48"/>
  <c r="D40" i="57" s="1"/>
  <c r="O66" i="48"/>
  <c r="D27" i="57" s="1"/>
  <c r="E6" i="45"/>
  <c r="T375" i="45"/>
  <c r="T376" i="45" s="1"/>
  <c r="N88" i="45"/>
  <c r="P382" i="45"/>
  <c r="O77" i="48"/>
  <c r="D76" i="65" s="1"/>
  <c r="E76" i="65" s="1"/>
  <c r="N382" i="45"/>
  <c r="M382" i="45"/>
  <c r="L439" i="45"/>
  <c r="L88" i="45"/>
  <c r="I439" i="45"/>
  <c r="M439" i="45"/>
  <c r="K375" i="45"/>
  <c r="K379" i="45" s="1"/>
  <c r="F6" i="45"/>
  <c r="G439" i="45"/>
  <c r="P7" i="45"/>
  <c r="Q385" i="45"/>
  <c r="O375" i="45"/>
  <c r="O379" i="45" s="1"/>
  <c r="J7" i="45"/>
  <c r="P88" i="45"/>
  <c r="H88" i="45"/>
  <c r="K7" i="45"/>
  <c r="J88" i="45"/>
  <c r="J385" i="45"/>
  <c r="Q88" i="45"/>
  <c r="M375" i="45"/>
  <c r="M376" i="45" s="1"/>
  <c r="O88" i="45"/>
  <c r="R7" i="45"/>
  <c r="L7" i="45"/>
  <c r="I7" i="45"/>
  <c r="G434" i="45"/>
  <c r="F439" i="45"/>
  <c r="M7" i="45"/>
  <c r="I88" i="45"/>
  <c r="F149" i="45"/>
  <c r="G6" i="45"/>
  <c r="E97" i="45"/>
  <c r="E101" i="45" s="1"/>
  <c r="E89" i="45"/>
  <c r="F379" i="45"/>
  <c r="F376" i="45"/>
  <c r="I376" i="45"/>
  <c r="I379" i="45"/>
  <c r="S379" i="45"/>
  <c r="S376" i="45"/>
  <c r="J376" i="45"/>
  <c r="J379" i="45"/>
  <c r="H385" i="45"/>
  <c r="H382" i="45"/>
  <c r="H6" i="45"/>
  <c r="L4" i="45"/>
  <c r="AH10" i="48" l="1"/>
  <c r="AJ10" i="48" s="1"/>
  <c r="AK10" i="48" s="1"/>
  <c r="F58" i="57"/>
  <c r="D58" i="57"/>
  <c r="D59" i="57"/>
  <c r="F59" i="57"/>
  <c r="T24" i="48"/>
  <c r="AB24" i="48"/>
  <c r="D39" i="65"/>
  <c r="AC67" i="48"/>
  <c r="AJ67" i="48" s="1"/>
  <c r="AK67" i="48" s="1"/>
  <c r="D77" i="65"/>
  <c r="E77" i="65" s="1"/>
  <c r="AC77" i="48"/>
  <c r="AJ77" i="48" s="1"/>
  <c r="AK77" i="48" s="1"/>
  <c r="D37" i="65"/>
  <c r="AC65" i="48"/>
  <c r="AJ65" i="48" s="1"/>
  <c r="AK65" i="48" s="1"/>
  <c r="D40" i="65"/>
  <c r="AC68" i="48"/>
  <c r="AJ68" i="48" s="1"/>
  <c r="AK68" i="48" s="1"/>
  <c r="AD67" i="48"/>
  <c r="V65" i="48"/>
  <c r="AD65" i="48"/>
  <c r="AD76" i="48"/>
  <c r="D38" i="65"/>
  <c r="AC66" i="48"/>
  <c r="AJ66" i="48" s="1"/>
  <c r="AK66" i="48" s="1"/>
  <c r="D75" i="65"/>
  <c r="AC76" i="48"/>
  <c r="AJ76" i="48" s="1"/>
  <c r="AK76" i="48" s="1"/>
  <c r="V68" i="48"/>
  <c r="AD68" i="48"/>
  <c r="AD77" i="48"/>
  <c r="D34" i="65"/>
  <c r="AC57" i="48"/>
  <c r="AJ57" i="48" s="1"/>
  <c r="AK57" i="48" s="1"/>
  <c r="V66" i="48"/>
  <c r="AD66" i="48"/>
  <c r="V57" i="48"/>
  <c r="AD57" i="48"/>
  <c r="F95" i="45"/>
  <c r="S67" i="43"/>
  <c r="H66" i="45" s="1"/>
  <c r="G403" i="45"/>
  <c r="G409" i="45"/>
  <c r="F128" i="45"/>
  <c r="F129" i="45" s="1"/>
  <c r="F133" i="45" s="1"/>
  <c r="F14" i="45"/>
  <c r="F8" i="45"/>
  <c r="AU9" i="43"/>
  <c r="H409" i="45"/>
  <c r="F171" i="45"/>
  <c r="AU19" i="43"/>
  <c r="F8" i="60" s="1"/>
  <c r="F160" i="45"/>
  <c r="F161" i="45" s="1"/>
  <c r="F165" i="45" s="1"/>
  <c r="G13" i="45"/>
  <c r="AU62" i="43"/>
  <c r="AV18" i="43"/>
  <c r="S18" i="43" s="1"/>
  <c r="H18" i="45" s="1"/>
  <c r="F127" i="45"/>
  <c r="F147" i="45"/>
  <c r="F15" i="45"/>
  <c r="F159" i="45"/>
  <c r="G18" i="45"/>
  <c r="F367" i="45"/>
  <c r="G368" i="45" s="1"/>
  <c r="G369" i="45" s="1"/>
  <c r="G158" i="45"/>
  <c r="G159" i="45" s="1"/>
  <c r="G122" i="45"/>
  <c r="G123" i="45" s="1"/>
  <c r="G127" i="45" s="1"/>
  <c r="G421" i="45"/>
  <c r="F110" i="45"/>
  <c r="F111" i="45" s="1"/>
  <c r="F115" i="45" s="1"/>
  <c r="G66" i="45"/>
  <c r="F11" i="45"/>
  <c r="AU15" i="43"/>
  <c r="G138" i="45" s="1"/>
  <c r="R10" i="43"/>
  <c r="G96" i="45" s="1"/>
  <c r="G97" i="45" s="1"/>
  <c r="G101" i="45" s="1"/>
  <c r="F89" i="45"/>
  <c r="G398" i="45"/>
  <c r="H399" i="45" s="1"/>
  <c r="H402" i="45"/>
  <c r="R70" i="43"/>
  <c r="AV70" i="43" s="1"/>
  <c r="H420" i="45" s="1"/>
  <c r="F153" i="45"/>
  <c r="S13" i="43"/>
  <c r="AW13" i="43" s="1"/>
  <c r="F373" i="45"/>
  <c r="H213" i="45"/>
  <c r="S29" i="43"/>
  <c r="AW29" i="43" s="1"/>
  <c r="AV16" i="43"/>
  <c r="G16" i="45"/>
  <c r="G140" i="45"/>
  <c r="G141" i="45" s="1"/>
  <c r="G145" i="45" s="1"/>
  <c r="G152" i="45"/>
  <c r="F25" i="60"/>
  <c r="R17" i="43"/>
  <c r="AV12" i="43"/>
  <c r="G12" i="45"/>
  <c r="G116" i="45"/>
  <c r="G117" i="45" s="1"/>
  <c r="G121" i="45" s="1"/>
  <c r="R11" i="43"/>
  <c r="G114" i="45"/>
  <c r="AU61" i="43"/>
  <c r="F361" i="45"/>
  <c r="F60" i="45"/>
  <c r="AU28" i="43"/>
  <c r="F203" i="45"/>
  <c r="G204" i="45" s="1"/>
  <c r="F32" i="45"/>
  <c r="G132" i="45"/>
  <c r="R14" i="43"/>
  <c r="G170" i="45"/>
  <c r="F5" i="60"/>
  <c r="R21" i="43"/>
  <c r="F270" i="45"/>
  <c r="G271" i="45" s="1"/>
  <c r="G272" i="45" s="1"/>
  <c r="AU40" i="43"/>
  <c r="F43" i="45"/>
  <c r="F68" i="45"/>
  <c r="AU69" i="43"/>
  <c r="F410" i="45"/>
  <c r="G411" i="45" s="1"/>
  <c r="AU38" i="43"/>
  <c r="F55" i="45"/>
  <c r="R54" i="43"/>
  <c r="G331" i="45"/>
  <c r="G332" i="45" s="1"/>
  <c r="G219" i="45"/>
  <c r="G220" i="45" s="1"/>
  <c r="R30" i="43"/>
  <c r="AW68" i="43"/>
  <c r="H404" i="45"/>
  <c r="I405" i="45" s="1"/>
  <c r="H67" i="45"/>
  <c r="R37" i="43"/>
  <c r="G249" i="45"/>
  <c r="G250" i="45" s="1"/>
  <c r="G334" i="45"/>
  <c r="R53" i="43"/>
  <c r="V67" i="48"/>
  <c r="V76" i="48"/>
  <c r="V77" i="48"/>
  <c r="U57" i="48"/>
  <c r="U68" i="48"/>
  <c r="U66" i="48"/>
  <c r="U65" i="48"/>
  <c r="U77" i="48"/>
  <c r="U76" i="48"/>
  <c r="U67" i="48"/>
  <c r="L379" i="45"/>
  <c r="R376" i="45"/>
  <c r="Q376" i="45"/>
  <c r="N376" i="45"/>
  <c r="P376" i="45"/>
  <c r="H379" i="45"/>
  <c r="T379" i="45"/>
  <c r="T6" i="45"/>
  <c r="P6" i="45"/>
  <c r="M6" i="45"/>
  <c r="J6" i="45"/>
  <c r="K6" i="45"/>
  <c r="I6" i="45"/>
  <c r="O376" i="45"/>
  <c r="M379" i="45"/>
  <c r="L6" i="45"/>
  <c r="K376" i="45"/>
  <c r="O6" i="45"/>
  <c r="S6" i="45"/>
  <c r="Q6" i="45"/>
  <c r="N6" i="45"/>
  <c r="R6" i="45"/>
  <c r="M4" i="45"/>
  <c r="AW67" i="43" l="1"/>
  <c r="T67" i="43" s="1"/>
  <c r="I10" i="65"/>
  <c r="AH26" i="48"/>
  <c r="AH58" i="48"/>
  <c r="AH27" i="48"/>
  <c r="E75" i="65"/>
  <c r="D44" i="47"/>
  <c r="H398" i="45"/>
  <c r="I399" i="45" s="1"/>
  <c r="G371" i="45"/>
  <c r="G372" i="45" s="1"/>
  <c r="R19" i="43"/>
  <c r="G160" i="45" s="1"/>
  <c r="R9" i="43"/>
  <c r="G90" i="45" s="1"/>
  <c r="G94" i="45"/>
  <c r="F146" i="45"/>
  <c r="F108" i="45" s="1"/>
  <c r="H154" i="45"/>
  <c r="H155" i="45" s="1"/>
  <c r="AW18" i="43"/>
  <c r="I158" i="45" s="1"/>
  <c r="G164" i="45"/>
  <c r="R62" i="43"/>
  <c r="AV62" i="43" s="1"/>
  <c r="H158" i="45"/>
  <c r="D34" i="47"/>
  <c r="F7" i="60"/>
  <c r="G81" i="45"/>
  <c r="R15" i="43"/>
  <c r="G15" i="45" s="1"/>
  <c r="G373" i="45"/>
  <c r="H13" i="45"/>
  <c r="S70" i="43"/>
  <c r="H69" i="45" s="1"/>
  <c r="H403" i="45"/>
  <c r="AV10" i="43"/>
  <c r="S10" i="43" s="1"/>
  <c r="G9" i="45"/>
  <c r="G416" i="45"/>
  <c r="H417" i="45" s="1"/>
  <c r="H421" i="45" s="1"/>
  <c r="G69" i="45"/>
  <c r="H122" i="45"/>
  <c r="H123" i="45" s="1"/>
  <c r="H127" i="45" s="1"/>
  <c r="I213" i="45"/>
  <c r="T29" i="43"/>
  <c r="AX29" i="43" s="1"/>
  <c r="S16" i="43"/>
  <c r="H144" i="45"/>
  <c r="AV17" i="43"/>
  <c r="G148" i="45"/>
  <c r="G17" i="45"/>
  <c r="S12" i="43"/>
  <c r="H120" i="45"/>
  <c r="R61" i="43"/>
  <c r="G365" i="45"/>
  <c r="AV54" i="43"/>
  <c r="G54" i="45"/>
  <c r="G414" i="45"/>
  <c r="G415" i="45" s="1"/>
  <c r="F15" i="60"/>
  <c r="R69" i="43"/>
  <c r="I126" i="45"/>
  <c r="T13" i="43"/>
  <c r="AV21" i="43"/>
  <c r="G22" i="45"/>
  <c r="G166" i="45"/>
  <c r="G167" i="45" s="1"/>
  <c r="G171" i="45" s="1"/>
  <c r="AV11" i="43"/>
  <c r="G110" i="45"/>
  <c r="G111" i="45" s="1"/>
  <c r="G115" i="45" s="1"/>
  <c r="G11" i="45"/>
  <c r="F12" i="60"/>
  <c r="R38" i="43"/>
  <c r="G274" i="45"/>
  <c r="G275" i="45" s="1"/>
  <c r="R40" i="43"/>
  <c r="AV14" i="43"/>
  <c r="G128" i="45"/>
  <c r="G129" i="45" s="1"/>
  <c r="G133" i="45" s="1"/>
  <c r="G14" i="45"/>
  <c r="R28" i="43"/>
  <c r="G207" i="45"/>
  <c r="G208" i="45" s="1"/>
  <c r="G362" i="45"/>
  <c r="G363" i="45" s="1"/>
  <c r="G335" i="45"/>
  <c r="G53" i="45"/>
  <c r="AV53" i="43"/>
  <c r="G330" i="45"/>
  <c r="AV37" i="43"/>
  <c r="G41" i="45"/>
  <c r="G245" i="45"/>
  <c r="H246" i="45" s="1"/>
  <c r="G34" i="45"/>
  <c r="AV30" i="43"/>
  <c r="I408" i="45"/>
  <c r="I409" i="45" s="1"/>
  <c r="T68" i="43"/>
  <c r="N4" i="45"/>
  <c r="I402" i="45" l="1"/>
  <c r="H373" i="45"/>
  <c r="G61" i="45"/>
  <c r="AV19" i="43"/>
  <c r="H164" i="45" s="1"/>
  <c r="G19" i="45"/>
  <c r="AV9" i="43"/>
  <c r="G8" i="45"/>
  <c r="G367" i="45"/>
  <c r="H368" i="45" s="1"/>
  <c r="H369" i="45" s="1"/>
  <c r="H159" i="45"/>
  <c r="AW70" i="43"/>
  <c r="I420" i="45" s="1"/>
  <c r="AV15" i="43"/>
  <c r="S15" i="43" s="1"/>
  <c r="T18" i="43"/>
  <c r="I18" i="45" s="1"/>
  <c r="G134" i="45"/>
  <c r="G135" i="45" s="1"/>
  <c r="G139" i="45" s="1"/>
  <c r="H100" i="45"/>
  <c r="H416" i="45"/>
  <c r="I417" i="45" s="1"/>
  <c r="J213" i="45"/>
  <c r="U29" i="43"/>
  <c r="AY29" i="43" s="1"/>
  <c r="V29" i="43" s="1"/>
  <c r="AZ29" i="43" s="1"/>
  <c r="AW12" i="43"/>
  <c r="H116" i="45"/>
  <c r="H117" i="45" s="1"/>
  <c r="H121" i="45" s="1"/>
  <c r="H12" i="45"/>
  <c r="S17" i="43"/>
  <c r="H152" i="45"/>
  <c r="G25" i="60"/>
  <c r="AW10" i="43"/>
  <c r="H9" i="45"/>
  <c r="H96" i="45"/>
  <c r="H97" i="45" s="1"/>
  <c r="G149" i="45"/>
  <c r="G153" i="45" s="1"/>
  <c r="G147" i="45"/>
  <c r="G146" i="45" s="1"/>
  <c r="AW16" i="43"/>
  <c r="H140" i="45"/>
  <c r="H141" i="45" s="1"/>
  <c r="H145" i="45" s="1"/>
  <c r="H16" i="45"/>
  <c r="S14" i="43"/>
  <c r="H132" i="45"/>
  <c r="G60" i="45"/>
  <c r="AV61" i="43"/>
  <c r="G361" i="45"/>
  <c r="H362" i="45" s="1"/>
  <c r="H363" i="45" s="1"/>
  <c r="AV28" i="43"/>
  <c r="G203" i="45"/>
  <c r="H204" i="45" s="1"/>
  <c r="G32" i="45"/>
  <c r="G43" i="45"/>
  <c r="G270" i="45"/>
  <c r="H271" i="45" s="1"/>
  <c r="H272" i="45" s="1"/>
  <c r="AV40" i="43"/>
  <c r="G161" i="45"/>
  <c r="G165" i="45" s="1"/>
  <c r="H114" i="45"/>
  <c r="S11" i="43"/>
  <c r="S21" i="43"/>
  <c r="H170" i="45"/>
  <c r="G5" i="60"/>
  <c r="G91" i="45"/>
  <c r="G95" i="45" s="1"/>
  <c r="G89" i="45"/>
  <c r="S54" i="43"/>
  <c r="AV38" i="43"/>
  <c r="G55" i="45"/>
  <c r="AX13" i="43"/>
  <c r="I122" i="45"/>
  <c r="I123" i="45" s="1"/>
  <c r="I127" i="45" s="1"/>
  <c r="I13" i="45"/>
  <c r="G410" i="45"/>
  <c r="H411" i="45" s="1"/>
  <c r="G68" i="45"/>
  <c r="AV69" i="43"/>
  <c r="G366" i="45"/>
  <c r="I403" i="45"/>
  <c r="AX67" i="43"/>
  <c r="I398" i="45"/>
  <c r="I66" i="45"/>
  <c r="AX68" i="43"/>
  <c r="I67" i="45"/>
  <c r="I404" i="45"/>
  <c r="J405" i="45" s="1"/>
  <c r="H371" i="45"/>
  <c r="S62" i="43"/>
  <c r="S37" i="43"/>
  <c r="H249" i="45"/>
  <c r="H250" i="45" s="1"/>
  <c r="H331" i="45"/>
  <c r="H332" i="45" s="1"/>
  <c r="H334" i="45"/>
  <c r="S53" i="43"/>
  <c r="H219" i="45"/>
  <c r="S30" i="43"/>
  <c r="O4" i="45"/>
  <c r="S9" i="43" l="1"/>
  <c r="H90" i="45" s="1"/>
  <c r="S19" i="43"/>
  <c r="AW19" i="43" s="1"/>
  <c r="G8" i="60"/>
  <c r="H94" i="45"/>
  <c r="T70" i="43"/>
  <c r="I69" i="45" s="1"/>
  <c r="H372" i="45"/>
  <c r="I154" i="45"/>
  <c r="I155" i="45" s="1"/>
  <c r="I159" i="45" s="1"/>
  <c r="H81" i="45"/>
  <c r="G7" i="60"/>
  <c r="H138" i="45"/>
  <c r="AX18" i="43"/>
  <c r="U18" i="43" s="1"/>
  <c r="G108" i="45"/>
  <c r="H101" i="45"/>
  <c r="I421" i="45"/>
  <c r="L213" i="45"/>
  <c r="K213" i="45"/>
  <c r="W29" i="43"/>
  <c r="BA29" i="43" s="1"/>
  <c r="M213" i="45" s="1"/>
  <c r="I100" i="45"/>
  <c r="T10" i="43"/>
  <c r="T16" i="43"/>
  <c r="I144" i="45"/>
  <c r="H148" i="45"/>
  <c r="AW17" i="43"/>
  <c r="H17" i="45"/>
  <c r="T12" i="43"/>
  <c r="I120" i="45"/>
  <c r="AW15" i="43"/>
  <c r="H15" i="45"/>
  <c r="H134" i="45"/>
  <c r="H135" i="45" s="1"/>
  <c r="AW54" i="43"/>
  <c r="H54" i="45"/>
  <c r="H207" i="45"/>
  <c r="H208" i="45" s="1"/>
  <c r="S28" i="43"/>
  <c r="H414" i="45"/>
  <c r="H415" i="45" s="1"/>
  <c r="G15" i="60"/>
  <c r="S69" i="43"/>
  <c r="AW14" i="43"/>
  <c r="H14" i="45"/>
  <c r="H128" i="45"/>
  <c r="H129" i="45" s="1"/>
  <c r="H133" i="45" s="1"/>
  <c r="J126" i="45"/>
  <c r="U13" i="43"/>
  <c r="AW21" i="43"/>
  <c r="H166" i="45"/>
  <c r="H167" i="45" s="1"/>
  <c r="H171" i="45" s="1"/>
  <c r="H22" i="45"/>
  <c r="S61" i="43"/>
  <c r="H365" i="45"/>
  <c r="H366" i="45" s="1"/>
  <c r="G12" i="60"/>
  <c r="S38" i="43"/>
  <c r="AW11" i="43"/>
  <c r="H110" i="45"/>
  <c r="H111" i="45" s="1"/>
  <c r="H115" i="45" s="1"/>
  <c r="H11" i="45"/>
  <c r="S40" i="43"/>
  <c r="H274" i="45"/>
  <c r="H275" i="45" s="1"/>
  <c r="H335" i="45"/>
  <c r="H245" i="45"/>
  <c r="I246" i="45" s="1"/>
  <c r="H41" i="45"/>
  <c r="AW37" i="43"/>
  <c r="J399" i="45"/>
  <c r="I373" i="45"/>
  <c r="H215" i="45"/>
  <c r="I216" i="45" s="1"/>
  <c r="AW30" i="43"/>
  <c r="H34" i="45"/>
  <c r="H367" i="45"/>
  <c r="I368" i="45" s="1"/>
  <c r="I369" i="45" s="1"/>
  <c r="H61" i="45"/>
  <c r="AW62" i="43"/>
  <c r="U67" i="43"/>
  <c r="J402" i="45"/>
  <c r="U68" i="43"/>
  <c r="J408" i="45"/>
  <c r="J409" i="45" s="1"/>
  <c r="AW53" i="43"/>
  <c r="H53" i="45"/>
  <c r="H330" i="45"/>
  <c r="I11" i="48"/>
  <c r="P4" i="45"/>
  <c r="AW9" i="43" l="1"/>
  <c r="I94" i="45" s="1"/>
  <c r="H8" i="45"/>
  <c r="H160" i="45"/>
  <c r="H161" i="45" s="1"/>
  <c r="H165" i="45" s="1"/>
  <c r="H19" i="45"/>
  <c r="H139" i="45"/>
  <c r="I416" i="45"/>
  <c r="J417" i="45" s="1"/>
  <c r="J158" i="45"/>
  <c r="AX70" i="43"/>
  <c r="U70" i="43" s="1"/>
  <c r="X29" i="43"/>
  <c r="BB29" i="43" s="1"/>
  <c r="T17" i="43"/>
  <c r="H25" i="60"/>
  <c r="I152" i="45"/>
  <c r="H149" i="45"/>
  <c r="H153" i="45" s="1"/>
  <c r="H147" i="45"/>
  <c r="AX12" i="43"/>
  <c r="I12" i="45"/>
  <c r="I116" i="45"/>
  <c r="I117" i="45" s="1"/>
  <c r="I121" i="45" s="1"/>
  <c r="AX16" i="43"/>
  <c r="I140" i="45"/>
  <c r="I141" i="45" s="1"/>
  <c r="I145" i="45" s="1"/>
  <c r="I16" i="45"/>
  <c r="AX10" i="43"/>
  <c r="I9" i="45"/>
  <c r="I96" i="45"/>
  <c r="I97" i="45" s="1"/>
  <c r="I101" i="45" s="1"/>
  <c r="I138" i="45"/>
  <c r="T15" i="43"/>
  <c r="T19" i="43"/>
  <c r="I164" i="45"/>
  <c r="H8" i="60"/>
  <c r="I170" i="45"/>
  <c r="H5" i="60"/>
  <c r="T21" i="43"/>
  <c r="H91" i="45"/>
  <c r="H95" i="45" s="1"/>
  <c r="H89" i="45"/>
  <c r="T11" i="43"/>
  <c r="I114" i="45"/>
  <c r="H7" i="60"/>
  <c r="H55" i="45"/>
  <c r="AW38" i="43"/>
  <c r="H361" i="45"/>
  <c r="I362" i="45" s="1"/>
  <c r="I363" i="45" s="1"/>
  <c r="H60" i="45"/>
  <c r="AW61" i="43"/>
  <c r="AW28" i="43"/>
  <c r="H203" i="45"/>
  <c r="I204" i="45" s="1"/>
  <c r="H32" i="45"/>
  <c r="H270" i="45"/>
  <c r="I271" i="45" s="1"/>
  <c r="AW40" i="43"/>
  <c r="H43" i="45"/>
  <c r="AY18" i="43"/>
  <c r="J154" i="45"/>
  <c r="J155" i="45" s="1"/>
  <c r="J18" i="45"/>
  <c r="T14" i="43"/>
  <c r="I132" i="45"/>
  <c r="T54" i="43"/>
  <c r="H410" i="45"/>
  <c r="I411" i="45" s="1"/>
  <c r="H68" i="45"/>
  <c r="AW69" i="43"/>
  <c r="J13" i="45"/>
  <c r="AY13" i="43"/>
  <c r="J122" i="45"/>
  <c r="J123" i="45" s="1"/>
  <c r="J127" i="45" s="1"/>
  <c r="I331" i="45"/>
  <c r="I332" i="45" s="1"/>
  <c r="I249" i="45"/>
  <c r="I250" i="45" s="1"/>
  <c r="T37" i="43"/>
  <c r="AY68" i="43"/>
  <c r="J404" i="45"/>
  <c r="K405" i="45" s="1"/>
  <c r="J67" i="45"/>
  <c r="I334" i="45"/>
  <c r="T53" i="43"/>
  <c r="AY67" i="43"/>
  <c r="J398" i="45"/>
  <c r="J66" i="45"/>
  <c r="J403" i="45"/>
  <c r="I371" i="45"/>
  <c r="I372" i="45" s="1"/>
  <c r="T62" i="43"/>
  <c r="I219" i="45"/>
  <c r="I220" i="45" s="1"/>
  <c r="T30" i="43"/>
  <c r="Q4" i="45"/>
  <c r="T9" i="43" l="1"/>
  <c r="AX9" i="43" s="1"/>
  <c r="I81" i="45"/>
  <c r="H146" i="45"/>
  <c r="H108" i="45" s="1"/>
  <c r="J159" i="45"/>
  <c r="J420" i="45"/>
  <c r="J421" i="45" s="1"/>
  <c r="J416" i="45"/>
  <c r="K417" i="45" s="1"/>
  <c r="J69" i="45"/>
  <c r="AY70" i="43"/>
  <c r="J100" i="45"/>
  <c r="U10" i="43"/>
  <c r="I17" i="45"/>
  <c r="AX17" i="43"/>
  <c r="I148" i="45"/>
  <c r="N213" i="45"/>
  <c r="Y29" i="43"/>
  <c r="BC29" i="43" s="1"/>
  <c r="U16" i="43"/>
  <c r="J144" i="45"/>
  <c r="U12" i="43"/>
  <c r="J120" i="45"/>
  <c r="I335" i="45"/>
  <c r="I134" i="45"/>
  <c r="I135" i="45" s="1"/>
  <c r="I139" i="45" s="1"/>
  <c r="AX15" i="43"/>
  <c r="I15" i="45"/>
  <c r="T28" i="43"/>
  <c r="I207" i="45"/>
  <c r="I208" i="45" s="1"/>
  <c r="AX11" i="43"/>
  <c r="I110" i="45"/>
  <c r="I111" i="45" s="1"/>
  <c r="I115" i="45" s="1"/>
  <c r="I11" i="45"/>
  <c r="K126" i="45"/>
  <c r="V13" i="43"/>
  <c r="AX14" i="43"/>
  <c r="I128" i="45"/>
  <c r="I129" i="45" s="1"/>
  <c r="I133" i="45" s="1"/>
  <c r="I14" i="45"/>
  <c r="AX54" i="43"/>
  <c r="I54" i="45"/>
  <c r="I274" i="45"/>
  <c r="I275" i="45" s="1"/>
  <c r="T40" i="43"/>
  <c r="I414" i="45"/>
  <c r="I415" i="45" s="1"/>
  <c r="H15" i="60"/>
  <c r="T69" i="43"/>
  <c r="T61" i="43"/>
  <c r="I365" i="45"/>
  <c r="I366" i="45" s="1"/>
  <c r="AX21" i="43"/>
  <c r="I22" i="45"/>
  <c r="I166" i="45"/>
  <c r="I167" i="45" s="1"/>
  <c r="I171" i="45" s="1"/>
  <c r="K158" i="45"/>
  <c r="V18" i="43"/>
  <c r="I272" i="45"/>
  <c r="H12" i="60"/>
  <c r="T38" i="43"/>
  <c r="AX19" i="43"/>
  <c r="I19" i="45"/>
  <c r="I160" i="45"/>
  <c r="I34" i="45"/>
  <c r="I215" i="45"/>
  <c r="J216" i="45" s="1"/>
  <c r="AX30" i="43"/>
  <c r="K402" i="45"/>
  <c r="V67" i="43"/>
  <c r="I245" i="45"/>
  <c r="J246" i="45" s="1"/>
  <c r="I41" i="45"/>
  <c r="AX37" i="43"/>
  <c r="I53" i="45"/>
  <c r="AX53" i="43"/>
  <c r="I330" i="45"/>
  <c r="I61" i="45"/>
  <c r="I367" i="45"/>
  <c r="J368" i="45" s="1"/>
  <c r="J369" i="45" s="1"/>
  <c r="AX62" i="43"/>
  <c r="K399" i="45"/>
  <c r="J373" i="45"/>
  <c r="V68" i="43"/>
  <c r="K408" i="45"/>
  <c r="K409" i="45" s="1"/>
  <c r="R4" i="45"/>
  <c r="I8" i="45" l="1"/>
  <c r="I90" i="45"/>
  <c r="I91" i="45" s="1"/>
  <c r="I95" i="45" s="1"/>
  <c r="K420" i="45"/>
  <c r="K421" i="45" s="1"/>
  <c r="V70" i="43"/>
  <c r="Z29" i="43"/>
  <c r="BD29" i="43" s="1"/>
  <c r="O213" i="45"/>
  <c r="J96" i="45"/>
  <c r="J97" i="45" s="1"/>
  <c r="J101" i="45" s="1"/>
  <c r="AY10" i="43"/>
  <c r="J9" i="45"/>
  <c r="I149" i="45"/>
  <c r="I153" i="45" s="1"/>
  <c r="I147" i="45"/>
  <c r="I146" i="45" s="1"/>
  <c r="I108" i="45" s="1"/>
  <c r="I25" i="60"/>
  <c r="J152" i="45"/>
  <c r="U17" i="43"/>
  <c r="AY16" i="43"/>
  <c r="J140" i="45"/>
  <c r="J141" i="45" s="1"/>
  <c r="J145" i="45" s="1"/>
  <c r="J16" i="45"/>
  <c r="AY12" i="43"/>
  <c r="J116" i="45"/>
  <c r="J117" i="45" s="1"/>
  <c r="J121" i="45" s="1"/>
  <c r="J12" i="45"/>
  <c r="J138" i="45"/>
  <c r="U15" i="43"/>
  <c r="U19" i="43"/>
  <c r="J164" i="45"/>
  <c r="I8" i="60"/>
  <c r="AX38" i="43"/>
  <c r="I55" i="45"/>
  <c r="I361" i="45"/>
  <c r="J362" i="45" s="1"/>
  <c r="J363" i="45" s="1"/>
  <c r="I60" i="45"/>
  <c r="AX61" i="43"/>
  <c r="U9" i="43"/>
  <c r="J94" i="45"/>
  <c r="J81" i="45"/>
  <c r="K122" i="45"/>
  <c r="K123" i="45" s="1"/>
  <c r="K127" i="45" s="1"/>
  <c r="AZ13" i="43"/>
  <c r="K13" i="45"/>
  <c r="I161" i="45"/>
  <c r="I165" i="45" s="1"/>
  <c r="I270" i="45"/>
  <c r="J271" i="45" s="1"/>
  <c r="AX40" i="43"/>
  <c r="I43" i="45"/>
  <c r="AZ18" i="43"/>
  <c r="K154" i="45"/>
  <c r="K155" i="45" s="1"/>
  <c r="K159" i="45" s="1"/>
  <c r="K18" i="45"/>
  <c r="J170" i="45"/>
  <c r="I5" i="60"/>
  <c r="U21" i="43"/>
  <c r="I410" i="45"/>
  <c r="J411" i="45" s="1"/>
  <c r="I68" i="45"/>
  <c r="AX69" i="43"/>
  <c r="U54" i="43"/>
  <c r="AX28" i="43"/>
  <c r="I203" i="45"/>
  <c r="J204" i="45" s="1"/>
  <c r="I32" i="45"/>
  <c r="U14" i="43"/>
  <c r="J132" i="45"/>
  <c r="J114" i="45"/>
  <c r="I7" i="60"/>
  <c r="U11" i="43"/>
  <c r="K403" i="45"/>
  <c r="J331" i="45"/>
  <c r="J332" i="45" s="1"/>
  <c r="U53" i="43"/>
  <c r="J334" i="45"/>
  <c r="J219" i="45"/>
  <c r="J220" i="45" s="1"/>
  <c r="U30" i="43"/>
  <c r="U62" i="43"/>
  <c r="J371" i="45"/>
  <c r="J372" i="45" s="1"/>
  <c r="AZ68" i="43"/>
  <c r="K404" i="45"/>
  <c r="L405" i="45" s="1"/>
  <c r="K67" i="45"/>
  <c r="U37" i="43"/>
  <c r="J249" i="45"/>
  <c r="J250" i="45" s="1"/>
  <c r="AZ67" i="43"/>
  <c r="K398" i="45"/>
  <c r="K66" i="45"/>
  <c r="S4" i="45"/>
  <c r="I89" i="45" l="1"/>
  <c r="K69" i="45"/>
  <c r="K416" i="45"/>
  <c r="L417" i="45" s="1"/>
  <c r="AZ70" i="43"/>
  <c r="K100" i="45"/>
  <c r="V10" i="43"/>
  <c r="J148" i="45"/>
  <c r="J17" i="45"/>
  <c r="AY17" i="43"/>
  <c r="P213" i="45"/>
  <c r="AA29" i="43"/>
  <c r="BE29" i="43" s="1"/>
  <c r="V12" i="43"/>
  <c r="K120" i="45"/>
  <c r="V16" i="43"/>
  <c r="K144" i="45"/>
  <c r="J335" i="45"/>
  <c r="AY15" i="43"/>
  <c r="J15" i="45"/>
  <c r="J134" i="45"/>
  <c r="J135" i="45" s="1"/>
  <c r="J139" i="45" s="1"/>
  <c r="U28" i="43"/>
  <c r="J207" i="45"/>
  <c r="J208" i="45" s="1"/>
  <c r="J274" i="45"/>
  <c r="J275" i="45" s="1"/>
  <c r="U40" i="43"/>
  <c r="AY54" i="43"/>
  <c r="J54" i="45"/>
  <c r="AY21" i="43"/>
  <c r="J22" i="45"/>
  <c r="J166" i="45"/>
  <c r="J167" i="45" s="1"/>
  <c r="J171" i="45" s="1"/>
  <c r="J272" i="45"/>
  <c r="L126" i="45"/>
  <c r="W13" i="43"/>
  <c r="J365" i="45"/>
  <c r="J366" i="45" s="1"/>
  <c r="U61" i="43"/>
  <c r="I12" i="60"/>
  <c r="U38" i="43"/>
  <c r="AY11" i="43"/>
  <c r="J110" i="45"/>
  <c r="J111" i="45" s="1"/>
  <c r="J115" i="45" s="1"/>
  <c r="J11" i="45"/>
  <c r="AY14" i="43"/>
  <c r="J128" i="45"/>
  <c r="J129" i="45" s="1"/>
  <c r="J133" i="45" s="1"/>
  <c r="J14" i="45"/>
  <c r="J414" i="45"/>
  <c r="J415" i="45" s="1"/>
  <c r="I15" i="60"/>
  <c r="U69" i="43"/>
  <c r="L158" i="45"/>
  <c r="W18" i="43"/>
  <c r="AY9" i="43"/>
  <c r="J8" i="45"/>
  <c r="J90" i="45"/>
  <c r="AY19" i="43"/>
  <c r="J160" i="45"/>
  <c r="J19" i="45"/>
  <c r="W67" i="43"/>
  <c r="L402" i="45"/>
  <c r="W68" i="43"/>
  <c r="L408" i="45"/>
  <c r="L409" i="45" s="1"/>
  <c r="AY30" i="43"/>
  <c r="J215" i="45"/>
  <c r="K216" i="45" s="1"/>
  <c r="J34" i="45"/>
  <c r="AY37" i="43"/>
  <c r="J245" i="45"/>
  <c r="K246" i="45" s="1"/>
  <c r="J41" i="45"/>
  <c r="J53" i="45"/>
  <c r="J330" i="45"/>
  <c r="AY53" i="43"/>
  <c r="L399" i="45"/>
  <c r="K373" i="45"/>
  <c r="J367" i="45"/>
  <c r="AY62" i="43"/>
  <c r="J61" i="45"/>
  <c r="T4" i="45"/>
  <c r="L420" i="45" l="1"/>
  <c r="L421" i="45" s="1"/>
  <c r="W70" i="43"/>
  <c r="Q213" i="45"/>
  <c r="AB29" i="43"/>
  <c r="BF29" i="43" s="1"/>
  <c r="J149" i="45"/>
  <c r="J153" i="45" s="1"/>
  <c r="J147" i="45"/>
  <c r="J146" i="45" s="1"/>
  <c r="J108" i="45" s="1"/>
  <c r="K9" i="45"/>
  <c r="K96" i="45"/>
  <c r="K97" i="45" s="1"/>
  <c r="K101" i="45" s="1"/>
  <c r="AZ10" i="43"/>
  <c r="K152" i="45"/>
  <c r="J25" i="60"/>
  <c r="V17" i="43"/>
  <c r="AZ16" i="43"/>
  <c r="K140" i="45"/>
  <c r="K141" i="45" s="1"/>
  <c r="K145" i="45" s="1"/>
  <c r="K16" i="45"/>
  <c r="AZ12" i="43"/>
  <c r="K116" i="45"/>
  <c r="K117" i="45" s="1"/>
  <c r="K121" i="45" s="1"/>
  <c r="K12" i="45"/>
  <c r="K138" i="45"/>
  <c r="V15" i="43"/>
  <c r="J91" i="45"/>
  <c r="J95" i="45" s="1"/>
  <c r="J89" i="45"/>
  <c r="J410" i="45"/>
  <c r="K411" i="45" s="1"/>
  <c r="AY69" i="43"/>
  <c r="J68" i="45"/>
  <c r="K114" i="45"/>
  <c r="J7" i="60"/>
  <c r="V11" i="43"/>
  <c r="J361" i="45"/>
  <c r="K362" i="45" s="1"/>
  <c r="K363" i="45" s="1"/>
  <c r="J60" i="45"/>
  <c r="AY61" i="43"/>
  <c r="AY40" i="43"/>
  <c r="J270" i="45"/>
  <c r="K271" i="45" s="1"/>
  <c r="J43" i="45"/>
  <c r="J161" i="45"/>
  <c r="J165" i="45" s="1"/>
  <c r="V9" i="43"/>
  <c r="K94" i="45"/>
  <c r="K81" i="45"/>
  <c r="V14" i="43"/>
  <c r="K132" i="45"/>
  <c r="J55" i="45"/>
  <c r="AY38" i="43"/>
  <c r="V21" i="43"/>
  <c r="K170" i="45"/>
  <c r="J5" i="60"/>
  <c r="L403" i="45"/>
  <c r="K164" i="45"/>
  <c r="J8" i="60"/>
  <c r="V19" i="43"/>
  <c r="L18" i="45"/>
  <c r="L154" i="45"/>
  <c r="L155" i="45" s="1"/>
  <c r="L159" i="45" s="1"/>
  <c r="BA18" i="43"/>
  <c r="L13" i="45"/>
  <c r="L122" i="45"/>
  <c r="L123" i="45" s="1"/>
  <c r="L127" i="45" s="1"/>
  <c r="BA13" i="43"/>
  <c r="V54" i="43"/>
  <c r="AY28" i="43"/>
  <c r="J203" i="45"/>
  <c r="K204" i="45" s="1"/>
  <c r="J32" i="45"/>
  <c r="V62" i="43"/>
  <c r="K371" i="45"/>
  <c r="K334" i="45"/>
  <c r="V53" i="43"/>
  <c r="K219" i="45"/>
  <c r="K220" i="45" s="1"/>
  <c r="V30" i="43"/>
  <c r="K368" i="45"/>
  <c r="K331" i="45"/>
  <c r="K332" i="45" s="1"/>
  <c r="K249" i="45"/>
  <c r="K250" i="45" s="1"/>
  <c r="V37" i="43"/>
  <c r="BA67" i="43"/>
  <c r="L66" i="45"/>
  <c r="L398" i="45"/>
  <c r="BA68" i="43"/>
  <c r="L67" i="45"/>
  <c r="L404" i="45"/>
  <c r="M405" i="45" s="1"/>
  <c r="G215" i="45"/>
  <c r="H216" i="45" s="1"/>
  <c r="H220" i="45" s="1"/>
  <c r="D33" i="45"/>
  <c r="L416" i="45" l="1"/>
  <c r="M417" i="45" s="1"/>
  <c r="L69" i="45"/>
  <c r="BA70" i="43"/>
  <c r="L120" i="45"/>
  <c r="W12" i="43"/>
  <c r="L100" i="45"/>
  <c r="W10" i="43"/>
  <c r="AZ17" i="43"/>
  <c r="K17" i="45"/>
  <c r="K148" i="45"/>
  <c r="AC29" i="43"/>
  <c r="R213" i="45"/>
  <c r="W16" i="43"/>
  <c r="L144" i="45"/>
  <c r="AZ15" i="43"/>
  <c r="K134" i="45"/>
  <c r="K135" i="45" s="1"/>
  <c r="K139" i="45" s="1"/>
  <c r="K15" i="45"/>
  <c r="AZ19" i="43"/>
  <c r="K19" i="45"/>
  <c r="K160" i="45"/>
  <c r="K166" i="45"/>
  <c r="K167" i="45" s="1"/>
  <c r="K171" i="45" s="1"/>
  <c r="K22" i="45"/>
  <c r="AZ21" i="43"/>
  <c r="AZ14" i="43"/>
  <c r="K14" i="45"/>
  <c r="K128" i="45"/>
  <c r="K129" i="45" s="1"/>
  <c r="K133" i="45" s="1"/>
  <c r="K414" i="45"/>
  <c r="K415" i="45" s="1"/>
  <c r="J15" i="60"/>
  <c r="V69" i="43"/>
  <c r="V28" i="43"/>
  <c r="K207" i="45"/>
  <c r="K208" i="45" s="1"/>
  <c r="J12" i="60"/>
  <c r="V38" i="43"/>
  <c r="AZ9" i="43"/>
  <c r="K90" i="45"/>
  <c r="K8" i="45"/>
  <c r="K272" i="45"/>
  <c r="M126" i="45"/>
  <c r="X13" i="43"/>
  <c r="V40" i="43"/>
  <c r="K274" i="45"/>
  <c r="K275" i="45" s="1"/>
  <c r="K11" i="45"/>
  <c r="AZ11" i="43"/>
  <c r="K110" i="45"/>
  <c r="K111" i="45" s="1"/>
  <c r="K115" i="45" s="1"/>
  <c r="AZ54" i="43"/>
  <c r="K54" i="45"/>
  <c r="M158" i="45"/>
  <c r="X18" i="43"/>
  <c r="K365" i="45"/>
  <c r="K366" i="45" s="1"/>
  <c r="V61" i="43"/>
  <c r="M408" i="45"/>
  <c r="M409" i="45" s="1"/>
  <c r="X68" i="43"/>
  <c r="K245" i="45"/>
  <c r="L246" i="45" s="1"/>
  <c r="K41" i="45"/>
  <c r="AZ37" i="43"/>
  <c r="K330" i="45"/>
  <c r="AZ53" i="43"/>
  <c r="K53" i="45"/>
  <c r="X67" i="43"/>
  <c r="M402" i="45"/>
  <c r="K369" i="45"/>
  <c r="K372" i="45"/>
  <c r="K335" i="45"/>
  <c r="M399" i="45"/>
  <c r="L373" i="45"/>
  <c r="K34" i="45"/>
  <c r="K215" i="45"/>
  <c r="L216" i="45" s="1"/>
  <c r="AZ30" i="43"/>
  <c r="K61" i="45"/>
  <c r="AZ62" i="43"/>
  <c r="K367" i="45"/>
  <c r="L368" i="45" s="1"/>
  <c r="L369" i="45" s="1"/>
  <c r="D209" i="45"/>
  <c r="D178" i="45" s="1"/>
  <c r="E33" i="45"/>
  <c r="E31" i="48"/>
  <c r="M420" i="45" l="1"/>
  <c r="M421" i="45" s="1"/>
  <c r="X70" i="43"/>
  <c r="BG29" i="43"/>
  <c r="H31" i="48"/>
  <c r="L12" i="45"/>
  <c r="BA12" i="43"/>
  <c r="L116" i="45"/>
  <c r="L117" i="45" s="1"/>
  <c r="L121" i="45" s="1"/>
  <c r="K149" i="45"/>
  <c r="K153" i="45" s="1"/>
  <c r="K147" i="45"/>
  <c r="K146" i="45" s="1"/>
  <c r="K108" i="45" s="1"/>
  <c r="L96" i="45"/>
  <c r="L97" i="45" s="1"/>
  <c r="L101" i="45" s="1"/>
  <c r="L9" i="45"/>
  <c r="BA10" i="43"/>
  <c r="L152" i="45"/>
  <c r="K25" i="60"/>
  <c r="W17" i="43"/>
  <c r="BA16" i="43"/>
  <c r="L140" i="45"/>
  <c r="L141" i="45" s="1"/>
  <c r="L145" i="45" s="1"/>
  <c r="L16" i="45"/>
  <c r="L138" i="45"/>
  <c r="W15" i="43"/>
  <c r="K91" i="45"/>
  <c r="K95" i="45" s="1"/>
  <c r="K89" i="45"/>
  <c r="AZ28" i="43"/>
  <c r="K203" i="45"/>
  <c r="L204" i="45" s="1"/>
  <c r="K32" i="45"/>
  <c r="W14" i="43"/>
  <c r="L132" i="45"/>
  <c r="K161" i="45"/>
  <c r="K165" i="45" s="1"/>
  <c r="W54" i="43"/>
  <c r="L94" i="45"/>
  <c r="L81" i="45"/>
  <c r="W9" i="43"/>
  <c r="L170" i="45"/>
  <c r="K5" i="60"/>
  <c r="W21" i="43"/>
  <c r="M18" i="45"/>
  <c r="BB18" i="43"/>
  <c r="M154" i="45"/>
  <c r="M155" i="45" s="1"/>
  <c r="M159" i="45" s="1"/>
  <c r="K270" i="45"/>
  <c r="L271" i="45" s="1"/>
  <c r="K43" i="45"/>
  <c r="AZ40" i="43"/>
  <c r="L164" i="45"/>
  <c r="K8" i="60"/>
  <c r="W19" i="43"/>
  <c r="K60" i="45"/>
  <c r="K361" i="45"/>
  <c r="L362" i="45" s="1"/>
  <c r="L363" i="45" s="1"/>
  <c r="AZ61" i="43"/>
  <c r="L114" i="45"/>
  <c r="K7" i="60"/>
  <c r="W11" i="43"/>
  <c r="BB13" i="43"/>
  <c r="M122" i="45"/>
  <c r="M123" i="45" s="1"/>
  <c r="M127" i="45" s="1"/>
  <c r="M13" i="45"/>
  <c r="K55" i="45"/>
  <c r="AZ38" i="43"/>
  <c r="K68" i="45"/>
  <c r="AZ69" i="43"/>
  <c r="K410" i="45"/>
  <c r="L411" i="45" s="1"/>
  <c r="M403" i="45"/>
  <c r="L371" i="45"/>
  <c r="L372" i="45" s="1"/>
  <c r="W62" i="43"/>
  <c r="L331" i="45"/>
  <c r="L332" i="45" s="1"/>
  <c r="BB68" i="43"/>
  <c r="M404" i="45"/>
  <c r="N405" i="45" s="1"/>
  <c r="M67" i="45"/>
  <c r="BB67" i="43"/>
  <c r="M398" i="45"/>
  <c r="M66" i="45"/>
  <c r="W37" i="43"/>
  <c r="L249" i="45"/>
  <c r="L250" i="45" s="1"/>
  <c r="L219" i="45"/>
  <c r="L220" i="45" s="1"/>
  <c r="W30" i="43"/>
  <c r="L334" i="45"/>
  <c r="W53" i="43"/>
  <c r="G209" i="45"/>
  <c r="P33" i="45"/>
  <c r="J209" i="45"/>
  <c r="J33" i="45"/>
  <c r="E209" i="45"/>
  <c r="G33" i="45"/>
  <c r="P209" i="45"/>
  <c r="E210" i="45"/>
  <c r="E214" i="45" s="1"/>
  <c r="D177" i="45"/>
  <c r="D425" i="45" s="1"/>
  <c r="D428" i="45" s="1"/>
  <c r="M33" i="45"/>
  <c r="M209" i="45"/>
  <c r="F209" i="45"/>
  <c r="F33" i="45"/>
  <c r="O209" i="45"/>
  <c r="O33" i="45"/>
  <c r="K209" i="45"/>
  <c r="K33" i="45"/>
  <c r="D74" i="45"/>
  <c r="N33" i="45"/>
  <c r="N209" i="45"/>
  <c r="L33" i="45"/>
  <c r="L209" i="45"/>
  <c r="N31" i="48"/>
  <c r="E75" i="48"/>
  <c r="B4" i="70" s="1"/>
  <c r="C4" i="70" s="1"/>
  <c r="H209" i="45"/>
  <c r="H33" i="45"/>
  <c r="I209" i="45"/>
  <c r="I33" i="45"/>
  <c r="R33" i="45"/>
  <c r="R209" i="45"/>
  <c r="Q209" i="45"/>
  <c r="Q33" i="45"/>
  <c r="AB31" i="48" l="1"/>
  <c r="AE31" i="48" s="1"/>
  <c r="C30" i="57"/>
  <c r="C25" i="65"/>
  <c r="C74" i="65" s="1"/>
  <c r="N2" i="48"/>
  <c r="N3" i="48" s="1"/>
  <c r="M416" i="45"/>
  <c r="N417" i="45" s="1"/>
  <c r="M69" i="45"/>
  <c r="BB70" i="43"/>
  <c r="M120" i="45"/>
  <c r="X12" i="43"/>
  <c r="L17" i="45"/>
  <c r="BA17" i="43"/>
  <c r="L148" i="45"/>
  <c r="M100" i="45"/>
  <c r="X10" i="43"/>
  <c r="AD29" i="43"/>
  <c r="S213" i="45"/>
  <c r="X16" i="43"/>
  <c r="M144" i="45"/>
  <c r="BA15" i="43"/>
  <c r="L134" i="45"/>
  <c r="L135" i="45" s="1"/>
  <c r="L139" i="45" s="1"/>
  <c r="L15" i="45"/>
  <c r="L272" i="45"/>
  <c r="L207" i="45"/>
  <c r="L208" i="45" s="1"/>
  <c r="W28" i="43"/>
  <c r="L414" i="45"/>
  <c r="L415" i="45" s="1"/>
  <c r="K15" i="60"/>
  <c r="W69" i="43"/>
  <c r="L11" i="45"/>
  <c r="L110" i="45"/>
  <c r="L111" i="45" s="1"/>
  <c r="L115" i="45" s="1"/>
  <c r="BA11" i="43"/>
  <c r="W61" i="43"/>
  <c r="L365" i="45"/>
  <c r="L366" i="45" s="1"/>
  <c r="BA19" i="43"/>
  <c r="L19" i="45"/>
  <c r="L160" i="45"/>
  <c r="BA9" i="43"/>
  <c r="L8" i="45"/>
  <c r="L90" i="45"/>
  <c r="BA14" i="43"/>
  <c r="L14" i="45"/>
  <c r="L128" i="45"/>
  <c r="L129" i="45" s="1"/>
  <c r="L133" i="45" s="1"/>
  <c r="N126" i="45"/>
  <c r="Y13" i="43"/>
  <c r="W40" i="43"/>
  <c r="L274" i="45"/>
  <c r="L275" i="45" s="1"/>
  <c r="Y18" i="43"/>
  <c r="N158" i="45"/>
  <c r="BA54" i="43"/>
  <c r="L54" i="45"/>
  <c r="K12" i="60"/>
  <c r="W38" i="43"/>
  <c r="L166" i="45"/>
  <c r="L167" i="45" s="1"/>
  <c r="L171" i="45" s="1"/>
  <c r="L22" i="45"/>
  <c r="BA21" i="43"/>
  <c r="L335" i="45"/>
  <c r="L34" i="45"/>
  <c r="L215" i="45"/>
  <c r="M216" i="45" s="1"/>
  <c r="BA30" i="43"/>
  <c r="Y67" i="43"/>
  <c r="N402" i="45"/>
  <c r="BA62" i="43"/>
  <c r="L61" i="45"/>
  <c r="L367" i="45"/>
  <c r="BA37" i="43"/>
  <c r="L245" i="45"/>
  <c r="M246" i="45" s="1"/>
  <c r="L41" i="45"/>
  <c r="BA53" i="43"/>
  <c r="L53" i="45"/>
  <c r="L330" i="45"/>
  <c r="N399" i="45"/>
  <c r="M373" i="45"/>
  <c r="N408" i="45"/>
  <c r="N409" i="45" s="1"/>
  <c r="Y68" i="43"/>
  <c r="P31" i="48"/>
  <c r="F30" i="57" s="1"/>
  <c r="Q210" i="45"/>
  <c r="Q214" i="45" s="1"/>
  <c r="F210" i="45"/>
  <c r="F214" i="45" s="1"/>
  <c r="T31" i="48"/>
  <c r="O31" i="48"/>
  <c r="D30" i="57" s="1"/>
  <c r="H210" i="45"/>
  <c r="H214" i="45" s="1"/>
  <c r="K210" i="45"/>
  <c r="K214" i="45" s="1"/>
  <c r="I210" i="45"/>
  <c r="I214" i="45" s="1"/>
  <c r="L210" i="45"/>
  <c r="L214" i="45" s="1"/>
  <c r="P210" i="45"/>
  <c r="P214" i="45" s="1"/>
  <c r="N75" i="48"/>
  <c r="G210" i="45"/>
  <c r="G214" i="45" s="1"/>
  <c r="N210" i="45"/>
  <c r="N214" i="45" s="1"/>
  <c r="M210" i="45"/>
  <c r="M214" i="45" s="1"/>
  <c r="O210" i="45"/>
  <c r="O214" i="45" s="1"/>
  <c r="R210" i="45"/>
  <c r="R214" i="45" s="1"/>
  <c r="J210" i="45"/>
  <c r="J214" i="45" s="1"/>
  <c r="S210" i="45"/>
  <c r="T75" i="48" l="1"/>
  <c r="AB75" i="48"/>
  <c r="D25" i="65"/>
  <c r="AC31" i="48"/>
  <c r="AD31" i="48"/>
  <c r="S214" i="45"/>
  <c r="N420" i="45"/>
  <c r="N421" i="45" s="1"/>
  <c r="Y70" i="43"/>
  <c r="BH29" i="43"/>
  <c r="S209" i="45"/>
  <c r="T210" i="45" s="1"/>
  <c r="S33" i="45"/>
  <c r="M96" i="45"/>
  <c r="M97" i="45" s="1"/>
  <c r="M101" i="45" s="1"/>
  <c r="M9" i="45"/>
  <c r="BB10" i="43"/>
  <c r="L149" i="45"/>
  <c r="L153" i="45" s="1"/>
  <c r="L147" i="45"/>
  <c r="L146" i="45" s="1"/>
  <c r="L108" i="45" s="1"/>
  <c r="BB12" i="43"/>
  <c r="M12" i="45"/>
  <c r="M116" i="45"/>
  <c r="M117" i="45" s="1"/>
  <c r="M121" i="45" s="1"/>
  <c r="L25" i="60"/>
  <c r="M152" i="45"/>
  <c r="X17" i="43"/>
  <c r="BB16" i="43"/>
  <c r="M140" i="45"/>
  <c r="M141" i="45" s="1"/>
  <c r="M145" i="45" s="1"/>
  <c r="M16" i="45"/>
  <c r="N403" i="45"/>
  <c r="M138" i="45"/>
  <c r="X15" i="43"/>
  <c r="N122" i="45"/>
  <c r="N123" i="45" s="1"/>
  <c r="N127" i="45" s="1"/>
  <c r="N13" i="45"/>
  <c r="BC13" i="43"/>
  <c r="X14" i="43"/>
  <c r="M132" i="45"/>
  <c r="L161" i="45"/>
  <c r="L165" i="45" s="1"/>
  <c r="BA61" i="43"/>
  <c r="L60" i="45"/>
  <c r="L361" i="45"/>
  <c r="M362" i="45" s="1"/>
  <c r="M363" i="45" s="1"/>
  <c r="N154" i="45"/>
  <c r="N155" i="45" s="1"/>
  <c r="N159" i="45" s="1"/>
  <c r="N18" i="45"/>
  <c r="BC18" i="43"/>
  <c r="L91" i="45"/>
  <c r="L95" i="45" s="1"/>
  <c r="L89" i="45"/>
  <c r="M114" i="45"/>
  <c r="L7" i="60"/>
  <c r="X11" i="43"/>
  <c r="BA38" i="43"/>
  <c r="L55" i="45"/>
  <c r="X54" i="43"/>
  <c r="M164" i="45"/>
  <c r="X19" i="43"/>
  <c r="L8" i="60"/>
  <c r="L410" i="45"/>
  <c r="M411" i="45" s="1"/>
  <c r="BA69" i="43"/>
  <c r="L68" i="45"/>
  <c r="BA28" i="43"/>
  <c r="L203" i="45"/>
  <c r="M204" i="45" s="1"/>
  <c r="L32" i="45"/>
  <c r="M170" i="45"/>
  <c r="L5" i="60"/>
  <c r="X21" i="43"/>
  <c r="L270" i="45"/>
  <c r="M271" i="45" s="1"/>
  <c r="BA40" i="43"/>
  <c r="L43" i="45"/>
  <c r="M94" i="45"/>
  <c r="M81" i="45"/>
  <c r="X9" i="43"/>
  <c r="M334" i="45"/>
  <c r="X53" i="43"/>
  <c r="M368" i="45"/>
  <c r="M219" i="45"/>
  <c r="M220" i="45" s="1"/>
  <c r="X30" i="43"/>
  <c r="M331" i="45"/>
  <c r="M332" i="45" s="1"/>
  <c r="M371" i="45"/>
  <c r="X62" i="43"/>
  <c r="N67" i="45"/>
  <c r="BC68" i="43"/>
  <c r="N404" i="45"/>
  <c r="O405" i="45" s="1"/>
  <c r="X37" i="43"/>
  <c r="M249" i="45"/>
  <c r="M250" i="45" s="1"/>
  <c r="BC67" i="43"/>
  <c r="N398" i="45"/>
  <c r="N66" i="45"/>
  <c r="V31" i="48"/>
  <c r="U31" i="48"/>
  <c r="BC70" i="43" l="1"/>
  <c r="N416" i="45"/>
  <c r="O417" i="45" s="1"/>
  <c r="N69" i="45"/>
  <c r="M17" i="45"/>
  <c r="M148" i="45"/>
  <c r="BB17" i="43"/>
  <c r="N100" i="45"/>
  <c r="Y10" i="43"/>
  <c r="N120" i="45"/>
  <c r="Y12" i="43"/>
  <c r="T213" i="45"/>
  <c r="T214" i="45" s="1"/>
  <c r="AE29" i="43"/>
  <c r="Y16" i="43"/>
  <c r="N144" i="45"/>
  <c r="M134" i="45"/>
  <c r="M135" i="45" s="1"/>
  <c r="M139" i="45" s="1"/>
  <c r="M15" i="45"/>
  <c r="BB15" i="43"/>
  <c r="M166" i="45"/>
  <c r="M167" i="45" s="1"/>
  <c r="M171" i="45" s="1"/>
  <c r="M22" i="45"/>
  <c r="BB21" i="43"/>
  <c r="M414" i="45"/>
  <c r="M415" i="45" s="1"/>
  <c r="L15" i="60"/>
  <c r="X69" i="43"/>
  <c r="M160" i="45"/>
  <c r="BB19" i="43"/>
  <c r="M19" i="45"/>
  <c r="M11" i="45"/>
  <c r="M110" i="45"/>
  <c r="M111" i="45" s="1"/>
  <c r="M115" i="45" s="1"/>
  <c r="BB11" i="43"/>
  <c r="O158" i="45"/>
  <c r="Z18" i="43"/>
  <c r="M8" i="45"/>
  <c r="BB9" i="43"/>
  <c r="M90" i="45"/>
  <c r="X40" i="43"/>
  <c r="M274" i="45"/>
  <c r="M275" i="45" s="1"/>
  <c r="M54" i="45"/>
  <c r="BB54" i="43"/>
  <c r="L12" i="60"/>
  <c r="X38" i="43"/>
  <c r="X61" i="43"/>
  <c r="M365" i="45"/>
  <c r="M366" i="45" s="1"/>
  <c r="BB14" i="43"/>
  <c r="M128" i="45"/>
  <c r="M129" i="45" s="1"/>
  <c r="M133" i="45" s="1"/>
  <c r="M14" i="45"/>
  <c r="O126" i="45"/>
  <c r="Z13" i="43"/>
  <c r="M272" i="45"/>
  <c r="X28" i="43"/>
  <c r="M207" i="45"/>
  <c r="M208" i="45" s="1"/>
  <c r="O399" i="45"/>
  <c r="N373" i="45"/>
  <c r="M215" i="45"/>
  <c r="M34" i="45"/>
  <c r="BB30" i="43"/>
  <c r="M369" i="45"/>
  <c r="M372" i="45"/>
  <c r="Z67" i="43"/>
  <c r="O402" i="45"/>
  <c r="O408" i="45"/>
  <c r="O409" i="45" s="1"/>
  <c r="Z68" i="43"/>
  <c r="M330" i="45"/>
  <c r="BB53" i="43"/>
  <c r="M53" i="45"/>
  <c r="M335" i="45"/>
  <c r="BB37" i="43"/>
  <c r="M245" i="45"/>
  <c r="N246" i="45" s="1"/>
  <c r="M41" i="45"/>
  <c r="BB62" i="43"/>
  <c r="M367" i="45"/>
  <c r="N368" i="45" s="1"/>
  <c r="N369" i="45" s="1"/>
  <c r="M61" i="45"/>
  <c r="Z70" i="43" l="1"/>
  <c r="O420" i="45"/>
  <c r="O421" i="45" s="1"/>
  <c r="N152" i="45"/>
  <c r="M25" i="60"/>
  <c r="Y17" i="43"/>
  <c r="N12" i="45"/>
  <c r="BC12" i="43"/>
  <c r="N116" i="45"/>
  <c r="N117" i="45" s="1"/>
  <c r="N121" i="45" s="1"/>
  <c r="N96" i="45"/>
  <c r="N97" i="45" s="1"/>
  <c r="N101" i="45" s="1"/>
  <c r="N9" i="45"/>
  <c r="BC10" i="43"/>
  <c r="M149" i="45"/>
  <c r="M153" i="45" s="1"/>
  <c r="M147" i="45"/>
  <c r="I31" i="48"/>
  <c r="T33" i="45"/>
  <c r="T209" i="45"/>
  <c r="BI29" i="43"/>
  <c r="BC16" i="43"/>
  <c r="N140" i="45"/>
  <c r="N141" i="45" s="1"/>
  <c r="N145" i="45" s="1"/>
  <c r="N16" i="45"/>
  <c r="N138" i="45"/>
  <c r="Y15" i="43"/>
  <c r="Y14" i="43"/>
  <c r="N132" i="45"/>
  <c r="BB38" i="43"/>
  <c r="M55" i="45"/>
  <c r="M91" i="45"/>
  <c r="M95" i="45" s="1"/>
  <c r="M89" i="45"/>
  <c r="O18" i="45"/>
  <c r="BD18" i="43"/>
  <c r="O154" i="45"/>
  <c r="O155" i="45" s="1"/>
  <c r="O159" i="45" s="1"/>
  <c r="N94" i="45"/>
  <c r="N81" i="45"/>
  <c r="Y9" i="43"/>
  <c r="N170" i="45"/>
  <c r="M5" i="60"/>
  <c r="Y21" i="43"/>
  <c r="N114" i="45"/>
  <c r="M7" i="60"/>
  <c r="Y11" i="43"/>
  <c r="N164" i="45"/>
  <c r="Y19" i="43"/>
  <c r="M8" i="60"/>
  <c r="BB69" i="43"/>
  <c r="M68" i="45"/>
  <c r="M410" i="45"/>
  <c r="N411" i="45" s="1"/>
  <c r="BB28" i="43"/>
  <c r="M32" i="45"/>
  <c r="M203" i="45"/>
  <c r="N204" i="45" s="1"/>
  <c r="BD13" i="43"/>
  <c r="O13" i="45"/>
  <c r="O122" i="45"/>
  <c r="O123" i="45" s="1"/>
  <c r="O127" i="45" s="1"/>
  <c r="M60" i="45"/>
  <c r="M361" i="45"/>
  <c r="N362" i="45" s="1"/>
  <c r="N363" i="45" s="1"/>
  <c r="BB61" i="43"/>
  <c r="Y54" i="43"/>
  <c r="M43" i="45"/>
  <c r="M270" i="45"/>
  <c r="N271" i="45" s="1"/>
  <c r="BB40" i="43"/>
  <c r="M161" i="45"/>
  <c r="M165" i="45" s="1"/>
  <c r="M146" i="45"/>
  <c r="M108" i="45" s="1"/>
  <c r="BD67" i="43"/>
  <c r="O66" i="45"/>
  <c r="O398" i="45"/>
  <c r="N219" i="45"/>
  <c r="Y30" i="43"/>
  <c r="Y53" i="43"/>
  <c r="N334" i="45"/>
  <c r="N249" i="45"/>
  <c r="N250" i="45" s="1"/>
  <c r="Y37" i="43"/>
  <c r="N331" i="45"/>
  <c r="N332" i="45" s="1"/>
  <c r="N216" i="45"/>
  <c r="Y62" i="43"/>
  <c r="N371" i="45"/>
  <c r="N372" i="45" s="1"/>
  <c r="BD68" i="43"/>
  <c r="O404" i="45"/>
  <c r="P405" i="45" s="1"/>
  <c r="O67" i="45"/>
  <c r="O403" i="45"/>
  <c r="BD70" i="43" l="1"/>
  <c r="O416" i="45"/>
  <c r="P417" i="45" s="1"/>
  <c r="O69" i="45"/>
  <c r="AF29" i="43"/>
  <c r="BJ29" i="43" s="1"/>
  <c r="AG29" i="43" s="1"/>
  <c r="BK29" i="43" s="1"/>
  <c r="N17" i="45"/>
  <c r="N148" i="45"/>
  <c r="BC17" i="43"/>
  <c r="O100" i="45"/>
  <c r="Z10" i="43"/>
  <c r="O120" i="45"/>
  <c r="Z12" i="43"/>
  <c r="Z16" i="43"/>
  <c r="O144" i="45"/>
  <c r="BC15" i="43"/>
  <c r="N134" i="45"/>
  <c r="N135" i="45" s="1"/>
  <c r="N139" i="45" s="1"/>
  <c r="N15" i="45"/>
  <c r="P126" i="45"/>
  <c r="AA13" i="43"/>
  <c r="N414" i="45"/>
  <c r="N415" i="45" s="1"/>
  <c r="M15" i="60"/>
  <c r="Y69" i="43"/>
  <c r="N166" i="45"/>
  <c r="N167" i="45" s="1"/>
  <c r="N171" i="45" s="1"/>
  <c r="N22" i="45"/>
  <c r="BC21" i="43"/>
  <c r="AA18" i="43"/>
  <c r="P158" i="45"/>
  <c r="M12" i="60"/>
  <c r="Y38" i="43"/>
  <c r="N274" i="45"/>
  <c r="N275" i="45" s="1"/>
  <c r="Y40" i="43"/>
  <c r="BC54" i="43"/>
  <c r="N54" i="45"/>
  <c r="N11" i="45"/>
  <c r="BC11" i="43"/>
  <c r="N110" i="45"/>
  <c r="N111" i="45" s="1"/>
  <c r="N115" i="45" s="1"/>
  <c r="N272" i="45"/>
  <c r="N365" i="45"/>
  <c r="N366" i="45" s="1"/>
  <c r="Y61" i="43"/>
  <c r="Y28" i="43"/>
  <c r="N207" i="45"/>
  <c r="N208" i="45" s="1"/>
  <c r="BC19" i="43"/>
  <c r="N160" i="45"/>
  <c r="N19" i="45"/>
  <c r="BC9" i="43"/>
  <c r="N8" i="45"/>
  <c r="N90" i="45"/>
  <c r="BC14" i="43"/>
  <c r="N128" i="45"/>
  <c r="N129" i="45" s="1"/>
  <c r="N133" i="45" s="1"/>
  <c r="N14" i="45"/>
  <c r="N335" i="45"/>
  <c r="N220" i="45"/>
  <c r="P408" i="45"/>
  <c r="P409" i="45" s="1"/>
  <c r="AA68" i="43"/>
  <c r="N330" i="45"/>
  <c r="BC53" i="43"/>
  <c r="N53" i="45"/>
  <c r="P399" i="45"/>
  <c r="O373" i="45"/>
  <c r="BC30" i="43"/>
  <c r="N215" i="45"/>
  <c r="N34" i="45"/>
  <c r="N367" i="45"/>
  <c r="O368" i="45" s="1"/>
  <c r="O369" i="45" s="1"/>
  <c r="N61" i="45"/>
  <c r="BC62" i="43"/>
  <c r="AA67" i="43"/>
  <c r="P402" i="45"/>
  <c r="N41" i="45"/>
  <c r="BC37" i="43"/>
  <c r="N245" i="45"/>
  <c r="O246" i="45" s="1"/>
  <c r="AA70" i="43" l="1"/>
  <c r="P420" i="45"/>
  <c r="P421" i="45" s="1"/>
  <c r="BD12" i="43"/>
  <c r="O116" i="45"/>
  <c r="O117" i="45" s="1"/>
  <c r="O121" i="45" s="1"/>
  <c r="O12" i="45"/>
  <c r="O96" i="45"/>
  <c r="O97" i="45" s="1"/>
  <c r="O101" i="45" s="1"/>
  <c r="O9" i="45"/>
  <c r="BD10" i="43"/>
  <c r="O152" i="45"/>
  <c r="N25" i="60"/>
  <c r="Z17" i="43"/>
  <c r="N149" i="45"/>
  <c r="N153" i="45" s="1"/>
  <c r="N147" i="45"/>
  <c r="N146" i="45" s="1"/>
  <c r="N108" i="45" s="1"/>
  <c r="AH29" i="43"/>
  <c r="BL29" i="43" s="1"/>
  <c r="BD16" i="43"/>
  <c r="O16" i="45"/>
  <c r="O140" i="45"/>
  <c r="O141" i="45" s="1"/>
  <c r="O145" i="45" s="1"/>
  <c r="O138" i="45"/>
  <c r="Z15" i="43"/>
  <c r="O164" i="45"/>
  <c r="Z19" i="43"/>
  <c r="N8" i="60"/>
  <c r="BC28" i="43"/>
  <c r="N203" i="45"/>
  <c r="O204" i="45" s="1"/>
  <c r="N32" i="45"/>
  <c r="O114" i="45"/>
  <c r="N7" i="60"/>
  <c r="Z11" i="43"/>
  <c r="BC40" i="43"/>
  <c r="N270" i="45"/>
  <c r="O271" i="45" s="1"/>
  <c r="N43" i="45"/>
  <c r="O94" i="45"/>
  <c r="O81" i="45"/>
  <c r="Z9" i="43"/>
  <c r="O170" i="45"/>
  <c r="N5" i="60"/>
  <c r="Z21" i="43"/>
  <c r="BE13" i="43"/>
  <c r="P122" i="45"/>
  <c r="P123" i="45" s="1"/>
  <c r="P127" i="45" s="1"/>
  <c r="P13" i="45"/>
  <c r="Z14" i="43"/>
  <c r="O132" i="45"/>
  <c r="N60" i="45"/>
  <c r="N361" i="45"/>
  <c r="O362" i="45" s="1"/>
  <c r="O363" i="45" s="1"/>
  <c r="BC61" i="43"/>
  <c r="BC38" i="43"/>
  <c r="N55" i="45"/>
  <c r="N91" i="45"/>
  <c r="N95" i="45" s="1"/>
  <c r="N89" i="45"/>
  <c r="N161" i="45"/>
  <c r="N165" i="45" s="1"/>
  <c r="Z54" i="43"/>
  <c r="BE18" i="43"/>
  <c r="P18" i="45"/>
  <c r="P154" i="45"/>
  <c r="P155" i="45" s="1"/>
  <c r="P159" i="45" s="1"/>
  <c r="N68" i="45"/>
  <c r="BC69" i="43"/>
  <c r="N410" i="45"/>
  <c r="O411" i="45" s="1"/>
  <c r="O219" i="45"/>
  <c r="Z30" i="43"/>
  <c r="O334" i="45"/>
  <c r="Z53" i="43"/>
  <c r="Z62" i="43"/>
  <c r="O371" i="45"/>
  <c r="O372" i="45" s="1"/>
  <c r="O331" i="45"/>
  <c r="O332" i="45" s="1"/>
  <c r="P67" i="45"/>
  <c r="BE68" i="43"/>
  <c r="P404" i="45"/>
  <c r="Q405" i="45" s="1"/>
  <c r="O249" i="45"/>
  <c r="O250" i="45" s="1"/>
  <c r="Z37" i="43"/>
  <c r="BE67" i="43"/>
  <c r="P398" i="45"/>
  <c r="P66" i="45"/>
  <c r="O216" i="45"/>
  <c r="P403" i="45"/>
  <c r="E9" i="60"/>
  <c r="P69" i="45" l="1"/>
  <c r="P416" i="45"/>
  <c r="Q417" i="45" s="1"/>
  <c r="BE70" i="43"/>
  <c r="O148" i="45"/>
  <c r="BD17" i="43"/>
  <c r="O17" i="45"/>
  <c r="P100" i="45"/>
  <c r="AA10" i="43"/>
  <c r="AI29" i="43"/>
  <c r="BM29" i="43" s="1"/>
  <c r="AJ29" i="43" s="1"/>
  <c r="BN29" i="43" s="1"/>
  <c r="AK29" i="43" s="1"/>
  <c r="BO29" i="43" s="1"/>
  <c r="AL29" i="43" s="1"/>
  <c r="BP29" i="43" s="1"/>
  <c r="AM29" i="43" s="1"/>
  <c r="BQ29" i="43" s="1"/>
  <c r="P120" i="45"/>
  <c r="AA12" i="43"/>
  <c r="AA16" i="43"/>
  <c r="P144" i="45"/>
  <c r="N9" i="60"/>
  <c r="BD15" i="43"/>
  <c r="O134" i="45"/>
  <c r="O135" i="45" s="1"/>
  <c r="O139" i="45" s="1"/>
  <c r="O15" i="45"/>
  <c r="BD54" i="43"/>
  <c r="O54" i="45"/>
  <c r="N12" i="60"/>
  <c r="Z38" i="43"/>
  <c r="Q126" i="45"/>
  <c r="AB13" i="43"/>
  <c r="O272" i="45"/>
  <c r="O11" i="45"/>
  <c r="O110" i="45"/>
  <c r="O111" i="45" s="1"/>
  <c r="O115" i="45" s="1"/>
  <c r="BD11" i="43"/>
  <c r="O365" i="45"/>
  <c r="O366" i="45" s="1"/>
  <c r="Z61" i="43"/>
  <c r="BD14" i="43"/>
  <c r="O128" i="45"/>
  <c r="O129" i="45" s="1"/>
  <c r="O133" i="45" s="1"/>
  <c r="O14" i="45"/>
  <c r="O8" i="45"/>
  <c r="BD9" i="43"/>
  <c r="O90" i="45"/>
  <c r="O274" i="45"/>
  <c r="O275" i="45" s="1"/>
  <c r="Z40" i="43"/>
  <c r="O19" i="45"/>
  <c r="BD19" i="43"/>
  <c r="O160" i="45"/>
  <c r="O414" i="45"/>
  <c r="O415" i="45" s="1"/>
  <c r="N15" i="60"/>
  <c r="Z69" i="43"/>
  <c r="AB18" i="43"/>
  <c r="Q158" i="45"/>
  <c r="O22" i="45"/>
  <c r="BD21" i="43"/>
  <c r="O166" i="45"/>
  <c r="O167" i="45" s="1"/>
  <c r="O171" i="45" s="1"/>
  <c r="O207" i="45"/>
  <c r="O208" i="45" s="1"/>
  <c r="Z28" i="43"/>
  <c r="O41" i="45"/>
  <c r="O245" i="45"/>
  <c r="P246" i="45" s="1"/>
  <c r="BD37" i="43"/>
  <c r="BD62" i="43"/>
  <c r="O367" i="45"/>
  <c r="P368" i="45" s="1"/>
  <c r="P369" i="45" s="1"/>
  <c r="O61" i="45"/>
  <c r="O330" i="45"/>
  <c r="BD53" i="43"/>
  <c r="O53" i="45"/>
  <c r="O220" i="45"/>
  <c r="Q399" i="45"/>
  <c r="P373" i="45"/>
  <c r="BD30" i="43"/>
  <c r="O34" i="45"/>
  <c r="O215" i="45"/>
  <c r="AB67" i="43"/>
  <c r="Q402" i="45"/>
  <c r="Q408" i="45"/>
  <c r="Q409" i="45" s="1"/>
  <c r="AB68" i="43"/>
  <c r="O335" i="45"/>
  <c r="K9" i="60"/>
  <c r="J9" i="60"/>
  <c r="D9" i="60"/>
  <c r="D26" i="60"/>
  <c r="G9" i="60"/>
  <c r="I9" i="60"/>
  <c r="L9" i="60"/>
  <c r="M9" i="60"/>
  <c r="Q420" i="45" l="1"/>
  <c r="Q421" i="45" s="1"/>
  <c r="AB70" i="43"/>
  <c r="BE12" i="43"/>
  <c r="P116" i="45"/>
  <c r="P117" i="45" s="1"/>
  <c r="P121" i="45" s="1"/>
  <c r="P12" i="45"/>
  <c r="P9" i="45"/>
  <c r="BE10" i="43"/>
  <c r="P96" i="45"/>
  <c r="P97" i="45" s="1"/>
  <c r="P101" i="45" s="1"/>
  <c r="O25" i="60"/>
  <c r="P152" i="45"/>
  <c r="AA17" i="43"/>
  <c r="AN29" i="43"/>
  <c r="BR29" i="43" s="1"/>
  <c r="AO29" i="43" s="1"/>
  <c r="BS29" i="43" s="1"/>
  <c r="AP29" i="43" s="1"/>
  <c r="O149" i="45"/>
  <c r="O153" i="45" s="1"/>
  <c r="O147" i="45"/>
  <c r="O146" i="45" s="1"/>
  <c r="O108" i="45" s="1"/>
  <c r="BE16" i="43"/>
  <c r="P140" i="45"/>
  <c r="P141" i="45" s="1"/>
  <c r="P145" i="45" s="1"/>
  <c r="P16" i="45"/>
  <c r="P138" i="45"/>
  <c r="AA15" i="43"/>
  <c r="P164" i="45"/>
  <c r="AA19" i="43"/>
  <c r="O8" i="60"/>
  <c r="BD61" i="43"/>
  <c r="O361" i="45"/>
  <c r="P362" i="45" s="1"/>
  <c r="P363" i="45" s="1"/>
  <c r="O60" i="45"/>
  <c r="Q13" i="45"/>
  <c r="Q122" i="45"/>
  <c r="Q123" i="45" s="1"/>
  <c r="Q127" i="45" s="1"/>
  <c r="BF13" i="43"/>
  <c r="P170" i="45"/>
  <c r="O5" i="60"/>
  <c r="AA21" i="43"/>
  <c r="Q154" i="45"/>
  <c r="Q155" i="45" s="1"/>
  <c r="Q159" i="45" s="1"/>
  <c r="BF18" i="43"/>
  <c r="Q18" i="45"/>
  <c r="O91" i="45"/>
  <c r="O95" i="45" s="1"/>
  <c r="O89" i="45"/>
  <c r="O68" i="45"/>
  <c r="O410" i="45"/>
  <c r="P411" i="45" s="1"/>
  <c r="BD69" i="43"/>
  <c r="P94" i="45"/>
  <c r="P81" i="45"/>
  <c r="AA9" i="43"/>
  <c r="AA14" i="43"/>
  <c r="P132" i="45"/>
  <c r="BD28" i="43"/>
  <c r="O203" i="45"/>
  <c r="P204" i="45" s="1"/>
  <c r="O32" i="45"/>
  <c r="O161" i="45"/>
  <c r="O165" i="45" s="1"/>
  <c r="O270" i="45"/>
  <c r="P271" i="45" s="1"/>
  <c r="BD40" i="43"/>
  <c r="O43" i="45"/>
  <c r="P114" i="45"/>
  <c r="O7" i="60"/>
  <c r="AA11" i="43"/>
  <c r="O55" i="45"/>
  <c r="BD38" i="43"/>
  <c r="AA54" i="43"/>
  <c r="P334" i="45"/>
  <c r="AA53" i="43"/>
  <c r="AA62" i="43"/>
  <c r="P371" i="45"/>
  <c r="P372" i="45" s="1"/>
  <c r="P219" i="45"/>
  <c r="AA30" i="43"/>
  <c r="Q403" i="45"/>
  <c r="P331" i="45"/>
  <c r="P332" i="45" s="1"/>
  <c r="P249" i="45"/>
  <c r="P250" i="45" s="1"/>
  <c r="AA37" i="43"/>
  <c r="BF67" i="43"/>
  <c r="FB67" i="43" s="1"/>
  <c r="FF67" i="43" s="1"/>
  <c r="Q398" i="45"/>
  <c r="Q66" i="45"/>
  <c r="BF68" i="43"/>
  <c r="FB68" i="43" s="1"/>
  <c r="FF68" i="43" s="1"/>
  <c r="Q67" i="45"/>
  <c r="Q404" i="45"/>
  <c r="R405" i="45" s="1"/>
  <c r="P216" i="45"/>
  <c r="H9" i="60"/>
  <c r="F9" i="60"/>
  <c r="Q416" i="45" l="1"/>
  <c r="R417" i="45" s="1"/>
  <c r="BF70" i="43"/>
  <c r="Q69" i="45"/>
  <c r="BE17" i="43"/>
  <c r="P148" i="45"/>
  <c r="P17" i="45"/>
  <c r="Q100" i="45"/>
  <c r="AB10" i="43"/>
  <c r="Q120" i="45"/>
  <c r="AB12" i="43"/>
  <c r="AB16" i="43"/>
  <c r="Q144" i="45"/>
  <c r="P134" i="45"/>
  <c r="P135" i="45" s="1"/>
  <c r="P139" i="45" s="1"/>
  <c r="P15" i="45"/>
  <c r="BE15" i="43"/>
  <c r="BE9" i="43"/>
  <c r="P90" i="45"/>
  <c r="P8" i="45"/>
  <c r="P166" i="45"/>
  <c r="P167" i="45" s="1"/>
  <c r="P171" i="45" s="1"/>
  <c r="BE21" i="43"/>
  <c r="P22" i="45"/>
  <c r="O12" i="60"/>
  <c r="AA38" i="43"/>
  <c r="O9" i="60"/>
  <c r="R126" i="45"/>
  <c r="AC13" i="43"/>
  <c r="BE19" i="43"/>
  <c r="P19" i="45"/>
  <c r="P160" i="45"/>
  <c r="BE54" i="43"/>
  <c r="P54" i="45"/>
  <c r="AA40" i="43"/>
  <c r="P274" i="45"/>
  <c r="P275" i="45" s="1"/>
  <c r="BE14" i="43"/>
  <c r="P14" i="45"/>
  <c r="P128" i="45"/>
  <c r="P129" i="45" s="1"/>
  <c r="P133" i="45" s="1"/>
  <c r="R158" i="45"/>
  <c r="AC18" i="43"/>
  <c r="P365" i="45"/>
  <c r="P366" i="45" s="1"/>
  <c r="AA61" i="43"/>
  <c r="P11" i="45"/>
  <c r="P110" i="45"/>
  <c r="P111" i="45" s="1"/>
  <c r="P115" i="45" s="1"/>
  <c r="BE11" i="43"/>
  <c r="P272" i="45"/>
  <c r="P207" i="45"/>
  <c r="P208" i="45" s="1"/>
  <c r="AA28" i="43"/>
  <c r="P414" i="45"/>
  <c r="P415" i="45" s="1"/>
  <c r="O15" i="60"/>
  <c r="AA69" i="43"/>
  <c r="AC67" i="43"/>
  <c r="R402" i="45"/>
  <c r="P330" i="45"/>
  <c r="BE53" i="43"/>
  <c r="P53" i="45"/>
  <c r="R408" i="45"/>
  <c r="R409" i="45" s="1"/>
  <c r="AC68" i="43"/>
  <c r="P34" i="45"/>
  <c r="BE30" i="43"/>
  <c r="P215" i="45"/>
  <c r="P335" i="45"/>
  <c r="R399" i="45"/>
  <c r="Q373" i="45"/>
  <c r="BE37" i="43"/>
  <c r="P245" i="45"/>
  <c r="Q246" i="45" s="1"/>
  <c r="P41" i="45"/>
  <c r="P220" i="45"/>
  <c r="BE62" i="43"/>
  <c r="P61" i="45"/>
  <c r="P367" i="45"/>
  <c r="Q368" i="45" s="1"/>
  <c r="Q369" i="45" s="1"/>
  <c r="R420" i="45" l="1"/>
  <c r="R421" i="45" s="1"/>
  <c r="AC70" i="43"/>
  <c r="Q9" i="45"/>
  <c r="BF10" i="43"/>
  <c r="Q96" i="45"/>
  <c r="Q97" i="45" s="1"/>
  <c r="Q101" i="45" s="1"/>
  <c r="P149" i="45"/>
  <c r="P153" i="45" s="1"/>
  <c r="P147" i="45"/>
  <c r="P146" i="45" s="1"/>
  <c r="P108" i="45" s="1"/>
  <c r="Q12" i="45"/>
  <c r="BF12" i="43"/>
  <c r="Q116" i="45"/>
  <c r="Q117" i="45" s="1"/>
  <c r="Q121" i="45" s="1"/>
  <c r="Q152" i="45"/>
  <c r="P25" i="60"/>
  <c r="AB17" i="43"/>
  <c r="BF16" i="43"/>
  <c r="Q140" i="45"/>
  <c r="Q141" i="45" s="1"/>
  <c r="Q145" i="45" s="1"/>
  <c r="Q16" i="45"/>
  <c r="R403" i="45"/>
  <c r="Q138" i="45"/>
  <c r="AB15" i="43"/>
  <c r="AB14" i="43"/>
  <c r="Q132" i="45"/>
  <c r="BE61" i="43"/>
  <c r="P60" i="45"/>
  <c r="P361" i="45"/>
  <c r="Q362" i="45" s="1"/>
  <c r="Q363" i="45" s="1"/>
  <c r="AB54" i="43"/>
  <c r="Q164" i="45"/>
  <c r="AB19" i="43"/>
  <c r="P8" i="60"/>
  <c r="P68" i="45"/>
  <c r="BE69" i="43"/>
  <c r="P410" i="45"/>
  <c r="Q411" i="45" s="1"/>
  <c r="P32" i="45"/>
  <c r="BE28" i="43"/>
  <c r="P203" i="45"/>
  <c r="Q204" i="45" s="1"/>
  <c r="Q114" i="45"/>
  <c r="P7" i="60"/>
  <c r="AB11" i="43"/>
  <c r="BG13" i="43"/>
  <c r="H14" i="48"/>
  <c r="R13" i="45"/>
  <c r="R122" i="45"/>
  <c r="R123" i="45" s="1"/>
  <c r="R127" i="45" s="1"/>
  <c r="P91" i="45"/>
  <c r="P95" i="45" s="1"/>
  <c r="P89" i="45"/>
  <c r="R154" i="45"/>
  <c r="R155" i="45" s="1"/>
  <c r="R159" i="45" s="1"/>
  <c r="H19" i="48"/>
  <c r="BG18" i="43"/>
  <c r="R18" i="45"/>
  <c r="P270" i="45"/>
  <c r="Q271" i="45" s="1"/>
  <c r="BE40" i="43"/>
  <c r="P43" i="45"/>
  <c r="P161" i="45"/>
  <c r="P165" i="45" s="1"/>
  <c r="BE38" i="43"/>
  <c r="P55" i="45"/>
  <c r="Q170" i="45"/>
  <c r="P5" i="60"/>
  <c r="AB21" i="43"/>
  <c r="Q94" i="45"/>
  <c r="P24" i="60"/>
  <c r="Q81" i="45"/>
  <c r="AB9" i="43"/>
  <c r="Q216" i="45"/>
  <c r="Q331" i="45"/>
  <c r="Q332" i="45" s="1"/>
  <c r="Q219" i="45"/>
  <c r="AB30" i="43"/>
  <c r="R67" i="45"/>
  <c r="R404" i="45"/>
  <c r="S405" i="45" s="1"/>
  <c r="BG68" i="43"/>
  <c r="H70" i="48"/>
  <c r="Q371" i="45"/>
  <c r="Q372" i="45" s="1"/>
  <c r="AB62" i="43"/>
  <c r="Q249" i="45"/>
  <c r="Q250" i="45" s="1"/>
  <c r="AB37" i="43"/>
  <c r="AB53" i="43"/>
  <c r="Q334" i="45"/>
  <c r="R398" i="45"/>
  <c r="BG67" i="43"/>
  <c r="H69" i="48"/>
  <c r="R66" i="45"/>
  <c r="P26" i="60" l="1"/>
  <c r="BG70" i="43"/>
  <c r="R416" i="45"/>
  <c r="S417" i="45" s="1"/>
  <c r="R69" i="45"/>
  <c r="H72" i="48"/>
  <c r="Q17" i="45"/>
  <c r="Q148" i="45"/>
  <c r="BF17" i="43"/>
  <c r="R120" i="45"/>
  <c r="AC12" i="43"/>
  <c r="R100" i="45"/>
  <c r="AC10" i="43"/>
  <c r="AC16" i="43"/>
  <c r="R144" i="45"/>
  <c r="Q220" i="45"/>
  <c r="Q134" i="45"/>
  <c r="Q135" i="45" s="1"/>
  <c r="Q139" i="45" s="1"/>
  <c r="Q15" i="45"/>
  <c r="BF15" i="43"/>
  <c r="Q335" i="45"/>
  <c r="Q22" i="45"/>
  <c r="Q166" i="45"/>
  <c r="Q167" i="45" s="1"/>
  <c r="Q171" i="45" s="1"/>
  <c r="BF21" i="43"/>
  <c r="P12" i="60"/>
  <c r="AB38" i="43"/>
  <c r="Q274" i="45"/>
  <c r="Q275" i="45" s="1"/>
  <c r="AB40" i="43"/>
  <c r="O19" i="48"/>
  <c r="AC19" i="48" s="1"/>
  <c r="P19" i="48"/>
  <c r="Q54" i="45"/>
  <c r="BF54" i="43"/>
  <c r="Q365" i="45"/>
  <c r="Q366" i="45" s="1"/>
  <c r="AB61" i="43"/>
  <c r="BF9" i="43"/>
  <c r="Q8" i="45"/>
  <c r="Q90" i="45"/>
  <c r="P9" i="60"/>
  <c r="Q272" i="45"/>
  <c r="BF11" i="43"/>
  <c r="Q11" i="45"/>
  <c r="Q110" i="45"/>
  <c r="Q111" i="45" s="1"/>
  <c r="Q115" i="45" s="1"/>
  <c r="BF14" i="43"/>
  <c r="Q128" i="45"/>
  <c r="Q129" i="45" s="1"/>
  <c r="Q133" i="45" s="1"/>
  <c r="Q14" i="45"/>
  <c r="O14" i="48"/>
  <c r="AC14" i="48" s="1"/>
  <c r="AJ14" i="48" s="1"/>
  <c r="AK14" i="48" s="1"/>
  <c r="P14" i="48"/>
  <c r="Q414" i="45"/>
  <c r="Q415" i="45" s="1"/>
  <c r="P15" i="60"/>
  <c r="AB69" i="43"/>
  <c r="BF19" i="43"/>
  <c r="Q160" i="45"/>
  <c r="Q19" i="45"/>
  <c r="S158" i="45"/>
  <c r="AD18" i="43"/>
  <c r="S126" i="45"/>
  <c r="AD13" i="43"/>
  <c r="Q207" i="45"/>
  <c r="Q208" i="45" s="1"/>
  <c r="AB28" i="43"/>
  <c r="S399" i="45"/>
  <c r="R373" i="45"/>
  <c r="Q61" i="45"/>
  <c r="BF62" i="43"/>
  <c r="FB62" i="43" s="1"/>
  <c r="FF62" i="43" s="1"/>
  <c r="Q367" i="45"/>
  <c r="R368" i="45" s="1"/>
  <c r="R369" i="45" s="1"/>
  <c r="Q34" i="45"/>
  <c r="Q215" i="45"/>
  <c r="BF30" i="43"/>
  <c r="P69" i="48"/>
  <c r="O69" i="48"/>
  <c r="Q41" i="45"/>
  <c r="Q245" i="45"/>
  <c r="R246" i="45" s="1"/>
  <c r="BF37" i="43"/>
  <c r="O70" i="48"/>
  <c r="AC70" i="48" s="1"/>
  <c r="P70" i="48"/>
  <c r="S402" i="45"/>
  <c r="AD67" i="43"/>
  <c r="Q330" i="45"/>
  <c r="Q53" i="45"/>
  <c r="BF53" i="43"/>
  <c r="S408" i="45"/>
  <c r="S409" i="45" s="1"/>
  <c r="AD68" i="43"/>
  <c r="AH19" i="48" l="1"/>
  <c r="AJ19" i="48" s="1"/>
  <c r="AK19" i="48" s="1"/>
  <c r="AH70" i="48"/>
  <c r="AJ70" i="48" s="1"/>
  <c r="AK70" i="48" s="1"/>
  <c r="AC69" i="48"/>
  <c r="AJ69" i="48" s="1"/>
  <c r="AK69" i="48" s="1"/>
  <c r="D38" i="57"/>
  <c r="AD69" i="48"/>
  <c r="F38" i="57"/>
  <c r="V14" i="48"/>
  <c r="AD14" i="48"/>
  <c r="V70" i="48"/>
  <c r="AD70" i="48"/>
  <c r="V19" i="48"/>
  <c r="AD19" i="48"/>
  <c r="O72" i="48"/>
  <c r="AC72" i="48" s="1"/>
  <c r="AJ72" i="48" s="1"/>
  <c r="AK72" i="48" s="1"/>
  <c r="P72" i="48"/>
  <c r="S420" i="45"/>
  <c r="S421" i="45" s="1"/>
  <c r="AD70" i="43"/>
  <c r="Q25" i="60"/>
  <c r="R25" i="60" s="1"/>
  <c r="R152" i="45"/>
  <c r="AC17" i="43"/>
  <c r="BG10" i="43"/>
  <c r="R9" i="45"/>
  <c r="R96" i="45"/>
  <c r="R97" i="45" s="1"/>
  <c r="R101" i="45" s="1"/>
  <c r="H9" i="48"/>
  <c r="Q149" i="45"/>
  <c r="Q153" i="45" s="1"/>
  <c r="Q147" i="45"/>
  <c r="Q146" i="45" s="1"/>
  <c r="Q108" i="45" s="1"/>
  <c r="BG12" i="43"/>
  <c r="H13" i="48"/>
  <c r="R12" i="45"/>
  <c r="R116" i="45"/>
  <c r="R117" i="45" s="1"/>
  <c r="R121" i="45" s="1"/>
  <c r="BG16" i="43"/>
  <c r="H17" i="48"/>
  <c r="R16" i="45"/>
  <c r="R140" i="45"/>
  <c r="R141" i="45" s="1"/>
  <c r="R145" i="45" s="1"/>
  <c r="R138" i="45"/>
  <c r="AC15" i="43"/>
  <c r="BF28" i="43"/>
  <c r="Q203" i="45"/>
  <c r="R204" i="45" s="1"/>
  <c r="Q32" i="45"/>
  <c r="Q24" i="60"/>
  <c r="R94" i="45"/>
  <c r="R81" i="45"/>
  <c r="AC9" i="43"/>
  <c r="B5" i="47"/>
  <c r="C6" i="31"/>
  <c r="R170" i="45"/>
  <c r="Q5" i="60"/>
  <c r="AC21" i="43"/>
  <c r="S18" i="45"/>
  <c r="BH18" i="43"/>
  <c r="S154" i="45"/>
  <c r="S155" i="45" s="1"/>
  <c r="S159" i="45" s="1"/>
  <c r="Q68" i="45"/>
  <c r="Q410" i="45"/>
  <c r="R411" i="45" s="1"/>
  <c r="BF69" i="43"/>
  <c r="FB69" i="43" s="1"/>
  <c r="FF69" i="43" s="1"/>
  <c r="R114" i="45"/>
  <c r="Q7" i="60"/>
  <c r="R7" i="60" s="1"/>
  <c r="AC11" i="43"/>
  <c r="Q60" i="45"/>
  <c r="Q361" i="45"/>
  <c r="R362" i="45" s="1"/>
  <c r="BF61" i="43"/>
  <c r="FB61" i="43" s="1"/>
  <c r="FF61" i="43" s="1"/>
  <c r="BF38" i="43"/>
  <c r="Q55" i="45"/>
  <c r="S403" i="45"/>
  <c r="S122" i="45"/>
  <c r="S123" i="45" s="1"/>
  <c r="S127" i="45" s="1"/>
  <c r="S13" i="45"/>
  <c r="BH13" i="43"/>
  <c r="Q161" i="45"/>
  <c r="Q165" i="45" s="1"/>
  <c r="D11" i="65"/>
  <c r="U14" i="48"/>
  <c r="AC14" i="43"/>
  <c r="R132" i="45"/>
  <c r="Q91" i="45"/>
  <c r="Q95" i="45" s="1"/>
  <c r="Q89" i="45"/>
  <c r="D16" i="65"/>
  <c r="U19" i="48"/>
  <c r="R164" i="45"/>
  <c r="AC19" i="43"/>
  <c r="Q8" i="60"/>
  <c r="R8" i="60" s="1"/>
  <c r="AC54" i="43"/>
  <c r="Q43" i="45"/>
  <c r="BF40" i="43"/>
  <c r="Q270" i="45"/>
  <c r="R271" i="45" s="1"/>
  <c r="AC53" i="43"/>
  <c r="R334" i="45"/>
  <c r="R219" i="45"/>
  <c r="AC30" i="43"/>
  <c r="S67" i="45"/>
  <c r="BH68" i="43"/>
  <c r="S404" i="45"/>
  <c r="T405" i="45" s="1"/>
  <c r="R331" i="45"/>
  <c r="R332" i="45" s="1"/>
  <c r="U70" i="48"/>
  <c r="D42" i="65"/>
  <c r="D41" i="65"/>
  <c r="U69" i="48"/>
  <c r="R216" i="45"/>
  <c r="R371" i="45"/>
  <c r="R372" i="45" s="1"/>
  <c r="AC62" i="43"/>
  <c r="S66" i="45"/>
  <c r="S398" i="45"/>
  <c r="BH67" i="43"/>
  <c r="AC37" i="43"/>
  <c r="R249" i="45"/>
  <c r="R250" i="45" s="1"/>
  <c r="V69" i="48"/>
  <c r="V72" i="48" l="1"/>
  <c r="AD72" i="48"/>
  <c r="BH70" i="43"/>
  <c r="S416" i="45"/>
  <c r="T417" i="45" s="1"/>
  <c r="S69" i="45"/>
  <c r="U72" i="48"/>
  <c r="D44" i="65"/>
  <c r="Q26" i="60"/>
  <c r="O13" i="48"/>
  <c r="AC13" i="48" s="1"/>
  <c r="P13" i="48"/>
  <c r="O9" i="48"/>
  <c r="AC9" i="48" s="1"/>
  <c r="AJ9" i="48" s="1"/>
  <c r="AK9" i="48" s="1"/>
  <c r="P9" i="48"/>
  <c r="S120" i="45"/>
  <c r="AD12" i="43"/>
  <c r="H18" i="48"/>
  <c r="R148" i="45"/>
  <c r="R17" i="45"/>
  <c r="BG17" i="43"/>
  <c r="S100" i="45"/>
  <c r="AD10" i="43"/>
  <c r="P17" i="48"/>
  <c r="O17" i="48"/>
  <c r="AC17" i="48" s="1"/>
  <c r="AJ17" i="48" s="1"/>
  <c r="AK17" i="48" s="1"/>
  <c r="AD16" i="43"/>
  <c r="S144" i="45"/>
  <c r="BG15" i="43"/>
  <c r="H16" i="48"/>
  <c r="R134" i="45"/>
  <c r="R135" i="45" s="1"/>
  <c r="R139" i="45" s="1"/>
  <c r="R15" i="45"/>
  <c r="BG14" i="43"/>
  <c r="H15" i="48"/>
  <c r="R14" i="45"/>
  <c r="R128" i="45"/>
  <c r="R129" i="45" s="1"/>
  <c r="R133" i="45" s="1"/>
  <c r="R363" i="45"/>
  <c r="R414" i="45"/>
  <c r="R415" i="45" s="1"/>
  <c r="Q15" i="60"/>
  <c r="R15" i="60" s="1"/>
  <c r="AC69" i="43"/>
  <c r="T158" i="45"/>
  <c r="AE18" i="43"/>
  <c r="R272" i="45"/>
  <c r="T126" i="45"/>
  <c r="AE13" i="43"/>
  <c r="Q9" i="60"/>
  <c r="R9" i="60" s="1"/>
  <c r="R5" i="60"/>
  <c r="R274" i="45"/>
  <c r="R275" i="45" s="1"/>
  <c r="AC40" i="43"/>
  <c r="H20" i="48"/>
  <c r="R19" i="45"/>
  <c r="R160" i="45"/>
  <c r="BG19" i="43"/>
  <c r="Q12" i="60"/>
  <c r="R12" i="60" s="1"/>
  <c r="AC38" i="43"/>
  <c r="R22" i="45"/>
  <c r="BG21" i="43"/>
  <c r="H22" i="48"/>
  <c r="R166" i="45"/>
  <c r="R167" i="45" s="1"/>
  <c r="R171" i="45" s="1"/>
  <c r="R8" i="45"/>
  <c r="BG9" i="43"/>
  <c r="R90" i="45"/>
  <c r="H8" i="48"/>
  <c r="R207" i="45"/>
  <c r="R208" i="45" s="1"/>
  <c r="AC28" i="43"/>
  <c r="R54" i="45"/>
  <c r="H55" i="48"/>
  <c r="BG54" i="43"/>
  <c r="R365" i="45"/>
  <c r="R366" i="45" s="1"/>
  <c r="AC61" i="43"/>
  <c r="R11" i="45"/>
  <c r="BG11" i="43"/>
  <c r="H12" i="48"/>
  <c r="R110" i="45"/>
  <c r="R111" i="45" s="1"/>
  <c r="R115" i="45" s="1"/>
  <c r="H39" i="48"/>
  <c r="R245" i="45"/>
  <c r="S246" i="45" s="1"/>
  <c r="BG37" i="43"/>
  <c r="R41" i="45"/>
  <c r="T402" i="45"/>
  <c r="AE67" i="43"/>
  <c r="H64" i="48"/>
  <c r="R367" i="45"/>
  <c r="BG62" i="43"/>
  <c r="R61" i="45"/>
  <c r="T408" i="45"/>
  <c r="T409" i="45" s="1"/>
  <c r="AE68" i="43"/>
  <c r="T399" i="45"/>
  <c r="S373" i="45"/>
  <c r="R335" i="45"/>
  <c r="R220" i="45"/>
  <c r="R53" i="45"/>
  <c r="BG53" i="43"/>
  <c r="H54" i="48"/>
  <c r="R330" i="45"/>
  <c r="R215" i="45"/>
  <c r="H32" i="48"/>
  <c r="BG30" i="43"/>
  <c r="R34" i="45"/>
  <c r="AH13" i="48" l="1"/>
  <c r="AJ13" i="48" s="1"/>
  <c r="AK13" i="48" s="1"/>
  <c r="V13" i="48"/>
  <c r="AD13" i="48"/>
  <c r="V17" i="48"/>
  <c r="AD17" i="48"/>
  <c r="V9" i="48"/>
  <c r="AD9" i="48"/>
  <c r="T420" i="45"/>
  <c r="T421" i="45" s="1"/>
  <c r="AE70" i="43"/>
  <c r="S9" i="45"/>
  <c r="S96" i="45"/>
  <c r="S97" i="45" s="1"/>
  <c r="S101" i="45" s="1"/>
  <c r="BH10" i="43"/>
  <c r="R149" i="45"/>
  <c r="R153" i="45" s="1"/>
  <c r="R147" i="45"/>
  <c r="R146" i="45" s="1"/>
  <c r="R108" i="45" s="1"/>
  <c r="O18" i="48"/>
  <c r="P18" i="48"/>
  <c r="D6" i="65"/>
  <c r="U9" i="48"/>
  <c r="S152" i="45"/>
  <c r="AD17" i="43"/>
  <c r="S12" i="45"/>
  <c r="BH12" i="43"/>
  <c r="S116" i="45"/>
  <c r="S117" i="45" s="1"/>
  <c r="S121" i="45" s="1"/>
  <c r="U13" i="48"/>
  <c r="D10" i="65"/>
  <c r="BH16" i="43"/>
  <c r="S140" i="45"/>
  <c r="S141" i="45" s="1"/>
  <c r="S145" i="45" s="1"/>
  <c r="S16" i="45"/>
  <c r="D14" i="65"/>
  <c r="U17" i="48"/>
  <c r="P16" i="48"/>
  <c r="O16" i="48"/>
  <c r="AC16" i="48" s="1"/>
  <c r="S138" i="45"/>
  <c r="AD15" i="43"/>
  <c r="O55" i="48"/>
  <c r="AC55" i="48" s="1"/>
  <c r="AJ55" i="48" s="1"/>
  <c r="AK55" i="48" s="1"/>
  <c r="P55" i="48"/>
  <c r="R32" i="45"/>
  <c r="H30" i="48"/>
  <c r="R203" i="45"/>
  <c r="S204" i="45" s="1"/>
  <c r="BG28" i="43"/>
  <c r="R91" i="45"/>
  <c r="R95" i="45" s="1"/>
  <c r="R89" i="45"/>
  <c r="O22" i="48"/>
  <c r="P22" i="48"/>
  <c r="P20" i="48"/>
  <c r="AD20" i="48" s="1"/>
  <c r="O20" i="48"/>
  <c r="AC20" i="48" s="1"/>
  <c r="R361" i="45"/>
  <c r="S362" i="45" s="1"/>
  <c r="S363" i="45" s="1"/>
  <c r="H63" i="48"/>
  <c r="R60" i="45"/>
  <c r="BG61" i="43"/>
  <c r="S94" i="45"/>
  <c r="S81" i="45"/>
  <c r="AD9" i="43"/>
  <c r="S170" i="45"/>
  <c r="AD21" i="43"/>
  <c r="S164" i="45"/>
  <c r="AD19" i="43"/>
  <c r="BG40" i="43"/>
  <c r="H41" i="48"/>
  <c r="R43" i="45"/>
  <c r="R270" i="45"/>
  <c r="S271" i="45" s="1"/>
  <c r="R410" i="45"/>
  <c r="S411" i="45" s="1"/>
  <c r="R68" i="45"/>
  <c r="BG69" i="43"/>
  <c r="H71" i="48"/>
  <c r="P15" i="48"/>
  <c r="O15" i="48"/>
  <c r="AC15" i="48" s="1"/>
  <c r="AJ15" i="48" s="1"/>
  <c r="AK15" i="48" s="1"/>
  <c r="T13" i="45"/>
  <c r="I14" i="48"/>
  <c r="T122" i="45"/>
  <c r="T123" i="45" s="1"/>
  <c r="T127" i="45" s="1"/>
  <c r="BI13" i="43"/>
  <c r="AF13" i="43" s="1"/>
  <c r="BJ13" i="43" s="1"/>
  <c r="AG13" i="43" s="1"/>
  <c r="BK13" i="43" s="1"/>
  <c r="AH13" i="43" s="1"/>
  <c r="BL13" i="43" s="1"/>
  <c r="AI13" i="43" s="1"/>
  <c r="BM13" i="43" s="1"/>
  <c r="AJ13" i="43" s="1"/>
  <c r="BN13" i="43" s="1"/>
  <c r="AK13" i="43" s="1"/>
  <c r="BO13" i="43" s="1"/>
  <c r="AL13" i="43" s="1"/>
  <c r="BP13" i="43" s="1"/>
  <c r="AM13" i="43" s="1"/>
  <c r="BQ13" i="43" s="1"/>
  <c r="AN13" i="43" s="1"/>
  <c r="BR13" i="43" s="1"/>
  <c r="AO13" i="43" s="1"/>
  <c r="BS13" i="43" s="1"/>
  <c r="AP13" i="43" s="1"/>
  <c r="T154" i="45"/>
  <c r="T155" i="45" s="1"/>
  <c r="T159" i="45" s="1"/>
  <c r="I19" i="48"/>
  <c r="BI18" i="43"/>
  <c r="T18" i="45"/>
  <c r="AD14" i="43"/>
  <c r="S132" i="45"/>
  <c r="P12" i="48"/>
  <c r="O12" i="48"/>
  <c r="R161" i="45"/>
  <c r="R165" i="45" s="1"/>
  <c r="S114" i="45"/>
  <c r="AD11" i="43"/>
  <c r="AD54" i="43"/>
  <c r="P8" i="48"/>
  <c r="O8" i="48"/>
  <c r="BG38" i="43"/>
  <c r="AD38" i="43" s="1"/>
  <c r="H56" i="48"/>
  <c r="R55" i="45"/>
  <c r="O32" i="48"/>
  <c r="AC32" i="48" s="1"/>
  <c r="AJ32" i="48" s="1"/>
  <c r="AK32" i="48" s="1"/>
  <c r="P32" i="48"/>
  <c r="AD32" i="48" s="1"/>
  <c r="O54" i="48"/>
  <c r="P54" i="48"/>
  <c r="S368" i="45"/>
  <c r="S216" i="45"/>
  <c r="S334" i="45"/>
  <c r="AD53" i="43"/>
  <c r="P64" i="48"/>
  <c r="O64" i="48"/>
  <c r="AD37" i="43"/>
  <c r="S249" i="45"/>
  <c r="S250" i="45" s="1"/>
  <c r="BI68" i="43"/>
  <c r="AF68" i="43" s="1"/>
  <c r="BJ68" i="43" s="1"/>
  <c r="AG68" i="43" s="1"/>
  <c r="BK68" i="43" s="1"/>
  <c r="AH68" i="43" s="1"/>
  <c r="BL68" i="43" s="1"/>
  <c r="AI68" i="43" s="1"/>
  <c r="BM68" i="43" s="1"/>
  <c r="AJ68" i="43" s="1"/>
  <c r="BN68" i="43" s="1"/>
  <c r="AK68" i="43" s="1"/>
  <c r="BO68" i="43" s="1"/>
  <c r="AL68" i="43" s="1"/>
  <c r="BP68" i="43" s="1"/>
  <c r="AM68" i="43" s="1"/>
  <c r="BQ68" i="43" s="1"/>
  <c r="AN68" i="43" s="1"/>
  <c r="BR68" i="43" s="1"/>
  <c r="AO68" i="43" s="1"/>
  <c r="BS68" i="43" s="1"/>
  <c r="AP68" i="43" s="1"/>
  <c r="I70" i="48"/>
  <c r="T67" i="45"/>
  <c r="T404" i="45"/>
  <c r="I69" i="48"/>
  <c r="T66" i="45"/>
  <c r="T398" i="45"/>
  <c r="BI67" i="43"/>
  <c r="AF67" i="43" s="1"/>
  <c r="BJ67" i="43" s="1"/>
  <c r="AG67" i="43" s="1"/>
  <c r="BK67" i="43" s="1"/>
  <c r="AH67" i="43" s="1"/>
  <c r="BL67" i="43" s="1"/>
  <c r="AI67" i="43" s="1"/>
  <c r="BM67" i="43" s="1"/>
  <c r="AJ67" i="43" s="1"/>
  <c r="BN67" i="43" s="1"/>
  <c r="AK67" i="43" s="1"/>
  <c r="BO67" i="43" s="1"/>
  <c r="AL67" i="43" s="1"/>
  <c r="BP67" i="43" s="1"/>
  <c r="AM67" i="43" s="1"/>
  <c r="BQ67" i="43" s="1"/>
  <c r="AN67" i="43" s="1"/>
  <c r="BR67" i="43" s="1"/>
  <c r="AO67" i="43" s="1"/>
  <c r="BS67" i="43" s="1"/>
  <c r="AP67" i="43" s="1"/>
  <c r="S219" i="45"/>
  <c r="AD30" i="43"/>
  <c r="S331" i="45"/>
  <c r="S332" i="45" s="1"/>
  <c r="AD62" i="43"/>
  <c r="S371" i="45"/>
  <c r="T403" i="45"/>
  <c r="P39" i="48"/>
  <c r="O39" i="48"/>
  <c r="AC39" i="48" s="1"/>
  <c r="AJ39" i="48" s="1"/>
  <c r="AK39" i="48" s="1"/>
  <c r="AH16" i="48" l="1"/>
  <c r="AJ16" i="48" s="1"/>
  <c r="AK16" i="48" s="1"/>
  <c r="AH20" i="48"/>
  <c r="AJ20" i="48" s="1"/>
  <c r="AK20" i="48" s="1"/>
  <c r="AC54" i="48"/>
  <c r="D8" i="57"/>
  <c r="AC64" i="48"/>
  <c r="AJ64" i="48" s="1"/>
  <c r="AK64" i="48" s="1"/>
  <c r="D20" i="57"/>
  <c r="AD64" i="48"/>
  <c r="F20" i="57"/>
  <c r="AC8" i="48"/>
  <c r="AF8" i="48" s="1"/>
  <c r="D52" i="57"/>
  <c r="AC18" i="48"/>
  <c r="D55" i="57"/>
  <c r="AC12" i="48"/>
  <c r="AJ12" i="48" s="1"/>
  <c r="AK12" i="48" s="1"/>
  <c r="D54" i="57"/>
  <c r="AC22" i="48"/>
  <c r="AJ22" i="48" s="1"/>
  <c r="AK22" i="48" s="1"/>
  <c r="D56" i="57"/>
  <c r="AD54" i="48"/>
  <c r="F8" i="57"/>
  <c r="AD8" i="48"/>
  <c r="F52" i="57"/>
  <c r="AD22" i="48"/>
  <c r="F56" i="57"/>
  <c r="AD12" i="48"/>
  <c r="F54" i="57"/>
  <c r="F55" i="57"/>
  <c r="V15" i="48"/>
  <c r="AD15" i="48"/>
  <c r="V39" i="48"/>
  <c r="AD39" i="48"/>
  <c r="V55" i="48"/>
  <c r="AD55" i="48"/>
  <c r="V16" i="48"/>
  <c r="AD16" i="48"/>
  <c r="V18" i="48"/>
  <c r="AD18" i="48"/>
  <c r="T69" i="45"/>
  <c r="BI70" i="43"/>
  <c r="AF70" i="43" s="1"/>
  <c r="BJ70" i="43" s="1"/>
  <c r="AG70" i="43" s="1"/>
  <c r="BK70" i="43" s="1"/>
  <c r="AH70" i="43" s="1"/>
  <c r="BL70" i="43" s="1"/>
  <c r="AI70" i="43" s="1"/>
  <c r="BM70" i="43" s="1"/>
  <c r="AJ70" i="43" s="1"/>
  <c r="BN70" i="43" s="1"/>
  <c r="AK70" i="43" s="1"/>
  <c r="BO70" i="43" s="1"/>
  <c r="AL70" i="43" s="1"/>
  <c r="BP70" i="43" s="1"/>
  <c r="AM70" i="43" s="1"/>
  <c r="BQ70" i="43" s="1"/>
  <c r="AN70" i="43" s="1"/>
  <c r="BR70" i="43" s="1"/>
  <c r="AO70" i="43" s="1"/>
  <c r="BS70" i="43" s="1"/>
  <c r="AP70" i="43" s="1"/>
  <c r="I72" i="48"/>
  <c r="T416" i="45"/>
  <c r="S148" i="45"/>
  <c r="S17" i="45"/>
  <c r="BH17" i="43"/>
  <c r="T100" i="45"/>
  <c r="AE10" i="43"/>
  <c r="T120" i="45"/>
  <c r="AE12" i="43"/>
  <c r="D15" i="65"/>
  <c r="U18" i="48"/>
  <c r="AE16" i="43"/>
  <c r="T144" i="45"/>
  <c r="U16" i="48"/>
  <c r="D13" i="65"/>
  <c r="BH15" i="43"/>
  <c r="S15" i="45"/>
  <c r="S134" i="45"/>
  <c r="S135" i="45" s="1"/>
  <c r="S139" i="45" s="1"/>
  <c r="O56" i="48"/>
  <c r="AC56" i="48" s="1"/>
  <c r="AJ56" i="48" s="1"/>
  <c r="AK56" i="48" s="1"/>
  <c r="P56" i="48"/>
  <c r="S54" i="45"/>
  <c r="BH54" i="43"/>
  <c r="BH11" i="43"/>
  <c r="S11" i="45"/>
  <c r="S110" i="45"/>
  <c r="S111" i="45" s="1"/>
  <c r="S115" i="45" s="1"/>
  <c r="BH14" i="43"/>
  <c r="S128" i="45"/>
  <c r="S129" i="45" s="1"/>
  <c r="S133" i="45" s="1"/>
  <c r="S14" i="45"/>
  <c r="P71" i="48"/>
  <c r="O71" i="48"/>
  <c r="S272" i="45"/>
  <c r="BH21" i="43"/>
  <c r="S166" i="45"/>
  <c r="S167" i="45" s="1"/>
  <c r="S171" i="45" s="1"/>
  <c r="S22" i="45"/>
  <c r="O63" i="48"/>
  <c r="P63" i="48"/>
  <c r="V20" i="48"/>
  <c r="S414" i="45"/>
  <c r="S415" i="45" s="1"/>
  <c r="AD69" i="43"/>
  <c r="V22" i="48"/>
  <c r="S207" i="45"/>
  <c r="S208" i="45" s="1"/>
  <c r="AD28" i="43"/>
  <c r="BH38" i="43"/>
  <c r="AE38" i="43" s="1"/>
  <c r="S55" i="45"/>
  <c r="D9" i="65"/>
  <c r="U12" i="48"/>
  <c r="U8" i="48"/>
  <c r="D5" i="65"/>
  <c r="V12" i="48"/>
  <c r="AF18" i="43"/>
  <c r="BJ18" i="43" s="1"/>
  <c r="D12" i="65"/>
  <c r="U15" i="48"/>
  <c r="O41" i="48"/>
  <c r="AC41" i="48" s="1"/>
  <c r="AJ41" i="48" s="1"/>
  <c r="AK41" i="48" s="1"/>
  <c r="P41" i="48"/>
  <c r="S19" i="45"/>
  <c r="BH19" i="43"/>
  <c r="S160" i="45"/>
  <c r="S365" i="45"/>
  <c r="S366" i="45" s="1"/>
  <c r="AD61" i="43"/>
  <c r="U22" i="48"/>
  <c r="D19" i="65"/>
  <c r="I12" i="65" s="1"/>
  <c r="D32" i="65"/>
  <c r="U55" i="48"/>
  <c r="V8" i="48"/>
  <c r="AD40" i="43"/>
  <c r="S274" i="45"/>
  <c r="S275" i="45" s="1"/>
  <c r="BH9" i="43"/>
  <c r="S8" i="45"/>
  <c r="S90" i="45"/>
  <c r="D17" i="65"/>
  <c r="U20" i="48"/>
  <c r="O30" i="48"/>
  <c r="D31" i="57" s="1"/>
  <c r="P30" i="48"/>
  <c r="F31" i="57" s="1"/>
  <c r="S220" i="45"/>
  <c r="T373" i="45"/>
  <c r="U64" i="48"/>
  <c r="D36" i="65"/>
  <c r="V54" i="48"/>
  <c r="V64" i="48"/>
  <c r="S369" i="45"/>
  <c r="S372" i="45"/>
  <c r="U54" i="48"/>
  <c r="D31" i="65"/>
  <c r="BH30" i="43"/>
  <c r="S34" i="45"/>
  <c r="S215" i="45"/>
  <c r="S330" i="45"/>
  <c r="BH53" i="43"/>
  <c r="S53" i="45"/>
  <c r="V32" i="48"/>
  <c r="S367" i="45"/>
  <c r="BH62" i="43"/>
  <c r="S61" i="45"/>
  <c r="D28" i="65"/>
  <c r="U39" i="48"/>
  <c r="S245" i="45"/>
  <c r="T246" i="45" s="1"/>
  <c r="S41" i="45"/>
  <c r="BH37" i="43"/>
  <c r="S335" i="45"/>
  <c r="D26" i="65"/>
  <c r="U32" i="48"/>
  <c r="AH18" i="48" l="1"/>
  <c r="AJ18" i="48" s="1"/>
  <c r="AK18" i="48" s="1"/>
  <c r="AH8" i="48"/>
  <c r="AJ8" i="48" s="1"/>
  <c r="AK8" i="48" s="1"/>
  <c r="AH54" i="48"/>
  <c r="AJ54" i="48" s="1"/>
  <c r="AC63" i="48"/>
  <c r="AJ63" i="48" s="1"/>
  <c r="AK63" i="48" s="1"/>
  <c r="D43" i="57"/>
  <c r="AC71" i="48"/>
  <c r="AJ71" i="48" s="1"/>
  <c r="AK71" i="48" s="1"/>
  <c r="D39" i="57"/>
  <c r="AD71" i="48"/>
  <c r="F39" i="57"/>
  <c r="AD63" i="48"/>
  <c r="F43" i="57"/>
  <c r="V30" i="48"/>
  <c r="AD30" i="48"/>
  <c r="V41" i="48"/>
  <c r="AD41" i="48"/>
  <c r="AC30" i="48"/>
  <c r="AJ30" i="48" s="1"/>
  <c r="V56" i="48"/>
  <c r="AD56" i="48"/>
  <c r="I9" i="65"/>
  <c r="BI12" i="43"/>
  <c r="AF12" i="43" s="1"/>
  <c r="BJ12" i="43" s="1"/>
  <c r="AG12" i="43" s="1"/>
  <c r="BK12" i="43" s="1"/>
  <c r="AH12" i="43" s="1"/>
  <c r="BL12" i="43" s="1"/>
  <c r="AI12" i="43" s="1"/>
  <c r="BM12" i="43" s="1"/>
  <c r="AJ12" i="43" s="1"/>
  <c r="BN12" i="43" s="1"/>
  <c r="AK12" i="43" s="1"/>
  <c r="BO12" i="43" s="1"/>
  <c r="AL12" i="43" s="1"/>
  <c r="BP12" i="43" s="1"/>
  <c r="AM12" i="43" s="1"/>
  <c r="BQ12" i="43" s="1"/>
  <c r="AN12" i="43" s="1"/>
  <c r="BR12" i="43" s="1"/>
  <c r="AO12" i="43" s="1"/>
  <c r="BS12" i="43" s="1"/>
  <c r="AP12" i="43" s="1"/>
  <c r="T12" i="45"/>
  <c r="I13" i="48"/>
  <c r="T116" i="45"/>
  <c r="T117" i="45" s="1"/>
  <c r="T121" i="45" s="1"/>
  <c r="T152" i="45"/>
  <c r="AE17" i="43"/>
  <c r="BI10" i="43"/>
  <c r="AF10" i="43" s="1"/>
  <c r="BJ10" i="43" s="1"/>
  <c r="AG10" i="43" s="1"/>
  <c r="BK10" i="43" s="1"/>
  <c r="AH10" i="43" s="1"/>
  <c r="BL10" i="43" s="1"/>
  <c r="AI10" i="43" s="1"/>
  <c r="BM10" i="43" s="1"/>
  <c r="AJ10" i="43" s="1"/>
  <c r="BN10" i="43" s="1"/>
  <c r="AK10" i="43" s="1"/>
  <c r="BO10" i="43" s="1"/>
  <c r="AL10" i="43" s="1"/>
  <c r="BP10" i="43" s="1"/>
  <c r="AM10" i="43" s="1"/>
  <c r="BQ10" i="43" s="1"/>
  <c r="AN10" i="43" s="1"/>
  <c r="BR10" i="43" s="1"/>
  <c r="AO10" i="43" s="1"/>
  <c r="BS10" i="43" s="1"/>
  <c r="AP10" i="43" s="1"/>
  <c r="I9" i="48"/>
  <c r="T96" i="45"/>
  <c r="T97" i="45" s="1"/>
  <c r="T101" i="45" s="1"/>
  <c r="T9" i="45"/>
  <c r="S149" i="45"/>
  <c r="S153" i="45" s="1"/>
  <c r="S147" i="45"/>
  <c r="S146" i="45" s="1"/>
  <c r="S108" i="45" s="1"/>
  <c r="BI16" i="43"/>
  <c r="AF16" i="43" s="1"/>
  <c r="BJ16" i="43" s="1"/>
  <c r="AG16" i="43" s="1"/>
  <c r="BK16" i="43" s="1"/>
  <c r="AH16" i="43" s="1"/>
  <c r="BL16" i="43" s="1"/>
  <c r="AI16" i="43" s="1"/>
  <c r="BM16" i="43" s="1"/>
  <c r="AJ16" i="43" s="1"/>
  <c r="BN16" i="43" s="1"/>
  <c r="AK16" i="43" s="1"/>
  <c r="BO16" i="43" s="1"/>
  <c r="AL16" i="43" s="1"/>
  <c r="BP16" i="43" s="1"/>
  <c r="AM16" i="43" s="1"/>
  <c r="BQ16" i="43" s="1"/>
  <c r="AN16" i="43" s="1"/>
  <c r="BR16" i="43" s="1"/>
  <c r="AO16" i="43" s="1"/>
  <c r="BS16" i="43" s="1"/>
  <c r="AP16" i="43" s="1"/>
  <c r="I17" i="48"/>
  <c r="T16" i="45"/>
  <c r="T140" i="45"/>
  <c r="T141" i="45" s="1"/>
  <c r="T145" i="45" s="1"/>
  <c r="T138" i="45"/>
  <c r="AE15" i="43"/>
  <c r="T164" i="45"/>
  <c r="AE19" i="43"/>
  <c r="S410" i="45"/>
  <c r="T411" i="45" s="1"/>
  <c r="BH69" i="43"/>
  <c r="S68" i="45"/>
  <c r="V63" i="48"/>
  <c r="T170" i="45"/>
  <c r="AE21" i="43"/>
  <c r="V71" i="48"/>
  <c r="T94" i="45"/>
  <c r="T81" i="45"/>
  <c r="AE9" i="43"/>
  <c r="S60" i="45"/>
  <c r="BH61" i="43"/>
  <c r="S361" i="45"/>
  <c r="T362" i="45" s="1"/>
  <c r="T363" i="45" s="1"/>
  <c r="BI38" i="43"/>
  <c r="AF38" i="43" s="1"/>
  <c r="BJ38" i="43" s="1"/>
  <c r="AG38" i="43" s="1"/>
  <c r="BK38" i="43" s="1"/>
  <c r="AH38" i="43" s="1"/>
  <c r="BL38" i="43" s="1"/>
  <c r="AI38" i="43" s="1"/>
  <c r="BM38" i="43" s="1"/>
  <c r="AJ38" i="43" s="1"/>
  <c r="BN38" i="43" s="1"/>
  <c r="AK38" i="43" s="1"/>
  <c r="BO38" i="43" s="1"/>
  <c r="AL38" i="43" s="1"/>
  <c r="BP38" i="43" s="1"/>
  <c r="AM38" i="43" s="1"/>
  <c r="BQ38" i="43" s="1"/>
  <c r="AN38" i="43" s="1"/>
  <c r="BR38" i="43" s="1"/>
  <c r="AO38" i="43" s="1"/>
  <c r="BS38" i="43" s="1"/>
  <c r="AP38" i="43" s="1"/>
  <c r="I56" i="48"/>
  <c r="T55" i="45"/>
  <c r="U63" i="48"/>
  <c r="D35" i="65"/>
  <c r="T114" i="45"/>
  <c r="AE11" i="43"/>
  <c r="D33" i="65"/>
  <c r="U56" i="48"/>
  <c r="D24" i="65"/>
  <c r="U30" i="48"/>
  <c r="S91" i="45"/>
  <c r="S95" i="45" s="1"/>
  <c r="S89" i="45"/>
  <c r="S43" i="45"/>
  <c r="BH40" i="43"/>
  <c r="S270" i="45"/>
  <c r="T271" i="45" s="1"/>
  <c r="S161" i="45"/>
  <c r="S165" i="45" s="1"/>
  <c r="D29" i="65"/>
  <c r="U41" i="48"/>
  <c r="AG18" i="43"/>
  <c r="BK18" i="43" s="1"/>
  <c r="AH18" i="43" s="1"/>
  <c r="BL18" i="43" s="1"/>
  <c r="I7" i="65"/>
  <c r="I3" i="65"/>
  <c r="I8" i="65"/>
  <c r="S32" i="45"/>
  <c r="S203" i="45"/>
  <c r="T204" i="45" s="1"/>
  <c r="BH28" i="43"/>
  <c r="D43" i="65"/>
  <c r="U71" i="48"/>
  <c r="T132" i="45"/>
  <c r="AE14" i="43"/>
  <c r="AE54" i="43"/>
  <c r="T368" i="45"/>
  <c r="AE53" i="43"/>
  <c r="T334" i="45"/>
  <c r="T216" i="45"/>
  <c r="T331" i="45"/>
  <c r="T332" i="45" s="1"/>
  <c r="AE37" i="43"/>
  <c r="T249" i="45"/>
  <c r="T250" i="45" s="1"/>
  <c r="T371" i="45"/>
  <c r="AE62" i="43"/>
  <c r="T219" i="45"/>
  <c r="AE30" i="43"/>
  <c r="AK54" i="48" l="1"/>
  <c r="AK30" i="48"/>
  <c r="BI17" i="43"/>
  <c r="AF17" i="43" s="1"/>
  <c r="BJ17" i="43" s="1"/>
  <c r="AG17" i="43" s="1"/>
  <c r="BK17" i="43" s="1"/>
  <c r="AH17" i="43" s="1"/>
  <c r="BL17" i="43" s="1"/>
  <c r="AI17" i="43" s="1"/>
  <c r="BM17" i="43" s="1"/>
  <c r="AJ17" i="43" s="1"/>
  <c r="BN17" i="43" s="1"/>
  <c r="AK17" i="43" s="1"/>
  <c r="BO17" i="43" s="1"/>
  <c r="AL17" i="43" s="1"/>
  <c r="BP17" i="43" s="1"/>
  <c r="AM17" i="43" s="1"/>
  <c r="BQ17" i="43" s="1"/>
  <c r="AN17" i="43" s="1"/>
  <c r="BR17" i="43" s="1"/>
  <c r="AO17" i="43" s="1"/>
  <c r="BS17" i="43" s="1"/>
  <c r="AP17" i="43" s="1"/>
  <c r="I18" i="48"/>
  <c r="T17" i="45"/>
  <c r="T148" i="45"/>
  <c r="BI15" i="43"/>
  <c r="AF15" i="43" s="1"/>
  <c r="BJ15" i="43" s="1"/>
  <c r="AG15" i="43" s="1"/>
  <c r="BK15" i="43" s="1"/>
  <c r="AH15" i="43" s="1"/>
  <c r="BL15" i="43" s="1"/>
  <c r="AI15" i="43" s="1"/>
  <c r="BM15" i="43" s="1"/>
  <c r="AJ15" i="43" s="1"/>
  <c r="BN15" i="43" s="1"/>
  <c r="AK15" i="43" s="1"/>
  <c r="BO15" i="43" s="1"/>
  <c r="AL15" i="43" s="1"/>
  <c r="BP15" i="43" s="1"/>
  <c r="AM15" i="43" s="1"/>
  <c r="BQ15" i="43" s="1"/>
  <c r="AN15" i="43" s="1"/>
  <c r="BR15" i="43" s="1"/>
  <c r="AO15" i="43" s="1"/>
  <c r="BS15" i="43" s="1"/>
  <c r="AP15" i="43" s="1"/>
  <c r="T15" i="45"/>
  <c r="T134" i="45"/>
  <c r="T135" i="45" s="1"/>
  <c r="T139" i="45" s="1"/>
  <c r="I16" i="48"/>
  <c r="AI18" i="43"/>
  <c r="BM18" i="43" s="1"/>
  <c r="AJ18" i="43" s="1"/>
  <c r="BN18" i="43" s="1"/>
  <c r="AK18" i="43" s="1"/>
  <c r="BO18" i="43" s="1"/>
  <c r="AE61" i="43"/>
  <c r="T365" i="45"/>
  <c r="T366" i="45" s="1"/>
  <c r="T414" i="45"/>
  <c r="T415" i="45" s="1"/>
  <c r="AE69" i="43"/>
  <c r="T11" i="45"/>
  <c r="I12" i="48"/>
  <c r="BI11" i="43"/>
  <c r="AF11" i="43" s="1"/>
  <c r="BJ11" i="43" s="1"/>
  <c r="AG11" i="43" s="1"/>
  <c r="BK11" i="43" s="1"/>
  <c r="AH11" i="43" s="1"/>
  <c r="BL11" i="43" s="1"/>
  <c r="AI11" i="43" s="1"/>
  <c r="BM11" i="43" s="1"/>
  <c r="AJ11" i="43" s="1"/>
  <c r="BN11" i="43" s="1"/>
  <c r="AK11" i="43" s="1"/>
  <c r="BO11" i="43" s="1"/>
  <c r="AL11" i="43" s="1"/>
  <c r="BP11" i="43" s="1"/>
  <c r="AM11" i="43" s="1"/>
  <c r="BQ11" i="43" s="1"/>
  <c r="AN11" i="43" s="1"/>
  <c r="BR11" i="43" s="1"/>
  <c r="AO11" i="43" s="1"/>
  <c r="BS11" i="43" s="1"/>
  <c r="AP11" i="43" s="1"/>
  <c r="T110" i="45"/>
  <c r="T111" i="45" s="1"/>
  <c r="T115" i="45" s="1"/>
  <c r="BI14" i="43"/>
  <c r="AF14" i="43" s="1"/>
  <c r="BJ14" i="43" s="1"/>
  <c r="AG14" i="43" s="1"/>
  <c r="BK14" i="43" s="1"/>
  <c r="AH14" i="43" s="1"/>
  <c r="BL14" i="43" s="1"/>
  <c r="AI14" i="43" s="1"/>
  <c r="BM14" i="43" s="1"/>
  <c r="AJ14" i="43" s="1"/>
  <c r="BN14" i="43" s="1"/>
  <c r="AK14" i="43" s="1"/>
  <c r="BO14" i="43" s="1"/>
  <c r="AL14" i="43" s="1"/>
  <c r="BP14" i="43" s="1"/>
  <c r="AM14" i="43" s="1"/>
  <c r="BQ14" i="43" s="1"/>
  <c r="AN14" i="43" s="1"/>
  <c r="BR14" i="43" s="1"/>
  <c r="AO14" i="43" s="1"/>
  <c r="BS14" i="43" s="1"/>
  <c r="AP14" i="43" s="1"/>
  <c r="I15" i="48"/>
  <c r="T14" i="45"/>
  <c r="T128" i="45"/>
  <c r="T129" i="45" s="1"/>
  <c r="T133" i="45" s="1"/>
  <c r="T207" i="45"/>
  <c r="T208" i="45" s="1"/>
  <c r="AE28" i="43"/>
  <c r="T272" i="45"/>
  <c r="T8" i="45"/>
  <c r="T90" i="45"/>
  <c r="BI9" i="43"/>
  <c r="AF9" i="43" s="1"/>
  <c r="BJ9" i="43" s="1"/>
  <c r="AG9" i="43" s="1"/>
  <c r="BK9" i="43" s="1"/>
  <c r="AH9" i="43" s="1"/>
  <c r="BL9" i="43" s="1"/>
  <c r="AI9" i="43" s="1"/>
  <c r="BM9" i="43" s="1"/>
  <c r="AJ9" i="43" s="1"/>
  <c r="BN9" i="43" s="1"/>
  <c r="AK9" i="43" s="1"/>
  <c r="BO9" i="43" s="1"/>
  <c r="AL9" i="43" s="1"/>
  <c r="BP9" i="43" s="1"/>
  <c r="AM9" i="43" s="1"/>
  <c r="BQ9" i="43" s="1"/>
  <c r="AN9" i="43" s="1"/>
  <c r="BR9" i="43" s="1"/>
  <c r="AO9" i="43" s="1"/>
  <c r="BS9" i="43" s="1"/>
  <c r="AP9" i="43" s="1"/>
  <c r="I8" i="48"/>
  <c r="I55" i="48"/>
  <c r="BI54" i="43"/>
  <c r="T54" i="45"/>
  <c r="AE40" i="43"/>
  <c r="T274" i="45"/>
  <c r="T275" i="45" s="1"/>
  <c r="T22" i="45"/>
  <c r="T166" i="45"/>
  <c r="T167" i="45" s="1"/>
  <c r="T171" i="45" s="1"/>
  <c r="I22" i="48"/>
  <c r="BI21" i="43"/>
  <c r="AF21" i="43" s="1"/>
  <c r="BJ21" i="43" s="1"/>
  <c r="AG21" i="43" s="1"/>
  <c r="BK21" i="43" s="1"/>
  <c r="AH21" i="43" s="1"/>
  <c r="BL21" i="43" s="1"/>
  <c r="AI21" i="43" s="1"/>
  <c r="BM21" i="43" s="1"/>
  <c r="AJ21" i="43" s="1"/>
  <c r="BN21" i="43" s="1"/>
  <c r="AK21" i="43" s="1"/>
  <c r="BO21" i="43" s="1"/>
  <c r="AL21" i="43" s="1"/>
  <c r="BP21" i="43" s="1"/>
  <c r="AM21" i="43" s="1"/>
  <c r="BQ21" i="43" s="1"/>
  <c r="AN21" i="43" s="1"/>
  <c r="BR21" i="43" s="1"/>
  <c r="AO21" i="43" s="1"/>
  <c r="BS21" i="43" s="1"/>
  <c r="AP21" i="43" s="1"/>
  <c r="I20" i="48"/>
  <c r="T19" i="45"/>
  <c r="BI19" i="43"/>
  <c r="AF19" i="43" s="1"/>
  <c r="BJ19" i="43" s="1"/>
  <c r="AG19" i="43" s="1"/>
  <c r="BK19" i="43" s="1"/>
  <c r="AH19" i="43" s="1"/>
  <c r="BL19" i="43" s="1"/>
  <c r="AI19" i="43" s="1"/>
  <c r="BM19" i="43" s="1"/>
  <c r="AJ19" i="43" s="1"/>
  <c r="BN19" i="43" s="1"/>
  <c r="AK19" i="43" s="1"/>
  <c r="BO19" i="43" s="1"/>
  <c r="AL19" i="43" s="1"/>
  <c r="BP19" i="43" s="1"/>
  <c r="AM19" i="43" s="1"/>
  <c r="BQ19" i="43" s="1"/>
  <c r="AN19" i="43" s="1"/>
  <c r="BR19" i="43" s="1"/>
  <c r="AO19" i="43" s="1"/>
  <c r="BS19" i="43" s="1"/>
  <c r="AP19" i="43" s="1"/>
  <c r="T160" i="45"/>
  <c r="T220" i="45"/>
  <c r="T245" i="45"/>
  <c r="I39" i="48"/>
  <c r="T41" i="45"/>
  <c r="BI37" i="43"/>
  <c r="T369" i="45"/>
  <c r="T372" i="45"/>
  <c r="I32" i="48"/>
  <c r="T215" i="45"/>
  <c r="T34" i="45"/>
  <c r="BI30" i="43"/>
  <c r="T335" i="45"/>
  <c r="BI62" i="43"/>
  <c r="I64" i="48"/>
  <c r="T61" i="45"/>
  <c r="T367" i="45"/>
  <c r="T330" i="45"/>
  <c r="T53" i="45"/>
  <c r="I54" i="48"/>
  <c r="BI53" i="43"/>
  <c r="T149" i="45" l="1"/>
  <c r="T153" i="45" s="1"/>
  <c r="T147" i="45"/>
  <c r="T146" i="45" s="1"/>
  <c r="T108" i="45" s="1"/>
  <c r="T161" i="45"/>
  <c r="T165" i="45" s="1"/>
  <c r="T203" i="45"/>
  <c r="T32" i="45"/>
  <c r="BI28" i="43"/>
  <c r="AF28" i="43" s="1"/>
  <c r="BJ28" i="43" s="1"/>
  <c r="AG28" i="43" s="1"/>
  <c r="BK28" i="43" s="1"/>
  <c r="AH28" i="43" s="1"/>
  <c r="BL28" i="43" s="1"/>
  <c r="AI28" i="43" s="1"/>
  <c r="BM28" i="43" s="1"/>
  <c r="AJ28" i="43" s="1"/>
  <c r="BN28" i="43" s="1"/>
  <c r="AK28" i="43" s="1"/>
  <c r="BO28" i="43" s="1"/>
  <c r="AL28" i="43" s="1"/>
  <c r="BP28" i="43" s="1"/>
  <c r="AM28" i="43" s="1"/>
  <c r="BQ28" i="43" s="1"/>
  <c r="AN28" i="43" s="1"/>
  <c r="BR28" i="43" s="1"/>
  <c r="AO28" i="43" s="1"/>
  <c r="BS28" i="43" s="1"/>
  <c r="AP28" i="43" s="1"/>
  <c r="I30" i="48"/>
  <c r="AL18" i="43"/>
  <c r="BP18" i="43" s="1"/>
  <c r="AM18" i="43" s="1"/>
  <c r="BQ18" i="43" s="1"/>
  <c r="AN18" i="43" s="1"/>
  <c r="BR18" i="43" s="1"/>
  <c r="AO18" i="43" s="1"/>
  <c r="BS18" i="43" s="1"/>
  <c r="AP18" i="43" s="1"/>
  <c r="BI61" i="43"/>
  <c r="AF61" i="43" s="1"/>
  <c r="BJ61" i="43" s="1"/>
  <c r="AG61" i="43" s="1"/>
  <c r="BK61" i="43" s="1"/>
  <c r="I63" i="48"/>
  <c r="T60" i="45"/>
  <c r="T361" i="45"/>
  <c r="T410" i="45"/>
  <c r="BI69" i="43"/>
  <c r="AF69" i="43" s="1"/>
  <c r="BJ69" i="43" s="1"/>
  <c r="AG69" i="43" s="1"/>
  <c r="BK69" i="43" s="1"/>
  <c r="AH69" i="43" s="1"/>
  <c r="BL69" i="43" s="1"/>
  <c r="AI69" i="43" s="1"/>
  <c r="BM69" i="43" s="1"/>
  <c r="AJ69" i="43" s="1"/>
  <c r="BN69" i="43" s="1"/>
  <c r="AK69" i="43" s="1"/>
  <c r="BO69" i="43" s="1"/>
  <c r="AL69" i="43" s="1"/>
  <c r="BP69" i="43" s="1"/>
  <c r="AM69" i="43" s="1"/>
  <c r="BQ69" i="43" s="1"/>
  <c r="AN69" i="43" s="1"/>
  <c r="BR69" i="43" s="1"/>
  <c r="AO69" i="43" s="1"/>
  <c r="BS69" i="43" s="1"/>
  <c r="AP69" i="43" s="1"/>
  <c r="I71" i="48"/>
  <c r="T68" i="45"/>
  <c r="T43" i="45"/>
  <c r="I41" i="48"/>
  <c r="T270" i="45"/>
  <c r="BI40" i="43"/>
  <c r="T91" i="45"/>
  <c r="T95" i="45" s="1"/>
  <c r="T89" i="45"/>
  <c r="AF54" i="43"/>
  <c r="BJ54" i="43" s="1"/>
  <c r="AG54" i="43" s="1"/>
  <c r="BK54" i="43" s="1"/>
  <c r="AH54" i="43" s="1"/>
  <c r="BL54" i="43" s="1"/>
  <c r="AI54" i="43" s="1"/>
  <c r="BM54" i="43" s="1"/>
  <c r="AJ54" i="43" s="1"/>
  <c r="BN54" i="43" s="1"/>
  <c r="AK54" i="43" s="1"/>
  <c r="BO54" i="43" s="1"/>
  <c r="AL54" i="43" s="1"/>
  <c r="BP54" i="43" s="1"/>
  <c r="AM54" i="43" s="1"/>
  <c r="BQ54" i="43" s="1"/>
  <c r="AN54" i="43" s="1"/>
  <c r="BR54" i="43" s="1"/>
  <c r="AO54" i="43" s="1"/>
  <c r="BS54" i="43" s="1"/>
  <c r="AP54" i="43" s="1"/>
  <c r="AF53" i="43"/>
  <c r="BJ53" i="43" s="1"/>
  <c r="AG53" i="43" s="1"/>
  <c r="BK53" i="43" s="1"/>
  <c r="AF62" i="43"/>
  <c r="BJ62" i="43" s="1"/>
  <c r="AF30" i="43"/>
  <c r="BJ30" i="43" s="1"/>
  <c r="AG30" i="43" s="1"/>
  <c r="BK30" i="43" s="1"/>
  <c r="AF37" i="43"/>
  <c r="BJ37" i="43" s="1"/>
  <c r="AH61" i="43" l="1"/>
  <c r="BL61" i="43" s="1"/>
  <c r="AI61" i="43" s="1"/>
  <c r="BM61" i="43" s="1"/>
  <c r="AJ61" i="43" s="1"/>
  <c r="BN61" i="43" s="1"/>
  <c r="AF40" i="43"/>
  <c r="BJ40" i="43" s="1"/>
  <c r="AH53" i="43"/>
  <c r="BL53" i="43" s="1"/>
  <c r="AH30" i="43"/>
  <c r="BL30" i="43" s="1"/>
  <c r="AI30" i="43" s="1"/>
  <c r="BM30" i="43" s="1"/>
  <c r="AG37" i="43"/>
  <c r="BK37" i="43" s="1"/>
  <c r="AG62" i="43"/>
  <c r="BK62" i="43" s="1"/>
  <c r="AH62" i="43" s="1"/>
  <c r="BL62" i="43" s="1"/>
  <c r="AI62" i="43" s="1"/>
  <c r="BM62" i="43" s="1"/>
  <c r="AJ62" i="43" s="1"/>
  <c r="BN62" i="43" s="1"/>
  <c r="AK62" i="43" s="1"/>
  <c r="BO62" i="43" s="1"/>
  <c r="AL62" i="43" s="1"/>
  <c r="BP62" i="43" s="1"/>
  <c r="AM62" i="43" s="1"/>
  <c r="BQ62" i="43" s="1"/>
  <c r="AN62" i="43" s="1"/>
  <c r="BR62" i="43" s="1"/>
  <c r="AO62" i="43" s="1"/>
  <c r="BS62" i="43" s="1"/>
  <c r="AK61" i="43" l="1"/>
  <c r="BO61" i="43" s="1"/>
  <c r="AL61" i="43" s="1"/>
  <c r="BP61" i="43" s="1"/>
  <c r="AM61" i="43" s="1"/>
  <c r="BQ61" i="43" s="1"/>
  <c r="AG40" i="43"/>
  <c r="BK40" i="43" s="1"/>
  <c r="AH40" i="43" s="1"/>
  <c r="BL40" i="43" s="1"/>
  <c r="AI53" i="43"/>
  <c r="BM53" i="43" s="1"/>
  <c r="AP62" i="43"/>
  <c r="AJ30" i="43"/>
  <c r="BN30" i="43" s="1"/>
  <c r="AK30" i="43" s="1"/>
  <c r="BO30" i="43" s="1"/>
  <c r="AL30" i="43" s="1"/>
  <c r="BP30" i="43" s="1"/>
  <c r="AM30" i="43" s="1"/>
  <c r="BQ30" i="43" s="1"/>
  <c r="AH37" i="43"/>
  <c r="BL37" i="43" s="1"/>
  <c r="AI40" i="43" l="1"/>
  <c r="BM40" i="43" s="1"/>
  <c r="AI37" i="43"/>
  <c r="BM37" i="43" s="1"/>
  <c r="AN30" i="43"/>
  <c r="BR30" i="43" s="1"/>
  <c r="AO30" i="43" s="1"/>
  <c r="BS30" i="43" s="1"/>
  <c r="AP30" i="43" s="1"/>
  <c r="AJ53" i="43"/>
  <c r="BN53" i="43" s="1"/>
  <c r="AN61" i="43"/>
  <c r="BR61" i="43" s="1"/>
  <c r="AO61" i="43" s="1"/>
  <c r="BS61" i="43" s="1"/>
  <c r="AP61" i="43" s="1"/>
  <c r="AJ40" i="43" l="1"/>
  <c r="BN40" i="43" s="1"/>
  <c r="AK40" i="43" s="1"/>
  <c r="BO40" i="43" s="1"/>
  <c r="AJ37" i="43"/>
  <c r="BN37" i="43" s="1"/>
  <c r="AK53" i="43"/>
  <c r="BO53" i="43" s="1"/>
  <c r="AL53" i="43" s="1"/>
  <c r="BP53" i="43" s="1"/>
  <c r="AM53" i="43" s="1"/>
  <c r="BQ53" i="43" s="1"/>
  <c r="AL40" i="43" l="1"/>
  <c r="BP40" i="43" s="1"/>
  <c r="AK37" i="43"/>
  <c r="BO37" i="43" s="1"/>
  <c r="AN53" i="43"/>
  <c r="BR53" i="43" s="1"/>
  <c r="AO53" i="43" s="1"/>
  <c r="BS53" i="43" s="1"/>
  <c r="AM40" i="43" l="1"/>
  <c r="BQ40" i="43" s="1"/>
  <c r="AP53" i="43"/>
  <c r="AL37" i="43"/>
  <c r="BP37" i="43" s="1"/>
  <c r="AN40" i="43" l="1"/>
  <c r="BR40" i="43" s="1"/>
  <c r="AO40" i="43" s="1"/>
  <c r="BS40" i="43" s="1"/>
  <c r="AM37" i="43"/>
  <c r="BQ37" i="43" s="1"/>
  <c r="AP40" i="43" l="1"/>
  <c r="AN37" i="43"/>
  <c r="BR37" i="43" s="1"/>
  <c r="AO37" i="43" l="1"/>
  <c r="BS37" i="43" s="1"/>
  <c r="AP37" i="43" l="1"/>
  <c r="AH31" i="48" l="1"/>
  <c r="AJ31" i="48" s="1"/>
  <c r="O24" i="60" l="1"/>
  <c r="O26" i="60" s="1"/>
  <c r="N24" i="60"/>
  <c r="N26" i="60" s="1"/>
  <c r="E24" i="60"/>
  <c r="E26" i="60" s="1"/>
  <c r="F24" i="60"/>
  <c r="F26" i="60" s="1"/>
  <c r="G24" i="60"/>
  <c r="G26" i="60" s="1"/>
  <c r="H24" i="60"/>
  <c r="H26" i="60" s="1"/>
  <c r="I24" i="60"/>
  <c r="I26" i="60" s="1"/>
  <c r="J24" i="60"/>
  <c r="J26" i="60" s="1"/>
  <c r="K24" i="60"/>
  <c r="K26" i="60" s="1"/>
  <c r="L24" i="60"/>
  <c r="L26" i="60" s="1"/>
  <c r="M24" i="60"/>
  <c r="M26" i="60" s="1"/>
  <c r="AH52" i="48"/>
  <c r="AH36" i="48"/>
  <c r="G23" i="56"/>
  <c r="G25" i="56"/>
  <c r="V25" i="56" s="1"/>
  <c r="DC62" i="24" s="1"/>
  <c r="AE62" i="24" s="1"/>
  <c r="CS60" i="43" s="1"/>
  <c r="BQ60" i="43" s="1"/>
  <c r="G2" i="56"/>
  <c r="AK2" i="56" s="1"/>
  <c r="DR38" i="24" s="1"/>
  <c r="G6" i="56"/>
  <c r="AQ6" i="56" s="1"/>
  <c r="DX42" i="24" s="1"/>
  <c r="G4" i="56"/>
  <c r="AM4" i="56" s="1"/>
  <c r="DT40" i="24" s="1"/>
  <c r="G19" i="56"/>
  <c r="AW19" i="56" s="1"/>
  <c r="ED56" i="24" s="1"/>
  <c r="G21" i="56"/>
  <c r="AP21" i="56" s="1"/>
  <c r="DW58" i="24" s="1"/>
  <c r="G8" i="56"/>
  <c r="AI8" i="56" s="1"/>
  <c r="DP44" i="24" s="1"/>
  <c r="G5" i="56"/>
  <c r="AQ5" i="56" s="1"/>
  <c r="DX41" i="24" s="1"/>
  <c r="G20" i="56"/>
  <c r="BA20" i="56" s="1"/>
  <c r="EH57" i="24" s="1"/>
  <c r="G13" i="56"/>
  <c r="BD13" i="56" s="1"/>
  <c r="EK50" i="24" s="1"/>
  <c r="G16" i="56"/>
  <c r="AX16" i="56" s="1"/>
  <c r="EE53" i="24" s="1"/>
  <c r="G10" i="56"/>
  <c r="BA10" i="56" s="1"/>
  <c r="EH47" i="24" s="1"/>
  <c r="G18" i="56"/>
  <c r="AC18" i="56" s="1"/>
  <c r="DJ55" i="24" s="1"/>
  <c r="G14" i="56"/>
  <c r="AF14" i="56" s="1"/>
  <c r="DM51" i="24" s="1"/>
  <c r="G11" i="56"/>
  <c r="BF11" i="56" s="1"/>
  <c r="EM48" i="24" s="1"/>
  <c r="G22" i="56"/>
  <c r="AQ22" i="56" s="1"/>
  <c r="DX59" i="24" s="1"/>
  <c r="G15" i="56"/>
  <c r="AX15" i="56" s="1"/>
  <c r="EE52" i="24" s="1"/>
  <c r="G3" i="56"/>
  <c r="BB3" i="56" s="1"/>
  <c r="EI39" i="24" s="1"/>
  <c r="G12" i="56"/>
  <c r="BD12" i="56" s="1"/>
  <c r="EK49" i="24" s="1"/>
  <c r="G7" i="56"/>
  <c r="BC7" i="56" s="1"/>
  <c r="EJ43" i="24" s="1"/>
  <c r="G17" i="56"/>
  <c r="C3" i="72"/>
  <c r="C5" i="72" s="1"/>
  <c r="G26" i="56"/>
  <c r="AJ26" i="56" s="1"/>
  <c r="DQ63" i="24" s="1"/>
  <c r="G9" i="56"/>
  <c r="AC9" i="56" s="1"/>
  <c r="DJ45" i="24" s="1"/>
  <c r="G28" i="56"/>
  <c r="AY28" i="56" s="1"/>
  <c r="EF46" i="24" s="1"/>
  <c r="G27" i="56"/>
  <c r="B6" i="62"/>
  <c r="G29" i="56"/>
  <c r="Z7" i="56" l="1"/>
  <c r="DG43" i="24" s="1"/>
  <c r="AY7" i="56"/>
  <c r="EF43" i="24" s="1"/>
  <c r="BA7" i="56"/>
  <c r="EH43" i="24" s="1"/>
  <c r="AR7" i="56"/>
  <c r="DY43" i="24" s="1"/>
  <c r="AY5" i="56"/>
  <c r="EF41" i="24" s="1"/>
  <c r="AC7" i="56"/>
  <c r="DJ43" i="24" s="1"/>
  <c r="AS22" i="56"/>
  <c r="DZ59" i="24" s="1"/>
  <c r="AR21" i="56"/>
  <c r="DY58" i="24" s="1"/>
  <c r="AL8" i="56"/>
  <c r="DS44" i="24" s="1"/>
  <c r="AW21" i="56"/>
  <c r="ED58" i="24" s="1"/>
  <c r="AH6" i="56"/>
  <c r="DO42" i="24" s="1"/>
  <c r="AH22" i="56"/>
  <c r="DO59" i="24" s="1"/>
  <c r="AH21" i="56"/>
  <c r="DO58" i="24" s="1"/>
  <c r="BF7" i="56"/>
  <c r="EM43" i="24" s="1"/>
  <c r="AB22" i="56"/>
  <c r="DI59" i="24" s="1"/>
  <c r="BC13" i="56"/>
  <c r="EJ50" i="24" s="1"/>
  <c r="AC8" i="56"/>
  <c r="DJ44" i="24" s="1"/>
  <c r="AD21" i="56"/>
  <c r="DK58" i="24" s="1"/>
  <c r="BE6" i="56"/>
  <c r="EL42" i="24" s="1"/>
  <c r="T28" i="56"/>
  <c r="DA46" i="24" s="1"/>
  <c r="AC46" i="24" s="1"/>
  <c r="CQ27" i="43" s="1"/>
  <c r="BO27" i="43" s="1"/>
  <c r="D3" i="72"/>
  <c r="D16" i="72" s="1"/>
  <c r="AX28" i="56"/>
  <c r="EE46" i="24" s="1"/>
  <c r="AM26" i="56"/>
  <c r="DT63" i="24" s="1"/>
  <c r="AU28" i="56"/>
  <c r="EB46" i="24" s="1"/>
  <c r="C17" i="72"/>
  <c r="F17" i="72" s="1"/>
  <c r="H3" i="72"/>
  <c r="AN7" i="56"/>
  <c r="DU43" i="24" s="1"/>
  <c r="BB7" i="56"/>
  <c r="EI43" i="24" s="1"/>
  <c r="AN22" i="56"/>
  <c r="DU59" i="24" s="1"/>
  <c r="AY22" i="56"/>
  <c r="EF59" i="24" s="1"/>
  <c r="Z13" i="56"/>
  <c r="DG50" i="24" s="1"/>
  <c r="AO20" i="56"/>
  <c r="DV57" i="24" s="1"/>
  <c r="BA4" i="56"/>
  <c r="EH40" i="24" s="1"/>
  <c r="AM28" i="56"/>
  <c r="DT46" i="24" s="1"/>
  <c r="AE26" i="56"/>
  <c r="DL63" i="24" s="1"/>
  <c r="AL26" i="56"/>
  <c r="DS63" i="24" s="1"/>
  <c r="BF28" i="56"/>
  <c r="EM46" i="24" s="1"/>
  <c r="S28" i="56"/>
  <c r="CZ46" i="24" s="1"/>
  <c r="AB46" i="24" s="1"/>
  <c r="CP27" i="43" s="1"/>
  <c r="BN27" i="43" s="1"/>
  <c r="C11" i="72"/>
  <c r="AY20" i="56"/>
  <c r="EF57" i="24" s="1"/>
  <c r="AA20" i="56"/>
  <c r="DH57" i="24" s="1"/>
  <c r="AM20" i="56"/>
  <c r="DT57" i="24" s="1"/>
  <c r="AV20" i="56"/>
  <c r="EC57" i="24" s="1"/>
  <c r="L28" i="56"/>
  <c r="CS46" i="24" s="1"/>
  <c r="U46" i="24" s="1"/>
  <c r="CI27" i="43" s="1"/>
  <c r="BG27" i="43" s="1"/>
  <c r="AL18" i="56"/>
  <c r="DS55" i="24" s="1"/>
  <c r="AZ13" i="56"/>
  <c r="EG50" i="24" s="1"/>
  <c r="AL21" i="56"/>
  <c r="DS58" i="24" s="1"/>
  <c r="AY21" i="56"/>
  <c r="EF58" i="24" s="1"/>
  <c r="BF4" i="56"/>
  <c r="EM40" i="24" s="1"/>
  <c r="AH28" i="56"/>
  <c r="DO46" i="24" s="1"/>
  <c r="P28" i="56"/>
  <c r="CW46" i="24" s="1"/>
  <c r="Y46" i="24" s="1"/>
  <c r="CM27" i="43" s="1"/>
  <c r="BK27" i="43" s="1"/>
  <c r="BB28" i="56"/>
  <c r="EI46" i="24" s="1"/>
  <c r="C15" i="72"/>
  <c r="G15" i="72" s="1"/>
  <c r="AB28" i="56"/>
  <c r="DI46" i="24" s="1"/>
  <c r="BF26" i="56"/>
  <c r="EM63" i="24" s="1"/>
  <c r="C10" i="72"/>
  <c r="H10" i="72" s="1"/>
  <c r="C6" i="72"/>
  <c r="F6" i="72" s="1"/>
  <c r="BD26" i="56"/>
  <c r="EK63" i="24" s="1"/>
  <c r="AK28" i="56"/>
  <c r="DR46" i="24" s="1"/>
  <c r="BC26" i="56"/>
  <c r="EJ63" i="24" s="1"/>
  <c r="Z28" i="56"/>
  <c r="DG46" i="24" s="1"/>
  <c r="AF7" i="56"/>
  <c r="DM43" i="24" s="1"/>
  <c r="AW26" i="56"/>
  <c r="ED63" i="24" s="1"/>
  <c r="AF28" i="56"/>
  <c r="DM46" i="24" s="1"/>
  <c r="C18" i="72"/>
  <c r="C14" i="72"/>
  <c r="G14" i="72" s="1"/>
  <c r="AM7" i="56"/>
  <c r="DT43" i="24" s="1"/>
  <c r="BE22" i="56"/>
  <c r="EL59" i="24" s="1"/>
  <c r="AC13" i="56"/>
  <c r="DJ50" i="24" s="1"/>
  <c r="AA13" i="56"/>
  <c r="DH50" i="24" s="1"/>
  <c r="AL20" i="56"/>
  <c r="DS57" i="24" s="1"/>
  <c r="AP20" i="56"/>
  <c r="DW57" i="24" s="1"/>
  <c r="AD20" i="56"/>
  <c r="DK57" i="24" s="1"/>
  <c r="AT5" i="56"/>
  <c r="EA41" i="24" s="1"/>
  <c r="AS21" i="56"/>
  <c r="DZ58" i="24" s="1"/>
  <c r="AO19" i="56"/>
  <c r="DV56" i="24" s="1"/>
  <c r="AD4" i="56"/>
  <c r="DK40" i="24" s="1"/>
  <c r="BG27" i="56"/>
  <c r="AN27" i="56"/>
  <c r="DU66" i="24" s="1"/>
  <c r="BC27" i="56"/>
  <c r="EJ66" i="24" s="1"/>
  <c r="AY27" i="56"/>
  <c r="EF66" i="24" s="1"/>
  <c r="L27" i="56"/>
  <c r="CS66" i="24" s="1"/>
  <c r="U66" i="24" s="1"/>
  <c r="CI59" i="43" s="1"/>
  <c r="M27" i="56"/>
  <c r="CT66" i="24" s="1"/>
  <c r="V66" i="24" s="1"/>
  <c r="CJ59" i="43" s="1"/>
  <c r="AS27" i="56"/>
  <c r="DZ66" i="24" s="1"/>
  <c r="AO27" i="56"/>
  <c r="DV66" i="24" s="1"/>
  <c r="AZ27" i="56"/>
  <c r="EG66" i="24" s="1"/>
  <c r="AT27" i="56"/>
  <c r="EA66" i="24" s="1"/>
  <c r="Z27" i="56"/>
  <c r="DG66" i="24" s="1"/>
  <c r="N27" i="56"/>
  <c r="CU66" i="24" s="1"/>
  <c r="W66" i="24" s="1"/>
  <c r="CK59" i="43" s="1"/>
  <c r="BI59" i="43" s="1"/>
  <c r="W27" i="56"/>
  <c r="DD66" i="24" s="1"/>
  <c r="AF66" i="24" s="1"/>
  <c r="CT59" i="43" s="1"/>
  <c r="BR59" i="43" s="1"/>
  <c r="V27" i="56"/>
  <c r="DC66" i="24" s="1"/>
  <c r="AE66" i="24" s="1"/>
  <c r="CS59" i="43" s="1"/>
  <c r="BQ59" i="43" s="1"/>
  <c r="I27" i="56"/>
  <c r="CP66" i="24" s="1"/>
  <c r="AJ66" i="24" s="1"/>
  <c r="J27" i="56"/>
  <c r="CQ66" i="24" s="1"/>
  <c r="AK66" i="24" s="1"/>
  <c r="P27" i="56"/>
  <c r="CW66" i="24" s="1"/>
  <c r="Y66" i="24" s="1"/>
  <c r="CM59" i="43" s="1"/>
  <c r="BK59" i="43" s="1"/>
  <c r="BF27" i="56"/>
  <c r="EM66" i="24" s="1"/>
  <c r="AF27" i="56"/>
  <c r="DM66" i="24" s="1"/>
  <c r="O27" i="56"/>
  <c r="CV66" i="24" s="1"/>
  <c r="X66" i="24" s="1"/>
  <c r="CL59" i="43" s="1"/>
  <c r="BJ59" i="43" s="1"/>
  <c r="T27" i="56"/>
  <c r="DA66" i="24" s="1"/>
  <c r="AC66" i="24" s="1"/>
  <c r="CQ59" i="43" s="1"/>
  <c r="BO59" i="43" s="1"/>
  <c r="S27" i="56"/>
  <c r="CZ66" i="24" s="1"/>
  <c r="AB66" i="24" s="1"/>
  <c r="CP59" i="43" s="1"/>
  <c r="BN59" i="43" s="1"/>
  <c r="X27" i="56"/>
  <c r="DE66" i="24" s="1"/>
  <c r="AG66" i="24" s="1"/>
  <c r="CU59" i="43" s="1"/>
  <c r="BS59" i="43" s="1"/>
  <c r="R27" i="56"/>
  <c r="CY66" i="24" s="1"/>
  <c r="AA66" i="24" s="1"/>
  <c r="CO59" i="43" s="1"/>
  <c r="BM59" i="43" s="1"/>
  <c r="K27" i="56"/>
  <c r="CR66" i="24" s="1"/>
  <c r="AL66" i="24" s="1"/>
  <c r="U27" i="56"/>
  <c r="DB66" i="24" s="1"/>
  <c r="AD66" i="24" s="1"/>
  <c r="CR59" i="43" s="1"/>
  <c r="BP59" i="43" s="1"/>
  <c r="Q27" i="56"/>
  <c r="CX66" i="24" s="1"/>
  <c r="Z66" i="24" s="1"/>
  <c r="CN59" i="43" s="1"/>
  <c r="BL59" i="43" s="1"/>
  <c r="AG27" i="56"/>
  <c r="DN66" i="24" s="1"/>
  <c r="AJ27" i="56"/>
  <c r="DQ66" i="24" s="1"/>
  <c r="AD27" i="56"/>
  <c r="DK66" i="24" s="1"/>
  <c r="AP27" i="56"/>
  <c r="DW66" i="24" s="1"/>
  <c r="BA27" i="56"/>
  <c r="EH66" i="24" s="1"/>
  <c r="AH27" i="56"/>
  <c r="DO66" i="24" s="1"/>
  <c r="AR27" i="56"/>
  <c r="DY66" i="24" s="1"/>
  <c r="AB27" i="56"/>
  <c r="DI66" i="24" s="1"/>
  <c r="AE27" i="56"/>
  <c r="DL66" i="24" s="1"/>
  <c r="BD27" i="56"/>
  <c r="EK66" i="24" s="1"/>
  <c r="AK27" i="56"/>
  <c r="DR66" i="24" s="1"/>
  <c r="AC27" i="56"/>
  <c r="DJ66" i="24" s="1"/>
  <c r="AL27" i="56"/>
  <c r="DS66" i="24" s="1"/>
  <c r="BB27" i="56"/>
  <c r="EI66" i="24" s="1"/>
  <c r="AI27" i="56"/>
  <c r="DP66" i="24" s="1"/>
  <c r="AA27" i="56"/>
  <c r="DH66" i="24" s="1"/>
  <c r="AV27" i="56"/>
  <c r="EC66" i="24" s="1"/>
  <c r="AX27" i="56"/>
  <c r="EE66" i="24" s="1"/>
  <c r="AW27" i="56"/>
  <c r="ED66" i="24" s="1"/>
  <c r="AU27" i="56"/>
  <c r="EB66" i="24" s="1"/>
  <c r="BE27" i="56"/>
  <c r="EL66" i="24" s="1"/>
  <c r="AM27" i="56"/>
  <c r="DT66" i="24" s="1"/>
  <c r="Y27" i="56"/>
  <c r="DF66" i="24" s="1"/>
  <c r="AQ27" i="56"/>
  <c r="DX66" i="24" s="1"/>
  <c r="K16" i="72"/>
  <c r="J16" i="72"/>
  <c r="I5" i="72"/>
  <c r="F5" i="72"/>
  <c r="H5" i="72"/>
  <c r="G5" i="72"/>
  <c r="BG29" i="56"/>
  <c r="U29" i="56"/>
  <c r="X29" i="56"/>
  <c r="T29" i="56"/>
  <c r="I29" i="56"/>
  <c r="Q29" i="56"/>
  <c r="P29" i="56"/>
  <c r="O29" i="56"/>
  <c r="N29" i="56"/>
  <c r="K29" i="56"/>
  <c r="R29" i="56"/>
  <c r="L29" i="56"/>
  <c r="AZ29" i="56"/>
  <c r="AU29" i="56"/>
  <c r="AV29" i="56"/>
  <c r="AY29" i="56"/>
  <c r="AH29" i="56"/>
  <c r="AJ29" i="56"/>
  <c r="AM29" i="56"/>
  <c r="AW29" i="56"/>
  <c r="BF29" i="56"/>
  <c r="BE29" i="56"/>
  <c r="W29" i="56"/>
  <c r="AB29" i="56"/>
  <c r="AL29" i="56"/>
  <c r="AT29" i="56"/>
  <c r="AD29" i="56"/>
  <c r="AQ29" i="56"/>
  <c r="AC29" i="56"/>
  <c r="S29" i="56"/>
  <c r="AP29" i="56"/>
  <c r="AR29" i="56"/>
  <c r="AE29" i="56"/>
  <c r="AG29" i="56"/>
  <c r="AK29" i="56"/>
  <c r="BB29" i="56"/>
  <c r="BA29" i="56"/>
  <c r="AA29" i="56"/>
  <c r="BD29" i="56"/>
  <c r="AX29" i="56"/>
  <c r="J29" i="56"/>
  <c r="AI29" i="56"/>
  <c r="Z29" i="56"/>
  <c r="Y29" i="56"/>
  <c r="AF29" i="56"/>
  <c r="M29" i="56"/>
  <c r="AN29" i="56"/>
  <c r="BC29" i="56"/>
  <c r="V29" i="56"/>
  <c r="AS29" i="56"/>
  <c r="L9" i="56"/>
  <c r="CS45" i="24" s="1"/>
  <c r="U45" i="24" s="1"/>
  <c r="CI26" i="43" s="1"/>
  <c r="BG9" i="56"/>
  <c r="M9" i="56"/>
  <c r="CT45" i="24" s="1"/>
  <c r="V45" i="24" s="1"/>
  <c r="CJ26" i="43" s="1"/>
  <c r="N9" i="56"/>
  <c r="CU45" i="24" s="1"/>
  <c r="W45" i="24" s="1"/>
  <c r="CK26" i="43" s="1"/>
  <c r="BI26" i="43" s="1"/>
  <c r="J9" i="56"/>
  <c r="CQ45" i="24" s="1"/>
  <c r="AK45" i="24" s="1"/>
  <c r="S9" i="56"/>
  <c r="CZ45" i="24" s="1"/>
  <c r="AB45" i="24" s="1"/>
  <c r="CP26" i="43" s="1"/>
  <c r="BN26" i="43" s="1"/>
  <c r="R9" i="56"/>
  <c r="CY45" i="24" s="1"/>
  <c r="AA45" i="24" s="1"/>
  <c r="CO26" i="43" s="1"/>
  <c r="BM26" i="43" s="1"/>
  <c r="U9" i="56"/>
  <c r="DB45" i="24" s="1"/>
  <c r="AD45" i="24" s="1"/>
  <c r="CR26" i="43" s="1"/>
  <c r="BP26" i="43" s="1"/>
  <c r="V9" i="56"/>
  <c r="DC45" i="24" s="1"/>
  <c r="AE45" i="24" s="1"/>
  <c r="CS26" i="43" s="1"/>
  <c r="BQ26" i="43" s="1"/>
  <c r="I9" i="56"/>
  <c r="CP45" i="24" s="1"/>
  <c r="AJ45" i="24" s="1"/>
  <c r="X9" i="56"/>
  <c r="DE45" i="24" s="1"/>
  <c r="AG45" i="24" s="1"/>
  <c r="CU26" i="43" s="1"/>
  <c r="BS26" i="43" s="1"/>
  <c r="O9" i="56"/>
  <c r="CV45" i="24" s="1"/>
  <c r="X45" i="24" s="1"/>
  <c r="CL26" i="43" s="1"/>
  <c r="BJ26" i="43" s="1"/>
  <c r="P9" i="56"/>
  <c r="CW45" i="24" s="1"/>
  <c r="Y45" i="24" s="1"/>
  <c r="CM26" i="43" s="1"/>
  <c r="BK26" i="43" s="1"/>
  <c r="W9" i="56"/>
  <c r="DD45" i="24" s="1"/>
  <c r="AF45" i="24" s="1"/>
  <c r="CT26" i="43" s="1"/>
  <c r="BR26" i="43" s="1"/>
  <c r="Q9" i="56"/>
  <c r="CX45" i="24" s="1"/>
  <c r="Z45" i="24" s="1"/>
  <c r="CN26" i="43" s="1"/>
  <c r="BL26" i="43" s="1"/>
  <c r="AN9" i="56"/>
  <c r="DU45" i="24" s="1"/>
  <c r="AL9" i="56"/>
  <c r="DS45" i="24" s="1"/>
  <c r="AU9" i="56"/>
  <c r="EB45" i="24" s="1"/>
  <c r="AB9" i="56"/>
  <c r="DI45" i="24" s="1"/>
  <c r="BA9" i="56"/>
  <c r="EH45" i="24" s="1"/>
  <c r="AV9" i="56"/>
  <c r="EC45" i="24" s="1"/>
  <c r="AA9" i="56"/>
  <c r="DH45" i="24" s="1"/>
  <c r="AF9" i="56"/>
  <c r="DM45" i="24" s="1"/>
  <c r="AG9" i="56"/>
  <c r="DN45" i="24" s="1"/>
  <c r="BD9" i="56"/>
  <c r="EK45" i="24" s="1"/>
  <c r="AP9" i="56"/>
  <c r="DW45" i="24" s="1"/>
  <c r="AS9" i="56"/>
  <c r="DZ45" i="24" s="1"/>
  <c r="AW9" i="56"/>
  <c r="ED45" i="24" s="1"/>
  <c r="AO9" i="56"/>
  <c r="DV45" i="24" s="1"/>
  <c r="Y9" i="56"/>
  <c r="DF45" i="24" s="1"/>
  <c r="AI9" i="56"/>
  <c r="DP45" i="24" s="1"/>
  <c r="Z9" i="56"/>
  <c r="DG45" i="24" s="1"/>
  <c r="BE9" i="56"/>
  <c r="EL45" i="24" s="1"/>
  <c r="BB9" i="56"/>
  <c r="EI45" i="24" s="1"/>
  <c r="AX9" i="56"/>
  <c r="EE45" i="24" s="1"/>
  <c r="AZ9" i="56"/>
  <c r="EG45" i="24" s="1"/>
  <c r="AK9" i="56"/>
  <c r="DR45" i="24" s="1"/>
  <c r="AT9" i="56"/>
  <c r="EA45" i="24" s="1"/>
  <c r="AD9" i="56"/>
  <c r="DK45" i="24" s="1"/>
  <c r="BC9" i="56"/>
  <c r="EJ45" i="24" s="1"/>
  <c r="BF9" i="56"/>
  <c r="EM45" i="24" s="1"/>
  <c r="K9" i="56"/>
  <c r="CR45" i="24" s="1"/>
  <c r="AL45" i="24" s="1"/>
  <c r="AH9" i="56"/>
  <c r="DO45" i="24" s="1"/>
  <c r="AQ9" i="56"/>
  <c r="DX45" i="24" s="1"/>
  <c r="AE9" i="56"/>
  <c r="DL45" i="24" s="1"/>
  <c r="AJ9" i="56"/>
  <c r="DQ45" i="24" s="1"/>
  <c r="T9" i="56"/>
  <c r="DA45" i="24" s="1"/>
  <c r="AC45" i="24" s="1"/>
  <c r="CQ26" i="43" s="1"/>
  <c r="BO26" i="43" s="1"/>
  <c r="AR9" i="56"/>
  <c r="DY45" i="24" s="1"/>
  <c r="AY9" i="56"/>
  <c r="EF45" i="24" s="1"/>
  <c r="AO29" i="56"/>
  <c r="AM9" i="56"/>
  <c r="DT45" i="24" s="1"/>
  <c r="BG17" i="56"/>
  <c r="L17" i="56"/>
  <c r="CS54" i="24" s="1"/>
  <c r="U54" i="24" s="1"/>
  <c r="CI45" i="43" s="1"/>
  <c r="BG45" i="43" s="1"/>
  <c r="P17" i="56"/>
  <c r="CW54" i="24" s="1"/>
  <c r="Y54" i="24" s="1"/>
  <c r="CM45" i="43" s="1"/>
  <c r="BK45" i="43" s="1"/>
  <c r="I17" i="56"/>
  <c r="CP54" i="24" s="1"/>
  <c r="AJ54" i="24" s="1"/>
  <c r="V17" i="56"/>
  <c r="DC54" i="24" s="1"/>
  <c r="AE54" i="24" s="1"/>
  <c r="CS45" i="43" s="1"/>
  <c r="BQ45" i="43" s="1"/>
  <c r="X17" i="56"/>
  <c r="DE54" i="24" s="1"/>
  <c r="AG54" i="24" s="1"/>
  <c r="CU45" i="43" s="1"/>
  <c r="BS45" i="43" s="1"/>
  <c r="O17" i="56"/>
  <c r="CV54" i="24" s="1"/>
  <c r="X54" i="24" s="1"/>
  <c r="CL45" i="43" s="1"/>
  <c r="BJ45" i="43" s="1"/>
  <c r="K17" i="56"/>
  <c r="CR54" i="24" s="1"/>
  <c r="AL54" i="24" s="1"/>
  <c r="S17" i="56"/>
  <c r="CZ54" i="24" s="1"/>
  <c r="AB54" i="24" s="1"/>
  <c r="CP45" i="43" s="1"/>
  <c r="BN45" i="43" s="1"/>
  <c r="W17" i="56"/>
  <c r="DD54" i="24" s="1"/>
  <c r="AF54" i="24" s="1"/>
  <c r="CT45" i="43" s="1"/>
  <c r="BR45" i="43" s="1"/>
  <c r="M17" i="56"/>
  <c r="CT54" i="24" s="1"/>
  <c r="V54" i="24" s="1"/>
  <c r="CJ45" i="43" s="1"/>
  <c r="BH45" i="43" s="1"/>
  <c r="J17" i="56"/>
  <c r="CQ54" i="24" s="1"/>
  <c r="AK54" i="24" s="1"/>
  <c r="N17" i="56"/>
  <c r="CU54" i="24" s="1"/>
  <c r="W54" i="24" s="1"/>
  <c r="CK45" i="43" s="1"/>
  <c r="BI45" i="43" s="1"/>
  <c r="U17" i="56"/>
  <c r="DB54" i="24" s="1"/>
  <c r="AD54" i="24" s="1"/>
  <c r="CR45" i="43" s="1"/>
  <c r="BP45" i="43" s="1"/>
  <c r="T17" i="56"/>
  <c r="DA54" i="24" s="1"/>
  <c r="AC54" i="24" s="1"/>
  <c r="CQ45" i="43" s="1"/>
  <c r="BO45" i="43" s="1"/>
  <c r="R17" i="56"/>
  <c r="CY54" i="24" s="1"/>
  <c r="AA54" i="24" s="1"/>
  <c r="CO45" i="43" s="1"/>
  <c r="BM45" i="43" s="1"/>
  <c r="BB17" i="56"/>
  <c r="EI54" i="24" s="1"/>
  <c r="U26" i="56"/>
  <c r="DB63" i="24" s="1"/>
  <c r="AD63" i="24" s="1"/>
  <c r="CR56" i="43" s="1"/>
  <c r="BP56" i="43" s="1"/>
  <c r="V26" i="56"/>
  <c r="DC63" i="24" s="1"/>
  <c r="AE63" i="24" s="1"/>
  <c r="CS56" i="43" s="1"/>
  <c r="BQ56" i="43" s="1"/>
  <c r="T26" i="56"/>
  <c r="DA63" i="24" s="1"/>
  <c r="AC63" i="24" s="1"/>
  <c r="CQ56" i="43" s="1"/>
  <c r="BO56" i="43" s="1"/>
  <c r="BG26" i="56"/>
  <c r="I26" i="56"/>
  <c r="CP63" i="24" s="1"/>
  <c r="AJ63" i="24" s="1"/>
  <c r="L26" i="56"/>
  <c r="CS63" i="24" s="1"/>
  <c r="U63" i="24" s="1"/>
  <c r="CI56" i="43" s="1"/>
  <c r="P26" i="56"/>
  <c r="CW63" i="24" s="1"/>
  <c r="Y63" i="24" s="1"/>
  <c r="CM56" i="43" s="1"/>
  <c r="BK56" i="43" s="1"/>
  <c r="S26" i="56"/>
  <c r="CZ63" i="24" s="1"/>
  <c r="AB63" i="24" s="1"/>
  <c r="CP56" i="43" s="1"/>
  <c r="BN56" i="43" s="1"/>
  <c r="M26" i="56"/>
  <c r="CT63" i="24" s="1"/>
  <c r="V63" i="24" s="1"/>
  <c r="CJ56" i="43" s="1"/>
  <c r="N26" i="56"/>
  <c r="CU63" i="24" s="1"/>
  <c r="W63" i="24" s="1"/>
  <c r="CK56" i="43" s="1"/>
  <c r="BI56" i="43" s="1"/>
  <c r="O26" i="56"/>
  <c r="CV63" i="24" s="1"/>
  <c r="X63" i="24" s="1"/>
  <c r="CL56" i="43" s="1"/>
  <c r="BJ56" i="43" s="1"/>
  <c r="K26" i="56"/>
  <c r="CR63" i="24" s="1"/>
  <c r="AL63" i="24" s="1"/>
  <c r="J26" i="56"/>
  <c r="CQ63" i="24" s="1"/>
  <c r="AK63" i="24" s="1"/>
  <c r="AF26" i="56"/>
  <c r="DM63" i="24" s="1"/>
  <c r="BE26" i="56"/>
  <c r="EL63" i="24" s="1"/>
  <c r="W26" i="56"/>
  <c r="DD63" i="24" s="1"/>
  <c r="AF63" i="24" s="1"/>
  <c r="CT56" i="43" s="1"/>
  <c r="BR56" i="43" s="1"/>
  <c r="X26" i="56"/>
  <c r="DE63" i="24" s="1"/>
  <c r="AG63" i="24" s="1"/>
  <c r="CU56" i="43" s="1"/>
  <c r="BS56" i="43" s="1"/>
  <c r="Q26" i="56"/>
  <c r="CX63" i="24" s="1"/>
  <c r="Z63" i="24" s="1"/>
  <c r="CN56" i="43" s="1"/>
  <c r="BL56" i="43" s="1"/>
  <c r="R26" i="56"/>
  <c r="CY63" i="24" s="1"/>
  <c r="AA63" i="24" s="1"/>
  <c r="CO56" i="43" s="1"/>
  <c r="BM56" i="43" s="1"/>
  <c r="AJ28" i="56"/>
  <c r="DQ46" i="24" s="1"/>
  <c r="O28" i="56"/>
  <c r="CV46" i="24" s="1"/>
  <c r="X46" i="24" s="1"/>
  <c r="CL27" i="43" s="1"/>
  <c r="BJ27" i="43" s="1"/>
  <c r="D17" i="72"/>
  <c r="I15" i="72"/>
  <c r="H15" i="72"/>
  <c r="BG7" i="56"/>
  <c r="M7" i="56"/>
  <c r="CT43" i="24" s="1"/>
  <c r="V43" i="24" s="1"/>
  <c r="CJ24" i="43" s="1"/>
  <c r="L7" i="56"/>
  <c r="CS43" i="24" s="1"/>
  <c r="U43" i="24" s="1"/>
  <c r="CI24" i="43" s="1"/>
  <c r="I7" i="56"/>
  <c r="CP43" i="24" s="1"/>
  <c r="AJ43" i="24" s="1"/>
  <c r="P7" i="56"/>
  <c r="CW43" i="24" s="1"/>
  <c r="Y43" i="24" s="1"/>
  <c r="CM24" i="43" s="1"/>
  <c r="BK24" i="43" s="1"/>
  <c r="Q7" i="56"/>
  <c r="CX43" i="24" s="1"/>
  <c r="Z43" i="24" s="1"/>
  <c r="CN24" i="43" s="1"/>
  <c r="BL24" i="43" s="1"/>
  <c r="R7" i="56"/>
  <c r="CY43" i="24" s="1"/>
  <c r="AA43" i="24" s="1"/>
  <c r="CO24" i="43" s="1"/>
  <c r="BM24" i="43" s="1"/>
  <c r="W7" i="56"/>
  <c r="DD43" i="24" s="1"/>
  <c r="AF43" i="24" s="1"/>
  <c r="CT24" i="43" s="1"/>
  <c r="BR24" i="43" s="1"/>
  <c r="S7" i="56"/>
  <c r="CZ43" i="24" s="1"/>
  <c r="AB43" i="24" s="1"/>
  <c r="CP24" i="43" s="1"/>
  <c r="BN24" i="43" s="1"/>
  <c r="N7" i="56"/>
  <c r="CU43" i="24" s="1"/>
  <c r="W43" i="24" s="1"/>
  <c r="CK24" i="43" s="1"/>
  <c r="BI24" i="43" s="1"/>
  <c r="V7" i="56"/>
  <c r="DC43" i="24" s="1"/>
  <c r="AE43" i="24" s="1"/>
  <c r="CS24" i="43" s="1"/>
  <c r="BQ24" i="43" s="1"/>
  <c r="J7" i="56"/>
  <c r="CQ43" i="24" s="1"/>
  <c r="AK43" i="24" s="1"/>
  <c r="O7" i="56"/>
  <c r="CV43" i="24" s="1"/>
  <c r="X43" i="24" s="1"/>
  <c r="CL24" i="43" s="1"/>
  <c r="BJ24" i="43" s="1"/>
  <c r="U7" i="56"/>
  <c r="DB43" i="24" s="1"/>
  <c r="AD43" i="24" s="1"/>
  <c r="CR24" i="43" s="1"/>
  <c r="BP24" i="43" s="1"/>
  <c r="T7" i="56"/>
  <c r="DA43" i="24" s="1"/>
  <c r="AC43" i="24" s="1"/>
  <c r="CQ24" i="43" s="1"/>
  <c r="BO24" i="43" s="1"/>
  <c r="X7" i="56"/>
  <c r="DE43" i="24" s="1"/>
  <c r="AG43" i="24" s="1"/>
  <c r="CU24" i="43" s="1"/>
  <c r="BS24" i="43" s="1"/>
  <c r="K7" i="56"/>
  <c r="CR43" i="24" s="1"/>
  <c r="AL43" i="24" s="1"/>
  <c r="AU26" i="56"/>
  <c r="EB63" i="24" s="1"/>
  <c r="AO28" i="56"/>
  <c r="DV46" i="24" s="1"/>
  <c r="AB26" i="56"/>
  <c r="DI63" i="24" s="1"/>
  <c r="D18" i="72"/>
  <c r="I6" i="72"/>
  <c r="C7" i="72"/>
  <c r="D6" i="72"/>
  <c r="AP17" i="56"/>
  <c r="DW54" i="24" s="1"/>
  <c r="AZ17" i="56"/>
  <c r="EG54" i="24" s="1"/>
  <c r="AO7" i="56"/>
  <c r="DV43" i="24" s="1"/>
  <c r="AP28" i="56"/>
  <c r="DW46" i="24" s="1"/>
  <c r="C24" i="72"/>
  <c r="G18" i="72"/>
  <c r="F18" i="72"/>
  <c r="BA17" i="56"/>
  <c r="EH54" i="24" s="1"/>
  <c r="H17" i="72"/>
  <c r="C8" i="72"/>
  <c r="I11" i="72"/>
  <c r="H11" i="72"/>
  <c r="C13" i="72"/>
  <c r="C16" i="72"/>
  <c r="D8" i="72"/>
  <c r="X12" i="56"/>
  <c r="DE49" i="24" s="1"/>
  <c r="AG49" i="24" s="1"/>
  <c r="CU39" i="43" s="1"/>
  <c r="BS39" i="43" s="1"/>
  <c r="T12" i="56"/>
  <c r="DA49" i="24" s="1"/>
  <c r="AC49" i="24" s="1"/>
  <c r="CQ39" i="43" s="1"/>
  <c r="BO39" i="43" s="1"/>
  <c r="Q12" i="56"/>
  <c r="CX49" i="24" s="1"/>
  <c r="Z49" i="24" s="1"/>
  <c r="CN39" i="43" s="1"/>
  <c r="BL39" i="43" s="1"/>
  <c r="BG12" i="56"/>
  <c r="W12" i="56"/>
  <c r="DD49" i="24" s="1"/>
  <c r="AF49" i="24" s="1"/>
  <c r="CT39" i="43" s="1"/>
  <c r="BR39" i="43" s="1"/>
  <c r="V12" i="56"/>
  <c r="DC49" i="24" s="1"/>
  <c r="AE49" i="24" s="1"/>
  <c r="CS39" i="43" s="1"/>
  <c r="BQ39" i="43" s="1"/>
  <c r="P12" i="56"/>
  <c r="CW49" i="24" s="1"/>
  <c r="Y49" i="24" s="1"/>
  <c r="CM39" i="43" s="1"/>
  <c r="BK39" i="43" s="1"/>
  <c r="S12" i="56"/>
  <c r="CZ49" i="24" s="1"/>
  <c r="AB49" i="24" s="1"/>
  <c r="CP39" i="43" s="1"/>
  <c r="BN39" i="43" s="1"/>
  <c r="O12" i="56"/>
  <c r="CV49" i="24" s="1"/>
  <c r="X49" i="24" s="1"/>
  <c r="CL39" i="43" s="1"/>
  <c r="BJ39" i="43" s="1"/>
  <c r="U12" i="56"/>
  <c r="DB49" i="24" s="1"/>
  <c r="AD49" i="24" s="1"/>
  <c r="CR39" i="43" s="1"/>
  <c r="BP39" i="43" s="1"/>
  <c r="R12" i="56"/>
  <c r="CY49" i="24" s="1"/>
  <c r="AA49" i="24" s="1"/>
  <c r="CO39" i="43" s="1"/>
  <c r="BM39" i="43" s="1"/>
  <c r="N12" i="56"/>
  <c r="CU49" i="24" s="1"/>
  <c r="W49" i="24" s="1"/>
  <c r="CK39" i="43" s="1"/>
  <c r="BI39" i="43" s="1"/>
  <c r="L12" i="56"/>
  <c r="CS49" i="24" s="1"/>
  <c r="U49" i="24" s="1"/>
  <c r="CI39" i="43" s="1"/>
  <c r="M12" i="56"/>
  <c r="CT49" i="24" s="1"/>
  <c r="V49" i="24" s="1"/>
  <c r="CJ39" i="43" s="1"/>
  <c r="I12" i="56"/>
  <c r="CP49" i="24" s="1"/>
  <c r="AJ49" i="24" s="1"/>
  <c r="J12" i="56"/>
  <c r="CQ49" i="24" s="1"/>
  <c r="AK49" i="24" s="1"/>
  <c r="K12" i="56"/>
  <c r="CR49" i="24" s="1"/>
  <c r="AL49" i="24" s="1"/>
  <c r="AR12" i="56"/>
  <c r="DY49" i="24" s="1"/>
  <c r="AF12" i="56"/>
  <c r="DM49" i="24" s="1"/>
  <c r="AD12" i="56"/>
  <c r="DK49" i="24" s="1"/>
  <c r="AA12" i="56"/>
  <c r="DH49" i="24" s="1"/>
  <c r="AN12" i="56"/>
  <c r="DU49" i="24" s="1"/>
  <c r="BF12" i="56"/>
  <c r="EM49" i="24" s="1"/>
  <c r="AM12" i="56"/>
  <c r="DT49" i="24" s="1"/>
  <c r="BB12" i="56"/>
  <c r="EI49" i="24" s="1"/>
  <c r="X28" i="56"/>
  <c r="DE46" i="24" s="1"/>
  <c r="AG46" i="24" s="1"/>
  <c r="CU27" i="43" s="1"/>
  <c r="BS27" i="43" s="1"/>
  <c r="W28" i="56"/>
  <c r="DD46" i="24" s="1"/>
  <c r="AF46" i="24" s="1"/>
  <c r="CT27" i="43" s="1"/>
  <c r="BR27" i="43" s="1"/>
  <c r="J11" i="56"/>
  <c r="CQ48" i="24" s="1"/>
  <c r="AK48" i="24" s="1"/>
  <c r="BG14" i="56"/>
  <c r="S14" i="56"/>
  <c r="CZ51" i="24" s="1"/>
  <c r="AB51" i="24" s="1"/>
  <c r="CP42" i="43" s="1"/>
  <c r="BN42" i="43" s="1"/>
  <c r="L14" i="56"/>
  <c r="CS51" i="24" s="1"/>
  <c r="U51" i="24" s="1"/>
  <c r="CI42" i="43" s="1"/>
  <c r="M14" i="56"/>
  <c r="CT51" i="24" s="1"/>
  <c r="V51" i="24" s="1"/>
  <c r="CJ42" i="43" s="1"/>
  <c r="X14" i="56"/>
  <c r="DE51" i="24" s="1"/>
  <c r="AG51" i="24" s="1"/>
  <c r="CU42" i="43" s="1"/>
  <c r="BS42" i="43" s="1"/>
  <c r="I14" i="56"/>
  <c r="CP51" i="24" s="1"/>
  <c r="AJ51" i="24" s="1"/>
  <c r="P14" i="56"/>
  <c r="CW51" i="24" s="1"/>
  <c r="Y51" i="24" s="1"/>
  <c r="CM42" i="43" s="1"/>
  <c r="BK42" i="43" s="1"/>
  <c r="T14" i="56"/>
  <c r="DA51" i="24" s="1"/>
  <c r="AC51" i="24" s="1"/>
  <c r="CQ42" i="43" s="1"/>
  <c r="BO42" i="43" s="1"/>
  <c r="Q14" i="56"/>
  <c r="CX51" i="24" s="1"/>
  <c r="Z51" i="24" s="1"/>
  <c r="CN42" i="43" s="1"/>
  <c r="BL42" i="43" s="1"/>
  <c r="O14" i="56"/>
  <c r="CV51" i="24" s="1"/>
  <c r="X51" i="24" s="1"/>
  <c r="CL42" i="43" s="1"/>
  <c r="BJ42" i="43" s="1"/>
  <c r="J14" i="56"/>
  <c r="CQ51" i="24" s="1"/>
  <c r="AK51" i="24" s="1"/>
  <c r="V14" i="56"/>
  <c r="DC51" i="24" s="1"/>
  <c r="AE51" i="24" s="1"/>
  <c r="CS42" i="43" s="1"/>
  <c r="BQ42" i="43" s="1"/>
  <c r="U14" i="56"/>
  <c r="DB51" i="24" s="1"/>
  <c r="AD51" i="24" s="1"/>
  <c r="CR42" i="43" s="1"/>
  <c r="BP42" i="43" s="1"/>
  <c r="W14" i="56"/>
  <c r="DD51" i="24" s="1"/>
  <c r="AF51" i="24" s="1"/>
  <c r="CT42" i="43" s="1"/>
  <c r="BR42" i="43" s="1"/>
  <c r="K14" i="56"/>
  <c r="CR51" i="24" s="1"/>
  <c r="AL51" i="24" s="1"/>
  <c r="R14" i="56"/>
  <c r="CY51" i="24" s="1"/>
  <c r="AA51" i="24" s="1"/>
  <c r="CO42" i="43" s="1"/>
  <c r="BM42" i="43" s="1"/>
  <c r="N14" i="56"/>
  <c r="CU51" i="24" s="1"/>
  <c r="W51" i="24" s="1"/>
  <c r="CK42" i="43" s="1"/>
  <c r="BI42" i="43" s="1"/>
  <c r="AM14" i="56"/>
  <c r="DT51" i="24" s="1"/>
  <c r="AH14" i="56"/>
  <c r="DO51" i="24" s="1"/>
  <c r="BE14" i="56"/>
  <c r="EL51" i="24" s="1"/>
  <c r="K28" i="56"/>
  <c r="CR46" i="24" s="1"/>
  <c r="AL46" i="24" s="1"/>
  <c r="U18" i="56"/>
  <c r="DB55" i="24" s="1"/>
  <c r="AD55" i="24" s="1"/>
  <c r="CR46" i="43" s="1"/>
  <c r="BP46" i="43" s="1"/>
  <c r="BB26" i="56"/>
  <c r="EI63" i="24" s="1"/>
  <c r="Y26" i="56"/>
  <c r="DF63" i="24" s="1"/>
  <c r="AV26" i="56"/>
  <c r="EC63" i="24" s="1"/>
  <c r="AT26" i="56"/>
  <c r="EA63" i="24" s="1"/>
  <c r="AY10" i="56"/>
  <c r="EF47" i="24" s="1"/>
  <c r="L16" i="56"/>
  <c r="CS53" i="24" s="1"/>
  <c r="U53" i="24" s="1"/>
  <c r="CI44" i="43" s="1"/>
  <c r="O16" i="56"/>
  <c r="CV53" i="24" s="1"/>
  <c r="X53" i="24" s="1"/>
  <c r="CL44" i="43" s="1"/>
  <c r="BJ44" i="43" s="1"/>
  <c r="X16" i="56"/>
  <c r="DE53" i="24" s="1"/>
  <c r="AG53" i="24" s="1"/>
  <c r="CU44" i="43" s="1"/>
  <c r="BS44" i="43" s="1"/>
  <c r="BG16" i="56"/>
  <c r="I16" i="56"/>
  <c r="CP53" i="24" s="1"/>
  <c r="AJ53" i="24" s="1"/>
  <c r="T16" i="56"/>
  <c r="DA53" i="24" s="1"/>
  <c r="AC53" i="24" s="1"/>
  <c r="CQ44" i="43" s="1"/>
  <c r="BO44" i="43" s="1"/>
  <c r="M16" i="56"/>
  <c r="CT53" i="24" s="1"/>
  <c r="V53" i="24" s="1"/>
  <c r="CJ44" i="43" s="1"/>
  <c r="R16" i="56"/>
  <c r="CY53" i="24" s="1"/>
  <c r="AA53" i="24" s="1"/>
  <c r="CO44" i="43" s="1"/>
  <c r="BM44" i="43" s="1"/>
  <c r="W16" i="56"/>
  <c r="DD53" i="24" s="1"/>
  <c r="AF53" i="24" s="1"/>
  <c r="CT44" i="43" s="1"/>
  <c r="BR44" i="43" s="1"/>
  <c r="K16" i="56"/>
  <c r="CR53" i="24" s="1"/>
  <c r="AL53" i="24" s="1"/>
  <c r="P16" i="56"/>
  <c r="CW53" i="24" s="1"/>
  <c r="Y53" i="24" s="1"/>
  <c r="CM44" i="43" s="1"/>
  <c r="BK44" i="43" s="1"/>
  <c r="V16" i="56"/>
  <c r="DC53" i="24" s="1"/>
  <c r="AE53" i="24" s="1"/>
  <c r="CS44" i="43" s="1"/>
  <c r="BQ44" i="43" s="1"/>
  <c r="J16" i="56"/>
  <c r="CQ53" i="24" s="1"/>
  <c r="AK53" i="24" s="1"/>
  <c r="Q16" i="56"/>
  <c r="CX53" i="24" s="1"/>
  <c r="Z53" i="24" s="1"/>
  <c r="CN44" i="43" s="1"/>
  <c r="BL44" i="43" s="1"/>
  <c r="U16" i="56"/>
  <c r="DB53" i="24" s="1"/>
  <c r="AD53" i="24" s="1"/>
  <c r="CR44" i="43" s="1"/>
  <c r="BP44" i="43" s="1"/>
  <c r="S16" i="56"/>
  <c r="CZ53" i="24" s="1"/>
  <c r="AB53" i="24" s="1"/>
  <c r="CP44" i="43" s="1"/>
  <c r="BN44" i="43" s="1"/>
  <c r="N16" i="56"/>
  <c r="CU53" i="24" s="1"/>
  <c r="W53" i="24" s="1"/>
  <c r="CK44" i="43" s="1"/>
  <c r="BI44" i="43" s="1"/>
  <c r="AO16" i="56"/>
  <c r="DV53" i="24" s="1"/>
  <c r="AL16" i="56"/>
  <c r="DS53" i="24" s="1"/>
  <c r="AC16" i="56"/>
  <c r="DJ53" i="24" s="1"/>
  <c r="Z16" i="56"/>
  <c r="DG53" i="24" s="1"/>
  <c r="BC16" i="56"/>
  <c r="EJ53" i="24" s="1"/>
  <c r="AV16" i="56"/>
  <c r="EC53" i="24" s="1"/>
  <c r="AQ16" i="56"/>
  <c r="DX53" i="24" s="1"/>
  <c r="I20" i="56"/>
  <c r="CP57" i="24" s="1"/>
  <c r="AJ57" i="24" s="1"/>
  <c r="L20" i="56"/>
  <c r="CS57" i="24" s="1"/>
  <c r="U57" i="24" s="1"/>
  <c r="CI48" i="43" s="1"/>
  <c r="BG20" i="56"/>
  <c r="N20" i="56"/>
  <c r="CU57" i="24" s="1"/>
  <c r="W57" i="24" s="1"/>
  <c r="CK48" i="43" s="1"/>
  <c r="BI48" i="43" s="1"/>
  <c r="Q20" i="56"/>
  <c r="CX57" i="24" s="1"/>
  <c r="Z57" i="24" s="1"/>
  <c r="CN48" i="43" s="1"/>
  <c r="BL48" i="43" s="1"/>
  <c r="M20" i="56"/>
  <c r="CT57" i="24" s="1"/>
  <c r="V57" i="24" s="1"/>
  <c r="CJ48" i="43" s="1"/>
  <c r="V20" i="56"/>
  <c r="DC57" i="24" s="1"/>
  <c r="AE57" i="24" s="1"/>
  <c r="CS48" i="43" s="1"/>
  <c r="BQ48" i="43" s="1"/>
  <c r="S20" i="56"/>
  <c r="CZ57" i="24" s="1"/>
  <c r="AB57" i="24" s="1"/>
  <c r="CP48" i="43" s="1"/>
  <c r="BN48" i="43" s="1"/>
  <c r="W20" i="56"/>
  <c r="DD57" i="24" s="1"/>
  <c r="AF57" i="24" s="1"/>
  <c r="CT48" i="43" s="1"/>
  <c r="BR48" i="43" s="1"/>
  <c r="T20" i="56"/>
  <c r="DA57" i="24" s="1"/>
  <c r="AC57" i="24" s="1"/>
  <c r="CQ48" i="43" s="1"/>
  <c r="BO48" i="43" s="1"/>
  <c r="O20" i="56"/>
  <c r="CV57" i="24" s="1"/>
  <c r="X57" i="24" s="1"/>
  <c r="CL48" i="43" s="1"/>
  <c r="BJ48" i="43" s="1"/>
  <c r="J20" i="56"/>
  <c r="CQ57" i="24" s="1"/>
  <c r="AK57" i="24" s="1"/>
  <c r="X20" i="56"/>
  <c r="DE57" i="24" s="1"/>
  <c r="AG57" i="24" s="1"/>
  <c r="CU48" i="43" s="1"/>
  <c r="BS48" i="43" s="1"/>
  <c r="K20" i="56"/>
  <c r="CR57" i="24" s="1"/>
  <c r="AL57" i="24" s="1"/>
  <c r="R20" i="56"/>
  <c r="CY57" i="24" s="1"/>
  <c r="AA57" i="24" s="1"/>
  <c r="CO48" i="43" s="1"/>
  <c r="BM48" i="43" s="1"/>
  <c r="U20" i="56"/>
  <c r="DB57" i="24" s="1"/>
  <c r="AD57" i="24" s="1"/>
  <c r="CR48" i="43" s="1"/>
  <c r="BP48" i="43" s="1"/>
  <c r="P20" i="56"/>
  <c r="CW57" i="24" s="1"/>
  <c r="Y57" i="24" s="1"/>
  <c r="CM48" i="43" s="1"/>
  <c r="BK48" i="43" s="1"/>
  <c r="AJ20" i="56"/>
  <c r="DQ57" i="24" s="1"/>
  <c r="AS20" i="56"/>
  <c r="DZ57" i="24" s="1"/>
  <c r="AN20" i="56"/>
  <c r="DU57" i="24" s="1"/>
  <c r="AG20" i="56"/>
  <c r="DN57" i="24" s="1"/>
  <c r="AB20" i="56"/>
  <c r="DI57" i="24" s="1"/>
  <c r="AU20" i="56"/>
  <c r="EB57" i="24" s="1"/>
  <c r="AX20" i="56"/>
  <c r="EE57" i="24" s="1"/>
  <c r="BC20" i="56"/>
  <c r="EJ57" i="24" s="1"/>
  <c r="I8" i="56"/>
  <c r="CP44" i="24" s="1"/>
  <c r="AJ44" i="24" s="1"/>
  <c r="T8" i="56"/>
  <c r="DA44" i="24" s="1"/>
  <c r="AC44" i="24" s="1"/>
  <c r="CQ25" i="43" s="1"/>
  <c r="BO25" i="43" s="1"/>
  <c r="U8" i="56"/>
  <c r="DB44" i="24" s="1"/>
  <c r="AD44" i="24" s="1"/>
  <c r="CR25" i="43" s="1"/>
  <c r="BP25" i="43" s="1"/>
  <c r="BG8" i="56"/>
  <c r="V8" i="56"/>
  <c r="DC44" i="24" s="1"/>
  <c r="AE44" i="24" s="1"/>
  <c r="CS25" i="43" s="1"/>
  <c r="BQ25" i="43" s="1"/>
  <c r="R8" i="56"/>
  <c r="CY44" i="24" s="1"/>
  <c r="AA44" i="24" s="1"/>
  <c r="CO25" i="43" s="1"/>
  <c r="BM25" i="43" s="1"/>
  <c r="N8" i="56"/>
  <c r="CU44" i="24" s="1"/>
  <c r="W44" i="24" s="1"/>
  <c r="CK25" i="43" s="1"/>
  <c r="BI25" i="43" s="1"/>
  <c r="M8" i="56"/>
  <c r="CT44" i="24" s="1"/>
  <c r="V44" i="24" s="1"/>
  <c r="CJ25" i="43" s="1"/>
  <c r="L8" i="56"/>
  <c r="CS44" i="24" s="1"/>
  <c r="U44" i="24" s="1"/>
  <c r="CI25" i="43" s="1"/>
  <c r="W8" i="56"/>
  <c r="DD44" i="24" s="1"/>
  <c r="AF44" i="24" s="1"/>
  <c r="CT25" i="43" s="1"/>
  <c r="BR25" i="43" s="1"/>
  <c r="K8" i="56"/>
  <c r="CR44" i="24" s="1"/>
  <c r="AL44" i="24" s="1"/>
  <c r="O8" i="56"/>
  <c r="CV44" i="24" s="1"/>
  <c r="X44" i="24" s="1"/>
  <c r="CL25" i="43" s="1"/>
  <c r="BJ25" i="43" s="1"/>
  <c r="P8" i="56"/>
  <c r="CW44" i="24" s="1"/>
  <c r="Y44" i="24" s="1"/>
  <c r="CM25" i="43" s="1"/>
  <c r="BK25" i="43" s="1"/>
  <c r="X8" i="56"/>
  <c r="DE44" i="24" s="1"/>
  <c r="AG44" i="24" s="1"/>
  <c r="CU25" i="43" s="1"/>
  <c r="BS25" i="43" s="1"/>
  <c r="AX8" i="56"/>
  <c r="EE44" i="24" s="1"/>
  <c r="AZ8" i="56"/>
  <c r="EG44" i="24" s="1"/>
  <c r="BA8" i="56"/>
  <c r="EH44" i="24" s="1"/>
  <c r="AR8" i="56"/>
  <c r="DY44" i="24" s="1"/>
  <c r="AD8" i="56"/>
  <c r="DK44" i="24" s="1"/>
  <c r="AA8" i="56"/>
  <c r="DH44" i="24" s="1"/>
  <c r="J8" i="56"/>
  <c r="CQ44" i="24" s="1"/>
  <c r="AK44" i="24" s="1"/>
  <c r="S8" i="56"/>
  <c r="CZ44" i="24" s="1"/>
  <c r="AB44" i="24" s="1"/>
  <c r="CP25" i="43" s="1"/>
  <c r="BN25" i="43" s="1"/>
  <c r="Q8" i="56"/>
  <c r="CX44" i="24" s="1"/>
  <c r="Z44" i="24" s="1"/>
  <c r="CN25" i="43" s="1"/>
  <c r="BL25" i="43" s="1"/>
  <c r="BF8" i="56"/>
  <c r="EM44" i="24" s="1"/>
  <c r="AT8" i="56"/>
  <c r="EA44" i="24" s="1"/>
  <c r="BF19" i="56"/>
  <c r="EM56" i="24" s="1"/>
  <c r="AS19" i="56"/>
  <c r="DZ56" i="24" s="1"/>
  <c r="AZ19" i="56"/>
  <c r="EG56" i="24" s="1"/>
  <c r="AL19" i="56"/>
  <c r="DS56" i="24" s="1"/>
  <c r="L6" i="56"/>
  <c r="CS42" i="24" s="1"/>
  <c r="U42" i="24" s="1"/>
  <c r="CI23" i="43" s="1"/>
  <c r="BG6" i="56"/>
  <c r="M6" i="56"/>
  <c r="CT42" i="24" s="1"/>
  <c r="V42" i="24" s="1"/>
  <c r="CJ23" i="43" s="1"/>
  <c r="O6" i="56"/>
  <c r="CV42" i="24" s="1"/>
  <c r="X42" i="24" s="1"/>
  <c r="CL23" i="43" s="1"/>
  <c r="BJ23" i="43" s="1"/>
  <c r="T6" i="56"/>
  <c r="DA42" i="24" s="1"/>
  <c r="AC42" i="24" s="1"/>
  <c r="CQ23" i="43" s="1"/>
  <c r="BO23" i="43" s="1"/>
  <c r="AK6" i="56"/>
  <c r="DR42" i="24" s="1"/>
  <c r="AY6" i="56"/>
  <c r="EF42" i="24" s="1"/>
  <c r="AJ6" i="56"/>
  <c r="DQ42" i="24" s="1"/>
  <c r="X6" i="56"/>
  <c r="DE42" i="24" s="1"/>
  <c r="AG42" i="24" s="1"/>
  <c r="CU23" i="43" s="1"/>
  <c r="BS23" i="43" s="1"/>
  <c r="V6" i="56"/>
  <c r="DC42" i="24" s="1"/>
  <c r="AE42" i="24" s="1"/>
  <c r="CS23" i="43" s="1"/>
  <c r="BQ23" i="43" s="1"/>
  <c r="I6" i="56"/>
  <c r="CP42" i="24" s="1"/>
  <c r="AJ42" i="24" s="1"/>
  <c r="R6" i="56"/>
  <c r="CY42" i="24" s="1"/>
  <c r="AA42" i="24" s="1"/>
  <c r="CO23" i="43" s="1"/>
  <c r="BM23" i="43" s="1"/>
  <c r="AB6" i="56"/>
  <c r="DI42" i="24" s="1"/>
  <c r="AZ6" i="56"/>
  <c r="EG42" i="24" s="1"/>
  <c r="BB6" i="56"/>
  <c r="EI42" i="24" s="1"/>
  <c r="AO6" i="56"/>
  <c r="DV42" i="24" s="1"/>
  <c r="J6" i="56"/>
  <c r="CQ42" i="24" s="1"/>
  <c r="AK42" i="24" s="1"/>
  <c r="W6" i="56"/>
  <c r="DD42" i="24" s="1"/>
  <c r="AF42" i="24" s="1"/>
  <c r="CT23" i="43" s="1"/>
  <c r="BR23" i="43" s="1"/>
  <c r="BD6" i="56"/>
  <c r="EK42" i="24" s="1"/>
  <c r="AN6" i="56"/>
  <c r="DU42" i="24" s="1"/>
  <c r="AM6" i="56"/>
  <c r="DT42" i="24" s="1"/>
  <c r="AF6" i="56"/>
  <c r="DM42" i="24" s="1"/>
  <c r="AR6" i="56"/>
  <c r="DY42" i="24" s="1"/>
  <c r="Z6" i="56"/>
  <c r="DG42" i="24" s="1"/>
  <c r="BA6" i="56"/>
  <c r="EH42" i="24" s="1"/>
  <c r="N6" i="56"/>
  <c r="CU42" i="24" s="1"/>
  <c r="W42" i="24" s="1"/>
  <c r="CK23" i="43" s="1"/>
  <c r="BI23" i="43" s="1"/>
  <c r="Q6" i="56"/>
  <c r="CX42" i="24" s="1"/>
  <c r="Z42" i="24" s="1"/>
  <c r="CN23" i="43" s="1"/>
  <c r="BL23" i="43" s="1"/>
  <c r="K6" i="56"/>
  <c r="CR42" i="24" s="1"/>
  <c r="AL42" i="24" s="1"/>
  <c r="P6" i="56"/>
  <c r="CW42" i="24" s="1"/>
  <c r="Y42" i="24" s="1"/>
  <c r="CM23" i="43" s="1"/>
  <c r="BK23" i="43" s="1"/>
  <c r="U6" i="56"/>
  <c r="DB42" i="24" s="1"/>
  <c r="AD42" i="24" s="1"/>
  <c r="CR23" i="43" s="1"/>
  <c r="BP23" i="43" s="1"/>
  <c r="S6" i="56"/>
  <c r="CZ42" i="24" s="1"/>
  <c r="AB42" i="24" s="1"/>
  <c r="CP23" i="43" s="1"/>
  <c r="BN23" i="43" s="1"/>
  <c r="AV6" i="56"/>
  <c r="EC42" i="24" s="1"/>
  <c r="AG6" i="56"/>
  <c r="DN42" i="24" s="1"/>
  <c r="AP6" i="56"/>
  <c r="DW42" i="24" s="1"/>
  <c r="AT6" i="56"/>
  <c r="EA42" i="24" s="1"/>
  <c r="AI6" i="56"/>
  <c r="DP42" i="24" s="1"/>
  <c r="AD6" i="56"/>
  <c r="DK42" i="24" s="1"/>
  <c r="AJ2" i="56"/>
  <c r="DQ38" i="24" s="1"/>
  <c r="AF15" i="56"/>
  <c r="DM52" i="24" s="1"/>
  <c r="AW15" i="56"/>
  <c r="ED52" i="24" s="1"/>
  <c r="AJ15" i="56"/>
  <c r="DQ52" i="24" s="1"/>
  <c r="AD15" i="56"/>
  <c r="DK52" i="24" s="1"/>
  <c r="BC15" i="56"/>
  <c r="EJ52" i="24" s="1"/>
  <c r="BF15" i="56"/>
  <c r="EM52" i="24" s="1"/>
  <c r="AV15" i="56"/>
  <c r="EC52" i="24" s="1"/>
  <c r="AY15" i="56"/>
  <c r="EF52" i="24" s="1"/>
  <c r="Y28" i="56"/>
  <c r="DF46" i="24" s="1"/>
  <c r="AA28" i="56"/>
  <c r="DH46" i="24" s="1"/>
  <c r="BF22" i="56"/>
  <c r="EM59" i="24" s="1"/>
  <c r="AZ22" i="56"/>
  <c r="EG59" i="24" s="1"/>
  <c r="AT22" i="56"/>
  <c r="EA59" i="24" s="1"/>
  <c r="AV11" i="56"/>
  <c r="EC48" i="24" s="1"/>
  <c r="AQ11" i="56"/>
  <c r="DX48" i="24" s="1"/>
  <c r="AG11" i="56"/>
  <c r="DN48" i="24" s="1"/>
  <c r="Z11" i="56"/>
  <c r="DG48" i="24" s="1"/>
  <c r="BD11" i="56"/>
  <c r="EK48" i="24" s="1"/>
  <c r="AY11" i="56"/>
  <c r="EF48" i="24" s="1"/>
  <c r="AB11" i="56"/>
  <c r="DI48" i="24" s="1"/>
  <c r="BE11" i="56"/>
  <c r="EL48" i="24" s="1"/>
  <c r="BB14" i="56"/>
  <c r="EI51" i="24" s="1"/>
  <c r="AU14" i="56"/>
  <c r="EB51" i="24" s="1"/>
  <c r="AP14" i="56"/>
  <c r="DW51" i="24" s="1"/>
  <c r="AG14" i="56"/>
  <c r="DN51" i="24" s="1"/>
  <c r="AE18" i="56"/>
  <c r="DL55" i="24" s="1"/>
  <c r="Z18" i="56"/>
  <c r="DG55" i="24" s="1"/>
  <c r="AK18" i="56"/>
  <c r="DR55" i="24" s="1"/>
  <c r="AV18" i="56"/>
  <c r="EC55" i="24" s="1"/>
  <c r="BA18" i="56"/>
  <c r="EH55" i="24" s="1"/>
  <c r="AX18" i="56"/>
  <c r="EE55" i="24" s="1"/>
  <c r="BC18" i="56"/>
  <c r="EJ55" i="24" s="1"/>
  <c r="BB10" i="56"/>
  <c r="EI47" i="24" s="1"/>
  <c r="AO10" i="56"/>
  <c r="DV47" i="24" s="1"/>
  <c r="AZ10" i="56"/>
  <c r="EG47" i="24" s="1"/>
  <c r="AH16" i="56"/>
  <c r="DO53" i="24" s="1"/>
  <c r="AN16" i="56"/>
  <c r="DU53" i="24" s="1"/>
  <c r="AV13" i="56"/>
  <c r="EC50" i="24" s="1"/>
  <c r="AE13" i="56"/>
  <c r="DL50" i="24" s="1"/>
  <c r="BE13" i="56"/>
  <c r="EL50" i="24" s="1"/>
  <c r="AG5" i="56"/>
  <c r="DN41" i="24" s="1"/>
  <c r="BA5" i="56"/>
  <c r="EH41" i="24" s="1"/>
  <c r="AV5" i="56"/>
  <c r="EC41" i="24" s="1"/>
  <c r="Y5" i="56"/>
  <c r="DF41" i="24" s="1"/>
  <c r="BB5" i="56"/>
  <c r="EI41" i="24" s="1"/>
  <c r="AU5" i="56"/>
  <c r="EB41" i="24" s="1"/>
  <c r="Z5" i="56"/>
  <c r="DG41" i="24" s="1"/>
  <c r="BD5" i="56"/>
  <c r="EK41" i="24" s="1"/>
  <c r="AH8" i="56"/>
  <c r="DO44" i="24" s="1"/>
  <c r="BC8" i="56"/>
  <c r="EJ44" i="24" s="1"/>
  <c r="Y8" i="56"/>
  <c r="DF44" i="24" s="1"/>
  <c r="AM8" i="56"/>
  <c r="DT44" i="24" s="1"/>
  <c r="AG8" i="56"/>
  <c r="DN44" i="24" s="1"/>
  <c r="Z8" i="56"/>
  <c r="DG44" i="24" s="1"/>
  <c r="AF21" i="56"/>
  <c r="DM58" i="24" s="1"/>
  <c r="BC19" i="56"/>
  <c r="EJ56" i="24" s="1"/>
  <c r="AV19" i="56"/>
  <c r="EC56" i="24" s="1"/>
  <c r="AP4" i="56"/>
  <c r="DW40" i="24" s="1"/>
  <c r="AO4" i="56"/>
  <c r="DV40" i="24" s="1"/>
  <c r="BC4" i="56"/>
  <c r="EJ40" i="24" s="1"/>
  <c r="BF6" i="56"/>
  <c r="EM42" i="24" s="1"/>
  <c r="AA6" i="56"/>
  <c r="DH42" i="24" s="1"/>
  <c r="AX2" i="56"/>
  <c r="EE38" i="24" s="1"/>
  <c r="AJ7" i="56"/>
  <c r="DQ43" i="24" s="1"/>
  <c r="BE7" i="56"/>
  <c r="EL43" i="24" s="1"/>
  <c r="AA7" i="56"/>
  <c r="DH43" i="24" s="1"/>
  <c r="AD7" i="56"/>
  <c r="DK43" i="24" s="1"/>
  <c r="AW7" i="56"/>
  <c r="ED43" i="24" s="1"/>
  <c r="AG12" i="56"/>
  <c r="DN49" i="24" s="1"/>
  <c r="AJ12" i="56"/>
  <c r="DQ49" i="24" s="1"/>
  <c r="AT12" i="56"/>
  <c r="EA49" i="24" s="1"/>
  <c r="BE12" i="56"/>
  <c r="EL49" i="24" s="1"/>
  <c r="Z12" i="56"/>
  <c r="DG49" i="24" s="1"/>
  <c r="AS12" i="56"/>
  <c r="DZ49" i="24" s="1"/>
  <c r="BA12" i="56"/>
  <c r="EH49" i="24" s="1"/>
  <c r="AI12" i="56"/>
  <c r="DP49" i="24" s="1"/>
  <c r="AP12" i="56"/>
  <c r="DW49" i="24" s="1"/>
  <c r="AO3" i="56"/>
  <c r="DV39" i="24" s="1"/>
  <c r="AU3" i="56"/>
  <c r="EB39" i="24" s="1"/>
  <c r="AD3" i="56"/>
  <c r="DK39" i="24" s="1"/>
  <c r="D13" i="72"/>
  <c r="K5" i="56"/>
  <c r="CR41" i="24" s="1"/>
  <c r="AL41" i="24" s="1"/>
  <c r="AK8" i="56"/>
  <c r="DR44" i="24" s="1"/>
  <c r="AV8" i="56"/>
  <c r="EC44" i="24" s="1"/>
  <c r="AW8" i="56"/>
  <c r="ED44" i="24" s="1"/>
  <c r="AT21" i="56"/>
  <c r="EA58" i="24" s="1"/>
  <c r="BB21" i="56"/>
  <c r="EI58" i="24" s="1"/>
  <c r="AE21" i="56"/>
  <c r="DL58" i="24" s="1"/>
  <c r="BC21" i="56"/>
  <c r="EJ58" i="24" s="1"/>
  <c r="AB21" i="56"/>
  <c r="DI58" i="24" s="1"/>
  <c r="Y21" i="56"/>
  <c r="DF58" i="24" s="1"/>
  <c r="AP26" i="56"/>
  <c r="DW63" i="24" s="1"/>
  <c r="BE19" i="56"/>
  <c r="EL56" i="24" s="1"/>
  <c r="AP19" i="56"/>
  <c r="DW56" i="24" s="1"/>
  <c r="AK19" i="56"/>
  <c r="DR56" i="24" s="1"/>
  <c r="AU19" i="56"/>
  <c r="EB56" i="24" s="1"/>
  <c r="Z4" i="56"/>
  <c r="DG40" i="24" s="1"/>
  <c r="AJ4" i="56"/>
  <c r="DQ40" i="24" s="1"/>
  <c r="AA4" i="56"/>
  <c r="DH40" i="24" s="1"/>
  <c r="AL4" i="56"/>
  <c r="DS40" i="24" s="1"/>
  <c r="Y6" i="56"/>
  <c r="DF42" i="24" s="1"/>
  <c r="AC6" i="56"/>
  <c r="DJ42" i="24" s="1"/>
  <c r="AG2" i="56"/>
  <c r="DN38" i="24" s="1"/>
  <c r="AA2" i="56"/>
  <c r="DH38" i="24" s="1"/>
  <c r="D7" i="72"/>
  <c r="AH7" i="56"/>
  <c r="DO43" i="24" s="1"/>
  <c r="AP7" i="56"/>
  <c r="DW43" i="24" s="1"/>
  <c r="AI7" i="56"/>
  <c r="DP43" i="24" s="1"/>
  <c r="Y3" i="56"/>
  <c r="DF39" i="24" s="1"/>
  <c r="AR3" i="56"/>
  <c r="DY39" i="24" s="1"/>
  <c r="AF3" i="56"/>
  <c r="DM39" i="24" s="1"/>
  <c r="AB3" i="56"/>
  <c r="DI39" i="24" s="1"/>
  <c r="BE3" i="56"/>
  <c r="EL39" i="24" s="1"/>
  <c r="AQ28" i="56"/>
  <c r="DX46" i="24" s="1"/>
  <c r="AP15" i="56"/>
  <c r="DW52" i="24" s="1"/>
  <c r="AK15" i="56"/>
  <c r="DR52" i="24" s="1"/>
  <c r="AH15" i="56"/>
  <c r="DO52" i="24" s="1"/>
  <c r="AU15" i="56"/>
  <c r="EB52" i="24" s="1"/>
  <c r="AS15" i="56"/>
  <c r="DZ52" i="24" s="1"/>
  <c r="AL15" i="56"/>
  <c r="DS52" i="24" s="1"/>
  <c r="AB15" i="56"/>
  <c r="DI52" i="24" s="1"/>
  <c r="AQ15" i="56"/>
  <c r="DX52" i="24" s="1"/>
  <c r="AR18" i="56"/>
  <c r="DY55" i="24" s="1"/>
  <c r="BE18" i="56"/>
  <c r="EL55" i="24" s="1"/>
  <c r="AF18" i="56"/>
  <c r="DM55" i="24" s="1"/>
  <c r="AG18" i="56"/>
  <c r="DN55" i="24" s="1"/>
  <c r="AJ18" i="56"/>
  <c r="DQ55" i="24" s="1"/>
  <c r="Y18" i="56"/>
  <c r="DF55" i="24" s="1"/>
  <c r="AC10" i="56"/>
  <c r="DJ47" i="24" s="1"/>
  <c r="AJ10" i="56"/>
  <c r="DQ47" i="24" s="1"/>
  <c r="Y10" i="56"/>
  <c r="DF47" i="24" s="1"/>
  <c r="AH10" i="56"/>
  <c r="DO47" i="24" s="1"/>
  <c r="AR16" i="56"/>
  <c r="DY53" i="24" s="1"/>
  <c r="BA13" i="56"/>
  <c r="EH50" i="24" s="1"/>
  <c r="AX13" i="56"/>
  <c r="EE50" i="24" s="1"/>
  <c r="BC5" i="56"/>
  <c r="EJ41" i="24" s="1"/>
  <c r="AN5" i="56"/>
  <c r="DU41" i="24" s="1"/>
  <c r="AQ8" i="56"/>
  <c r="DX44" i="24" s="1"/>
  <c r="AM19" i="56"/>
  <c r="DT56" i="24" s="1"/>
  <c r="AC4" i="56"/>
  <c r="DJ40" i="24" s="1"/>
  <c r="AR4" i="56"/>
  <c r="DY40" i="24" s="1"/>
  <c r="AE6" i="56"/>
  <c r="DL42" i="24" s="1"/>
  <c r="AT4" i="56"/>
  <c r="EA40" i="24" s="1"/>
  <c r="D10" i="72"/>
  <c r="Q17" i="56"/>
  <c r="CX54" i="24" s="1"/>
  <c r="Z54" i="24" s="1"/>
  <c r="CN45" i="43" s="1"/>
  <c r="BL45" i="43" s="1"/>
  <c r="AM17" i="56"/>
  <c r="DT54" i="24" s="1"/>
  <c r="AO17" i="56"/>
  <c r="DV54" i="24" s="1"/>
  <c r="BC17" i="56"/>
  <c r="EJ54" i="24" s="1"/>
  <c r="Y17" i="56"/>
  <c r="DF54" i="24" s="1"/>
  <c r="BF17" i="56"/>
  <c r="EM54" i="24" s="1"/>
  <c r="AU17" i="56"/>
  <c r="EB54" i="24" s="1"/>
  <c r="AC17" i="56"/>
  <c r="DJ54" i="24" s="1"/>
  <c r="AJ17" i="56"/>
  <c r="DQ54" i="24" s="1"/>
  <c r="AK17" i="56"/>
  <c r="DR54" i="24" s="1"/>
  <c r="BE17" i="56"/>
  <c r="EL54" i="24" s="1"/>
  <c r="AS17" i="56"/>
  <c r="DZ54" i="24" s="1"/>
  <c r="AH3" i="56"/>
  <c r="DO39" i="24" s="1"/>
  <c r="AA3" i="56"/>
  <c r="DH39" i="24" s="1"/>
  <c r="AI3" i="56"/>
  <c r="DP39" i="24" s="1"/>
  <c r="BG11" i="56"/>
  <c r="L11" i="56"/>
  <c r="CS48" i="24" s="1"/>
  <c r="U48" i="24" s="1"/>
  <c r="CI35" i="43" s="1"/>
  <c r="M11" i="56"/>
  <c r="CT48" i="24" s="1"/>
  <c r="V48" i="24" s="1"/>
  <c r="CJ35" i="43" s="1"/>
  <c r="U11" i="56"/>
  <c r="DB48" i="24" s="1"/>
  <c r="AD48" i="24" s="1"/>
  <c r="CR35" i="43" s="1"/>
  <c r="BP35" i="43" s="1"/>
  <c r="X11" i="56"/>
  <c r="DE48" i="24" s="1"/>
  <c r="AG48" i="24" s="1"/>
  <c r="CU35" i="43" s="1"/>
  <c r="BS35" i="43" s="1"/>
  <c r="R11" i="56"/>
  <c r="CY48" i="24" s="1"/>
  <c r="AA48" i="24" s="1"/>
  <c r="CO35" i="43" s="1"/>
  <c r="BM35" i="43" s="1"/>
  <c r="P11" i="56"/>
  <c r="CW48" i="24" s="1"/>
  <c r="Y48" i="24" s="1"/>
  <c r="CM35" i="43" s="1"/>
  <c r="BK35" i="43" s="1"/>
  <c r="K11" i="56"/>
  <c r="CR48" i="24" s="1"/>
  <c r="AL48" i="24" s="1"/>
  <c r="O11" i="56"/>
  <c r="CV48" i="24" s="1"/>
  <c r="X48" i="24" s="1"/>
  <c r="CL35" i="43" s="1"/>
  <c r="BJ35" i="43" s="1"/>
  <c r="V11" i="56"/>
  <c r="DC48" i="24" s="1"/>
  <c r="AE48" i="24" s="1"/>
  <c r="CS35" i="43" s="1"/>
  <c r="BQ35" i="43" s="1"/>
  <c r="I11" i="56"/>
  <c r="CP48" i="24" s="1"/>
  <c r="AJ48" i="24" s="1"/>
  <c r="T11" i="56"/>
  <c r="DA48" i="24" s="1"/>
  <c r="AC48" i="24" s="1"/>
  <c r="CQ35" i="43" s="1"/>
  <c r="BO35" i="43" s="1"/>
  <c r="W11" i="56"/>
  <c r="DD48" i="24" s="1"/>
  <c r="AF48" i="24" s="1"/>
  <c r="CT35" i="43" s="1"/>
  <c r="BR35" i="43" s="1"/>
  <c r="Q11" i="56"/>
  <c r="CX48" i="24" s="1"/>
  <c r="Z48" i="24" s="1"/>
  <c r="CN35" i="43" s="1"/>
  <c r="BL35" i="43" s="1"/>
  <c r="N11" i="56"/>
  <c r="CU48" i="24" s="1"/>
  <c r="W48" i="24" s="1"/>
  <c r="CK35" i="43" s="1"/>
  <c r="BI35" i="43" s="1"/>
  <c r="S11" i="56"/>
  <c r="CZ48" i="24" s="1"/>
  <c r="AB48" i="24" s="1"/>
  <c r="CP35" i="43" s="1"/>
  <c r="BN35" i="43" s="1"/>
  <c r="R10" i="56"/>
  <c r="CY47" i="24" s="1"/>
  <c r="AA47" i="24" s="1"/>
  <c r="CO34" i="43" s="1"/>
  <c r="BM34" i="43" s="1"/>
  <c r="W10" i="56"/>
  <c r="DD47" i="24" s="1"/>
  <c r="AF47" i="24" s="1"/>
  <c r="CT34" i="43" s="1"/>
  <c r="BR34" i="43" s="1"/>
  <c r="L10" i="56"/>
  <c r="CS47" i="24" s="1"/>
  <c r="U47" i="24" s="1"/>
  <c r="CI34" i="43" s="1"/>
  <c r="P10" i="56"/>
  <c r="CW47" i="24" s="1"/>
  <c r="Y47" i="24" s="1"/>
  <c r="CM34" i="43" s="1"/>
  <c r="BK34" i="43" s="1"/>
  <c r="O10" i="56"/>
  <c r="CV47" i="24" s="1"/>
  <c r="X47" i="24" s="1"/>
  <c r="CL34" i="43" s="1"/>
  <c r="BJ34" i="43" s="1"/>
  <c r="U10" i="56"/>
  <c r="DB47" i="24" s="1"/>
  <c r="AD47" i="24" s="1"/>
  <c r="CR34" i="43" s="1"/>
  <c r="BP34" i="43" s="1"/>
  <c r="T10" i="56"/>
  <c r="DA47" i="24" s="1"/>
  <c r="AC47" i="24" s="1"/>
  <c r="CQ34" i="43" s="1"/>
  <c r="BO34" i="43" s="1"/>
  <c r="I10" i="56"/>
  <c r="CP47" i="24" s="1"/>
  <c r="AJ47" i="24" s="1"/>
  <c r="BG10" i="56"/>
  <c r="M10" i="56"/>
  <c r="CT47" i="24" s="1"/>
  <c r="V47" i="24" s="1"/>
  <c r="CJ34" i="43" s="1"/>
  <c r="J10" i="56"/>
  <c r="CQ47" i="24" s="1"/>
  <c r="AK47" i="24" s="1"/>
  <c r="X10" i="56"/>
  <c r="DE47" i="24" s="1"/>
  <c r="AG47" i="24" s="1"/>
  <c r="CU34" i="43" s="1"/>
  <c r="BS34" i="43" s="1"/>
  <c r="K10" i="56"/>
  <c r="CR47" i="24" s="1"/>
  <c r="AL47" i="24" s="1"/>
  <c r="Q10" i="56"/>
  <c r="CX47" i="24" s="1"/>
  <c r="Z47" i="24" s="1"/>
  <c r="CN34" i="43" s="1"/>
  <c r="BL34" i="43" s="1"/>
  <c r="S10" i="56"/>
  <c r="CZ47" i="24" s="1"/>
  <c r="AB47" i="24" s="1"/>
  <c r="CP34" i="43" s="1"/>
  <c r="BN34" i="43" s="1"/>
  <c r="N10" i="56"/>
  <c r="CU47" i="24" s="1"/>
  <c r="W47" i="24" s="1"/>
  <c r="CK34" i="43" s="1"/>
  <c r="BI34" i="43" s="1"/>
  <c r="V10" i="56"/>
  <c r="DC47" i="24" s="1"/>
  <c r="AE47" i="24" s="1"/>
  <c r="CS34" i="43" s="1"/>
  <c r="BQ34" i="43" s="1"/>
  <c r="AT10" i="56"/>
  <c r="EA47" i="24" s="1"/>
  <c r="AL10" i="56"/>
  <c r="DS47" i="24" s="1"/>
  <c r="AX10" i="56"/>
  <c r="EE47" i="24" s="1"/>
  <c r="AQ10" i="56"/>
  <c r="DX47" i="24" s="1"/>
  <c r="P2" i="56"/>
  <c r="CW38" i="24" s="1"/>
  <c r="Y38" i="24" s="1"/>
  <c r="CM31" i="43" s="1"/>
  <c r="BK31" i="43" s="1"/>
  <c r="U2" i="56"/>
  <c r="DB38" i="24" s="1"/>
  <c r="AD38" i="24" s="1"/>
  <c r="CR31" i="43" s="1"/>
  <c r="BP31" i="43" s="1"/>
  <c r="AQ2" i="56"/>
  <c r="DX38" i="24" s="1"/>
  <c r="AF2" i="56"/>
  <c r="DM38" i="24" s="1"/>
  <c r="AD2" i="56"/>
  <c r="DK38" i="24" s="1"/>
  <c r="BC2" i="56"/>
  <c r="EJ38" i="24" s="1"/>
  <c r="W2" i="56"/>
  <c r="DD38" i="24" s="1"/>
  <c r="AF38" i="24" s="1"/>
  <c r="CT31" i="43" s="1"/>
  <c r="BR31" i="43" s="1"/>
  <c r="O2" i="56"/>
  <c r="CV38" i="24" s="1"/>
  <c r="X38" i="24" s="1"/>
  <c r="CL31" i="43" s="1"/>
  <c r="BJ31" i="43" s="1"/>
  <c r="T2" i="56"/>
  <c r="DA38" i="24" s="1"/>
  <c r="AC38" i="24" s="1"/>
  <c r="CQ31" i="43" s="1"/>
  <c r="BO31" i="43" s="1"/>
  <c r="Q2" i="56"/>
  <c r="CX38" i="24" s="1"/>
  <c r="Z38" i="24" s="1"/>
  <c r="CN31" i="43" s="1"/>
  <c r="BL31" i="43" s="1"/>
  <c r="I2" i="56"/>
  <c r="CP38" i="24" s="1"/>
  <c r="AJ38" i="24" s="1"/>
  <c r="L2" i="56"/>
  <c r="CS38" i="24" s="1"/>
  <c r="U38" i="24" s="1"/>
  <c r="CI31" i="43" s="1"/>
  <c r="AW2" i="56"/>
  <c r="ED38" i="24" s="1"/>
  <c r="BA2" i="56"/>
  <c r="EH38" i="24" s="1"/>
  <c r="AZ2" i="56"/>
  <c r="EG38" i="24" s="1"/>
  <c r="BG2" i="56"/>
  <c r="M2" i="56"/>
  <c r="CT38" i="24" s="1"/>
  <c r="V38" i="24" s="1"/>
  <c r="CJ31" i="43" s="1"/>
  <c r="AO2" i="56"/>
  <c r="DV38" i="24" s="1"/>
  <c r="AU2" i="56"/>
  <c r="EB38" i="24" s="1"/>
  <c r="X2" i="56"/>
  <c r="DE38" i="24" s="1"/>
  <c r="AG38" i="24" s="1"/>
  <c r="CU31" i="43" s="1"/>
  <c r="BS31" i="43" s="1"/>
  <c r="S2" i="56"/>
  <c r="CZ38" i="24" s="1"/>
  <c r="AB38" i="24" s="1"/>
  <c r="CP31" i="43" s="1"/>
  <c r="BN31" i="43" s="1"/>
  <c r="V2" i="56"/>
  <c r="DC38" i="24" s="1"/>
  <c r="AE38" i="24" s="1"/>
  <c r="CS31" i="43" s="1"/>
  <c r="BQ31" i="43" s="1"/>
  <c r="N2" i="56"/>
  <c r="CU38" i="24" s="1"/>
  <c r="W38" i="24" s="1"/>
  <c r="CK31" i="43" s="1"/>
  <c r="BI31" i="43" s="1"/>
  <c r="J2" i="56"/>
  <c r="CQ38" i="24" s="1"/>
  <c r="AK38" i="24" s="1"/>
  <c r="AL2" i="56"/>
  <c r="DS38" i="24" s="1"/>
  <c r="AB2" i="56"/>
  <c r="DI38" i="24" s="1"/>
  <c r="Z2" i="56"/>
  <c r="DG38" i="24" s="1"/>
  <c r="BE2" i="56"/>
  <c r="EL38" i="24" s="1"/>
  <c r="BD2" i="56"/>
  <c r="EK38" i="24" s="1"/>
  <c r="AC2" i="56"/>
  <c r="DJ38" i="24" s="1"/>
  <c r="BB2" i="56"/>
  <c r="EI38" i="24" s="1"/>
  <c r="AR2" i="56"/>
  <c r="DY38" i="24" s="1"/>
  <c r="BF2" i="56"/>
  <c r="EM38" i="24" s="1"/>
  <c r="R2" i="56"/>
  <c r="CY38" i="24" s="1"/>
  <c r="AA38" i="24" s="1"/>
  <c r="CO31" i="43" s="1"/>
  <c r="BM31" i="43" s="1"/>
  <c r="K2" i="56"/>
  <c r="CR38" i="24" s="1"/>
  <c r="AL38" i="24" s="1"/>
  <c r="AS2" i="56"/>
  <c r="DZ38" i="24" s="1"/>
  <c r="Y2" i="56"/>
  <c r="DF38" i="24" s="1"/>
  <c r="AE2" i="56"/>
  <c r="DL38" i="24" s="1"/>
  <c r="AV2" i="56"/>
  <c r="EC38" i="24" s="1"/>
  <c r="AH2" i="56"/>
  <c r="DO38" i="24" s="1"/>
  <c r="AM2" i="56"/>
  <c r="DT38" i="24" s="1"/>
  <c r="AP2" i="56"/>
  <c r="DW38" i="24" s="1"/>
  <c r="AG7" i="56"/>
  <c r="DN43" i="24" s="1"/>
  <c r="AB7" i="56"/>
  <c r="DI43" i="24" s="1"/>
  <c r="AN3" i="56"/>
  <c r="DU39" i="24" s="1"/>
  <c r="AQ3" i="56"/>
  <c r="DX39" i="24" s="1"/>
  <c r="AP3" i="56"/>
  <c r="DW39" i="24" s="1"/>
  <c r="AT3" i="56"/>
  <c r="EA39" i="24" s="1"/>
  <c r="AS3" i="56"/>
  <c r="DZ39" i="24" s="1"/>
  <c r="AX3" i="56"/>
  <c r="EE39" i="24" s="1"/>
  <c r="AS28" i="56"/>
  <c r="DZ46" i="24" s="1"/>
  <c r="J19" i="56"/>
  <c r="CQ56" i="24" s="1"/>
  <c r="AK56" i="24" s="1"/>
  <c r="AT19" i="56"/>
  <c r="EA56" i="24" s="1"/>
  <c r="AD19" i="56"/>
  <c r="DK56" i="24" s="1"/>
  <c r="BA22" i="56"/>
  <c r="EH59" i="24" s="1"/>
  <c r="AU22" i="56"/>
  <c r="EB59" i="24" s="1"/>
  <c r="AO22" i="56"/>
  <c r="DV59" i="24" s="1"/>
  <c r="AI22" i="56"/>
  <c r="DP59" i="24" s="1"/>
  <c r="AC22" i="56"/>
  <c r="DJ59" i="24" s="1"/>
  <c r="AY14" i="56"/>
  <c r="EF51" i="24" s="1"/>
  <c r="AT14" i="56"/>
  <c r="EA51" i="24" s="1"/>
  <c r="AZ14" i="56"/>
  <c r="EG51" i="24" s="1"/>
  <c r="AW14" i="56"/>
  <c r="ED51" i="24" s="1"/>
  <c r="AL28" i="56"/>
  <c r="DS46" i="24" s="1"/>
  <c r="BD18" i="56"/>
  <c r="EK55" i="24" s="1"/>
  <c r="AS18" i="56"/>
  <c r="DZ55" i="24" s="1"/>
  <c r="AH26" i="56"/>
  <c r="DO63" i="24" s="1"/>
  <c r="AR26" i="56"/>
  <c r="DY63" i="24" s="1"/>
  <c r="BC28" i="56"/>
  <c r="EJ46" i="24" s="1"/>
  <c r="Z26" i="56"/>
  <c r="DG63" i="24" s="1"/>
  <c r="AI26" i="56"/>
  <c r="DP63" i="24" s="1"/>
  <c r="AM10" i="56"/>
  <c r="DT47" i="24" s="1"/>
  <c r="AS10" i="56"/>
  <c r="DZ47" i="24" s="1"/>
  <c r="BC10" i="56"/>
  <c r="EJ47" i="24" s="1"/>
  <c r="AN10" i="56"/>
  <c r="DU47" i="24" s="1"/>
  <c r="AE16" i="56"/>
  <c r="DL53" i="24" s="1"/>
  <c r="BE16" i="56"/>
  <c r="EL53" i="24" s="1"/>
  <c r="BB16" i="56"/>
  <c r="EI53" i="24" s="1"/>
  <c r="AS16" i="56"/>
  <c r="DZ53" i="24" s="1"/>
  <c r="AP16" i="56"/>
  <c r="DW53" i="24" s="1"/>
  <c r="AG16" i="56"/>
  <c r="DN53" i="24" s="1"/>
  <c r="AD16" i="56"/>
  <c r="DK53" i="24" s="1"/>
  <c r="BB13" i="56"/>
  <c r="EI50" i="24" s="1"/>
  <c r="AS13" i="56"/>
  <c r="DZ50" i="24" s="1"/>
  <c r="AP13" i="56"/>
  <c r="DW50" i="24" s="1"/>
  <c r="AG13" i="56"/>
  <c r="DN50" i="24" s="1"/>
  <c r="AN13" i="56"/>
  <c r="DU50" i="24" s="1"/>
  <c r="AQ13" i="56"/>
  <c r="DX50" i="24" s="1"/>
  <c r="BB20" i="56"/>
  <c r="EI57" i="24" s="1"/>
  <c r="AC20" i="56"/>
  <c r="DJ57" i="24" s="1"/>
  <c r="BF20" i="56"/>
  <c r="EM57" i="24" s="1"/>
  <c r="AE20" i="56"/>
  <c r="DL57" i="24" s="1"/>
  <c r="AT20" i="56"/>
  <c r="EA57" i="24" s="1"/>
  <c r="AQ20" i="56"/>
  <c r="DX57" i="24" s="1"/>
  <c r="AH20" i="56"/>
  <c r="DO57" i="24" s="1"/>
  <c r="AI20" i="56"/>
  <c r="DP57" i="24" s="1"/>
  <c r="AB5" i="56"/>
  <c r="DI41" i="24" s="1"/>
  <c r="D5" i="72"/>
  <c r="AW17" i="56"/>
  <c r="ED54" i="24" s="1"/>
  <c r="BA28" i="56"/>
  <c r="EH46" i="24" s="1"/>
  <c r="AP22" i="56"/>
  <c r="DW59" i="24" s="1"/>
  <c r="AJ22" i="56"/>
  <c r="DQ59" i="24" s="1"/>
  <c r="AD22" i="56"/>
  <c r="DK59" i="24" s="1"/>
  <c r="AC11" i="56"/>
  <c r="DJ48" i="24" s="1"/>
  <c r="AD11" i="56"/>
  <c r="DK48" i="24" s="1"/>
  <c r="AW11" i="56"/>
  <c r="ED48" i="24" s="1"/>
  <c r="AH11" i="56"/>
  <c r="DO48" i="24" s="1"/>
  <c r="AK11" i="56"/>
  <c r="DR48" i="24" s="1"/>
  <c r="AL11" i="56"/>
  <c r="DS48" i="24" s="1"/>
  <c r="AR11" i="56"/>
  <c r="DY48" i="24" s="1"/>
  <c r="AM11" i="56"/>
  <c r="DT48" i="24" s="1"/>
  <c r="AI14" i="56"/>
  <c r="DP51" i="24" s="1"/>
  <c r="AL14" i="56"/>
  <c r="DS51" i="24" s="1"/>
  <c r="AE14" i="56"/>
  <c r="DL51" i="24" s="1"/>
  <c r="Z14" i="56"/>
  <c r="DG51" i="24" s="1"/>
  <c r="AK14" i="56"/>
  <c r="DR51" i="24" s="1"/>
  <c r="AF5" i="56"/>
  <c r="DM41" i="24" s="1"/>
  <c r="AS5" i="56"/>
  <c r="DZ41" i="24" s="1"/>
  <c r="AE8" i="56"/>
  <c r="DL44" i="24" s="1"/>
  <c r="BE21" i="56"/>
  <c r="EL58" i="24" s="1"/>
  <c r="AB19" i="56"/>
  <c r="DI56" i="24" s="1"/>
  <c r="BB4" i="56"/>
  <c r="EI40" i="24" s="1"/>
  <c r="G6" i="72"/>
  <c r="D11" i="72"/>
  <c r="AE17" i="56"/>
  <c r="DL54" i="24" s="1"/>
  <c r="AX17" i="56"/>
  <c r="EE54" i="24" s="1"/>
  <c r="D9" i="72"/>
  <c r="I17" i="72"/>
  <c r="I14" i="72"/>
  <c r="BG28" i="56"/>
  <c r="V28" i="56"/>
  <c r="DC46" i="24" s="1"/>
  <c r="AE46" i="24" s="1"/>
  <c r="CS27" i="43" s="1"/>
  <c r="BQ27" i="43" s="1"/>
  <c r="N28" i="56"/>
  <c r="CU46" i="24" s="1"/>
  <c r="W46" i="24" s="1"/>
  <c r="CK27" i="43" s="1"/>
  <c r="BI27" i="43" s="1"/>
  <c r="I28" i="56"/>
  <c r="CP46" i="24" s="1"/>
  <c r="AJ46" i="24" s="1"/>
  <c r="M28" i="56"/>
  <c r="CT46" i="24" s="1"/>
  <c r="V46" i="24" s="1"/>
  <c r="CJ27" i="43" s="1"/>
  <c r="BH27" i="43" s="1"/>
  <c r="U28" i="56"/>
  <c r="DB46" i="24" s="1"/>
  <c r="AD46" i="24" s="1"/>
  <c r="CR27" i="43" s="1"/>
  <c r="BP27" i="43" s="1"/>
  <c r="J28" i="56"/>
  <c r="CQ46" i="24" s="1"/>
  <c r="AK46" i="24" s="1"/>
  <c r="R28" i="56"/>
  <c r="CY46" i="24" s="1"/>
  <c r="AA46" i="24" s="1"/>
  <c r="CO27" i="43" s="1"/>
  <c r="BM27" i="43" s="1"/>
  <c r="Q28" i="56"/>
  <c r="CX46" i="24" s="1"/>
  <c r="Z46" i="24" s="1"/>
  <c r="CN27" i="43" s="1"/>
  <c r="BL27" i="43" s="1"/>
  <c r="AA26" i="56"/>
  <c r="DH63" i="24" s="1"/>
  <c r="AI28" i="56"/>
  <c r="DP46" i="24" s="1"/>
  <c r="AT28" i="56"/>
  <c r="EA46" i="24" s="1"/>
  <c r="F15" i="72"/>
  <c r="AN17" i="56"/>
  <c r="DU54" i="24" s="1"/>
  <c r="D15" i="72"/>
  <c r="AC26" i="56"/>
  <c r="DJ63" i="24" s="1"/>
  <c r="C9" i="72"/>
  <c r="H6" i="72"/>
  <c r="AL17" i="56"/>
  <c r="DS54" i="24" s="1"/>
  <c r="AT17" i="56"/>
  <c r="EA54" i="24" s="1"/>
  <c r="AV28" i="56"/>
  <c r="EC46" i="24" s="1"/>
  <c r="AW28" i="56"/>
  <c r="ED46" i="24" s="1"/>
  <c r="D14" i="72"/>
  <c r="G17" i="72"/>
  <c r="C12" i="72"/>
  <c r="AQ12" i="56"/>
  <c r="DX49" i="24" s="1"/>
  <c r="BC12" i="56"/>
  <c r="EJ49" i="24" s="1"/>
  <c r="AV12" i="56"/>
  <c r="EC49" i="24" s="1"/>
  <c r="AX12" i="56"/>
  <c r="EE49" i="24" s="1"/>
  <c r="AB12" i="56"/>
  <c r="DI49" i="24" s="1"/>
  <c r="AL12" i="56"/>
  <c r="DS49" i="24" s="1"/>
  <c r="AO12" i="56"/>
  <c r="DV49" i="24" s="1"/>
  <c r="Y12" i="56"/>
  <c r="DF49" i="24" s="1"/>
  <c r="AY3" i="56"/>
  <c r="EF39" i="24" s="1"/>
  <c r="AZ28" i="56"/>
  <c r="EG46" i="24" s="1"/>
  <c r="AN15" i="56"/>
  <c r="DU52" i="24" s="1"/>
  <c r="Z22" i="56"/>
  <c r="DG59" i="24" s="1"/>
  <c r="AD14" i="56"/>
  <c r="DK51" i="24" s="1"/>
  <c r="AJ14" i="56"/>
  <c r="DQ51" i="24" s="1"/>
  <c r="AC14" i="56"/>
  <c r="DJ51" i="24" s="1"/>
  <c r="AQ14" i="56"/>
  <c r="DX51" i="24" s="1"/>
  <c r="AN18" i="56"/>
  <c r="DU55" i="24" s="1"/>
  <c r="AO26" i="56"/>
  <c r="DV63" i="24" s="1"/>
  <c r="AE28" i="56"/>
  <c r="DL46" i="24" s="1"/>
  <c r="BE28" i="56"/>
  <c r="EL46" i="24" s="1"/>
  <c r="BA26" i="56"/>
  <c r="EH63" i="24" s="1"/>
  <c r="AX26" i="56"/>
  <c r="EE63" i="24" s="1"/>
  <c r="AU16" i="56"/>
  <c r="EB53" i="24" s="1"/>
  <c r="AJ16" i="56"/>
  <c r="DQ53" i="24" s="1"/>
  <c r="AI16" i="56"/>
  <c r="DP53" i="24" s="1"/>
  <c r="AF16" i="56"/>
  <c r="DM53" i="24" s="1"/>
  <c r="BF16" i="56"/>
  <c r="EM53" i="24" s="1"/>
  <c r="AW16" i="56"/>
  <c r="ED53" i="24" s="1"/>
  <c r="AT16" i="56"/>
  <c r="EA53" i="24" s="1"/>
  <c r="AI13" i="56"/>
  <c r="DP50" i="24" s="1"/>
  <c r="AW5" i="56"/>
  <c r="ED41" i="24" s="1"/>
  <c r="Z21" i="56"/>
  <c r="DG58" i="24" s="1"/>
  <c r="BG19" i="56"/>
  <c r="T19" i="56"/>
  <c r="DA56" i="24" s="1"/>
  <c r="AC56" i="24" s="1"/>
  <c r="CQ47" i="43" s="1"/>
  <c r="BO47" i="43" s="1"/>
  <c r="Q19" i="56"/>
  <c r="CX56" i="24" s="1"/>
  <c r="Z56" i="24" s="1"/>
  <c r="CN47" i="43" s="1"/>
  <c r="BL47" i="43" s="1"/>
  <c r="V19" i="56"/>
  <c r="DC56" i="24" s="1"/>
  <c r="AE56" i="24" s="1"/>
  <c r="CS47" i="43" s="1"/>
  <c r="BQ47" i="43" s="1"/>
  <c r="X19" i="56"/>
  <c r="DE56" i="24" s="1"/>
  <c r="AG56" i="24" s="1"/>
  <c r="CU47" i="43" s="1"/>
  <c r="BS47" i="43" s="1"/>
  <c r="W19" i="56"/>
  <c r="DD56" i="24" s="1"/>
  <c r="AF56" i="24" s="1"/>
  <c r="CT47" i="43" s="1"/>
  <c r="BR47" i="43" s="1"/>
  <c r="U19" i="56"/>
  <c r="DB56" i="24" s="1"/>
  <c r="AD56" i="24" s="1"/>
  <c r="CR47" i="43" s="1"/>
  <c r="BP47" i="43" s="1"/>
  <c r="I19" i="56"/>
  <c r="CP56" i="24" s="1"/>
  <c r="AJ56" i="24" s="1"/>
  <c r="L19" i="56"/>
  <c r="CS56" i="24" s="1"/>
  <c r="U56" i="24" s="1"/>
  <c r="CI47" i="43" s="1"/>
  <c r="M19" i="56"/>
  <c r="CT56" i="24" s="1"/>
  <c r="V56" i="24" s="1"/>
  <c r="CJ47" i="43" s="1"/>
  <c r="R19" i="56"/>
  <c r="CY56" i="24" s="1"/>
  <c r="AA56" i="24" s="1"/>
  <c r="CO47" i="43" s="1"/>
  <c r="BM47" i="43" s="1"/>
  <c r="P19" i="56"/>
  <c r="CW56" i="24" s="1"/>
  <c r="Y56" i="24" s="1"/>
  <c r="CM47" i="43" s="1"/>
  <c r="BK47" i="43" s="1"/>
  <c r="N19" i="56"/>
  <c r="CU56" i="24" s="1"/>
  <c r="W56" i="24" s="1"/>
  <c r="CK47" i="43" s="1"/>
  <c r="BI47" i="43" s="1"/>
  <c r="AX19" i="56"/>
  <c r="EE56" i="24" s="1"/>
  <c r="AJ19" i="56"/>
  <c r="DQ56" i="24" s="1"/>
  <c r="AQ19" i="56"/>
  <c r="DX56" i="24" s="1"/>
  <c r="BA19" i="56"/>
  <c r="EH56" i="24" s="1"/>
  <c r="Y19" i="56"/>
  <c r="DF56" i="24" s="1"/>
  <c r="K19" i="56"/>
  <c r="CR56" i="24" s="1"/>
  <c r="AL56" i="24" s="1"/>
  <c r="O19" i="56"/>
  <c r="CV56" i="24" s="1"/>
  <c r="X56" i="24" s="1"/>
  <c r="CL47" i="43" s="1"/>
  <c r="BJ47" i="43" s="1"/>
  <c r="S19" i="56"/>
  <c r="CZ56" i="24" s="1"/>
  <c r="AB56" i="24" s="1"/>
  <c r="CP47" i="43" s="1"/>
  <c r="BN47" i="43" s="1"/>
  <c r="AI19" i="56"/>
  <c r="DP56" i="24" s="1"/>
  <c r="AY19" i="56"/>
  <c r="EF56" i="24" s="1"/>
  <c r="Z19" i="56"/>
  <c r="DG56" i="24" s="1"/>
  <c r="AF4" i="56"/>
  <c r="DM40" i="24" s="1"/>
  <c r="AE15" i="56"/>
  <c r="DL52" i="24" s="1"/>
  <c r="AC15" i="56"/>
  <c r="DJ52" i="24" s="1"/>
  <c r="BD15" i="56"/>
  <c r="EK52" i="24" s="1"/>
  <c r="AA15" i="56"/>
  <c r="DH52" i="24" s="1"/>
  <c r="AO15" i="56"/>
  <c r="DV52" i="24" s="1"/>
  <c r="BA15" i="56"/>
  <c r="EH52" i="24" s="1"/>
  <c r="AM15" i="56"/>
  <c r="DT52" i="24" s="1"/>
  <c r="BE15" i="56"/>
  <c r="EL52" i="24" s="1"/>
  <c r="AN28" i="56"/>
  <c r="DU46" i="24" s="1"/>
  <c r="BC22" i="56"/>
  <c r="EJ59" i="24" s="1"/>
  <c r="AW22" i="56"/>
  <c r="ED59" i="24" s="1"/>
  <c r="AS11" i="56"/>
  <c r="DZ48" i="24" s="1"/>
  <c r="AJ11" i="56"/>
  <c r="DQ48" i="24" s="1"/>
  <c r="AE11" i="56"/>
  <c r="DL48" i="24" s="1"/>
  <c r="AT11" i="56"/>
  <c r="EA48" i="24" s="1"/>
  <c r="BA11" i="56"/>
  <c r="EH48" i="24" s="1"/>
  <c r="AP11" i="56"/>
  <c r="DW48" i="24" s="1"/>
  <c r="Y11" i="56"/>
  <c r="DF48" i="24" s="1"/>
  <c r="BC11" i="56"/>
  <c r="EJ48" i="24" s="1"/>
  <c r="BD14" i="56"/>
  <c r="EK51" i="24" s="1"/>
  <c r="BA14" i="56"/>
  <c r="EH51" i="24" s="1"/>
  <c r="AR14" i="56"/>
  <c r="DY51" i="24" s="1"/>
  <c r="Y14" i="56"/>
  <c r="DF51" i="24" s="1"/>
  <c r="AQ18" i="56"/>
  <c r="DX55" i="24" s="1"/>
  <c r="AB18" i="56"/>
  <c r="DI55" i="24" s="1"/>
  <c r="BF18" i="56"/>
  <c r="EM55" i="24" s="1"/>
  <c r="AY18" i="56"/>
  <c r="EF55" i="24" s="1"/>
  <c r="AT18" i="56"/>
  <c r="EA55" i="24" s="1"/>
  <c r="AW18" i="56"/>
  <c r="ED55" i="24" s="1"/>
  <c r="AZ18" i="56"/>
  <c r="EG55" i="24" s="1"/>
  <c r="AV10" i="56"/>
  <c r="EC47" i="24" s="1"/>
  <c r="AI10" i="56"/>
  <c r="DP47" i="24" s="1"/>
  <c r="AU10" i="56"/>
  <c r="EB47" i="24" s="1"/>
  <c r="BF10" i="56"/>
  <c r="EM47" i="24" s="1"/>
  <c r="BA16" i="56"/>
  <c r="EH53" i="24" s="1"/>
  <c r="AK13" i="56"/>
  <c r="DR50" i="24" s="1"/>
  <c r="AH13" i="56"/>
  <c r="DO50" i="24" s="1"/>
  <c r="Y13" i="56"/>
  <c r="DF50" i="24" s="1"/>
  <c r="Y20" i="56"/>
  <c r="DF57" i="24" s="1"/>
  <c r="AM5" i="56"/>
  <c r="DT41" i="24" s="1"/>
  <c r="AX5" i="56"/>
  <c r="EE41" i="24" s="1"/>
  <c r="AE5" i="56"/>
  <c r="DL41" i="24" s="1"/>
  <c r="BE5" i="56"/>
  <c r="EL41" i="24" s="1"/>
  <c r="AZ5" i="56"/>
  <c r="EG41" i="24" s="1"/>
  <c r="AC5" i="56"/>
  <c r="DJ41" i="24" s="1"/>
  <c r="BF5" i="56"/>
  <c r="EM41" i="24" s="1"/>
  <c r="BD8" i="56"/>
  <c r="EK44" i="24" s="1"/>
  <c r="AU8" i="56"/>
  <c r="EB44" i="24" s="1"/>
  <c r="AB8" i="56"/>
  <c r="DI44" i="24" s="1"/>
  <c r="AO8" i="56"/>
  <c r="DV44" i="24" s="1"/>
  <c r="AJ8" i="56"/>
  <c r="DQ44" i="24" s="1"/>
  <c r="AP8" i="56"/>
  <c r="DW44" i="24" s="1"/>
  <c r="AI21" i="56"/>
  <c r="DP58" i="24" s="1"/>
  <c r="AX21" i="56"/>
  <c r="EE58" i="24" s="1"/>
  <c r="AQ26" i="56"/>
  <c r="DX63" i="24" s="1"/>
  <c r="AD26" i="56"/>
  <c r="DK63" i="24" s="1"/>
  <c r="AR19" i="56"/>
  <c r="DY56" i="24" s="1"/>
  <c r="BD19" i="56"/>
  <c r="EK56" i="24" s="1"/>
  <c r="AA19" i="56"/>
  <c r="DH56" i="24" s="1"/>
  <c r="K4" i="56"/>
  <c r="CR40" i="24" s="1"/>
  <c r="AL40" i="24" s="1"/>
  <c r="AG4" i="56"/>
  <c r="DN40" i="24" s="1"/>
  <c r="BD4" i="56"/>
  <c r="EK40" i="24" s="1"/>
  <c r="AU6" i="56"/>
  <c r="EB42" i="24" s="1"/>
  <c r="AW6" i="56"/>
  <c r="ED42" i="24" s="1"/>
  <c r="AN2" i="56"/>
  <c r="DU38" i="24" s="1"/>
  <c r="AZ7" i="56"/>
  <c r="EG43" i="24" s="1"/>
  <c r="AV7" i="56"/>
  <c r="EC43" i="24" s="1"/>
  <c r="AX7" i="56"/>
  <c r="EE43" i="24" s="1"/>
  <c r="AE7" i="56"/>
  <c r="DL43" i="24" s="1"/>
  <c r="AQ7" i="56"/>
  <c r="DX43" i="24" s="1"/>
  <c r="AU7" i="56"/>
  <c r="EB43" i="24" s="1"/>
  <c r="AH12" i="56"/>
  <c r="DO49" i="24" s="1"/>
  <c r="AE12" i="56"/>
  <c r="DL49" i="24" s="1"/>
  <c r="AW12" i="56"/>
  <c r="ED49" i="24" s="1"/>
  <c r="AK12" i="56"/>
  <c r="DR49" i="24" s="1"/>
  <c r="AC12" i="56"/>
  <c r="DJ49" i="24" s="1"/>
  <c r="AU12" i="56"/>
  <c r="EB49" i="24" s="1"/>
  <c r="AY12" i="56"/>
  <c r="EF49" i="24" s="1"/>
  <c r="AZ12" i="56"/>
  <c r="EG49" i="24" s="1"/>
  <c r="BF3" i="56"/>
  <c r="EM39" i="24" s="1"/>
  <c r="AM3" i="56"/>
  <c r="DT39" i="24" s="1"/>
  <c r="AJ3" i="56"/>
  <c r="DQ39" i="24" s="1"/>
  <c r="AE3" i="56"/>
  <c r="DL39" i="24" s="1"/>
  <c r="AN8" i="56"/>
  <c r="DU44" i="24" s="1"/>
  <c r="AF8" i="56"/>
  <c r="DM44" i="24" s="1"/>
  <c r="AS8" i="56"/>
  <c r="DZ44" i="24" s="1"/>
  <c r="AV21" i="56"/>
  <c r="EC58" i="24" s="1"/>
  <c r="AK21" i="56"/>
  <c r="DR58" i="24" s="1"/>
  <c r="AZ21" i="56"/>
  <c r="EG58" i="24" s="1"/>
  <c r="BA21" i="56"/>
  <c r="EH58" i="24" s="1"/>
  <c r="AA21" i="56"/>
  <c r="DH58" i="24" s="1"/>
  <c r="BD21" i="56"/>
  <c r="EK58" i="24" s="1"/>
  <c r="AO21" i="56"/>
  <c r="DV58" i="24" s="1"/>
  <c r="BB19" i="56"/>
  <c r="EI56" i="24" s="1"/>
  <c r="AC19" i="56"/>
  <c r="DJ56" i="24" s="1"/>
  <c r="AG19" i="56"/>
  <c r="DN56" i="24" s="1"/>
  <c r="BE4" i="56"/>
  <c r="EL40" i="24" s="1"/>
  <c r="AB4" i="56"/>
  <c r="DI40" i="24" s="1"/>
  <c r="AX4" i="56"/>
  <c r="EE40" i="24" s="1"/>
  <c r="AH4" i="56"/>
  <c r="DO40" i="24" s="1"/>
  <c r="AX6" i="56"/>
  <c r="EE42" i="24" s="1"/>
  <c r="AL6" i="56"/>
  <c r="DS42" i="24" s="1"/>
  <c r="AS6" i="56"/>
  <c r="DZ42" i="24" s="1"/>
  <c r="AY2" i="56"/>
  <c r="EF38" i="24" s="1"/>
  <c r="AI2" i="56"/>
  <c r="DP38" i="24" s="1"/>
  <c r="J3" i="72"/>
  <c r="AL7" i="56"/>
  <c r="DS43" i="24" s="1"/>
  <c r="BD7" i="56"/>
  <c r="EK43" i="24" s="1"/>
  <c r="AT7" i="56"/>
  <c r="EA43" i="24" s="1"/>
  <c r="Z3" i="56"/>
  <c r="DG39" i="24" s="1"/>
  <c r="AZ3" i="56"/>
  <c r="EG39" i="24" s="1"/>
  <c r="BD3" i="56"/>
  <c r="EK39" i="24" s="1"/>
  <c r="AG3" i="56"/>
  <c r="DN39" i="24" s="1"/>
  <c r="Y15" i="56"/>
  <c r="DF52" i="24" s="1"/>
  <c r="AZ15" i="56"/>
  <c r="EG52" i="24" s="1"/>
  <c r="AI15" i="56"/>
  <c r="DP52" i="24" s="1"/>
  <c r="AG15" i="56"/>
  <c r="DN52" i="24" s="1"/>
  <c r="BB15" i="56"/>
  <c r="EI52" i="24" s="1"/>
  <c r="AR15" i="56"/>
  <c r="DY52" i="24" s="1"/>
  <c r="AT15" i="56"/>
  <c r="EA52" i="24" s="1"/>
  <c r="Z15" i="56"/>
  <c r="DG52" i="24" s="1"/>
  <c r="AU18" i="56"/>
  <c r="EB55" i="24" s="1"/>
  <c r="AP18" i="56"/>
  <c r="DW55" i="24" s="1"/>
  <c r="AI18" i="56"/>
  <c r="DP55" i="24" s="1"/>
  <c r="AD18" i="56"/>
  <c r="DK55" i="24" s="1"/>
  <c r="AH18" i="56"/>
  <c r="DO55" i="24" s="1"/>
  <c r="AM18" i="56"/>
  <c r="DT55" i="24" s="1"/>
  <c r="AB10" i="56"/>
  <c r="DI47" i="24" s="1"/>
  <c r="BE10" i="56"/>
  <c r="EL47" i="24" s="1"/>
  <c r="AA10" i="56"/>
  <c r="DH47" i="24" s="1"/>
  <c r="AP10" i="56"/>
  <c r="DW47" i="24" s="1"/>
  <c r="AK16" i="56"/>
  <c r="DR53" i="24" s="1"/>
  <c r="AL13" i="56"/>
  <c r="DS50" i="24" s="1"/>
  <c r="AK5" i="56"/>
  <c r="DR41" i="24" s="1"/>
  <c r="BB8" i="56"/>
  <c r="EI44" i="24" s="1"/>
  <c r="AY26" i="56"/>
  <c r="EF63" i="24" s="1"/>
  <c r="AH19" i="56"/>
  <c r="DO56" i="24" s="1"/>
  <c r="AQ4" i="56"/>
  <c r="DX40" i="24" s="1"/>
  <c r="BC6" i="56"/>
  <c r="EJ42" i="24" s="1"/>
  <c r="AZ23" i="56"/>
  <c r="EG60" i="24" s="1"/>
  <c r="AU23" i="56"/>
  <c r="EB60" i="24" s="1"/>
  <c r="AN23" i="56"/>
  <c r="DU60" i="24" s="1"/>
  <c r="AC23" i="56"/>
  <c r="DJ60" i="24" s="1"/>
  <c r="BG23" i="56"/>
  <c r="M23" i="56"/>
  <c r="CT60" i="24" s="1"/>
  <c r="V60" i="24" s="1"/>
  <c r="BC23" i="56"/>
  <c r="EJ60" i="24" s="1"/>
  <c r="AT23" i="56"/>
  <c r="EA60" i="24" s="1"/>
  <c r="AO23" i="56"/>
  <c r="DV60" i="24" s="1"/>
  <c r="AI23" i="56"/>
  <c r="DP60" i="24" s="1"/>
  <c r="AW23" i="56"/>
  <c r="ED60" i="24" s="1"/>
  <c r="I23" i="56"/>
  <c r="CP60" i="24" s="1"/>
  <c r="AJ60" i="24" s="1"/>
  <c r="AD23" i="56"/>
  <c r="DK60" i="24" s="1"/>
  <c r="AG23" i="56"/>
  <c r="DN60" i="24" s="1"/>
  <c r="AB23" i="56"/>
  <c r="DI60" i="24" s="1"/>
  <c r="AX23" i="56"/>
  <c r="EE60" i="24" s="1"/>
  <c r="T23" i="56"/>
  <c r="DA60" i="24" s="1"/>
  <c r="AC60" i="24" s="1"/>
  <c r="L23" i="56"/>
  <c r="CS60" i="24" s="1"/>
  <c r="U60" i="24" s="1"/>
  <c r="O23" i="56"/>
  <c r="CV60" i="24" s="1"/>
  <c r="X60" i="24" s="1"/>
  <c r="U23" i="56"/>
  <c r="DB60" i="24" s="1"/>
  <c r="AD60" i="24" s="1"/>
  <c r="AE23" i="56"/>
  <c r="DL60" i="24" s="1"/>
  <c r="AL23" i="56"/>
  <c r="DS60" i="24" s="1"/>
  <c r="AF23" i="56"/>
  <c r="DM60" i="24" s="1"/>
  <c r="AK23" i="56"/>
  <c r="DR60" i="24" s="1"/>
  <c r="X23" i="56"/>
  <c r="DE60" i="24" s="1"/>
  <c r="AG60" i="24" s="1"/>
  <c r="Q23" i="56"/>
  <c r="CX60" i="24" s="1"/>
  <c r="Z60" i="24" s="1"/>
  <c r="N23" i="56"/>
  <c r="CU60" i="24" s="1"/>
  <c r="W60" i="24" s="1"/>
  <c r="AH23" i="56"/>
  <c r="DO60" i="24" s="1"/>
  <c r="BE23" i="56"/>
  <c r="EL60" i="24" s="1"/>
  <c r="AY23" i="56"/>
  <c r="EF60" i="24" s="1"/>
  <c r="BF23" i="56"/>
  <c r="EM60" i="24" s="1"/>
  <c r="AA23" i="56"/>
  <c r="DH60" i="24" s="1"/>
  <c r="AP23" i="56"/>
  <c r="DW60" i="24" s="1"/>
  <c r="AJ23" i="56"/>
  <c r="DQ60" i="24" s="1"/>
  <c r="K23" i="56"/>
  <c r="CR60" i="24" s="1"/>
  <c r="AL60" i="24" s="1"/>
  <c r="AM23" i="56"/>
  <c r="DT60" i="24" s="1"/>
  <c r="BD23" i="56"/>
  <c r="EK60" i="24" s="1"/>
  <c r="BB23" i="56"/>
  <c r="EI60" i="24" s="1"/>
  <c r="AV23" i="56"/>
  <c r="EC60" i="24" s="1"/>
  <c r="P23" i="56"/>
  <c r="CW60" i="24" s="1"/>
  <c r="Y60" i="24" s="1"/>
  <c r="V23" i="56"/>
  <c r="DC60" i="24" s="1"/>
  <c r="AE60" i="24" s="1"/>
  <c r="Y23" i="56"/>
  <c r="DF60" i="24" s="1"/>
  <c r="BA23" i="56"/>
  <c r="EH60" i="24" s="1"/>
  <c r="Z23" i="56"/>
  <c r="DG60" i="24" s="1"/>
  <c r="S23" i="56"/>
  <c r="CZ60" i="24" s="1"/>
  <c r="AB60" i="24" s="1"/>
  <c r="W23" i="56"/>
  <c r="DD60" i="24" s="1"/>
  <c r="AF60" i="24" s="1"/>
  <c r="R23" i="56"/>
  <c r="CY60" i="24" s="1"/>
  <c r="AA60" i="24" s="1"/>
  <c r="AR23" i="56"/>
  <c r="DY60" i="24" s="1"/>
  <c r="AQ23" i="56"/>
  <c r="DX60" i="24" s="1"/>
  <c r="AS23" i="56"/>
  <c r="DZ60" i="24" s="1"/>
  <c r="J23" i="56"/>
  <c r="CQ60" i="24" s="1"/>
  <c r="AK60" i="24" s="1"/>
  <c r="D12" i="72"/>
  <c r="AI17" i="56"/>
  <c r="DP54" i="24" s="1"/>
  <c r="AD17" i="56"/>
  <c r="DK54" i="24" s="1"/>
  <c r="Z17" i="56"/>
  <c r="DG54" i="24" s="1"/>
  <c r="AV17" i="56"/>
  <c r="EC54" i="24" s="1"/>
  <c r="BD17" i="56"/>
  <c r="EK54" i="24" s="1"/>
  <c r="AF17" i="56"/>
  <c r="DM54" i="24" s="1"/>
  <c r="AB17" i="56"/>
  <c r="DI54" i="24" s="1"/>
  <c r="AQ17" i="56"/>
  <c r="DX54" i="24" s="1"/>
  <c r="AH17" i="56"/>
  <c r="DO54" i="24" s="1"/>
  <c r="AY17" i="56"/>
  <c r="EF54" i="24" s="1"/>
  <c r="AR17" i="56"/>
  <c r="DY54" i="24" s="1"/>
  <c r="AA17" i="56"/>
  <c r="DH54" i="24" s="1"/>
  <c r="AG17" i="56"/>
  <c r="DN54" i="24" s="1"/>
  <c r="BG3" i="56"/>
  <c r="I3" i="56"/>
  <c r="CP39" i="24" s="1"/>
  <c r="AJ39" i="24" s="1"/>
  <c r="L3" i="56"/>
  <c r="CS39" i="24" s="1"/>
  <c r="U39" i="24" s="1"/>
  <c r="CI32" i="43" s="1"/>
  <c r="T3" i="56"/>
  <c r="DA39" i="24" s="1"/>
  <c r="AC39" i="24" s="1"/>
  <c r="CQ32" i="43" s="1"/>
  <c r="BO32" i="43" s="1"/>
  <c r="V3" i="56"/>
  <c r="DC39" i="24" s="1"/>
  <c r="AE39" i="24" s="1"/>
  <c r="CS32" i="43" s="1"/>
  <c r="BQ32" i="43" s="1"/>
  <c r="M3" i="56"/>
  <c r="CT39" i="24" s="1"/>
  <c r="V39" i="24" s="1"/>
  <c r="CJ32" i="43" s="1"/>
  <c r="X3" i="56"/>
  <c r="DE39" i="24" s="1"/>
  <c r="AG39" i="24" s="1"/>
  <c r="CU32" i="43" s="1"/>
  <c r="BS32" i="43" s="1"/>
  <c r="U3" i="56"/>
  <c r="DB39" i="24" s="1"/>
  <c r="AD39" i="24" s="1"/>
  <c r="CR32" i="43" s="1"/>
  <c r="BP32" i="43" s="1"/>
  <c r="P3" i="56"/>
  <c r="CW39" i="24" s="1"/>
  <c r="Y39" i="24" s="1"/>
  <c r="CM32" i="43" s="1"/>
  <c r="BK32" i="43" s="1"/>
  <c r="Q3" i="56"/>
  <c r="CX39" i="24" s="1"/>
  <c r="Z39" i="24" s="1"/>
  <c r="CN32" i="43" s="1"/>
  <c r="BL32" i="43" s="1"/>
  <c r="W3" i="56"/>
  <c r="DD39" i="24" s="1"/>
  <c r="AF39" i="24" s="1"/>
  <c r="CT32" i="43" s="1"/>
  <c r="BR32" i="43" s="1"/>
  <c r="N3" i="56"/>
  <c r="CU39" i="24" s="1"/>
  <c r="W39" i="24" s="1"/>
  <c r="CK32" i="43" s="1"/>
  <c r="BI32" i="43" s="1"/>
  <c r="J3" i="56"/>
  <c r="CQ39" i="24" s="1"/>
  <c r="AK39" i="24" s="1"/>
  <c r="R3" i="56"/>
  <c r="CY39" i="24" s="1"/>
  <c r="AA39" i="24" s="1"/>
  <c r="CO32" i="43" s="1"/>
  <c r="BM32" i="43" s="1"/>
  <c r="S3" i="56"/>
  <c r="CZ39" i="24" s="1"/>
  <c r="AB39" i="24" s="1"/>
  <c r="CP32" i="43" s="1"/>
  <c r="BN32" i="43" s="1"/>
  <c r="K3" i="56"/>
  <c r="CR39" i="24" s="1"/>
  <c r="AL39" i="24" s="1"/>
  <c r="O3" i="56"/>
  <c r="CV39" i="24" s="1"/>
  <c r="X39" i="24" s="1"/>
  <c r="CL32" i="43" s="1"/>
  <c r="BJ32" i="43" s="1"/>
  <c r="AV3" i="56"/>
  <c r="EC39" i="24" s="1"/>
  <c r="AK3" i="56"/>
  <c r="DR39" i="24" s="1"/>
  <c r="BG15" i="56"/>
  <c r="M15" i="56"/>
  <c r="CT52" i="24" s="1"/>
  <c r="V52" i="24" s="1"/>
  <c r="CJ43" i="43" s="1"/>
  <c r="Q15" i="56"/>
  <c r="CX52" i="24" s="1"/>
  <c r="Z52" i="24" s="1"/>
  <c r="CN43" i="43" s="1"/>
  <c r="BL43" i="43" s="1"/>
  <c r="P15" i="56"/>
  <c r="CW52" i="24" s="1"/>
  <c r="Y52" i="24" s="1"/>
  <c r="CM43" i="43" s="1"/>
  <c r="BK43" i="43" s="1"/>
  <c r="L15" i="56"/>
  <c r="CS52" i="24" s="1"/>
  <c r="U52" i="24" s="1"/>
  <c r="CI43" i="43" s="1"/>
  <c r="W15" i="56"/>
  <c r="DD52" i="24" s="1"/>
  <c r="AF52" i="24" s="1"/>
  <c r="CT43" i="43" s="1"/>
  <c r="BR43" i="43" s="1"/>
  <c r="R15" i="56"/>
  <c r="CY52" i="24" s="1"/>
  <c r="AA52" i="24" s="1"/>
  <c r="CO43" i="43" s="1"/>
  <c r="BM43" i="43" s="1"/>
  <c r="I15" i="56"/>
  <c r="CP52" i="24" s="1"/>
  <c r="AJ52" i="24" s="1"/>
  <c r="X15" i="56"/>
  <c r="DE52" i="24" s="1"/>
  <c r="AG52" i="24" s="1"/>
  <c r="CU43" i="43" s="1"/>
  <c r="BS43" i="43" s="1"/>
  <c r="N15" i="56"/>
  <c r="CU52" i="24" s="1"/>
  <c r="W52" i="24" s="1"/>
  <c r="CK43" i="43" s="1"/>
  <c r="BI43" i="43" s="1"/>
  <c r="S15" i="56"/>
  <c r="CZ52" i="24" s="1"/>
  <c r="AB52" i="24" s="1"/>
  <c r="CP43" i="43" s="1"/>
  <c r="BN43" i="43" s="1"/>
  <c r="V15" i="56"/>
  <c r="DC52" i="24" s="1"/>
  <c r="AE52" i="24" s="1"/>
  <c r="CS43" i="43" s="1"/>
  <c r="BQ43" i="43" s="1"/>
  <c r="U15" i="56"/>
  <c r="DB52" i="24" s="1"/>
  <c r="AD52" i="24" s="1"/>
  <c r="CR43" i="43" s="1"/>
  <c r="BP43" i="43" s="1"/>
  <c r="J15" i="56"/>
  <c r="CQ52" i="24" s="1"/>
  <c r="AK52" i="24" s="1"/>
  <c r="T15" i="56"/>
  <c r="DA52" i="24" s="1"/>
  <c r="AC52" i="24" s="1"/>
  <c r="CQ43" i="43" s="1"/>
  <c r="BO43" i="43" s="1"/>
  <c r="O15" i="56"/>
  <c r="CV52" i="24" s="1"/>
  <c r="X52" i="24" s="1"/>
  <c r="CL43" i="43" s="1"/>
  <c r="BJ43" i="43" s="1"/>
  <c r="K15" i="56"/>
  <c r="CR52" i="24" s="1"/>
  <c r="AL52" i="24" s="1"/>
  <c r="BG22" i="56"/>
  <c r="L22" i="56"/>
  <c r="CS59" i="24" s="1"/>
  <c r="U59" i="24" s="1"/>
  <c r="CI50" i="43" s="1"/>
  <c r="V22" i="56"/>
  <c r="DC59" i="24" s="1"/>
  <c r="AE59" i="24" s="1"/>
  <c r="CS50" i="43" s="1"/>
  <c r="BQ50" i="43" s="1"/>
  <c r="X22" i="56"/>
  <c r="DE59" i="24" s="1"/>
  <c r="AG59" i="24" s="1"/>
  <c r="CU50" i="43" s="1"/>
  <c r="BS50" i="43" s="1"/>
  <c r="I22" i="56"/>
  <c r="CP59" i="24" s="1"/>
  <c r="AJ59" i="24" s="1"/>
  <c r="P22" i="56"/>
  <c r="CW59" i="24" s="1"/>
  <c r="Y59" i="24" s="1"/>
  <c r="CM50" i="43" s="1"/>
  <c r="BK50" i="43" s="1"/>
  <c r="U22" i="56"/>
  <c r="DB59" i="24" s="1"/>
  <c r="AD59" i="24" s="1"/>
  <c r="CR50" i="43" s="1"/>
  <c r="BP50" i="43" s="1"/>
  <c r="M22" i="56"/>
  <c r="CT59" i="24" s="1"/>
  <c r="V59" i="24" s="1"/>
  <c r="CJ50" i="43" s="1"/>
  <c r="W22" i="56"/>
  <c r="DD59" i="24" s="1"/>
  <c r="AF59" i="24" s="1"/>
  <c r="CT50" i="43" s="1"/>
  <c r="BR50" i="43" s="1"/>
  <c r="J22" i="56"/>
  <c r="CQ59" i="24" s="1"/>
  <c r="AK59" i="24" s="1"/>
  <c r="Q22" i="56"/>
  <c r="CX59" i="24" s="1"/>
  <c r="Z59" i="24" s="1"/>
  <c r="CN50" i="43" s="1"/>
  <c r="BL50" i="43" s="1"/>
  <c r="O22" i="56"/>
  <c r="CV59" i="24" s="1"/>
  <c r="X59" i="24" s="1"/>
  <c r="CL50" i="43" s="1"/>
  <c r="BJ50" i="43" s="1"/>
  <c r="K22" i="56"/>
  <c r="CR59" i="24" s="1"/>
  <c r="AL59" i="24" s="1"/>
  <c r="N22" i="56"/>
  <c r="CU59" i="24" s="1"/>
  <c r="W59" i="24" s="1"/>
  <c r="CK50" i="43" s="1"/>
  <c r="BI50" i="43" s="1"/>
  <c r="T22" i="56"/>
  <c r="DA59" i="24" s="1"/>
  <c r="AC59" i="24" s="1"/>
  <c r="CQ50" i="43" s="1"/>
  <c r="BO50" i="43" s="1"/>
  <c r="S22" i="56"/>
  <c r="CZ59" i="24" s="1"/>
  <c r="AB59" i="24" s="1"/>
  <c r="CP50" i="43" s="1"/>
  <c r="BN50" i="43" s="1"/>
  <c r="R22" i="56"/>
  <c r="CY59" i="24" s="1"/>
  <c r="AA59" i="24" s="1"/>
  <c r="CO50" i="43" s="1"/>
  <c r="BM50" i="43" s="1"/>
  <c r="AK22" i="56"/>
  <c r="DR59" i="24" s="1"/>
  <c r="AE22" i="56"/>
  <c r="DL59" i="24" s="1"/>
  <c r="Y22" i="56"/>
  <c r="DF59" i="24" s="1"/>
  <c r="BB22" i="56"/>
  <c r="EI59" i="24" s="1"/>
  <c r="AV22" i="56"/>
  <c r="EC59" i="24" s="1"/>
  <c r="BG18" i="56"/>
  <c r="M18" i="56"/>
  <c r="CT55" i="24" s="1"/>
  <c r="V55" i="24" s="1"/>
  <c r="CJ46" i="43" s="1"/>
  <c r="L18" i="56"/>
  <c r="CS55" i="24" s="1"/>
  <c r="U55" i="24" s="1"/>
  <c r="CI46" i="43" s="1"/>
  <c r="I18" i="56"/>
  <c r="CP55" i="24" s="1"/>
  <c r="AJ55" i="24" s="1"/>
  <c r="O18" i="56"/>
  <c r="CV55" i="24" s="1"/>
  <c r="X55" i="24" s="1"/>
  <c r="CL46" i="43" s="1"/>
  <c r="BJ46" i="43" s="1"/>
  <c r="S18" i="56"/>
  <c r="CZ55" i="24" s="1"/>
  <c r="AB55" i="24" s="1"/>
  <c r="CP46" i="43" s="1"/>
  <c r="BN46" i="43" s="1"/>
  <c r="V18" i="56"/>
  <c r="DC55" i="24" s="1"/>
  <c r="AE55" i="24" s="1"/>
  <c r="CS46" i="43" s="1"/>
  <c r="BQ46" i="43" s="1"/>
  <c r="T18" i="56"/>
  <c r="DA55" i="24" s="1"/>
  <c r="AC55" i="24" s="1"/>
  <c r="CQ46" i="43" s="1"/>
  <c r="BO46" i="43" s="1"/>
  <c r="R18" i="56"/>
  <c r="CY55" i="24" s="1"/>
  <c r="AA55" i="24" s="1"/>
  <c r="CO46" i="43" s="1"/>
  <c r="BM46" i="43" s="1"/>
  <c r="P18" i="56"/>
  <c r="CW55" i="24" s="1"/>
  <c r="Y55" i="24" s="1"/>
  <c r="CM46" i="43" s="1"/>
  <c r="BK46" i="43" s="1"/>
  <c r="K18" i="56"/>
  <c r="CR55" i="24" s="1"/>
  <c r="AL55" i="24" s="1"/>
  <c r="W18" i="56"/>
  <c r="DD55" i="24" s="1"/>
  <c r="AF55" i="24" s="1"/>
  <c r="CT46" i="43" s="1"/>
  <c r="BR46" i="43" s="1"/>
  <c r="J18" i="56"/>
  <c r="CQ55" i="24" s="1"/>
  <c r="AK55" i="24" s="1"/>
  <c r="X18" i="56"/>
  <c r="DE55" i="24" s="1"/>
  <c r="AG55" i="24" s="1"/>
  <c r="CU46" i="43" s="1"/>
  <c r="BS46" i="43" s="1"/>
  <c r="Q18" i="56"/>
  <c r="CX55" i="24" s="1"/>
  <c r="Z55" i="24" s="1"/>
  <c r="CN46" i="43" s="1"/>
  <c r="BL46" i="43" s="1"/>
  <c r="N18" i="56"/>
  <c r="CU55" i="24" s="1"/>
  <c r="W55" i="24" s="1"/>
  <c r="CK46" i="43" s="1"/>
  <c r="BI46" i="43" s="1"/>
  <c r="AO18" i="56"/>
  <c r="DV55" i="24" s="1"/>
  <c r="BD10" i="56"/>
  <c r="EK47" i="24" s="1"/>
  <c r="AD10" i="56"/>
  <c r="DK47" i="24" s="1"/>
  <c r="AR10" i="56"/>
  <c r="DY47" i="24" s="1"/>
  <c r="AW10" i="56"/>
  <c r="ED47" i="24" s="1"/>
  <c r="BG13" i="56"/>
  <c r="I13" i="56"/>
  <c r="CP50" i="24" s="1"/>
  <c r="AJ50" i="24" s="1"/>
  <c r="M13" i="56"/>
  <c r="CT50" i="24" s="1"/>
  <c r="V50" i="24" s="1"/>
  <c r="CJ41" i="43" s="1"/>
  <c r="N13" i="56"/>
  <c r="CU50" i="24" s="1"/>
  <c r="W50" i="24" s="1"/>
  <c r="CK41" i="43" s="1"/>
  <c r="BI41" i="43" s="1"/>
  <c r="T13" i="56"/>
  <c r="DA50" i="24" s="1"/>
  <c r="AC50" i="24" s="1"/>
  <c r="CQ41" i="43" s="1"/>
  <c r="BO41" i="43" s="1"/>
  <c r="O13" i="56"/>
  <c r="CV50" i="24" s="1"/>
  <c r="X50" i="24" s="1"/>
  <c r="CL41" i="43" s="1"/>
  <c r="BJ41" i="43" s="1"/>
  <c r="X13" i="56"/>
  <c r="DE50" i="24" s="1"/>
  <c r="AG50" i="24" s="1"/>
  <c r="CU41" i="43" s="1"/>
  <c r="BS41" i="43" s="1"/>
  <c r="L13" i="56"/>
  <c r="CS50" i="24" s="1"/>
  <c r="U50" i="24" s="1"/>
  <c r="CI41" i="43" s="1"/>
  <c r="V13" i="56"/>
  <c r="DC50" i="24" s="1"/>
  <c r="AE50" i="24" s="1"/>
  <c r="CS41" i="43" s="1"/>
  <c r="BQ41" i="43" s="1"/>
  <c r="W13" i="56"/>
  <c r="DD50" i="24" s="1"/>
  <c r="AF50" i="24" s="1"/>
  <c r="CT41" i="43" s="1"/>
  <c r="BR41" i="43" s="1"/>
  <c r="R13" i="56"/>
  <c r="CY50" i="24" s="1"/>
  <c r="AA50" i="24" s="1"/>
  <c r="CO41" i="43" s="1"/>
  <c r="BM41" i="43" s="1"/>
  <c r="S13" i="56"/>
  <c r="CZ50" i="24" s="1"/>
  <c r="AB50" i="24" s="1"/>
  <c r="CP41" i="43" s="1"/>
  <c r="BN41" i="43" s="1"/>
  <c r="K13" i="56"/>
  <c r="CR50" i="24" s="1"/>
  <c r="AL50" i="24" s="1"/>
  <c r="AB13" i="56"/>
  <c r="DI50" i="24" s="1"/>
  <c r="AU13" i="56"/>
  <c r="EB50" i="24" s="1"/>
  <c r="P13" i="56"/>
  <c r="CW50" i="24" s="1"/>
  <c r="Y50" i="24" s="1"/>
  <c r="CM41" i="43" s="1"/>
  <c r="BK41" i="43" s="1"/>
  <c r="Q13" i="56"/>
  <c r="CX50" i="24" s="1"/>
  <c r="Z50" i="24" s="1"/>
  <c r="CN41" i="43" s="1"/>
  <c r="BL41" i="43" s="1"/>
  <c r="U13" i="56"/>
  <c r="DB50" i="24" s="1"/>
  <c r="AD50" i="24" s="1"/>
  <c r="CR41" i="43" s="1"/>
  <c r="BP41" i="43" s="1"/>
  <c r="J13" i="56"/>
  <c r="CQ50" i="24" s="1"/>
  <c r="AK50" i="24" s="1"/>
  <c r="AJ13" i="56"/>
  <c r="DQ50" i="24" s="1"/>
  <c r="BF13" i="56"/>
  <c r="EM50" i="24" s="1"/>
  <c r="AW13" i="56"/>
  <c r="ED50" i="24" s="1"/>
  <c r="AD13" i="56"/>
  <c r="DK50" i="24" s="1"/>
  <c r="Q5" i="56"/>
  <c r="CX41" i="24" s="1"/>
  <c r="Z41" i="24" s="1"/>
  <c r="CN36" i="43" s="1"/>
  <c r="BL36" i="43" s="1"/>
  <c r="X5" i="56"/>
  <c r="DE41" i="24" s="1"/>
  <c r="AG41" i="24" s="1"/>
  <c r="CU36" i="43" s="1"/>
  <c r="BS36" i="43" s="1"/>
  <c r="M5" i="56"/>
  <c r="CT41" i="24" s="1"/>
  <c r="V41" i="24" s="1"/>
  <c r="CJ36" i="43" s="1"/>
  <c r="T5" i="56"/>
  <c r="DA41" i="24" s="1"/>
  <c r="AC41" i="24" s="1"/>
  <c r="CQ36" i="43" s="1"/>
  <c r="BO36" i="43" s="1"/>
  <c r="N5" i="56"/>
  <c r="CU41" i="24" s="1"/>
  <c r="W41" i="24" s="1"/>
  <c r="CK36" i="43" s="1"/>
  <c r="BI36" i="43" s="1"/>
  <c r="BG5" i="56"/>
  <c r="S5" i="56"/>
  <c r="CZ41" i="24" s="1"/>
  <c r="AB41" i="24" s="1"/>
  <c r="CP36" i="43" s="1"/>
  <c r="BN36" i="43" s="1"/>
  <c r="L5" i="56"/>
  <c r="CS41" i="24" s="1"/>
  <c r="U41" i="24" s="1"/>
  <c r="CI36" i="43" s="1"/>
  <c r="U5" i="56"/>
  <c r="DB41" i="24" s="1"/>
  <c r="AD41" i="24" s="1"/>
  <c r="CR36" i="43" s="1"/>
  <c r="BP36" i="43" s="1"/>
  <c r="O5" i="56"/>
  <c r="CV41" i="24" s="1"/>
  <c r="X41" i="24" s="1"/>
  <c r="CL36" i="43" s="1"/>
  <c r="BJ36" i="43" s="1"/>
  <c r="I5" i="56"/>
  <c r="CP41" i="24" s="1"/>
  <c r="AJ41" i="24" s="1"/>
  <c r="R5" i="56"/>
  <c r="CY41" i="24" s="1"/>
  <c r="AA41" i="24" s="1"/>
  <c r="CO36" i="43" s="1"/>
  <c r="BM36" i="43" s="1"/>
  <c r="V5" i="56"/>
  <c r="DC41" i="24" s="1"/>
  <c r="AE41" i="24" s="1"/>
  <c r="CS36" i="43" s="1"/>
  <c r="BQ36" i="43" s="1"/>
  <c r="W5" i="56"/>
  <c r="DD41" i="24" s="1"/>
  <c r="AF41" i="24" s="1"/>
  <c r="CT36" i="43" s="1"/>
  <c r="BR36" i="43" s="1"/>
  <c r="P5" i="56"/>
  <c r="CW41" i="24" s="1"/>
  <c r="Y41" i="24" s="1"/>
  <c r="CM36" i="43" s="1"/>
  <c r="BK36" i="43" s="1"/>
  <c r="J5" i="56"/>
  <c r="CQ41" i="24" s="1"/>
  <c r="AK41" i="24" s="1"/>
  <c r="AP5" i="56"/>
  <c r="DW41" i="24" s="1"/>
  <c r="AI5" i="56"/>
  <c r="DP41" i="24" s="1"/>
  <c r="AJ5" i="56"/>
  <c r="DQ41" i="24" s="1"/>
  <c r="AO5" i="56"/>
  <c r="DV41" i="24" s="1"/>
  <c r="AA5" i="56"/>
  <c r="DH41" i="24" s="1"/>
  <c r="AH5" i="56"/>
  <c r="DO41" i="24" s="1"/>
  <c r="AR5" i="56"/>
  <c r="DY41" i="24" s="1"/>
  <c r="L21" i="56"/>
  <c r="CS58" i="24" s="1"/>
  <c r="U58" i="24" s="1"/>
  <c r="CI49" i="43" s="1"/>
  <c r="I21" i="56"/>
  <c r="CP58" i="24" s="1"/>
  <c r="AJ58" i="24" s="1"/>
  <c r="M21" i="56"/>
  <c r="CT58" i="24" s="1"/>
  <c r="V58" i="24" s="1"/>
  <c r="CJ49" i="43" s="1"/>
  <c r="U21" i="56"/>
  <c r="DB58" i="24" s="1"/>
  <c r="AD58" i="24" s="1"/>
  <c r="CR49" i="43" s="1"/>
  <c r="BP49" i="43" s="1"/>
  <c r="T21" i="56"/>
  <c r="DA58" i="24" s="1"/>
  <c r="AC58" i="24" s="1"/>
  <c r="CQ49" i="43" s="1"/>
  <c r="BO49" i="43" s="1"/>
  <c r="BG21" i="56"/>
  <c r="W21" i="56"/>
  <c r="DD58" i="24" s="1"/>
  <c r="AF58" i="24" s="1"/>
  <c r="CT49" i="43" s="1"/>
  <c r="BR49" i="43" s="1"/>
  <c r="N21" i="56"/>
  <c r="CU58" i="24" s="1"/>
  <c r="W58" i="24" s="1"/>
  <c r="CK49" i="43" s="1"/>
  <c r="BI49" i="43" s="1"/>
  <c r="O21" i="56"/>
  <c r="CV58" i="24" s="1"/>
  <c r="X58" i="24" s="1"/>
  <c r="CL49" i="43" s="1"/>
  <c r="BJ49" i="43" s="1"/>
  <c r="P21" i="56"/>
  <c r="CW58" i="24" s="1"/>
  <c r="Y58" i="24" s="1"/>
  <c r="CM49" i="43" s="1"/>
  <c r="BK49" i="43" s="1"/>
  <c r="K21" i="56"/>
  <c r="CR58" i="24" s="1"/>
  <c r="AL58" i="24" s="1"/>
  <c r="V21" i="56"/>
  <c r="DC58" i="24" s="1"/>
  <c r="AE58" i="24" s="1"/>
  <c r="CS49" i="43" s="1"/>
  <c r="BQ49" i="43" s="1"/>
  <c r="AN21" i="56"/>
  <c r="DU58" i="24" s="1"/>
  <c r="AG21" i="56"/>
  <c r="DN58" i="24" s="1"/>
  <c r="Q21" i="56"/>
  <c r="CX58" i="24" s="1"/>
  <c r="Z58" i="24" s="1"/>
  <c r="CN49" i="43" s="1"/>
  <c r="BL49" i="43" s="1"/>
  <c r="S21" i="56"/>
  <c r="CZ58" i="24" s="1"/>
  <c r="AB58" i="24" s="1"/>
  <c r="CP49" i="43" s="1"/>
  <c r="BN49" i="43" s="1"/>
  <c r="X21" i="56"/>
  <c r="DE58" i="24" s="1"/>
  <c r="AG58" i="24" s="1"/>
  <c r="CU49" i="43" s="1"/>
  <c r="BS49" i="43" s="1"/>
  <c r="R21" i="56"/>
  <c r="CY58" i="24" s="1"/>
  <c r="AA58" i="24" s="1"/>
  <c r="CO49" i="43" s="1"/>
  <c r="BM49" i="43" s="1"/>
  <c r="J21" i="56"/>
  <c r="CQ58" i="24" s="1"/>
  <c r="AK58" i="24" s="1"/>
  <c r="AM21" i="56"/>
  <c r="DT58" i="24" s="1"/>
  <c r="AU21" i="56"/>
  <c r="EB58" i="24" s="1"/>
  <c r="AC21" i="56"/>
  <c r="DJ58" i="24" s="1"/>
  <c r="AQ21" i="56"/>
  <c r="DX58" i="24" s="1"/>
  <c r="AJ21" i="56"/>
  <c r="DQ58" i="24" s="1"/>
  <c r="BF21" i="56"/>
  <c r="EM58" i="24" s="1"/>
  <c r="AZ26" i="56"/>
  <c r="EG63" i="24" s="1"/>
  <c r="X4" i="56"/>
  <c r="DE40" i="24" s="1"/>
  <c r="AG40" i="24" s="1"/>
  <c r="CU33" i="43" s="1"/>
  <c r="BS33" i="43" s="1"/>
  <c r="BG4" i="56"/>
  <c r="N4" i="56"/>
  <c r="CU40" i="24" s="1"/>
  <c r="W40" i="24" s="1"/>
  <c r="CK33" i="43" s="1"/>
  <c r="BI33" i="43" s="1"/>
  <c r="R4" i="56"/>
  <c r="CY40" i="24" s="1"/>
  <c r="AA40" i="24" s="1"/>
  <c r="CO33" i="43" s="1"/>
  <c r="BM33" i="43" s="1"/>
  <c r="W4" i="56"/>
  <c r="DD40" i="24" s="1"/>
  <c r="AF40" i="24" s="1"/>
  <c r="CT33" i="43" s="1"/>
  <c r="BR33" i="43" s="1"/>
  <c r="L4" i="56"/>
  <c r="CS40" i="24" s="1"/>
  <c r="U40" i="24" s="1"/>
  <c r="CI33" i="43" s="1"/>
  <c r="I4" i="56"/>
  <c r="CP40" i="24" s="1"/>
  <c r="AJ40" i="24" s="1"/>
  <c r="M4" i="56"/>
  <c r="CT40" i="24" s="1"/>
  <c r="V40" i="24" s="1"/>
  <c r="CJ33" i="43" s="1"/>
  <c r="T4" i="56"/>
  <c r="DA40" i="24" s="1"/>
  <c r="AC40" i="24" s="1"/>
  <c r="CQ33" i="43" s="1"/>
  <c r="BO33" i="43" s="1"/>
  <c r="U4" i="56"/>
  <c r="DB40" i="24" s="1"/>
  <c r="AD40" i="24" s="1"/>
  <c r="CR33" i="43" s="1"/>
  <c r="BP33" i="43" s="1"/>
  <c r="P4" i="56"/>
  <c r="CW40" i="24" s="1"/>
  <c r="Y40" i="24" s="1"/>
  <c r="CM33" i="43" s="1"/>
  <c r="BK33" i="43" s="1"/>
  <c r="V4" i="56"/>
  <c r="DC40" i="24" s="1"/>
  <c r="AE40" i="24" s="1"/>
  <c r="CS33" i="43" s="1"/>
  <c r="BQ33" i="43" s="1"/>
  <c r="J4" i="56"/>
  <c r="CQ40" i="24" s="1"/>
  <c r="AK40" i="24" s="1"/>
  <c r="S4" i="56"/>
  <c r="CZ40" i="24" s="1"/>
  <c r="AB40" i="24" s="1"/>
  <c r="CP33" i="43" s="1"/>
  <c r="BN33" i="43" s="1"/>
  <c r="Y4" i="56"/>
  <c r="DF40" i="24" s="1"/>
  <c r="AI4" i="56"/>
  <c r="DP40" i="24" s="1"/>
  <c r="AE4" i="56"/>
  <c r="DL40" i="24" s="1"/>
  <c r="AV4" i="56"/>
  <c r="EC40" i="24" s="1"/>
  <c r="AK4" i="56"/>
  <c r="DR40" i="24" s="1"/>
  <c r="AW4" i="56"/>
  <c r="ED40" i="24" s="1"/>
  <c r="AY4" i="56"/>
  <c r="EF40" i="24" s="1"/>
  <c r="Q4" i="56"/>
  <c r="CX40" i="24" s="1"/>
  <c r="Z40" i="24" s="1"/>
  <c r="CN33" i="43" s="1"/>
  <c r="BL33" i="43" s="1"/>
  <c r="O4" i="56"/>
  <c r="CV40" i="24" s="1"/>
  <c r="X40" i="24" s="1"/>
  <c r="CL33" i="43" s="1"/>
  <c r="BJ33" i="43" s="1"/>
  <c r="AZ4" i="56"/>
  <c r="EG40" i="24" s="1"/>
  <c r="AN4" i="56"/>
  <c r="DU40" i="24" s="1"/>
  <c r="AT2" i="56"/>
  <c r="EA38" i="24" s="1"/>
  <c r="AK7" i="56"/>
  <c r="DR43" i="24" s="1"/>
  <c r="AS7" i="56"/>
  <c r="DZ43" i="24" s="1"/>
  <c r="Y7" i="56"/>
  <c r="DF43" i="24" s="1"/>
  <c r="AL3" i="56"/>
  <c r="DS39" i="24" s="1"/>
  <c r="AW3" i="56"/>
  <c r="ED39" i="24" s="1"/>
  <c r="BA3" i="56"/>
  <c r="EH39" i="24" s="1"/>
  <c r="BC3" i="56"/>
  <c r="EJ39" i="24" s="1"/>
  <c r="AC3" i="56"/>
  <c r="DJ39" i="24" s="1"/>
  <c r="AN19" i="56"/>
  <c r="DU56" i="24" s="1"/>
  <c r="AE19" i="56"/>
  <c r="DL56" i="24" s="1"/>
  <c r="AU4" i="56"/>
  <c r="EB40" i="24" s="1"/>
  <c r="BD22" i="56"/>
  <c r="EK59" i="24" s="1"/>
  <c r="AX22" i="56"/>
  <c r="EE59" i="24" s="1"/>
  <c r="AR22" i="56"/>
  <c r="DY59" i="24" s="1"/>
  <c r="AL22" i="56"/>
  <c r="DS59" i="24" s="1"/>
  <c r="AF22" i="56"/>
  <c r="DM59" i="24" s="1"/>
  <c r="AF11" i="56"/>
  <c r="DM48" i="24" s="1"/>
  <c r="AV14" i="56"/>
  <c r="EC51" i="24" s="1"/>
  <c r="BC14" i="56"/>
  <c r="EJ51" i="24" s="1"/>
  <c r="AX14" i="56"/>
  <c r="EE51" i="24" s="1"/>
  <c r="AA14" i="56"/>
  <c r="DH51" i="24" s="1"/>
  <c r="AA18" i="56"/>
  <c r="DH55" i="24" s="1"/>
  <c r="BB18" i="56"/>
  <c r="EI55" i="24" s="1"/>
  <c r="AN26" i="56"/>
  <c r="DU63" i="24" s="1"/>
  <c r="AC28" i="56"/>
  <c r="DJ46" i="24" s="1"/>
  <c r="AS26" i="56"/>
  <c r="DZ63" i="24" s="1"/>
  <c r="AG26" i="56"/>
  <c r="DN63" i="24" s="1"/>
  <c r="AK26" i="56"/>
  <c r="DR63" i="24" s="1"/>
  <c r="AF10" i="56"/>
  <c r="DM47" i="24" s="1"/>
  <c r="Z10" i="56"/>
  <c r="DG47" i="24" s="1"/>
  <c r="AG10" i="56"/>
  <c r="DN47" i="24" s="1"/>
  <c r="AE10" i="56"/>
  <c r="DL47" i="24" s="1"/>
  <c r="AK10" i="56"/>
  <c r="DR47" i="24" s="1"/>
  <c r="Y16" i="56"/>
  <c r="DF53" i="24" s="1"/>
  <c r="BD16" i="56"/>
  <c r="EK53" i="24" s="1"/>
  <c r="AY16" i="56"/>
  <c r="EF53" i="24" s="1"/>
  <c r="AZ16" i="56"/>
  <c r="EG53" i="24" s="1"/>
  <c r="AM16" i="56"/>
  <c r="DT53" i="24" s="1"/>
  <c r="AB16" i="56"/>
  <c r="DI53" i="24" s="1"/>
  <c r="AA16" i="56"/>
  <c r="DH53" i="24" s="1"/>
  <c r="AY13" i="56"/>
  <c r="EF50" i="24" s="1"/>
  <c r="AR13" i="56"/>
  <c r="DY50" i="24" s="1"/>
  <c r="AM13" i="56"/>
  <c r="DT50" i="24" s="1"/>
  <c r="AF13" i="56"/>
  <c r="DM50" i="24" s="1"/>
  <c r="AT13" i="56"/>
  <c r="EA50" i="24" s="1"/>
  <c r="BE20" i="56"/>
  <c r="EL57" i="24" s="1"/>
  <c r="AZ20" i="56"/>
  <c r="EG57" i="24" s="1"/>
  <c r="Z20" i="56"/>
  <c r="DG57" i="24" s="1"/>
  <c r="BD20" i="56"/>
  <c r="EK57" i="24" s="1"/>
  <c r="AW20" i="56"/>
  <c r="ED57" i="24" s="1"/>
  <c r="AR20" i="56"/>
  <c r="DY57" i="24" s="1"/>
  <c r="AK20" i="56"/>
  <c r="DR57" i="24" s="1"/>
  <c r="AF20" i="56"/>
  <c r="DM57" i="24" s="1"/>
  <c r="AD5" i="56"/>
  <c r="DK41" i="24" s="1"/>
  <c r="D24" i="72"/>
  <c r="AG28" i="56"/>
  <c r="DN46" i="24" s="1"/>
  <c r="AD28" i="56"/>
  <c r="DK46" i="24" s="1"/>
  <c r="BD28" i="56"/>
  <c r="EK46" i="24" s="1"/>
  <c r="AR28" i="56"/>
  <c r="DY46" i="24" s="1"/>
  <c r="AM22" i="56"/>
  <c r="DT59" i="24" s="1"/>
  <c r="AG22" i="56"/>
  <c r="DN59" i="24" s="1"/>
  <c r="AA22" i="56"/>
  <c r="DH59" i="24" s="1"/>
  <c r="AA11" i="56"/>
  <c r="DH48" i="24" s="1"/>
  <c r="AZ11" i="56"/>
  <c r="EG48" i="24" s="1"/>
  <c r="AU11" i="56"/>
  <c r="EB48" i="24" s="1"/>
  <c r="AN11" i="56"/>
  <c r="DU48" i="24" s="1"/>
  <c r="AI11" i="56"/>
  <c r="DP48" i="24" s="1"/>
  <c r="AX11" i="56"/>
  <c r="EE48" i="24" s="1"/>
  <c r="AO11" i="56"/>
  <c r="DV48" i="24" s="1"/>
  <c r="BB11" i="56"/>
  <c r="EI48" i="24" s="1"/>
  <c r="AN14" i="56"/>
  <c r="DU51" i="24" s="1"/>
  <c r="AS14" i="56"/>
  <c r="DZ51" i="24" s="1"/>
  <c r="AB14" i="56"/>
  <c r="DI51" i="24" s="1"/>
  <c r="BF14" i="56"/>
  <c r="EM51" i="24" s="1"/>
  <c r="AO14" i="56"/>
  <c r="DV51" i="24" s="1"/>
  <c r="AO13" i="56"/>
  <c r="DV50" i="24" s="1"/>
  <c r="AL5" i="56"/>
  <c r="DS41" i="24" s="1"/>
  <c r="BE8" i="56"/>
  <c r="EL44" i="24" s="1"/>
  <c r="AY8" i="56"/>
  <c r="EF44" i="24" s="1"/>
  <c r="AF19" i="56"/>
  <c r="DM56" i="24" s="1"/>
  <c r="AS4" i="56"/>
  <c r="DZ40" i="24" s="1"/>
  <c r="AS25" i="56"/>
  <c r="DZ62" i="24" s="1"/>
  <c r="AQ25" i="56"/>
  <c r="DX62" i="24" s="1"/>
  <c r="AR25" i="56"/>
  <c r="DY62" i="24" s="1"/>
  <c r="AC25" i="56"/>
  <c r="DJ62" i="24" s="1"/>
  <c r="AN25" i="56"/>
  <c r="DU62" i="24" s="1"/>
  <c r="AU25" i="56"/>
  <c r="EB62" i="24" s="1"/>
  <c r="AZ25" i="56"/>
  <c r="EG62" i="24" s="1"/>
  <c r="P25" i="56"/>
  <c r="CW62" i="24" s="1"/>
  <c r="Y62" i="24" s="1"/>
  <c r="CM60" i="43" s="1"/>
  <c r="BK60" i="43" s="1"/>
  <c r="R25" i="56"/>
  <c r="CY62" i="24" s="1"/>
  <c r="AA62" i="24" s="1"/>
  <c r="CO60" i="43" s="1"/>
  <c r="BM60" i="43" s="1"/>
  <c r="AA25" i="56"/>
  <c r="DH62" i="24" s="1"/>
  <c r="AD25" i="56"/>
  <c r="DK62" i="24" s="1"/>
  <c r="AX25" i="56"/>
  <c r="EE62" i="24" s="1"/>
  <c r="AB25" i="56"/>
  <c r="DI62" i="24" s="1"/>
  <c r="AG25" i="56"/>
  <c r="DN62" i="24" s="1"/>
  <c r="AK25" i="56"/>
  <c r="DR62" i="24" s="1"/>
  <c r="AF25" i="56"/>
  <c r="DM62" i="24" s="1"/>
  <c r="AL25" i="56"/>
  <c r="DS62" i="24" s="1"/>
  <c r="AE25" i="56"/>
  <c r="DL62" i="24" s="1"/>
  <c r="BF25" i="56"/>
  <c r="EM62" i="24" s="1"/>
  <c r="AY25" i="56"/>
  <c r="EF62" i="24" s="1"/>
  <c r="BE25" i="56"/>
  <c r="EL62" i="24" s="1"/>
  <c r="AH25" i="56"/>
  <c r="DO62" i="24" s="1"/>
  <c r="BG25" i="56"/>
  <c r="I25" i="56"/>
  <c r="CP62" i="24" s="1"/>
  <c r="AJ62" i="24" s="1"/>
  <c r="X25" i="56"/>
  <c r="DE62" i="24" s="1"/>
  <c r="AG62" i="24" s="1"/>
  <c r="CU60" i="43" s="1"/>
  <c r="BS60" i="43" s="1"/>
  <c r="AW25" i="56"/>
  <c r="ED62" i="24" s="1"/>
  <c r="L25" i="56"/>
  <c r="CS62" i="24" s="1"/>
  <c r="U62" i="24" s="1"/>
  <c r="CI60" i="43" s="1"/>
  <c r="Q25" i="56"/>
  <c r="CX62" i="24" s="1"/>
  <c r="Z62" i="24" s="1"/>
  <c r="CN60" i="43" s="1"/>
  <c r="BL60" i="43" s="1"/>
  <c r="M25" i="56"/>
  <c r="CT62" i="24" s="1"/>
  <c r="V62" i="24" s="1"/>
  <c r="CJ60" i="43" s="1"/>
  <c r="T25" i="56"/>
  <c r="DA62" i="24" s="1"/>
  <c r="AC62" i="24" s="1"/>
  <c r="CQ60" i="43" s="1"/>
  <c r="BO60" i="43" s="1"/>
  <c r="N25" i="56"/>
  <c r="CU62" i="24" s="1"/>
  <c r="W62" i="24" s="1"/>
  <c r="CK60" i="43" s="1"/>
  <c r="BI60" i="43" s="1"/>
  <c r="BC25" i="56"/>
  <c r="EJ62" i="24" s="1"/>
  <c r="AP25" i="56"/>
  <c r="DW62" i="24" s="1"/>
  <c r="W25" i="56"/>
  <c r="DD62" i="24" s="1"/>
  <c r="AF62" i="24" s="1"/>
  <c r="CT60" i="43" s="1"/>
  <c r="BR60" i="43" s="1"/>
  <c r="J25" i="56"/>
  <c r="CQ62" i="24" s="1"/>
  <c r="AK62" i="24" s="1"/>
  <c r="AI25" i="56"/>
  <c r="DP62" i="24" s="1"/>
  <c r="AO25" i="56"/>
  <c r="DV62" i="24" s="1"/>
  <c r="AT25" i="56"/>
  <c r="EA62" i="24" s="1"/>
  <c r="S25" i="56"/>
  <c r="CZ62" i="24" s="1"/>
  <c r="AB62" i="24" s="1"/>
  <c r="CP60" i="43" s="1"/>
  <c r="BN60" i="43" s="1"/>
  <c r="U25" i="56"/>
  <c r="DB62" i="24" s="1"/>
  <c r="AD62" i="24" s="1"/>
  <c r="CR60" i="43" s="1"/>
  <c r="BP60" i="43" s="1"/>
  <c r="O25" i="56"/>
  <c r="CV62" i="24" s="1"/>
  <c r="X62" i="24" s="1"/>
  <c r="CL60" i="43" s="1"/>
  <c r="BJ60" i="43" s="1"/>
  <c r="K25" i="56"/>
  <c r="CR62" i="24" s="1"/>
  <c r="AL62" i="24" s="1"/>
  <c r="AJ25" i="56"/>
  <c r="DQ62" i="24" s="1"/>
  <c r="AV25" i="56"/>
  <c r="EC62" i="24" s="1"/>
  <c r="BB25" i="56"/>
  <c r="EI62" i="24" s="1"/>
  <c r="BD25" i="56"/>
  <c r="EK62" i="24" s="1"/>
  <c r="AM25" i="56"/>
  <c r="DT62" i="24" s="1"/>
  <c r="Z25" i="56"/>
  <c r="DG62" i="24" s="1"/>
  <c r="BA25" i="56"/>
  <c r="EH62" i="24" s="1"/>
  <c r="Y25" i="56"/>
  <c r="DF62" i="24" s="1"/>
  <c r="R26" i="60"/>
  <c r="R24" i="60"/>
  <c r="G10" i="72" l="1"/>
  <c r="I10" i="72"/>
  <c r="F10" i="72"/>
  <c r="DZ65" i="24"/>
  <c r="DZ64" i="24"/>
  <c r="CT65" i="24"/>
  <c r="V65" i="24" s="1"/>
  <c r="CJ58" i="43" s="1"/>
  <c r="BH58" i="43" s="1"/>
  <c r="CT64" i="24"/>
  <c r="V64" i="24" s="1"/>
  <c r="CJ57" i="43" s="1"/>
  <c r="BH57" i="43" s="1"/>
  <c r="DP65" i="24"/>
  <c r="DP64" i="24"/>
  <c r="DH65" i="24"/>
  <c r="DH64" i="24"/>
  <c r="DN65" i="24"/>
  <c r="DN64" i="24"/>
  <c r="CZ65" i="24"/>
  <c r="AB65" i="24" s="1"/>
  <c r="CP58" i="43" s="1"/>
  <c r="BN58" i="43" s="1"/>
  <c r="CZ64" i="24"/>
  <c r="AB64" i="24" s="1"/>
  <c r="CP57" i="43" s="1"/>
  <c r="BN57" i="43" s="1"/>
  <c r="EA65" i="24"/>
  <c r="EA64" i="24"/>
  <c r="EL65" i="24"/>
  <c r="EL64" i="24"/>
  <c r="DQ65" i="24"/>
  <c r="DQ64" i="24"/>
  <c r="EB65" i="24"/>
  <c r="EB64" i="24"/>
  <c r="CR65" i="24"/>
  <c r="AL65" i="24" s="1"/>
  <c r="CR64" i="24"/>
  <c r="AL64" i="24" s="1"/>
  <c r="CX65" i="24"/>
  <c r="Z65" i="24" s="1"/>
  <c r="CN58" i="43" s="1"/>
  <c r="BL58" i="43" s="1"/>
  <c r="CX64" i="24"/>
  <c r="Z64" i="24" s="1"/>
  <c r="CN57" i="43" s="1"/>
  <c r="BL57" i="43" s="1"/>
  <c r="DB65" i="24"/>
  <c r="AD65" i="24" s="1"/>
  <c r="DB64" i="24"/>
  <c r="AD64" i="24" s="1"/>
  <c r="CR57" i="43" s="1"/>
  <c r="BP57" i="43" s="1"/>
  <c r="DC65" i="24"/>
  <c r="AE65" i="24" s="1"/>
  <c r="CS58" i="43" s="1"/>
  <c r="BQ58" i="43" s="1"/>
  <c r="DC64" i="24"/>
  <c r="AE64" i="24" s="1"/>
  <c r="CS57" i="43" s="1"/>
  <c r="BQ57" i="43" s="1"/>
  <c r="DM65" i="24"/>
  <c r="DM64" i="24"/>
  <c r="CQ65" i="24"/>
  <c r="AK65" i="24" s="1"/>
  <c r="CQ64" i="24"/>
  <c r="AK64" i="24" s="1"/>
  <c r="EH65" i="24"/>
  <c r="EH64" i="24"/>
  <c r="DL65" i="24"/>
  <c r="DL64" i="24"/>
  <c r="DJ65" i="24"/>
  <c r="DJ64" i="24"/>
  <c r="DS65" i="24"/>
  <c r="DS64" i="24"/>
  <c r="EM65" i="24"/>
  <c r="EM64" i="24"/>
  <c r="DO65" i="24"/>
  <c r="DO64" i="24"/>
  <c r="EG65" i="24"/>
  <c r="EG64" i="24"/>
  <c r="CU65" i="24"/>
  <c r="W65" i="24" s="1"/>
  <c r="CK58" i="43" s="1"/>
  <c r="BI58" i="43" s="1"/>
  <c r="CU64" i="24"/>
  <c r="W64" i="24" s="1"/>
  <c r="CK57" i="43" s="1"/>
  <c r="BI57" i="43" s="1"/>
  <c r="CP65" i="24"/>
  <c r="AJ65" i="24" s="1"/>
  <c r="CP64" i="24"/>
  <c r="AJ64" i="24" s="1"/>
  <c r="DV65" i="24"/>
  <c r="DV64" i="24"/>
  <c r="EJ65" i="24"/>
  <c r="EJ64" i="24"/>
  <c r="DF65" i="24"/>
  <c r="DF64" i="24"/>
  <c r="EE65" i="24"/>
  <c r="EE64" i="24"/>
  <c r="EI65" i="24"/>
  <c r="EI64" i="24"/>
  <c r="DY65" i="24"/>
  <c r="DY64" i="24"/>
  <c r="DX65" i="24"/>
  <c r="DX64" i="24"/>
  <c r="DI65" i="24"/>
  <c r="DI64" i="24"/>
  <c r="ED65" i="24"/>
  <c r="ED64" i="24"/>
  <c r="EF65" i="24"/>
  <c r="EF64" i="24"/>
  <c r="CS65" i="24"/>
  <c r="U65" i="24" s="1"/>
  <c r="CI58" i="43" s="1"/>
  <c r="BG58" i="43" s="1"/>
  <c r="CS64" i="24"/>
  <c r="U64" i="24" s="1"/>
  <c r="CI57" i="43" s="1"/>
  <c r="BG57" i="43" s="1"/>
  <c r="CV65" i="24"/>
  <c r="X65" i="24" s="1"/>
  <c r="CL58" i="43" s="1"/>
  <c r="BJ58" i="43" s="1"/>
  <c r="CV64" i="24"/>
  <c r="X64" i="24" s="1"/>
  <c r="DA65" i="24"/>
  <c r="AC65" i="24" s="1"/>
  <c r="CQ58" i="43" s="1"/>
  <c r="BO58" i="43" s="1"/>
  <c r="DA64" i="24"/>
  <c r="AC64" i="24" s="1"/>
  <c r="CQ57" i="43" s="1"/>
  <c r="BO57" i="43" s="1"/>
  <c r="DU65" i="24"/>
  <c r="DU64" i="24"/>
  <c r="DG65" i="24"/>
  <c r="DG64" i="24"/>
  <c r="EK65" i="24"/>
  <c r="EK64" i="24"/>
  <c r="DR65" i="24"/>
  <c r="DR64" i="24"/>
  <c r="DW65" i="24"/>
  <c r="DW64" i="24"/>
  <c r="DK65" i="24"/>
  <c r="DK64" i="24"/>
  <c r="DD65" i="24"/>
  <c r="AF65" i="24" s="1"/>
  <c r="CT58" i="43" s="1"/>
  <c r="BR58" i="43" s="1"/>
  <c r="DD64" i="24"/>
  <c r="AF64" i="24" s="1"/>
  <c r="CT57" i="43" s="1"/>
  <c r="BR57" i="43" s="1"/>
  <c r="DT65" i="24"/>
  <c r="DT64" i="24"/>
  <c r="EC65" i="24"/>
  <c r="EC64" i="24"/>
  <c r="CY65" i="24"/>
  <c r="AA65" i="24" s="1"/>
  <c r="CO58" i="43" s="1"/>
  <c r="BM58" i="43" s="1"/>
  <c r="CY64" i="24"/>
  <c r="AA64" i="24" s="1"/>
  <c r="CO57" i="43" s="1"/>
  <c r="BM57" i="43" s="1"/>
  <c r="CW65" i="24"/>
  <c r="Y65" i="24" s="1"/>
  <c r="CM58" i="43" s="1"/>
  <c r="BK58" i="43" s="1"/>
  <c r="CW64" i="24"/>
  <c r="Y64" i="24" s="1"/>
  <c r="CM57" i="43" s="1"/>
  <c r="BK57" i="43" s="1"/>
  <c r="DE65" i="24"/>
  <c r="AG65" i="24" s="1"/>
  <c r="CU58" i="43" s="1"/>
  <c r="BS58" i="43" s="1"/>
  <c r="DE64" i="24"/>
  <c r="AG64" i="24" s="1"/>
  <c r="CU57" i="43" s="1"/>
  <c r="BS57" i="43" s="1"/>
  <c r="CR58" i="43"/>
  <c r="BP58" i="43" s="1"/>
  <c r="CL57" i="43"/>
  <c r="BJ57" i="43" s="1"/>
  <c r="CT51" i="43"/>
  <c r="BR51" i="43" s="1"/>
  <c r="CT52" i="43"/>
  <c r="BR52" i="43" s="1"/>
  <c r="CN51" i="43"/>
  <c r="BL51" i="43" s="1"/>
  <c r="CN52" i="43"/>
  <c r="BL52" i="43" s="1"/>
  <c r="CI51" i="43"/>
  <c r="BG51" i="43" s="1"/>
  <c r="CI52" i="43"/>
  <c r="BG52" i="43" s="1"/>
  <c r="CJ51" i="43"/>
  <c r="BH51" i="43" s="1"/>
  <c r="CJ52" i="43"/>
  <c r="BH52" i="43" s="1"/>
  <c r="CP51" i="43"/>
  <c r="BN51" i="43" s="1"/>
  <c r="CP52" i="43"/>
  <c r="BN52" i="43" s="1"/>
  <c r="CS51" i="43"/>
  <c r="BQ51" i="43" s="1"/>
  <c r="CS52" i="43"/>
  <c r="BQ52" i="43" s="1"/>
  <c r="CU51" i="43"/>
  <c r="BS51" i="43" s="1"/>
  <c r="CU52" i="43"/>
  <c r="BS52" i="43" s="1"/>
  <c r="CQ51" i="43"/>
  <c r="BO51" i="43" s="1"/>
  <c r="CQ52" i="43"/>
  <c r="BO52" i="43" s="1"/>
  <c r="CM51" i="43"/>
  <c r="BK51" i="43" s="1"/>
  <c r="CM52" i="43"/>
  <c r="BK52" i="43" s="1"/>
  <c r="CR51" i="43"/>
  <c r="BP51" i="43" s="1"/>
  <c r="CR52" i="43"/>
  <c r="BP52" i="43" s="1"/>
  <c r="CO51" i="43"/>
  <c r="BM51" i="43" s="1"/>
  <c r="CO52" i="43"/>
  <c r="BM52" i="43" s="1"/>
  <c r="CK51" i="43"/>
  <c r="BI51" i="43" s="1"/>
  <c r="CK52" i="43"/>
  <c r="BI52" i="43" s="1"/>
  <c r="CL51" i="43"/>
  <c r="BJ51" i="43" s="1"/>
  <c r="CL52" i="43"/>
  <c r="BJ52" i="43" s="1"/>
  <c r="F14" i="72"/>
  <c r="H14" i="72"/>
  <c r="G11" i="72"/>
  <c r="F11" i="72"/>
  <c r="H18" i="72"/>
  <c r="I18" i="72"/>
  <c r="T346" i="45"/>
  <c r="BH60" i="43"/>
  <c r="T347" i="45" s="1"/>
  <c r="BH33" i="43"/>
  <c r="T237" i="45" s="1"/>
  <c r="T236" i="45"/>
  <c r="P58" i="24"/>
  <c r="CD49" i="43" s="1"/>
  <c r="H58" i="24"/>
  <c r="BV49" i="43" s="1"/>
  <c r="T58" i="24"/>
  <c r="CH49" i="43" s="1"/>
  <c r="L58" i="24"/>
  <c r="BZ49" i="43" s="1"/>
  <c r="S58" i="24"/>
  <c r="CG49" i="43" s="1"/>
  <c r="R58" i="24"/>
  <c r="CF49" i="43" s="1"/>
  <c r="K58" i="24"/>
  <c r="BY49" i="43" s="1"/>
  <c r="I58" i="24"/>
  <c r="BW49" i="43" s="1"/>
  <c r="J58" i="24"/>
  <c r="BX49" i="43" s="1"/>
  <c r="M58" i="24"/>
  <c r="CA49" i="43" s="1"/>
  <c r="Q58" i="24"/>
  <c r="CE49" i="43" s="1"/>
  <c r="O58" i="24"/>
  <c r="CC49" i="43" s="1"/>
  <c r="G58" i="24"/>
  <c r="N58" i="24"/>
  <c r="CB49" i="43" s="1"/>
  <c r="S279" i="45"/>
  <c r="BG41" i="43"/>
  <c r="S280" i="45" s="1"/>
  <c r="L52" i="24"/>
  <c r="BZ43" i="43" s="1"/>
  <c r="G52" i="24"/>
  <c r="M52" i="24"/>
  <c r="CA43" i="43" s="1"/>
  <c r="S52" i="24"/>
  <c r="CG43" i="43" s="1"/>
  <c r="I52" i="24"/>
  <c r="BW43" i="43" s="1"/>
  <c r="R52" i="24"/>
  <c r="CF43" i="43" s="1"/>
  <c r="K52" i="24"/>
  <c r="BY43" i="43" s="1"/>
  <c r="J52" i="24"/>
  <c r="BX43" i="43" s="1"/>
  <c r="N52" i="24"/>
  <c r="CB43" i="43" s="1"/>
  <c r="Q52" i="24"/>
  <c r="CE43" i="43" s="1"/>
  <c r="T52" i="24"/>
  <c r="CH43" i="43" s="1"/>
  <c r="O52" i="24"/>
  <c r="CC43" i="43" s="1"/>
  <c r="H52" i="24"/>
  <c r="BV43" i="43" s="1"/>
  <c r="P52" i="24"/>
  <c r="CD43" i="43" s="1"/>
  <c r="BG32" i="43"/>
  <c r="S231" i="45" s="1"/>
  <c r="S230" i="45"/>
  <c r="J12" i="72"/>
  <c r="K12" i="72"/>
  <c r="P60" i="24"/>
  <c r="I60" i="24"/>
  <c r="K60" i="24"/>
  <c r="H60" i="24"/>
  <c r="R60" i="24"/>
  <c r="N60" i="24"/>
  <c r="O60" i="24"/>
  <c r="J60" i="24"/>
  <c r="Q60" i="24"/>
  <c r="L60" i="24"/>
  <c r="M60" i="24"/>
  <c r="G60" i="24"/>
  <c r="BU52" i="43" s="1"/>
  <c r="S60" i="24"/>
  <c r="T60" i="24"/>
  <c r="M56" i="24"/>
  <c r="CA47" i="43" s="1"/>
  <c r="G56" i="24"/>
  <c r="Q56" i="24"/>
  <c r="CE47" i="43" s="1"/>
  <c r="P56" i="24"/>
  <c r="CD47" i="43" s="1"/>
  <c r="L56" i="24"/>
  <c r="BZ47" i="43" s="1"/>
  <c r="S56" i="24"/>
  <c r="CG47" i="43" s="1"/>
  <c r="R56" i="24"/>
  <c r="CF47" i="43" s="1"/>
  <c r="H56" i="24"/>
  <c r="BV47" i="43" s="1"/>
  <c r="I56" i="24"/>
  <c r="BW47" i="43" s="1"/>
  <c r="J56" i="24"/>
  <c r="BX47" i="43" s="1"/>
  <c r="K56" i="24"/>
  <c r="BY47" i="43" s="1"/>
  <c r="T56" i="24"/>
  <c r="CH47" i="43" s="1"/>
  <c r="N56" i="24"/>
  <c r="CB47" i="43" s="1"/>
  <c r="O56" i="24"/>
  <c r="CC47" i="43" s="1"/>
  <c r="J15" i="72"/>
  <c r="K15" i="72"/>
  <c r="J11" i="72"/>
  <c r="K11" i="72"/>
  <c r="S224" i="45"/>
  <c r="BG31" i="43"/>
  <c r="S225" i="45" s="1"/>
  <c r="J10" i="72"/>
  <c r="K10" i="72"/>
  <c r="BG42" i="43"/>
  <c r="S286" i="45" s="1"/>
  <c r="S285" i="45"/>
  <c r="O49" i="24"/>
  <c r="CC39" i="43" s="1"/>
  <c r="P49" i="24"/>
  <c r="CD39" i="43" s="1"/>
  <c r="J49" i="24"/>
  <c r="BX39" i="43" s="1"/>
  <c r="Q49" i="24"/>
  <c r="CE39" i="43" s="1"/>
  <c r="N49" i="24"/>
  <c r="CB39" i="43" s="1"/>
  <c r="T49" i="24"/>
  <c r="CH39" i="43" s="1"/>
  <c r="S49" i="24"/>
  <c r="CG39" i="43" s="1"/>
  <c r="H49" i="24"/>
  <c r="BV39" i="43" s="1"/>
  <c r="I49" i="24"/>
  <c r="BW39" i="43" s="1"/>
  <c r="L49" i="24"/>
  <c r="BZ39" i="43" s="1"/>
  <c r="R49" i="24"/>
  <c r="CF39" i="43" s="1"/>
  <c r="M49" i="24"/>
  <c r="CA39" i="43" s="1"/>
  <c r="G49" i="24"/>
  <c r="K49" i="24"/>
  <c r="BY39" i="43" s="1"/>
  <c r="I16" i="72"/>
  <c r="H16" i="72"/>
  <c r="F16" i="72"/>
  <c r="G16" i="72"/>
  <c r="F7" i="72"/>
  <c r="H7" i="72"/>
  <c r="G7" i="72"/>
  <c r="I7" i="72"/>
  <c r="K18" i="72"/>
  <c r="J18" i="72"/>
  <c r="T352" i="45"/>
  <c r="BH56" i="43"/>
  <c r="T353" i="45" s="1"/>
  <c r="H63" i="24"/>
  <c r="BV56" i="43" s="1"/>
  <c r="O63" i="24"/>
  <c r="CC56" i="43" s="1"/>
  <c r="J63" i="24"/>
  <c r="BX56" i="43" s="1"/>
  <c r="S63" i="24"/>
  <c r="CG56" i="43" s="1"/>
  <c r="K63" i="24"/>
  <c r="BY56" i="43" s="1"/>
  <c r="Q63" i="24"/>
  <c r="CE56" i="43" s="1"/>
  <c r="T63" i="24"/>
  <c r="CH56" i="43" s="1"/>
  <c r="G63" i="24"/>
  <c r="L63" i="24"/>
  <c r="BZ56" i="43" s="1"/>
  <c r="M63" i="24"/>
  <c r="CA56" i="43" s="1"/>
  <c r="P63" i="24"/>
  <c r="CD56" i="43" s="1"/>
  <c r="N63" i="24"/>
  <c r="CB56" i="43" s="1"/>
  <c r="R63" i="24"/>
  <c r="CF56" i="43" s="1"/>
  <c r="I63" i="24"/>
  <c r="BW56" i="43" s="1"/>
  <c r="S200" i="45"/>
  <c r="BG26" i="43"/>
  <c r="S201" i="45" s="1"/>
  <c r="BG49" i="43"/>
  <c r="S322" i="45" s="1"/>
  <c r="S321" i="45"/>
  <c r="S242" i="45"/>
  <c r="BG36" i="43"/>
  <c r="S243" i="45" s="1"/>
  <c r="BH41" i="43"/>
  <c r="T280" i="45" s="1"/>
  <c r="T279" i="45"/>
  <c r="Q55" i="24"/>
  <c r="CE46" i="43" s="1"/>
  <c r="J55" i="24"/>
  <c r="BX46" i="43" s="1"/>
  <c r="N55" i="24"/>
  <c r="CB46" i="43" s="1"/>
  <c r="K55" i="24"/>
  <c r="BY46" i="43" s="1"/>
  <c r="L55" i="24"/>
  <c r="BZ46" i="43" s="1"/>
  <c r="M55" i="24"/>
  <c r="CA46" i="43" s="1"/>
  <c r="P55" i="24"/>
  <c r="CD46" i="43" s="1"/>
  <c r="H55" i="24"/>
  <c r="BV46" i="43" s="1"/>
  <c r="S55" i="24"/>
  <c r="CG46" i="43" s="1"/>
  <c r="R55" i="24"/>
  <c r="CF46" i="43" s="1"/>
  <c r="I55" i="24"/>
  <c r="BW46" i="43" s="1"/>
  <c r="O55" i="24"/>
  <c r="CC46" i="43" s="1"/>
  <c r="T55" i="24"/>
  <c r="CH46" i="43" s="1"/>
  <c r="G55" i="24"/>
  <c r="BG50" i="43"/>
  <c r="S328" i="45" s="1"/>
  <c r="S327" i="45"/>
  <c r="T230" i="45"/>
  <c r="BH32" i="43"/>
  <c r="T231" i="45" s="1"/>
  <c r="H39" i="24"/>
  <c r="BV32" i="43" s="1"/>
  <c r="S39" i="24"/>
  <c r="CG32" i="43" s="1"/>
  <c r="R39" i="24"/>
  <c r="CF32" i="43" s="1"/>
  <c r="T39" i="24"/>
  <c r="CH32" i="43" s="1"/>
  <c r="O39" i="24"/>
  <c r="CC32" i="43" s="1"/>
  <c r="G39" i="24"/>
  <c r="M39" i="24"/>
  <c r="CA32" i="43" s="1"/>
  <c r="J39" i="24"/>
  <c r="BX32" i="43" s="1"/>
  <c r="P39" i="24"/>
  <c r="CD32" i="43" s="1"/>
  <c r="I39" i="24"/>
  <c r="BW32" i="43" s="1"/>
  <c r="L39" i="24"/>
  <c r="BZ32" i="43" s="1"/>
  <c r="K39" i="24"/>
  <c r="BY32" i="43" s="1"/>
  <c r="Q39" i="24"/>
  <c r="CE32" i="43" s="1"/>
  <c r="N39" i="24"/>
  <c r="CB32" i="43" s="1"/>
  <c r="H12" i="72"/>
  <c r="G12" i="72"/>
  <c r="F12" i="72"/>
  <c r="I12" i="72"/>
  <c r="G9" i="72"/>
  <c r="F9" i="72"/>
  <c r="H9" i="72"/>
  <c r="I9" i="72"/>
  <c r="K9" i="72"/>
  <c r="J9" i="72"/>
  <c r="Q38" i="24"/>
  <c r="CE31" i="43" s="1"/>
  <c r="H38" i="24"/>
  <c r="BV31" i="43" s="1"/>
  <c r="T38" i="24"/>
  <c r="CH31" i="43" s="1"/>
  <c r="S38" i="24"/>
  <c r="CG31" i="43" s="1"/>
  <c r="O38" i="24"/>
  <c r="CC31" i="43" s="1"/>
  <c r="G38" i="24"/>
  <c r="R38" i="24"/>
  <c r="CF31" i="43" s="1"/>
  <c r="L38" i="24"/>
  <c r="BZ31" i="43" s="1"/>
  <c r="M38" i="24"/>
  <c r="CA31" i="43" s="1"/>
  <c r="N38" i="24"/>
  <c r="CB31" i="43" s="1"/>
  <c r="K38" i="24"/>
  <c r="BY31" i="43" s="1"/>
  <c r="J38" i="24"/>
  <c r="BX31" i="43" s="1"/>
  <c r="I38" i="24"/>
  <c r="BW31" i="43" s="1"/>
  <c r="P38" i="24"/>
  <c r="CD31" i="43" s="1"/>
  <c r="O47" i="24"/>
  <c r="CC34" i="43" s="1"/>
  <c r="S47" i="24"/>
  <c r="CG34" i="43" s="1"/>
  <c r="P47" i="24"/>
  <c r="CD34" i="43" s="1"/>
  <c r="L47" i="24"/>
  <c r="BZ34" i="43" s="1"/>
  <c r="H47" i="24"/>
  <c r="BV34" i="43" s="1"/>
  <c r="I47" i="24"/>
  <c r="BW34" i="43" s="1"/>
  <c r="T47" i="24"/>
  <c r="CH34" i="43" s="1"/>
  <c r="R47" i="24"/>
  <c r="CF34" i="43" s="1"/>
  <c r="K47" i="24"/>
  <c r="BY34" i="43" s="1"/>
  <c r="J47" i="24"/>
  <c r="BX34" i="43" s="1"/>
  <c r="N47" i="24"/>
  <c r="CB34" i="43" s="1"/>
  <c r="M47" i="24"/>
  <c r="CA34" i="43" s="1"/>
  <c r="Q47" i="24"/>
  <c r="CE34" i="43" s="1"/>
  <c r="G47" i="24"/>
  <c r="S182" i="45"/>
  <c r="BG23" i="43"/>
  <c r="T297" i="45"/>
  <c r="BH44" i="43"/>
  <c r="T298" i="45" s="1"/>
  <c r="P51" i="24"/>
  <c r="CD42" i="43" s="1"/>
  <c r="I51" i="24"/>
  <c r="BW42" i="43" s="1"/>
  <c r="G51" i="24"/>
  <c r="L51" i="24"/>
  <c r="BZ42" i="43" s="1"/>
  <c r="N51" i="24"/>
  <c r="CB42" i="43" s="1"/>
  <c r="S51" i="24"/>
  <c r="CG42" i="43" s="1"/>
  <c r="Q51" i="24"/>
  <c r="CE42" i="43" s="1"/>
  <c r="H51" i="24"/>
  <c r="BV42" i="43" s="1"/>
  <c r="R51" i="24"/>
  <c r="CF42" i="43" s="1"/>
  <c r="T51" i="24"/>
  <c r="CH42" i="43" s="1"/>
  <c r="O51" i="24"/>
  <c r="CC42" i="43" s="1"/>
  <c r="J51" i="24"/>
  <c r="BX42" i="43" s="1"/>
  <c r="K51" i="24"/>
  <c r="BY42" i="43" s="1"/>
  <c r="M51" i="24"/>
  <c r="CA42" i="43" s="1"/>
  <c r="BH39" i="43"/>
  <c r="T267" i="45"/>
  <c r="H13" i="72"/>
  <c r="G13" i="72"/>
  <c r="F13" i="72"/>
  <c r="I13" i="72"/>
  <c r="H8" i="72"/>
  <c r="F8" i="72"/>
  <c r="I8" i="72"/>
  <c r="G8" i="72"/>
  <c r="Q43" i="24"/>
  <c r="CE24" i="43" s="1"/>
  <c r="I43" i="24"/>
  <c r="BW24" i="43" s="1"/>
  <c r="J43" i="24"/>
  <c r="BX24" i="43" s="1"/>
  <c r="S43" i="24"/>
  <c r="CG24" i="43" s="1"/>
  <c r="M43" i="24"/>
  <c r="CA24" i="43" s="1"/>
  <c r="K43" i="24"/>
  <c r="BY24" i="43" s="1"/>
  <c r="N43" i="24"/>
  <c r="CB24" i="43" s="1"/>
  <c r="H43" i="24"/>
  <c r="BV24" i="43" s="1"/>
  <c r="R43" i="24"/>
  <c r="CF24" i="43" s="1"/>
  <c r="T43" i="24"/>
  <c r="CH24" i="43" s="1"/>
  <c r="P43" i="24"/>
  <c r="CD24" i="43" s="1"/>
  <c r="L43" i="24"/>
  <c r="BZ24" i="43" s="1"/>
  <c r="O43" i="24"/>
  <c r="CC24" i="43" s="1"/>
  <c r="G43" i="24"/>
  <c r="R66" i="24"/>
  <c r="CF59" i="43" s="1"/>
  <c r="J66" i="24"/>
  <c r="BX59" i="43" s="1"/>
  <c r="S66" i="24"/>
  <c r="CG59" i="43" s="1"/>
  <c r="M66" i="24"/>
  <c r="CA59" i="43" s="1"/>
  <c r="L66" i="24"/>
  <c r="BZ59" i="43" s="1"/>
  <c r="I66" i="24"/>
  <c r="BW59" i="43" s="1"/>
  <c r="Q66" i="24"/>
  <c r="CE59" i="43" s="1"/>
  <c r="K66" i="24"/>
  <c r="BY59" i="43" s="1"/>
  <c r="T66" i="24"/>
  <c r="CH59" i="43" s="1"/>
  <c r="H66" i="24"/>
  <c r="BV59" i="43" s="1"/>
  <c r="P66" i="24"/>
  <c r="CD59" i="43" s="1"/>
  <c r="O66" i="24"/>
  <c r="CC59" i="43" s="1"/>
  <c r="N66" i="24"/>
  <c r="CB59" i="43" s="1"/>
  <c r="G66" i="24"/>
  <c r="L62" i="24"/>
  <c r="BZ60" i="43" s="1"/>
  <c r="Q62" i="24"/>
  <c r="CE60" i="43" s="1"/>
  <c r="P62" i="24"/>
  <c r="CD60" i="43" s="1"/>
  <c r="M62" i="24"/>
  <c r="CA60" i="43" s="1"/>
  <c r="G62" i="24"/>
  <c r="J62" i="24"/>
  <c r="BX60" i="43" s="1"/>
  <c r="H62" i="24"/>
  <c r="BV60" i="43" s="1"/>
  <c r="I62" i="24"/>
  <c r="BW60" i="43" s="1"/>
  <c r="O62" i="24"/>
  <c r="CC60" i="43" s="1"/>
  <c r="S62" i="24"/>
  <c r="CG60" i="43" s="1"/>
  <c r="N62" i="24"/>
  <c r="CB60" i="43" s="1"/>
  <c r="R62" i="24"/>
  <c r="CF60" i="43" s="1"/>
  <c r="K62" i="24"/>
  <c r="BY60" i="43" s="1"/>
  <c r="T62" i="24"/>
  <c r="CH60" i="43" s="1"/>
  <c r="M40" i="24"/>
  <c r="CA33" i="43" s="1"/>
  <c r="L40" i="24"/>
  <c r="BZ33" i="43" s="1"/>
  <c r="I40" i="24"/>
  <c r="BW33" i="43" s="1"/>
  <c r="S40" i="24"/>
  <c r="CG33" i="43" s="1"/>
  <c r="H40" i="24"/>
  <c r="BV33" i="43" s="1"/>
  <c r="R40" i="24"/>
  <c r="CF33" i="43" s="1"/>
  <c r="G40" i="24"/>
  <c r="K40" i="24"/>
  <c r="BY33" i="43" s="1"/>
  <c r="J40" i="24"/>
  <c r="BX33" i="43" s="1"/>
  <c r="O40" i="24"/>
  <c r="CC33" i="43" s="1"/>
  <c r="P40" i="24"/>
  <c r="CD33" i="43" s="1"/>
  <c r="Q40" i="24"/>
  <c r="CE33" i="43" s="1"/>
  <c r="N40" i="24"/>
  <c r="CB33" i="43" s="1"/>
  <c r="T40" i="24"/>
  <c r="CH33" i="43" s="1"/>
  <c r="S346" i="45"/>
  <c r="BG60" i="43"/>
  <c r="S347" i="45" s="1"/>
  <c r="S236" i="45"/>
  <c r="BG33" i="43"/>
  <c r="S237" i="45" s="1"/>
  <c r="R41" i="24"/>
  <c r="CF36" i="43" s="1"/>
  <c r="P41" i="24"/>
  <c r="CD36" i="43" s="1"/>
  <c r="S41" i="24"/>
  <c r="CG36" i="43" s="1"/>
  <c r="M41" i="24"/>
  <c r="CA36" i="43" s="1"/>
  <c r="H41" i="24"/>
  <c r="BV36" i="43" s="1"/>
  <c r="N41" i="24"/>
  <c r="CB36" i="43" s="1"/>
  <c r="I41" i="24"/>
  <c r="BW36" i="43" s="1"/>
  <c r="T41" i="24"/>
  <c r="CH36" i="43" s="1"/>
  <c r="O41" i="24"/>
  <c r="CC36" i="43" s="1"/>
  <c r="G41" i="24"/>
  <c r="K41" i="24"/>
  <c r="BY36" i="43" s="1"/>
  <c r="L41" i="24"/>
  <c r="BZ36" i="43" s="1"/>
  <c r="J41" i="24"/>
  <c r="BX36" i="43" s="1"/>
  <c r="Q41" i="24"/>
  <c r="CE36" i="43" s="1"/>
  <c r="BH36" i="43"/>
  <c r="T243" i="45" s="1"/>
  <c r="T242" i="45"/>
  <c r="H50" i="24"/>
  <c r="BV41" i="43" s="1"/>
  <c r="L50" i="24"/>
  <c r="BZ41" i="43" s="1"/>
  <c r="P50" i="24"/>
  <c r="CD41" i="43" s="1"/>
  <c r="G50" i="24"/>
  <c r="J50" i="24"/>
  <c r="BX41" i="43" s="1"/>
  <c r="T50" i="24"/>
  <c r="CH41" i="43" s="1"/>
  <c r="M50" i="24"/>
  <c r="CA41" i="43" s="1"/>
  <c r="S50" i="24"/>
  <c r="CG41" i="43" s="1"/>
  <c r="N50" i="24"/>
  <c r="CB41" i="43" s="1"/>
  <c r="O50" i="24"/>
  <c r="CC41" i="43" s="1"/>
  <c r="R50" i="24"/>
  <c r="CF41" i="43" s="1"/>
  <c r="K50" i="24"/>
  <c r="BY41" i="43" s="1"/>
  <c r="I50" i="24"/>
  <c r="BW41" i="43" s="1"/>
  <c r="Q50" i="24"/>
  <c r="CE41" i="43" s="1"/>
  <c r="S303" i="45"/>
  <c r="BG46" i="43"/>
  <c r="S304" i="45" s="1"/>
  <c r="T59" i="24"/>
  <c r="CH50" i="43" s="1"/>
  <c r="O59" i="24"/>
  <c r="CC50" i="43" s="1"/>
  <c r="M59" i="24"/>
  <c r="CA50" i="43" s="1"/>
  <c r="I59" i="24"/>
  <c r="BW50" i="43" s="1"/>
  <c r="H59" i="24"/>
  <c r="BV50" i="43" s="1"/>
  <c r="L59" i="24"/>
  <c r="BZ50" i="43" s="1"/>
  <c r="S59" i="24"/>
  <c r="CG50" i="43" s="1"/>
  <c r="P59" i="24"/>
  <c r="CD50" i="43" s="1"/>
  <c r="N59" i="24"/>
  <c r="CB50" i="43" s="1"/>
  <c r="K59" i="24"/>
  <c r="BY50" i="43" s="1"/>
  <c r="Q59" i="24"/>
  <c r="CE50" i="43" s="1"/>
  <c r="R59" i="24"/>
  <c r="CF50" i="43" s="1"/>
  <c r="G59" i="24"/>
  <c r="J59" i="24"/>
  <c r="BX50" i="43" s="1"/>
  <c r="T291" i="45"/>
  <c r="BH43" i="43"/>
  <c r="T292" i="45" s="1"/>
  <c r="BH47" i="43"/>
  <c r="T310" i="45" s="1"/>
  <c r="T309" i="45"/>
  <c r="K5" i="72"/>
  <c r="J5" i="72"/>
  <c r="BG34" i="43"/>
  <c r="S255" i="45" s="1"/>
  <c r="S254" i="45"/>
  <c r="J48" i="24"/>
  <c r="BX35" i="43" s="1"/>
  <c r="M48" i="24"/>
  <c r="CA35" i="43" s="1"/>
  <c r="S48" i="24"/>
  <c r="CG35" i="43" s="1"/>
  <c r="H48" i="24"/>
  <c r="BV35" i="43" s="1"/>
  <c r="N48" i="24"/>
  <c r="CB35" i="43" s="1"/>
  <c r="L48" i="24"/>
  <c r="BZ35" i="43" s="1"/>
  <c r="T48" i="24"/>
  <c r="CH35" i="43" s="1"/>
  <c r="O48" i="24"/>
  <c r="CC35" i="43" s="1"/>
  <c r="P48" i="24"/>
  <c r="CD35" i="43" s="1"/>
  <c r="R48" i="24"/>
  <c r="CF35" i="43" s="1"/>
  <c r="K48" i="24"/>
  <c r="BY35" i="43" s="1"/>
  <c r="I48" i="24"/>
  <c r="BW35" i="43" s="1"/>
  <c r="Q48" i="24"/>
  <c r="CE35" i="43" s="1"/>
  <c r="G48" i="24"/>
  <c r="T260" i="45"/>
  <c r="BH35" i="43"/>
  <c r="T261" i="45" s="1"/>
  <c r="BG25" i="43"/>
  <c r="S195" i="45" s="1"/>
  <c r="S194" i="45"/>
  <c r="N44" i="24"/>
  <c r="CB25" i="43" s="1"/>
  <c r="P44" i="24"/>
  <c r="CD25" i="43" s="1"/>
  <c r="H44" i="24"/>
  <c r="BV25" i="43" s="1"/>
  <c r="G44" i="24"/>
  <c r="K44" i="24"/>
  <c r="BY25" i="43" s="1"/>
  <c r="J44" i="24"/>
  <c r="BX25" i="43" s="1"/>
  <c r="O44" i="24"/>
  <c r="CC25" i="43" s="1"/>
  <c r="T44" i="24"/>
  <c r="CH25" i="43" s="1"/>
  <c r="I44" i="24"/>
  <c r="BW25" i="43" s="1"/>
  <c r="L44" i="24"/>
  <c r="BZ25" i="43" s="1"/>
  <c r="M44" i="24"/>
  <c r="CA25" i="43" s="1"/>
  <c r="Q44" i="24"/>
  <c r="CE25" i="43" s="1"/>
  <c r="S44" i="24"/>
  <c r="CG25" i="43" s="1"/>
  <c r="R44" i="24"/>
  <c r="CF25" i="43" s="1"/>
  <c r="BH48" i="43"/>
  <c r="T316" i="45" s="1"/>
  <c r="T315" i="45"/>
  <c r="BG48" i="43"/>
  <c r="S316" i="45" s="1"/>
  <c r="S315" i="45"/>
  <c r="BG39" i="43"/>
  <c r="S268" i="45" s="1"/>
  <c r="S267" i="45"/>
  <c r="G24" i="72"/>
  <c r="H24" i="72"/>
  <c r="F24" i="72"/>
  <c r="I24" i="72"/>
  <c r="BG24" i="43"/>
  <c r="S189" i="45" s="1"/>
  <c r="S188" i="45"/>
  <c r="L54" i="24"/>
  <c r="BZ45" i="43" s="1"/>
  <c r="AX45" i="43" s="1"/>
  <c r="P54" i="24"/>
  <c r="CD45" i="43" s="1"/>
  <c r="BB45" i="43" s="1"/>
  <c r="N54" i="24"/>
  <c r="CB45" i="43" s="1"/>
  <c r="AZ45" i="43" s="1"/>
  <c r="K54" i="24"/>
  <c r="BY45" i="43" s="1"/>
  <c r="AW45" i="43" s="1"/>
  <c r="Q54" i="24"/>
  <c r="CE45" i="43" s="1"/>
  <c r="BC45" i="43" s="1"/>
  <c r="O54" i="24"/>
  <c r="CC45" i="43" s="1"/>
  <c r="BA45" i="43" s="1"/>
  <c r="M54" i="24"/>
  <c r="CA45" i="43" s="1"/>
  <c r="AY45" i="43" s="1"/>
  <c r="T54" i="24"/>
  <c r="CH45" i="43" s="1"/>
  <c r="BF45" i="43" s="1"/>
  <c r="S54" i="24"/>
  <c r="CG45" i="43" s="1"/>
  <c r="BE45" i="43" s="1"/>
  <c r="G54" i="24"/>
  <c r="R54" i="24"/>
  <c r="CF45" i="43" s="1"/>
  <c r="BD45" i="43" s="1"/>
  <c r="I54" i="24"/>
  <c r="BW45" i="43" s="1"/>
  <c r="AU45" i="43" s="1"/>
  <c r="J54" i="24"/>
  <c r="BX45" i="43" s="1"/>
  <c r="AV45" i="43" s="1"/>
  <c r="H54" i="24"/>
  <c r="BV45" i="43" s="1"/>
  <c r="AT45" i="43" s="1"/>
  <c r="T200" i="45"/>
  <c r="BH26" i="43"/>
  <c r="T201" i="45" s="1"/>
  <c r="BH59" i="43"/>
  <c r="T359" i="45" s="1"/>
  <c r="T358" i="45"/>
  <c r="J24" i="72"/>
  <c r="K24" i="72"/>
  <c r="T321" i="45"/>
  <c r="BH49" i="43"/>
  <c r="T322" i="45" s="1"/>
  <c r="T303" i="45"/>
  <c r="BH46" i="43"/>
  <c r="T304" i="45" s="1"/>
  <c r="BH50" i="43"/>
  <c r="T328" i="45" s="1"/>
  <c r="T327" i="45"/>
  <c r="BG43" i="43"/>
  <c r="S292" i="45" s="1"/>
  <c r="S291" i="45"/>
  <c r="BG47" i="43"/>
  <c r="S310" i="45" s="1"/>
  <c r="S309" i="45"/>
  <c r="J14" i="72"/>
  <c r="K14" i="72"/>
  <c r="M46" i="24"/>
  <c r="CA27" i="43" s="1"/>
  <c r="AY27" i="43" s="1"/>
  <c r="K46" i="24"/>
  <c r="BY27" i="43" s="1"/>
  <c r="AW27" i="43" s="1"/>
  <c r="P46" i="24"/>
  <c r="CD27" i="43" s="1"/>
  <c r="BB27" i="43" s="1"/>
  <c r="J46" i="24"/>
  <c r="BX27" i="43" s="1"/>
  <c r="AV27" i="43" s="1"/>
  <c r="G46" i="24"/>
  <c r="H46" i="24"/>
  <c r="BV27" i="43" s="1"/>
  <c r="AT27" i="43" s="1"/>
  <c r="R46" i="24"/>
  <c r="CF27" i="43" s="1"/>
  <c r="BD27" i="43" s="1"/>
  <c r="N46" i="24"/>
  <c r="CB27" i="43" s="1"/>
  <c r="AZ27" i="43" s="1"/>
  <c r="O46" i="24"/>
  <c r="CC27" i="43" s="1"/>
  <c r="BA27" i="43" s="1"/>
  <c r="S46" i="24"/>
  <c r="CG27" i="43" s="1"/>
  <c r="BE27" i="43" s="1"/>
  <c r="L46" i="24"/>
  <c r="BZ27" i="43" s="1"/>
  <c r="AX27" i="43" s="1"/>
  <c r="Q46" i="24"/>
  <c r="CE27" i="43" s="1"/>
  <c r="BC27" i="43" s="1"/>
  <c r="I46" i="24"/>
  <c r="BW27" i="43" s="1"/>
  <c r="AU27" i="43" s="1"/>
  <c r="T46" i="24"/>
  <c r="CH27" i="43" s="1"/>
  <c r="BF27" i="43" s="1"/>
  <c r="T224" i="45"/>
  <c r="BH31" i="43"/>
  <c r="T225" i="45" s="1"/>
  <c r="T254" i="45"/>
  <c r="BH34" i="43"/>
  <c r="T255" i="45" s="1"/>
  <c r="S260" i="45"/>
  <c r="BG35" i="43"/>
  <c r="S261" i="45" s="1"/>
  <c r="J7" i="72"/>
  <c r="K7" i="72"/>
  <c r="K13" i="72"/>
  <c r="J13" i="72"/>
  <c r="J42" i="24"/>
  <c r="BX23" i="43" s="1"/>
  <c r="S42" i="24"/>
  <c r="CG23" i="43" s="1"/>
  <c r="R42" i="24"/>
  <c r="CF23" i="43" s="1"/>
  <c r="L42" i="24"/>
  <c r="BZ23" i="43" s="1"/>
  <c r="T42" i="24"/>
  <c r="CH23" i="43" s="1"/>
  <c r="N42" i="24"/>
  <c r="CB23" i="43" s="1"/>
  <c r="M42" i="24"/>
  <c r="CA23" i="43" s="1"/>
  <c r="K42" i="24"/>
  <c r="BY23" i="43" s="1"/>
  <c r="Q42" i="24"/>
  <c r="CE23" i="43" s="1"/>
  <c r="I42" i="24"/>
  <c r="BW23" i="43" s="1"/>
  <c r="O42" i="24"/>
  <c r="CC23" i="43" s="1"/>
  <c r="P42" i="24"/>
  <c r="CD23" i="43" s="1"/>
  <c r="H42" i="24"/>
  <c r="BV23" i="43" s="1"/>
  <c r="G42" i="24"/>
  <c r="BH23" i="43"/>
  <c r="T182" i="45"/>
  <c r="T194" i="45"/>
  <c r="BH25" i="43"/>
  <c r="T195" i="45" s="1"/>
  <c r="T57" i="24"/>
  <c r="CH48" i="43" s="1"/>
  <c r="L57" i="24"/>
  <c r="BZ48" i="43" s="1"/>
  <c r="N57" i="24"/>
  <c r="CB48" i="43" s="1"/>
  <c r="M57" i="24"/>
  <c r="CA48" i="43" s="1"/>
  <c r="H57" i="24"/>
  <c r="BV48" i="43" s="1"/>
  <c r="P57" i="24"/>
  <c r="CD48" i="43" s="1"/>
  <c r="O57" i="24"/>
  <c r="CC48" i="43" s="1"/>
  <c r="Q57" i="24"/>
  <c r="CE48" i="43" s="1"/>
  <c r="G57" i="24"/>
  <c r="R57" i="24"/>
  <c r="CF48" i="43" s="1"/>
  <c r="S57" i="24"/>
  <c r="CG48" i="43" s="1"/>
  <c r="J57" i="24"/>
  <c r="BX48" i="43" s="1"/>
  <c r="K57" i="24"/>
  <c r="BY48" i="43" s="1"/>
  <c r="I57" i="24"/>
  <c r="BW48" i="43" s="1"/>
  <c r="M53" i="24"/>
  <c r="CA44" i="43" s="1"/>
  <c r="K53" i="24"/>
  <c r="BY44" i="43" s="1"/>
  <c r="P53" i="24"/>
  <c r="CD44" i="43" s="1"/>
  <c r="J53" i="24"/>
  <c r="BX44" i="43" s="1"/>
  <c r="Q53" i="24"/>
  <c r="CE44" i="43" s="1"/>
  <c r="L53" i="24"/>
  <c r="BZ44" i="43" s="1"/>
  <c r="I53" i="24"/>
  <c r="BW44" i="43" s="1"/>
  <c r="G53" i="24"/>
  <c r="N53" i="24"/>
  <c r="CB44" i="43" s="1"/>
  <c r="T53" i="24"/>
  <c r="CH44" i="43" s="1"/>
  <c r="H53" i="24"/>
  <c r="BV44" i="43" s="1"/>
  <c r="R53" i="24"/>
  <c r="CF44" i="43" s="1"/>
  <c r="S53" i="24"/>
  <c r="CG44" i="43" s="1"/>
  <c r="O53" i="24"/>
  <c r="CC44" i="43" s="1"/>
  <c r="S297" i="45"/>
  <c r="BG44" i="43"/>
  <c r="S298" i="45" s="1"/>
  <c r="T285" i="45"/>
  <c r="BH42" i="43"/>
  <c r="T286" i="45" s="1"/>
  <c r="K8" i="72"/>
  <c r="J8" i="72"/>
  <c r="K6" i="72"/>
  <c r="J6" i="72"/>
  <c r="T188" i="45"/>
  <c r="BH24" i="43"/>
  <c r="T189" i="45" s="1"/>
  <c r="K17" i="72"/>
  <c r="J17" i="72"/>
  <c r="S352" i="45"/>
  <c r="BG56" i="43"/>
  <c r="S353" i="45" s="1"/>
  <c r="N45" i="24"/>
  <c r="CB26" i="43" s="1"/>
  <c r="L45" i="24"/>
  <c r="BZ26" i="43" s="1"/>
  <c r="M45" i="24"/>
  <c r="CA26" i="43" s="1"/>
  <c r="O45" i="24"/>
  <c r="CC26" i="43" s="1"/>
  <c r="K45" i="24"/>
  <c r="BY26" i="43" s="1"/>
  <c r="S45" i="24"/>
  <c r="CG26" i="43" s="1"/>
  <c r="R45" i="24"/>
  <c r="CF26" i="43" s="1"/>
  <c r="H45" i="24"/>
  <c r="BV26" i="43" s="1"/>
  <c r="P45" i="24"/>
  <c r="CD26" i="43" s="1"/>
  <c r="I45" i="24"/>
  <c r="BW26" i="43" s="1"/>
  <c r="Q45" i="24"/>
  <c r="CE26" i="43" s="1"/>
  <c r="J45" i="24"/>
  <c r="BX26" i="43" s="1"/>
  <c r="T45" i="24"/>
  <c r="CH26" i="43" s="1"/>
  <c r="G45" i="24"/>
  <c r="BG59" i="43"/>
  <c r="S359" i="45" s="1"/>
  <c r="S358" i="45"/>
  <c r="R65" i="24" l="1"/>
  <c r="H65" i="24"/>
  <c r="I65" i="24"/>
  <c r="BW58" i="43" s="1"/>
  <c r="AU58" i="43" s="1"/>
  <c r="G65" i="24"/>
  <c r="BU58" i="43" s="1"/>
  <c r="AS58" i="43" s="1"/>
  <c r="P65" i="24"/>
  <c r="CD58" i="43" s="1"/>
  <c r="BB58" i="43" s="1"/>
  <c r="J65" i="24"/>
  <c r="BX58" i="43" s="1"/>
  <c r="AV58" i="43" s="1"/>
  <c r="S65" i="24"/>
  <c r="CG58" i="43" s="1"/>
  <c r="BE58" i="43" s="1"/>
  <c r="N65" i="24"/>
  <c r="CB58" i="43" s="1"/>
  <c r="AZ58" i="43" s="1"/>
  <c r="T65" i="24"/>
  <c r="CH58" i="43" s="1"/>
  <c r="BF58" i="43" s="1"/>
  <c r="O65" i="24"/>
  <c r="CC58" i="43" s="1"/>
  <c r="BA58" i="43" s="1"/>
  <c r="Q65" i="24"/>
  <c r="CE58" i="43" s="1"/>
  <c r="BC58" i="43" s="1"/>
  <c r="K65" i="24"/>
  <c r="L65" i="24"/>
  <c r="BZ58" i="43" s="1"/>
  <c r="AX58" i="43" s="1"/>
  <c r="M65" i="24"/>
  <c r="CA58" i="43" s="1"/>
  <c r="AY58" i="43" s="1"/>
  <c r="BQ5" i="43"/>
  <c r="BQ3" i="43" s="1"/>
  <c r="BL5" i="43"/>
  <c r="BL3" i="43" s="1"/>
  <c r="K64" i="24"/>
  <c r="BY57" i="43" s="1"/>
  <c r="AW57" i="43" s="1"/>
  <c r="J64" i="24"/>
  <c r="BX57" i="43" s="1"/>
  <c r="AV57" i="43" s="1"/>
  <c r="T64" i="24"/>
  <c r="CH57" i="43" s="1"/>
  <c r="BF57" i="43" s="1"/>
  <c r="G64" i="24"/>
  <c r="Q64" i="24"/>
  <c r="CE57" i="43" s="1"/>
  <c r="BC57" i="43" s="1"/>
  <c r="P64" i="24"/>
  <c r="CD57" i="43" s="1"/>
  <c r="BB57" i="43" s="1"/>
  <c r="S64" i="24"/>
  <c r="CG57" i="43" s="1"/>
  <c r="BE57" i="43" s="1"/>
  <c r="R64" i="24"/>
  <c r="CF57" i="43" s="1"/>
  <c r="BD57" i="43" s="1"/>
  <c r="M64" i="24"/>
  <c r="CA57" i="43" s="1"/>
  <c r="AY57" i="43" s="1"/>
  <c r="L64" i="24"/>
  <c r="BZ57" i="43" s="1"/>
  <c r="AX57" i="43" s="1"/>
  <c r="O64" i="24"/>
  <c r="CC57" i="43" s="1"/>
  <c r="BA57" i="43" s="1"/>
  <c r="N64" i="24"/>
  <c r="CB57" i="43" s="1"/>
  <c r="AZ57" i="43" s="1"/>
  <c r="I64" i="24"/>
  <c r="BW57" i="43" s="1"/>
  <c r="AU57" i="43" s="1"/>
  <c r="H64" i="24"/>
  <c r="BV57" i="43" s="1"/>
  <c r="AT57" i="43" s="1"/>
  <c r="BJ4" i="43"/>
  <c r="BM4" i="43"/>
  <c r="BK5" i="43"/>
  <c r="BK3" i="43" s="1"/>
  <c r="BS5" i="43"/>
  <c r="BS3" i="43" s="1"/>
  <c r="BN5" i="43"/>
  <c r="BN3" i="43" s="1"/>
  <c r="BI4" i="43"/>
  <c r="BJ5" i="43"/>
  <c r="BJ3" i="43" s="1"/>
  <c r="BN4" i="43"/>
  <c r="BS4" i="43"/>
  <c r="BK4" i="43"/>
  <c r="BR5" i="43"/>
  <c r="BR3" i="43" s="1"/>
  <c r="BR4" i="43"/>
  <c r="BM5" i="43"/>
  <c r="BM3" i="43" s="1"/>
  <c r="BY58" i="43"/>
  <c r="AW58" i="43" s="1"/>
  <c r="CF58" i="43"/>
  <c r="BD58" i="43" s="1"/>
  <c r="BV58" i="43"/>
  <c r="AT58" i="43" s="1"/>
  <c r="BI5" i="43"/>
  <c r="BI3" i="43" s="1"/>
  <c r="BP4" i="43"/>
  <c r="BO5" i="43"/>
  <c r="BO3" i="43" s="1"/>
  <c r="BQ4" i="43"/>
  <c r="BL4" i="43"/>
  <c r="BO4" i="43"/>
  <c r="BP5" i="43"/>
  <c r="BP3" i="43" s="1"/>
  <c r="CH51" i="43"/>
  <c r="BF51" i="43" s="1"/>
  <c r="CH52" i="43"/>
  <c r="BF52" i="43" s="1"/>
  <c r="BZ51" i="43"/>
  <c r="AX51" i="43" s="1"/>
  <c r="BZ52" i="43"/>
  <c r="AX52" i="43" s="1"/>
  <c r="CB51" i="43"/>
  <c r="AZ51" i="43" s="1"/>
  <c r="CB52" i="43"/>
  <c r="AZ52" i="43" s="1"/>
  <c r="BW51" i="43"/>
  <c r="AU51" i="43" s="1"/>
  <c r="BW52" i="43"/>
  <c r="AU52" i="43" s="1"/>
  <c r="CG51" i="43"/>
  <c r="BE51" i="43" s="1"/>
  <c r="CG52" i="43"/>
  <c r="BE52" i="43" s="1"/>
  <c r="CE51" i="43"/>
  <c r="BC51" i="43" s="1"/>
  <c r="CE52" i="43"/>
  <c r="BC52" i="43" s="1"/>
  <c r="CF51" i="43"/>
  <c r="BD51" i="43" s="1"/>
  <c r="CF52" i="43"/>
  <c r="BD52" i="43" s="1"/>
  <c r="CD51" i="43"/>
  <c r="BB51" i="43" s="1"/>
  <c r="CD52" i="43"/>
  <c r="BB52" i="43" s="1"/>
  <c r="AS52" i="43"/>
  <c r="BX51" i="43"/>
  <c r="AV51" i="43" s="1"/>
  <c r="BX52" i="43"/>
  <c r="AV52" i="43" s="1"/>
  <c r="BV51" i="43"/>
  <c r="AT51" i="43" s="1"/>
  <c r="BV52" i="43"/>
  <c r="AT52" i="43" s="1"/>
  <c r="CA51" i="43"/>
  <c r="AY51" i="43" s="1"/>
  <c r="CA52" i="43"/>
  <c r="AY52" i="43" s="1"/>
  <c r="CC51" i="43"/>
  <c r="BA51" i="43" s="1"/>
  <c r="CC52" i="43"/>
  <c r="BA52" i="43" s="1"/>
  <c r="BY51" i="43"/>
  <c r="AW51" i="43" s="1"/>
  <c r="BY52" i="43"/>
  <c r="AW52" i="43" s="1"/>
  <c r="BU26" i="43"/>
  <c r="AH45" i="24"/>
  <c r="O200" i="45"/>
  <c r="BC26" i="43"/>
  <c r="O201" i="45" s="1"/>
  <c r="BD26" i="43"/>
  <c r="P201" i="45" s="1"/>
  <c r="P200" i="45"/>
  <c r="AY26" i="43"/>
  <c r="K201" i="45" s="1"/>
  <c r="K200" i="45"/>
  <c r="F297" i="45"/>
  <c r="AT44" i="43"/>
  <c r="F298" i="45" s="1"/>
  <c r="G297" i="45"/>
  <c r="AU44" i="43"/>
  <c r="G298" i="45" s="1"/>
  <c r="BB44" i="43"/>
  <c r="N298" i="45" s="1"/>
  <c r="N297" i="45"/>
  <c r="AW48" i="43"/>
  <c r="I316" i="45" s="1"/>
  <c r="I315" i="45"/>
  <c r="BU48" i="43"/>
  <c r="AH57" i="24"/>
  <c r="F315" i="45"/>
  <c r="AT48" i="43"/>
  <c r="F316" i="45" s="1"/>
  <c r="R315" i="45"/>
  <c r="BF48" i="43"/>
  <c r="R316" i="45" s="1"/>
  <c r="T84" i="45"/>
  <c r="T183" i="45"/>
  <c r="BA23" i="43"/>
  <c r="M182" i="45"/>
  <c r="K182" i="45"/>
  <c r="AY23" i="43"/>
  <c r="P182" i="45"/>
  <c r="BD23" i="43"/>
  <c r="BE25" i="43"/>
  <c r="Q195" i="45" s="1"/>
  <c r="Q194" i="45"/>
  <c r="AU25" i="43"/>
  <c r="G195" i="45" s="1"/>
  <c r="G194" i="45"/>
  <c r="AW25" i="43"/>
  <c r="I195" i="45" s="1"/>
  <c r="I194" i="45"/>
  <c r="AZ25" i="43"/>
  <c r="L195" i="45" s="1"/>
  <c r="L194" i="45"/>
  <c r="I260" i="45"/>
  <c r="AW35" i="43"/>
  <c r="I261" i="45" s="1"/>
  <c r="BF35" i="43"/>
  <c r="R261" i="45" s="1"/>
  <c r="R260" i="45"/>
  <c r="Q260" i="45"/>
  <c r="BE35" i="43"/>
  <c r="Q261" i="45" s="1"/>
  <c r="BU50" i="43"/>
  <c r="AH59" i="24"/>
  <c r="AZ50" i="43"/>
  <c r="L328" i="45" s="1"/>
  <c r="L327" i="45"/>
  <c r="F327" i="45"/>
  <c r="AT50" i="43"/>
  <c r="F328" i="45" s="1"/>
  <c r="BF50" i="43"/>
  <c r="R328" i="45" s="1"/>
  <c r="R327" i="45"/>
  <c r="AU41" i="43"/>
  <c r="G280" i="45" s="1"/>
  <c r="G279" i="45"/>
  <c r="L279" i="45"/>
  <c r="AZ41" i="43"/>
  <c r="L280" i="45" s="1"/>
  <c r="H279" i="45"/>
  <c r="AV41" i="43"/>
  <c r="H280" i="45" s="1"/>
  <c r="F279" i="45"/>
  <c r="AT41" i="43"/>
  <c r="F280" i="45" s="1"/>
  <c r="H242" i="45"/>
  <c r="AV36" i="43"/>
  <c r="H243" i="45" s="1"/>
  <c r="BA36" i="43"/>
  <c r="M243" i="45" s="1"/>
  <c r="M242" i="45"/>
  <c r="AT36" i="43"/>
  <c r="F243" i="45" s="1"/>
  <c r="F242" i="45"/>
  <c r="BD36" i="43"/>
  <c r="P243" i="45" s="1"/>
  <c r="P242" i="45"/>
  <c r="N236" i="45"/>
  <c r="BB33" i="43"/>
  <c r="N237" i="45" s="1"/>
  <c r="AH40" i="24"/>
  <c r="BU33" i="43"/>
  <c r="AU33" i="43"/>
  <c r="G237" i="45" s="1"/>
  <c r="G236" i="45"/>
  <c r="AW60" i="43"/>
  <c r="I347" i="45" s="1"/>
  <c r="I346" i="45"/>
  <c r="BA60" i="43"/>
  <c r="M347" i="45" s="1"/>
  <c r="M346" i="45"/>
  <c r="BU60" i="43"/>
  <c r="AH62" i="24"/>
  <c r="AX60" i="43"/>
  <c r="J347" i="45" s="1"/>
  <c r="J346" i="45"/>
  <c r="BA59" i="43"/>
  <c r="M359" i="45" s="1"/>
  <c r="M358" i="45"/>
  <c r="I358" i="45"/>
  <c r="AW59" i="43"/>
  <c r="I359" i="45" s="1"/>
  <c r="K358" i="45"/>
  <c r="AY59" i="43"/>
  <c r="K359" i="45" s="1"/>
  <c r="AH43" i="24"/>
  <c r="BU24" i="43"/>
  <c r="R188" i="45"/>
  <c r="BF24" i="43"/>
  <c r="R189" i="45" s="1"/>
  <c r="I188" i="45"/>
  <c r="AW24" i="43"/>
  <c r="I189" i="45" s="1"/>
  <c r="G188" i="45"/>
  <c r="AU24" i="43"/>
  <c r="G189" i="45" s="1"/>
  <c r="AV42" i="43"/>
  <c r="H286" i="45" s="1"/>
  <c r="H285" i="45"/>
  <c r="F285" i="45"/>
  <c r="AT42" i="43"/>
  <c r="F286" i="45" s="1"/>
  <c r="J285" i="45"/>
  <c r="AX42" i="43"/>
  <c r="J286" i="45" s="1"/>
  <c r="BU34" i="43"/>
  <c r="AH47" i="24"/>
  <c r="AV34" i="43"/>
  <c r="H255" i="45" s="1"/>
  <c r="H254" i="45"/>
  <c r="AU34" i="43"/>
  <c r="G255" i="45" s="1"/>
  <c r="G254" i="45"/>
  <c r="BE34" i="43"/>
  <c r="Q255" i="45" s="1"/>
  <c r="Q254" i="45"/>
  <c r="AV31" i="43"/>
  <c r="H225" i="45" s="1"/>
  <c r="H224" i="45"/>
  <c r="AX31" i="43"/>
  <c r="J225" i="45" s="1"/>
  <c r="J224" i="45"/>
  <c r="BE31" i="43"/>
  <c r="Q225" i="45" s="1"/>
  <c r="Q224" i="45"/>
  <c r="I230" i="45"/>
  <c r="AW32" i="43"/>
  <c r="I231" i="45" s="1"/>
  <c r="AV32" i="43"/>
  <c r="H231" i="45" s="1"/>
  <c r="H230" i="45"/>
  <c r="BF32" i="43"/>
  <c r="R231" i="45" s="1"/>
  <c r="R230" i="45"/>
  <c r="AH55" i="24"/>
  <c r="BU46" i="43"/>
  <c r="BD46" i="43"/>
  <c r="P304" i="45" s="1"/>
  <c r="P303" i="45"/>
  <c r="K303" i="45"/>
  <c r="AY46" i="43"/>
  <c r="K304" i="45" s="1"/>
  <c r="AV46" i="43"/>
  <c r="H304" i="45" s="1"/>
  <c r="H303" i="45"/>
  <c r="AZ56" i="43"/>
  <c r="L352" i="45"/>
  <c r="BU56" i="43"/>
  <c r="AH63" i="24"/>
  <c r="BE56" i="43"/>
  <c r="Q352" i="45"/>
  <c r="K267" i="45"/>
  <c r="AY39" i="43"/>
  <c r="AT39" i="43"/>
  <c r="F267" i="45"/>
  <c r="O267" i="45"/>
  <c r="BC39" i="43"/>
  <c r="BF47" i="43"/>
  <c r="R310" i="45" s="1"/>
  <c r="R309" i="45"/>
  <c r="F309" i="45"/>
  <c r="AT47" i="43"/>
  <c r="F310" i="45" s="1"/>
  <c r="N309" i="45"/>
  <c r="BB47" i="43"/>
  <c r="N310" i="45" s="1"/>
  <c r="BA43" i="43"/>
  <c r="M292" i="45" s="1"/>
  <c r="M291" i="45"/>
  <c r="AV43" i="43"/>
  <c r="H292" i="45" s="1"/>
  <c r="H291" i="45"/>
  <c r="Q291" i="45"/>
  <c r="BE43" i="43"/>
  <c r="Q292" i="45" s="1"/>
  <c r="M321" i="45"/>
  <c r="BA49" i="43"/>
  <c r="M322" i="45" s="1"/>
  <c r="AU49" i="43"/>
  <c r="G322" i="45" s="1"/>
  <c r="G321" i="45"/>
  <c r="AX49" i="43"/>
  <c r="J322" i="45" s="1"/>
  <c r="J321" i="45"/>
  <c r="AX26" i="43"/>
  <c r="J201" i="45" s="1"/>
  <c r="J200" i="45"/>
  <c r="R297" i="45"/>
  <c r="BF44" i="43"/>
  <c r="R298" i="45" s="1"/>
  <c r="AX44" i="43"/>
  <c r="J298" i="45" s="1"/>
  <c r="J297" i="45"/>
  <c r="AW44" i="43"/>
  <c r="I298" i="45" s="1"/>
  <c r="I297" i="45"/>
  <c r="H315" i="45"/>
  <c r="AV48" i="43"/>
  <c r="H316" i="45" s="1"/>
  <c r="BC48" i="43"/>
  <c r="O316" i="45" s="1"/>
  <c r="O315" i="45"/>
  <c r="AY48" i="43"/>
  <c r="K316" i="45" s="1"/>
  <c r="K315" i="45"/>
  <c r="AH42" i="24"/>
  <c r="BU23" i="43"/>
  <c r="G182" i="45"/>
  <c r="AU23" i="43"/>
  <c r="AZ23" i="43"/>
  <c r="L182" i="45"/>
  <c r="BE23" i="43"/>
  <c r="Q182" i="45"/>
  <c r="O194" i="45"/>
  <c r="BC25" i="43"/>
  <c r="O195" i="45" s="1"/>
  <c r="R194" i="45"/>
  <c r="BF25" i="43"/>
  <c r="R195" i="45" s="1"/>
  <c r="BU25" i="43"/>
  <c r="AH44" i="24"/>
  <c r="AH48" i="24"/>
  <c r="BU35" i="43"/>
  <c r="P260" i="45"/>
  <c r="BD35" i="43"/>
  <c r="P261" i="45" s="1"/>
  <c r="AX35" i="43"/>
  <c r="J261" i="45" s="1"/>
  <c r="J260" i="45"/>
  <c r="AY35" i="43"/>
  <c r="K261" i="45" s="1"/>
  <c r="K260" i="45"/>
  <c r="BD50" i="43"/>
  <c r="P328" i="45" s="1"/>
  <c r="P327" i="45"/>
  <c r="BB50" i="43"/>
  <c r="N328" i="45" s="1"/>
  <c r="N327" i="45"/>
  <c r="AU50" i="43"/>
  <c r="G328" i="45" s="1"/>
  <c r="G327" i="45"/>
  <c r="I279" i="45"/>
  <c r="AW41" i="43"/>
  <c r="I280" i="45" s="1"/>
  <c r="BE41" i="43"/>
  <c r="Q280" i="45" s="1"/>
  <c r="Q279" i="45"/>
  <c r="BU41" i="43"/>
  <c r="AH50" i="24"/>
  <c r="J242" i="45"/>
  <c r="AX36" i="43"/>
  <c r="J243" i="45" s="1"/>
  <c r="R242" i="45"/>
  <c r="BF36" i="43"/>
  <c r="R243" i="45" s="1"/>
  <c r="AY36" i="43"/>
  <c r="K243" i="45" s="1"/>
  <c r="K242" i="45"/>
  <c r="R236" i="45"/>
  <c r="BF33" i="43"/>
  <c r="R237" i="45" s="1"/>
  <c r="BA33" i="43"/>
  <c r="M237" i="45" s="1"/>
  <c r="M236" i="45"/>
  <c r="BD33" i="43"/>
  <c r="P237" i="45" s="1"/>
  <c r="P236" i="45"/>
  <c r="J236" i="45"/>
  <c r="AX33" i="43"/>
  <c r="J237" i="45" s="1"/>
  <c r="BD60" i="43"/>
  <c r="P347" i="45" s="1"/>
  <c r="P346" i="45"/>
  <c r="G346" i="45"/>
  <c r="AU60" i="43"/>
  <c r="G347" i="45" s="1"/>
  <c r="AY60" i="43"/>
  <c r="K347" i="45" s="1"/>
  <c r="K346" i="45"/>
  <c r="N358" i="45"/>
  <c r="BB59" i="43"/>
  <c r="N359" i="45" s="1"/>
  <c r="O358" i="45"/>
  <c r="BC59" i="43"/>
  <c r="O359" i="45" s="1"/>
  <c r="Q358" i="45"/>
  <c r="BE59" i="43"/>
  <c r="Q359" i="45" s="1"/>
  <c r="BA24" i="43"/>
  <c r="M189" i="45" s="1"/>
  <c r="M188" i="45"/>
  <c r="P188" i="45"/>
  <c r="BD24" i="43"/>
  <c r="P189" i="45" s="1"/>
  <c r="K188" i="45"/>
  <c r="AY24" i="43"/>
  <c r="K189" i="45" s="1"/>
  <c r="BC24" i="43"/>
  <c r="O189" i="45" s="1"/>
  <c r="O188" i="45"/>
  <c r="BH5" i="43"/>
  <c r="BH4" i="43"/>
  <c r="T268" i="45"/>
  <c r="BA42" i="43"/>
  <c r="M286" i="45" s="1"/>
  <c r="M285" i="45"/>
  <c r="BC42" i="43"/>
  <c r="O286" i="45" s="1"/>
  <c r="O285" i="45"/>
  <c r="AH51" i="24"/>
  <c r="BU42" i="43"/>
  <c r="O254" i="45"/>
  <c r="BC34" i="43"/>
  <c r="O255" i="45" s="1"/>
  <c r="I254" i="45"/>
  <c r="AW34" i="43"/>
  <c r="I255" i="45" s="1"/>
  <c r="AT34" i="43"/>
  <c r="F255" i="45" s="1"/>
  <c r="F254" i="45"/>
  <c r="BA34" i="43"/>
  <c r="M255" i="45" s="1"/>
  <c r="M254" i="45"/>
  <c r="AW31" i="43"/>
  <c r="I225" i="45" s="1"/>
  <c r="I224" i="45"/>
  <c r="BD31" i="43"/>
  <c r="P225" i="45" s="1"/>
  <c r="P224" i="45"/>
  <c r="R224" i="45"/>
  <c r="BF31" i="43"/>
  <c r="R225" i="45" s="1"/>
  <c r="J230" i="45"/>
  <c r="AX32" i="43"/>
  <c r="J231" i="45" s="1"/>
  <c r="AY32" i="43"/>
  <c r="K231" i="45" s="1"/>
  <c r="K230" i="45"/>
  <c r="BD32" i="43"/>
  <c r="P231" i="45" s="1"/>
  <c r="P230" i="45"/>
  <c r="BF46" i="43"/>
  <c r="R304" i="45" s="1"/>
  <c r="R303" i="45"/>
  <c r="Q303" i="45"/>
  <c r="BE46" i="43"/>
  <c r="Q304" i="45" s="1"/>
  <c r="AX46" i="43"/>
  <c r="J304" i="45" s="1"/>
  <c r="J303" i="45"/>
  <c r="O303" i="45"/>
  <c r="BC46" i="43"/>
  <c r="O304" i="45" s="1"/>
  <c r="BB56" i="43"/>
  <c r="N352" i="45"/>
  <c r="R352" i="45"/>
  <c r="BF56" i="43"/>
  <c r="AV56" i="43"/>
  <c r="H352" i="45"/>
  <c r="BD39" i="43"/>
  <c r="P267" i="45"/>
  <c r="BE39" i="43"/>
  <c r="Q267" i="45"/>
  <c r="AV39" i="43"/>
  <c r="H267" i="45"/>
  <c r="AW47" i="43"/>
  <c r="I310" i="45" s="1"/>
  <c r="I309" i="45"/>
  <c r="P309" i="45"/>
  <c r="BD47" i="43"/>
  <c r="P310" i="45" s="1"/>
  <c r="BC47" i="43"/>
  <c r="O310" i="45" s="1"/>
  <c r="O309" i="45"/>
  <c r="R291" i="45"/>
  <c r="BF43" i="43"/>
  <c r="R292" i="45" s="1"/>
  <c r="AW43" i="43"/>
  <c r="I292" i="45" s="1"/>
  <c r="I291" i="45"/>
  <c r="AY43" i="43"/>
  <c r="K292" i="45" s="1"/>
  <c r="K291" i="45"/>
  <c r="BC49" i="43"/>
  <c r="O322" i="45" s="1"/>
  <c r="O321" i="45"/>
  <c r="I321" i="45"/>
  <c r="AW49" i="43"/>
  <c r="I322" i="45" s="1"/>
  <c r="BF49" i="43"/>
  <c r="R322" i="45" s="1"/>
  <c r="R321" i="45"/>
  <c r="AU26" i="43"/>
  <c r="G201" i="45" s="1"/>
  <c r="G200" i="45"/>
  <c r="M297" i="45"/>
  <c r="BA44" i="43"/>
  <c r="M298" i="45" s="1"/>
  <c r="AW26" i="43"/>
  <c r="I201" i="45" s="1"/>
  <c r="I200" i="45"/>
  <c r="AZ44" i="43"/>
  <c r="L298" i="45" s="1"/>
  <c r="L297" i="45"/>
  <c r="AY44" i="43"/>
  <c r="K298" i="45" s="1"/>
  <c r="K297" i="45"/>
  <c r="BE48" i="43"/>
  <c r="Q316" i="45" s="1"/>
  <c r="Q315" i="45"/>
  <c r="BA48" i="43"/>
  <c r="M316" i="45" s="1"/>
  <c r="M315" i="45"/>
  <c r="AZ48" i="43"/>
  <c r="L316" i="45" s="1"/>
  <c r="L315" i="45"/>
  <c r="F182" i="45"/>
  <c r="AT23" i="43"/>
  <c r="BC23" i="43"/>
  <c r="O182" i="45"/>
  <c r="BF23" i="43"/>
  <c r="R182" i="45"/>
  <c r="H182" i="45"/>
  <c r="AV23" i="43"/>
  <c r="AH46" i="24"/>
  <c r="BU27" i="43"/>
  <c r="K194" i="45"/>
  <c r="AY25" i="43"/>
  <c r="K195" i="45" s="1"/>
  <c r="M194" i="45"/>
  <c r="BA25" i="43"/>
  <c r="M195" i="45" s="1"/>
  <c r="F194" i="45"/>
  <c r="AT25" i="43"/>
  <c r="F195" i="45" s="1"/>
  <c r="O260" i="45"/>
  <c r="BC35" i="43"/>
  <c r="O261" i="45" s="1"/>
  <c r="BB35" i="43"/>
  <c r="N261" i="45" s="1"/>
  <c r="N260" i="45"/>
  <c r="L260" i="45"/>
  <c r="AZ35" i="43"/>
  <c r="L261" i="45" s="1"/>
  <c r="H260" i="45"/>
  <c r="AV35" i="43"/>
  <c r="H261" i="45" s="1"/>
  <c r="BC50" i="43"/>
  <c r="O328" i="45" s="1"/>
  <c r="O327" i="45"/>
  <c r="BE50" i="43"/>
  <c r="Q328" i="45" s="1"/>
  <c r="Q327" i="45"/>
  <c r="K327" i="45"/>
  <c r="AY50" i="43"/>
  <c r="K328" i="45" s="1"/>
  <c r="BD41" i="43"/>
  <c r="P280" i="45" s="1"/>
  <c r="P279" i="45"/>
  <c r="AY41" i="43"/>
  <c r="K280" i="45" s="1"/>
  <c r="K279" i="45"/>
  <c r="N279" i="45"/>
  <c r="BB41" i="43"/>
  <c r="N280" i="45" s="1"/>
  <c r="I242" i="45"/>
  <c r="AW36" i="43"/>
  <c r="I243" i="45" s="1"/>
  <c r="G242" i="45"/>
  <c r="AU36" i="43"/>
  <c r="G243" i="45" s="1"/>
  <c r="BE36" i="43"/>
  <c r="Q243" i="45" s="1"/>
  <c r="Q242" i="45"/>
  <c r="L236" i="45"/>
  <c r="AZ33" i="43"/>
  <c r="L237" i="45" s="1"/>
  <c r="H236" i="45"/>
  <c r="AV33" i="43"/>
  <c r="H237" i="45" s="1"/>
  <c r="AT33" i="43"/>
  <c r="F237" i="45" s="1"/>
  <c r="F236" i="45"/>
  <c r="K236" i="45"/>
  <c r="AY33" i="43"/>
  <c r="K237" i="45" s="1"/>
  <c r="L346" i="45"/>
  <c r="AZ60" i="43"/>
  <c r="L347" i="45" s="1"/>
  <c r="F346" i="45"/>
  <c r="AT60" i="43"/>
  <c r="F347" i="45" s="1"/>
  <c r="BB60" i="43"/>
  <c r="N347" i="45" s="1"/>
  <c r="N346" i="45"/>
  <c r="AH66" i="24"/>
  <c r="BU59" i="43"/>
  <c r="AT59" i="43"/>
  <c r="F359" i="45" s="1"/>
  <c r="F358" i="45"/>
  <c r="AU59" i="43"/>
  <c r="G359" i="45" s="1"/>
  <c r="G358" i="45"/>
  <c r="AV59" i="43"/>
  <c r="H359" i="45" s="1"/>
  <c r="H358" i="45"/>
  <c r="AX24" i="43"/>
  <c r="J189" i="45" s="1"/>
  <c r="J188" i="45"/>
  <c r="AT24" i="43"/>
  <c r="F189" i="45" s="1"/>
  <c r="F188" i="45"/>
  <c r="Q188" i="45"/>
  <c r="BE24" i="43"/>
  <c r="Q189" i="45" s="1"/>
  <c r="K285" i="45"/>
  <c r="AY42" i="43"/>
  <c r="K286" i="45" s="1"/>
  <c r="R285" i="45"/>
  <c r="BF42" i="43"/>
  <c r="R286" i="45" s="1"/>
  <c r="Q285" i="45"/>
  <c r="BE42" i="43"/>
  <c r="Q286" i="45" s="1"/>
  <c r="G285" i="45"/>
  <c r="AU42" i="43"/>
  <c r="G286" i="45" s="1"/>
  <c r="C6" i="47"/>
  <c r="S84" i="45"/>
  <c r="D7" i="31"/>
  <c r="S183" i="45"/>
  <c r="AY34" i="43"/>
  <c r="K255" i="45" s="1"/>
  <c r="K254" i="45"/>
  <c r="P254" i="45"/>
  <c r="BD34" i="43"/>
  <c r="P255" i="45" s="1"/>
  <c r="AX34" i="43"/>
  <c r="J255" i="45" s="1"/>
  <c r="J254" i="45"/>
  <c r="N224" i="45"/>
  <c r="BB31" i="43"/>
  <c r="N225" i="45" s="1"/>
  <c r="AZ31" i="43"/>
  <c r="L225" i="45" s="1"/>
  <c r="L224" i="45"/>
  <c r="BU31" i="43"/>
  <c r="AH38" i="24"/>
  <c r="F224" i="45"/>
  <c r="AT31" i="43"/>
  <c r="F225" i="45" s="1"/>
  <c r="AZ32" i="43"/>
  <c r="L231" i="45" s="1"/>
  <c r="L230" i="45"/>
  <c r="G230" i="45"/>
  <c r="AU32" i="43"/>
  <c r="G231" i="45" s="1"/>
  <c r="BU32" i="43"/>
  <c r="AH39" i="24"/>
  <c r="Q230" i="45"/>
  <c r="BE32" i="43"/>
  <c r="Q231" i="45" s="1"/>
  <c r="M303" i="45"/>
  <c r="BA46" i="43"/>
  <c r="M304" i="45" s="1"/>
  <c r="F303" i="45"/>
  <c r="AT46" i="43"/>
  <c r="F304" i="45" s="1"/>
  <c r="AW46" i="43"/>
  <c r="I304" i="45" s="1"/>
  <c r="I303" i="45"/>
  <c r="G352" i="45"/>
  <c r="AU56" i="43"/>
  <c r="K352" i="45"/>
  <c r="AY56" i="43"/>
  <c r="O352" i="45"/>
  <c r="BC56" i="43"/>
  <c r="BA56" i="43"/>
  <c r="M352" i="45"/>
  <c r="AW39" i="43"/>
  <c r="I267" i="45"/>
  <c r="AX39" i="43"/>
  <c r="J267" i="45"/>
  <c r="BF39" i="43"/>
  <c r="R267" i="45"/>
  <c r="N267" i="45"/>
  <c r="BB39" i="43"/>
  <c r="BA47" i="43"/>
  <c r="M310" i="45" s="1"/>
  <c r="M309" i="45"/>
  <c r="H309" i="45"/>
  <c r="AV47" i="43"/>
  <c r="H310" i="45" s="1"/>
  <c r="BE47" i="43"/>
  <c r="Q310" i="45" s="1"/>
  <c r="Q309" i="45"/>
  <c r="AH56" i="24"/>
  <c r="BU47" i="43"/>
  <c r="AH60" i="24"/>
  <c r="BU51" i="43"/>
  <c r="BB43" i="43"/>
  <c r="N292" i="45" s="1"/>
  <c r="N291" i="45"/>
  <c r="O291" i="45"/>
  <c r="BC43" i="43"/>
  <c r="O292" i="45" s="1"/>
  <c r="P291" i="45"/>
  <c r="BD43" i="43"/>
  <c r="P292" i="45" s="1"/>
  <c r="AH52" i="24"/>
  <c r="BU43" i="43"/>
  <c r="L321" i="45"/>
  <c r="AZ49" i="43"/>
  <c r="L322" i="45" s="1"/>
  <c r="AY49" i="43"/>
  <c r="K322" i="45" s="1"/>
  <c r="K321" i="45"/>
  <c r="BD49" i="43"/>
  <c r="P322" i="45" s="1"/>
  <c r="P321" i="45"/>
  <c r="F321" i="45"/>
  <c r="AT49" i="43"/>
  <c r="F322" i="45" s="1"/>
  <c r="BE26" i="43"/>
  <c r="Q201" i="45" s="1"/>
  <c r="Q200" i="45"/>
  <c r="BF26" i="43"/>
  <c r="R201" i="45" s="1"/>
  <c r="R200" i="45"/>
  <c r="BB26" i="43"/>
  <c r="N201" i="45" s="1"/>
  <c r="N200" i="45"/>
  <c r="L200" i="45"/>
  <c r="AZ26" i="43"/>
  <c r="L201" i="45" s="1"/>
  <c r="Q297" i="45"/>
  <c r="BE44" i="43"/>
  <c r="Q298" i="45" s="1"/>
  <c r="O297" i="45"/>
  <c r="BC44" i="43"/>
  <c r="O298" i="45" s="1"/>
  <c r="H200" i="45"/>
  <c r="AV26" i="43"/>
  <c r="H201" i="45" s="1"/>
  <c r="AT26" i="43"/>
  <c r="F201" i="45" s="1"/>
  <c r="F200" i="45"/>
  <c r="M200" i="45"/>
  <c r="BA26" i="43"/>
  <c r="M201" i="45" s="1"/>
  <c r="BD44" i="43"/>
  <c r="P298" i="45" s="1"/>
  <c r="P297" i="45"/>
  <c r="AH53" i="24"/>
  <c r="BU44" i="43"/>
  <c r="AV44" i="43"/>
  <c r="H298" i="45" s="1"/>
  <c r="H297" i="45"/>
  <c r="AU48" i="43"/>
  <c r="G316" i="45" s="1"/>
  <c r="G315" i="45"/>
  <c r="BD48" i="43"/>
  <c r="P316" i="45" s="1"/>
  <c r="P315" i="45"/>
  <c r="BB48" i="43"/>
  <c r="N316" i="45" s="1"/>
  <c r="N315" i="45"/>
  <c r="J315" i="45"/>
  <c r="AX48" i="43"/>
  <c r="J316" i="45" s="1"/>
  <c r="N182" i="45"/>
  <c r="BB23" i="43"/>
  <c r="AW23" i="43"/>
  <c r="I182" i="45"/>
  <c r="AX23" i="43"/>
  <c r="J182" i="45"/>
  <c r="BU57" i="43"/>
  <c r="BU45" i="43"/>
  <c r="AH54" i="24"/>
  <c r="BD25" i="43"/>
  <c r="P195" i="45" s="1"/>
  <c r="P194" i="45"/>
  <c r="J194" i="45"/>
  <c r="AX25" i="43"/>
  <c r="J195" i="45" s="1"/>
  <c r="H194" i="45"/>
  <c r="AV25" i="43"/>
  <c r="H195" i="45" s="1"/>
  <c r="BB25" i="43"/>
  <c r="N195" i="45" s="1"/>
  <c r="N194" i="45"/>
  <c r="AU35" i="43"/>
  <c r="G261" i="45" s="1"/>
  <c r="G260" i="45"/>
  <c r="BA35" i="43"/>
  <c r="M261" i="45" s="1"/>
  <c r="M260" i="45"/>
  <c r="F260" i="45"/>
  <c r="AT35" i="43"/>
  <c r="F261" i="45" s="1"/>
  <c r="H327" i="45"/>
  <c r="AV50" i="43"/>
  <c r="H328" i="45" s="1"/>
  <c r="AW50" i="43"/>
  <c r="I328" i="45" s="1"/>
  <c r="I327" i="45"/>
  <c r="J327" i="45"/>
  <c r="AX50" i="43"/>
  <c r="J328" i="45" s="1"/>
  <c r="M327" i="45"/>
  <c r="BA50" i="43"/>
  <c r="M328" i="45" s="1"/>
  <c r="BC41" i="43"/>
  <c r="O280" i="45" s="1"/>
  <c r="O279" i="45"/>
  <c r="BA41" i="43"/>
  <c r="M280" i="45" s="1"/>
  <c r="M279" i="45"/>
  <c r="R279" i="45"/>
  <c r="BF41" i="43"/>
  <c r="R280" i="45" s="1"/>
  <c r="J279" i="45"/>
  <c r="AX41" i="43"/>
  <c r="J280" i="45" s="1"/>
  <c r="BC36" i="43"/>
  <c r="O243" i="45" s="1"/>
  <c r="O242" i="45"/>
  <c r="BU36" i="43"/>
  <c r="AH41" i="24"/>
  <c r="L242" i="45"/>
  <c r="AZ36" i="43"/>
  <c r="L243" i="45" s="1"/>
  <c r="BB36" i="43"/>
  <c r="N243" i="45" s="1"/>
  <c r="N242" i="45"/>
  <c r="O236" i="45"/>
  <c r="BC33" i="43"/>
  <c r="O237" i="45" s="1"/>
  <c r="AW33" i="43"/>
  <c r="I237" i="45" s="1"/>
  <c r="I236" i="45"/>
  <c r="Q236" i="45"/>
  <c r="BE33" i="43"/>
  <c r="Q237" i="45" s="1"/>
  <c r="R346" i="45"/>
  <c r="BF60" i="43"/>
  <c r="R347" i="45" s="1"/>
  <c r="Q346" i="45"/>
  <c r="BE60" i="43"/>
  <c r="Q347" i="45" s="1"/>
  <c r="H346" i="45"/>
  <c r="AV60" i="43"/>
  <c r="H347" i="45" s="1"/>
  <c r="BC60" i="43"/>
  <c r="O347" i="45" s="1"/>
  <c r="O346" i="45"/>
  <c r="L358" i="45"/>
  <c r="AZ59" i="43"/>
  <c r="L359" i="45" s="1"/>
  <c r="R358" i="45"/>
  <c r="BF59" i="43"/>
  <c r="R359" i="45" s="1"/>
  <c r="AX59" i="43"/>
  <c r="J359" i="45" s="1"/>
  <c r="J358" i="45"/>
  <c r="P358" i="45"/>
  <c r="BD59" i="43"/>
  <c r="P359" i="45" s="1"/>
  <c r="BB24" i="43"/>
  <c r="N189" i="45" s="1"/>
  <c r="N188" i="45"/>
  <c r="L188" i="45"/>
  <c r="AZ24" i="43"/>
  <c r="L189" i="45" s="1"/>
  <c r="AV24" i="43"/>
  <c r="H189" i="45" s="1"/>
  <c r="H188" i="45"/>
  <c r="I285" i="45"/>
  <c r="AW42" i="43"/>
  <c r="I286" i="45" s="1"/>
  <c r="BD42" i="43"/>
  <c r="P286" i="45" s="1"/>
  <c r="P285" i="45"/>
  <c r="L285" i="45"/>
  <c r="AZ42" i="43"/>
  <c r="L286" i="45" s="1"/>
  <c r="N285" i="45"/>
  <c r="BB42" i="43"/>
  <c r="N286" i="45" s="1"/>
  <c r="L254" i="45"/>
  <c r="AZ34" i="43"/>
  <c r="L255" i="45" s="1"/>
  <c r="BF34" i="43"/>
  <c r="R255" i="45" s="1"/>
  <c r="R254" i="45"/>
  <c r="N254" i="45"/>
  <c r="BB34" i="43"/>
  <c r="N255" i="45" s="1"/>
  <c r="AU31" i="43"/>
  <c r="G225" i="45" s="1"/>
  <c r="G224" i="45"/>
  <c r="AY31" i="43"/>
  <c r="K225" i="45" s="1"/>
  <c r="K224" i="45"/>
  <c r="BA31" i="43"/>
  <c r="M225" i="45" s="1"/>
  <c r="M224" i="45"/>
  <c r="O224" i="45"/>
  <c r="BC31" i="43"/>
  <c r="O225" i="45" s="1"/>
  <c r="O230" i="45"/>
  <c r="BC32" i="43"/>
  <c r="O231" i="45" s="1"/>
  <c r="N230" i="45"/>
  <c r="BB32" i="43"/>
  <c r="N231" i="45" s="1"/>
  <c r="BA32" i="43"/>
  <c r="M231" i="45" s="1"/>
  <c r="M230" i="45"/>
  <c r="AT32" i="43"/>
  <c r="F231" i="45" s="1"/>
  <c r="F230" i="45"/>
  <c r="G303" i="45"/>
  <c r="AU46" i="43"/>
  <c r="G304" i="45" s="1"/>
  <c r="N303" i="45"/>
  <c r="BB46" i="43"/>
  <c r="N304" i="45" s="1"/>
  <c r="L303" i="45"/>
  <c r="AZ46" i="43"/>
  <c r="L304" i="45" s="1"/>
  <c r="BD56" i="43"/>
  <c r="P352" i="45"/>
  <c r="AX56" i="43"/>
  <c r="J352" i="45"/>
  <c r="AW56" i="43"/>
  <c r="I352" i="45"/>
  <c r="AT56" i="43"/>
  <c r="F352" i="45"/>
  <c r="BU39" i="43"/>
  <c r="AH49" i="24"/>
  <c r="G267" i="45"/>
  <c r="AU39" i="43"/>
  <c r="AZ39" i="43"/>
  <c r="L267" i="45"/>
  <c r="BA39" i="43"/>
  <c r="M267" i="45"/>
  <c r="AZ47" i="43"/>
  <c r="L310" i="45" s="1"/>
  <c r="L309" i="45"/>
  <c r="AU47" i="43"/>
  <c r="G310" i="45" s="1"/>
  <c r="G309" i="45"/>
  <c r="AX47" i="43"/>
  <c r="J310" i="45" s="1"/>
  <c r="J309" i="45"/>
  <c r="AY47" i="43"/>
  <c r="K310" i="45" s="1"/>
  <c r="K309" i="45"/>
  <c r="F291" i="45"/>
  <c r="AT43" i="43"/>
  <c r="F292" i="45" s="1"/>
  <c r="L291" i="45"/>
  <c r="AZ43" i="43"/>
  <c r="L292" i="45" s="1"/>
  <c r="AU43" i="43"/>
  <c r="G292" i="45" s="1"/>
  <c r="G291" i="45"/>
  <c r="J291" i="45"/>
  <c r="AX43" i="43"/>
  <c r="J292" i="45" s="1"/>
  <c r="BU49" i="43"/>
  <c r="AH58" i="24"/>
  <c r="AV49" i="43"/>
  <c r="H322" i="45" s="1"/>
  <c r="H321" i="45"/>
  <c r="BE49" i="43"/>
  <c r="Q322" i="45" s="1"/>
  <c r="Q321" i="45"/>
  <c r="N321" i="45"/>
  <c r="BB49" i="43"/>
  <c r="N322" i="45" s="1"/>
  <c r="AH65" i="24" l="1"/>
  <c r="AH64" i="24"/>
  <c r="J58" i="43"/>
  <c r="I58" i="43"/>
  <c r="K58" i="43" s="1"/>
  <c r="AI58" i="43"/>
  <c r="S58" i="43"/>
  <c r="AP58" i="43"/>
  <c r="AL58" i="43"/>
  <c r="AF58" i="43"/>
  <c r="P58" i="43"/>
  <c r="R58" i="43"/>
  <c r="Y58" i="43"/>
  <c r="AE58" i="43"/>
  <c r="AH58" i="43"/>
  <c r="Z58" i="43"/>
  <c r="AC58" i="43"/>
  <c r="AB58" i="43"/>
  <c r="AO58" i="43"/>
  <c r="U58" i="43"/>
  <c r="AA58" i="43"/>
  <c r="V58" i="43"/>
  <c r="Q58" i="43"/>
  <c r="AN58" i="43"/>
  <c r="X58" i="43"/>
  <c r="AK58" i="43"/>
  <c r="AM58" i="43"/>
  <c r="W58" i="43"/>
  <c r="AJ58" i="43"/>
  <c r="T58" i="43"/>
  <c r="AD58" i="43"/>
  <c r="AG58" i="43"/>
  <c r="AL52" i="43"/>
  <c r="T52" i="43"/>
  <c r="V52" i="43"/>
  <c r="AB52" i="43"/>
  <c r="AM52" i="43"/>
  <c r="W52" i="43"/>
  <c r="Q52" i="43"/>
  <c r="AG52" i="43"/>
  <c r="AN52" i="43"/>
  <c r="X52" i="43"/>
  <c r="AI52" i="43"/>
  <c r="S52" i="43"/>
  <c r="AJ52" i="43"/>
  <c r="AP52" i="43"/>
  <c r="AC52" i="43"/>
  <c r="AE52" i="43"/>
  <c r="Z52" i="43"/>
  <c r="AK52" i="43"/>
  <c r="AD52" i="43"/>
  <c r="AF52" i="43"/>
  <c r="P52" i="43"/>
  <c r="AH52" i="43"/>
  <c r="U52" i="43"/>
  <c r="AA52" i="43"/>
  <c r="R52" i="43"/>
  <c r="Y52" i="43"/>
  <c r="AO52" i="43"/>
  <c r="I52" i="43"/>
  <c r="K52" i="43" s="1"/>
  <c r="J52" i="43"/>
  <c r="E321" i="45"/>
  <c r="I49" i="43"/>
  <c r="J49" i="43"/>
  <c r="G50" i="48" s="1"/>
  <c r="AS49" i="43"/>
  <c r="L268" i="45"/>
  <c r="K13" i="60"/>
  <c r="P353" i="45"/>
  <c r="O14" i="60"/>
  <c r="L13" i="60"/>
  <c r="M268" i="45"/>
  <c r="F353" i="45"/>
  <c r="E14" i="60"/>
  <c r="J353" i="45"/>
  <c r="I14" i="60"/>
  <c r="E242" i="45"/>
  <c r="I36" i="43"/>
  <c r="J36" i="43"/>
  <c r="G38" i="48" s="1"/>
  <c r="AS36" i="43"/>
  <c r="I183" i="45"/>
  <c r="I84" i="45"/>
  <c r="H30" i="60"/>
  <c r="H32" i="60" s="1"/>
  <c r="H33" i="60" s="1"/>
  <c r="AW3" i="43"/>
  <c r="R268" i="45"/>
  <c r="Q13" i="60"/>
  <c r="H13" i="60"/>
  <c r="I268" i="45"/>
  <c r="O84" i="45"/>
  <c r="BC3" i="43"/>
  <c r="N30" i="60"/>
  <c r="N32" i="60" s="1"/>
  <c r="N33" i="60" s="1"/>
  <c r="O183" i="45"/>
  <c r="Q268" i="45"/>
  <c r="P13" i="60"/>
  <c r="G14" i="60"/>
  <c r="H353" i="45"/>
  <c r="N353" i="45"/>
  <c r="M14" i="60"/>
  <c r="J23" i="43"/>
  <c r="G25" i="48" s="1"/>
  <c r="E182" i="45"/>
  <c r="AS23" i="43"/>
  <c r="I23" i="43"/>
  <c r="E303" i="45"/>
  <c r="J46" i="43"/>
  <c r="G47" i="48" s="1"/>
  <c r="AS46" i="43"/>
  <c r="I46" i="43"/>
  <c r="J33" i="43"/>
  <c r="G35" i="48" s="1"/>
  <c r="I33" i="43"/>
  <c r="E236" i="45"/>
  <c r="AS33" i="43"/>
  <c r="K183" i="45"/>
  <c r="AY3" i="43"/>
  <c r="K84" i="45"/>
  <c r="J30" i="60"/>
  <c r="J32" i="60" s="1"/>
  <c r="J33" i="60" s="1"/>
  <c r="N84" i="45"/>
  <c r="M30" i="60"/>
  <c r="M32" i="60" s="1"/>
  <c r="M33" i="60" s="1"/>
  <c r="BB3" i="43"/>
  <c r="N183" i="45"/>
  <c r="E297" i="45"/>
  <c r="I44" i="43"/>
  <c r="J44" i="43"/>
  <c r="G45" i="48" s="1"/>
  <c r="AS44" i="43"/>
  <c r="J47" i="43"/>
  <c r="G48" i="48" s="1"/>
  <c r="E309" i="45"/>
  <c r="I47" i="43"/>
  <c r="AS47" i="43"/>
  <c r="M13" i="60"/>
  <c r="N268" i="45"/>
  <c r="J14" i="60"/>
  <c r="K353" i="45"/>
  <c r="I59" i="43"/>
  <c r="E358" i="45"/>
  <c r="J59" i="43"/>
  <c r="G62" i="48" s="1"/>
  <c r="AS59" i="43"/>
  <c r="AS27" i="43"/>
  <c r="I27" i="43"/>
  <c r="J27" i="43"/>
  <c r="G29" i="48" s="1"/>
  <c r="F183" i="45"/>
  <c r="F84" i="45"/>
  <c r="E30" i="60"/>
  <c r="E32" i="60" s="1"/>
  <c r="E33" i="60" s="1"/>
  <c r="AT3" i="43"/>
  <c r="Q14" i="60"/>
  <c r="R353" i="45"/>
  <c r="E285" i="45"/>
  <c r="J42" i="43"/>
  <c r="G43" i="48" s="1"/>
  <c r="AS42" i="43"/>
  <c r="I42" i="43"/>
  <c r="T83" i="45"/>
  <c r="BH3" i="43"/>
  <c r="E279" i="45"/>
  <c r="I41" i="43"/>
  <c r="AS41" i="43"/>
  <c r="J41" i="43"/>
  <c r="G42" i="48" s="1"/>
  <c r="E194" i="45"/>
  <c r="I25" i="43"/>
  <c r="J25" i="43"/>
  <c r="G27" i="48" s="1"/>
  <c r="AS25" i="43"/>
  <c r="L84" i="45"/>
  <c r="AZ3" i="43"/>
  <c r="L183" i="45"/>
  <c r="K30" i="60"/>
  <c r="K32" i="60" s="1"/>
  <c r="K33" i="60" s="1"/>
  <c r="F268" i="45"/>
  <c r="E13" i="60"/>
  <c r="P14" i="60"/>
  <c r="Q353" i="45"/>
  <c r="L353" i="45"/>
  <c r="K14" i="60"/>
  <c r="J34" i="43"/>
  <c r="G36" i="48" s="1"/>
  <c r="I34" i="43"/>
  <c r="E254" i="45"/>
  <c r="AS34" i="43"/>
  <c r="E346" i="45"/>
  <c r="J60" i="43"/>
  <c r="G61" i="48" s="1"/>
  <c r="I60" i="43"/>
  <c r="AS60" i="43"/>
  <c r="E267" i="45"/>
  <c r="J39" i="43"/>
  <c r="G40" i="48" s="1"/>
  <c r="I39" i="43"/>
  <c r="AS39" i="43"/>
  <c r="I45" i="43"/>
  <c r="J45" i="43"/>
  <c r="G46" i="48" s="1"/>
  <c r="AS45" i="43"/>
  <c r="J183" i="45"/>
  <c r="AX3" i="43"/>
  <c r="J84" i="45"/>
  <c r="I30" i="60"/>
  <c r="I32" i="60" s="1"/>
  <c r="I33" i="60" s="1"/>
  <c r="J268" i="45"/>
  <c r="I13" i="60"/>
  <c r="M353" i="45"/>
  <c r="L14" i="60"/>
  <c r="J32" i="43"/>
  <c r="G34" i="48" s="1"/>
  <c r="I32" i="43"/>
  <c r="E230" i="45"/>
  <c r="AS32" i="43"/>
  <c r="E224" i="45"/>
  <c r="J31" i="43"/>
  <c r="G33" i="48" s="1"/>
  <c r="I31" i="43"/>
  <c r="AS31" i="43"/>
  <c r="R84" i="45"/>
  <c r="BF3" i="43"/>
  <c r="R183" i="45"/>
  <c r="Q30" i="60"/>
  <c r="Q32" i="60" s="1"/>
  <c r="Q33" i="60" s="1"/>
  <c r="H268" i="45"/>
  <c r="G13" i="60"/>
  <c r="P268" i="45"/>
  <c r="O13" i="60"/>
  <c r="O17" i="60" s="1"/>
  <c r="O19" i="60" s="1"/>
  <c r="E260" i="45"/>
  <c r="J35" i="43"/>
  <c r="G37" i="48" s="1"/>
  <c r="AS35" i="43"/>
  <c r="I35" i="43"/>
  <c r="G183" i="45"/>
  <c r="AU3" i="43"/>
  <c r="G84" i="45"/>
  <c r="F30" i="60"/>
  <c r="F32" i="60" s="1"/>
  <c r="F33" i="60" s="1"/>
  <c r="O268" i="45"/>
  <c r="N13" i="60"/>
  <c r="K268" i="45"/>
  <c r="J13" i="60"/>
  <c r="E188" i="45"/>
  <c r="I24" i="43"/>
  <c r="J24" i="43"/>
  <c r="G26" i="48" s="1"/>
  <c r="AS24" i="43"/>
  <c r="P183" i="45"/>
  <c r="BD3" i="43"/>
  <c r="P84" i="45"/>
  <c r="O30" i="60"/>
  <c r="O32" i="60" s="1"/>
  <c r="O33" i="60" s="1"/>
  <c r="H14" i="60"/>
  <c r="I353" i="45"/>
  <c r="G268" i="45"/>
  <c r="F13" i="60"/>
  <c r="I57" i="43"/>
  <c r="AS57" i="43"/>
  <c r="J57" i="43"/>
  <c r="J43" i="43"/>
  <c r="G44" i="48" s="1"/>
  <c r="E291" i="45"/>
  <c r="I43" i="43"/>
  <c r="AS43" i="43"/>
  <c r="I51" i="43"/>
  <c r="AS51" i="43"/>
  <c r="J51" i="43"/>
  <c r="N14" i="60"/>
  <c r="O353" i="45"/>
  <c r="F14" i="60"/>
  <c r="G353" i="45"/>
  <c r="AV3" i="43"/>
  <c r="G30" i="60"/>
  <c r="G32" i="60" s="1"/>
  <c r="G33" i="60" s="1"/>
  <c r="H183" i="45"/>
  <c r="H84" i="45"/>
  <c r="BE3" i="43"/>
  <c r="Q84" i="45"/>
  <c r="Q183" i="45"/>
  <c r="P30" i="60"/>
  <c r="P32" i="60" s="1"/>
  <c r="P33" i="60" s="1"/>
  <c r="E352" i="45"/>
  <c r="I56" i="43"/>
  <c r="J56" i="43"/>
  <c r="G58" i="48" s="1"/>
  <c r="AS56" i="43"/>
  <c r="AS50" i="43"/>
  <c r="E327" i="45"/>
  <c r="J50" i="43"/>
  <c r="G51" i="48" s="1"/>
  <c r="I50" i="43"/>
  <c r="M84" i="45"/>
  <c r="M183" i="45"/>
  <c r="L30" i="60"/>
  <c r="L32" i="60" s="1"/>
  <c r="L33" i="60" s="1"/>
  <c r="BA3" i="43"/>
  <c r="E315" i="45"/>
  <c r="I48" i="43"/>
  <c r="J48" i="43"/>
  <c r="G49" i="48" s="1"/>
  <c r="AS48" i="43"/>
  <c r="E200" i="45"/>
  <c r="I26" i="43"/>
  <c r="AS26" i="43"/>
  <c r="J26" i="43"/>
  <c r="G28" i="48" s="1"/>
  <c r="F53" i="48" l="1"/>
  <c r="AF53" i="48" s="1"/>
  <c r="F60" i="48"/>
  <c r="G59" i="48"/>
  <c r="G60" i="48"/>
  <c r="G52" i="48"/>
  <c r="G53" i="48"/>
  <c r="I17" i="60"/>
  <c r="I19" i="60" s="1"/>
  <c r="J17" i="60"/>
  <c r="J19" i="60" s="1"/>
  <c r="E17" i="60"/>
  <c r="E19" i="60" s="1"/>
  <c r="M17" i="60"/>
  <c r="M19" i="60" s="1"/>
  <c r="G17" i="60"/>
  <c r="G19" i="60" s="1"/>
  <c r="F51" i="48"/>
  <c r="K50" i="43"/>
  <c r="L51" i="48" s="1"/>
  <c r="AG56" i="43"/>
  <c r="AL56" i="43"/>
  <c r="AN56" i="43"/>
  <c r="AO56" i="43"/>
  <c r="AM56" i="43"/>
  <c r="AP56" i="43"/>
  <c r="AF56" i="43"/>
  <c r="AI56" i="43"/>
  <c r="AH56" i="43"/>
  <c r="AJ56" i="43"/>
  <c r="AE56" i="43"/>
  <c r="AK56" i="43"/>
  <c r="AD56" i="43"/>
  <c r="AC56" i="43"/>
  <c r="AB56" i="43"/>
  <c r="AA56" i="43"/>
  <c r="D14" i="60"/>
  <c r="R14" i="60" s="1"/>
  <c r="Z56" i="43"/>
  <c r="Y56" i="43"/>
  <c r="W56" i="43"/>
  <c r="U56" i="43"/>
  <c r="R56" i="43"/>
  <c r="V56" i="43"/>
  <c r="X56" i="43"/>
  <c r="Q56" i="43"/>
  <c r="E353" i="45"/>
  <c r="E354" i="45" s="1"/>
  <c r="S56" i="43"/>
  <c r="T56" i="43"/>
  <c r="P56" i="43"/>
  <c r="T26" i="43"/>
  <c r="AM26" i="43"/>
  <c r="AN26" i="43"/>
  <c r="AH26" i="43"/>
  <c r="P26" i="43"/>
  <c r="AP26" i="43"/>
  <c r="AG26" i="43"/>
  <c r="AL26" i="43"/>
  <c r="R26" i="43"/>
  <c r="AF26" i="43"/>
  <c r="AK26" i="43"/>
  <c r="AI26" i="43"/>
  <c r="AJ26" i="43"/>
  <c r="AO26" i="43"/>
  <c r="AA26" i="43"/>
  <c r="S26" i="43"/>
  <c r="AD26" i="43"/>
  <c r="AB26" i="43"/>
  <c r="AC26" i="43"/>
  <c r="W26" i="43"/>
  <c r="E201" i="45"/>
  <c r="E202" i="45" s="1"/>
  <c r="U26" i="43"/>
  <c r="AE26" i="43"/>
  <c r="X26" i="43"/>
  <c r="Q26" i="43"/>
  <c r="Z26" i="43"/>
  <c r="Y26" i="43"/>
  <c r="V26" i="43"/>
  <c r="K26" i="43"/>
  <c r="L28" i="48" s="1"/>
  <c r="F28" i="48"/>
  <c r="F49" i="48"/>
  <c r="K48" i="43"/>
  <c r="L49" i="48" s="1"/>
  <c r="F58" i="48"/>
  <c r="E21" i="57" s="1"/>
  <c r="K56" i="43"/>
  <c r="L58" i="48" s="1"/>
  <c r="F52" i="48"/>
  <c r="E14" i="57" s="1"/>
  <c r="K51" i="43"/>
  <c r="F34" i="48"/>
  <c r="K32" i="43"/>
  <c r="L34" i="48" s="1"/>
  <c r="F46" i="48"/>
  <c r="K45" i="43"/>
  <c r="L46" i="48" s="1"/>
  <c r="AJ25" i="43"/>
  <c r="AK25" i="43"/>
  <c r="AH25" i="43"/>
  <c r="AC25" i="43"/>
  <c r="AN25" i="43"/>
  <c r="AP25" i="43"/>
  <c r="AM25" i="43"/>
  <c r="AE25" i="43"/>
  <c r="AI25" i="43"/>
  <c r="AG25" i="43"/>
  <c r="AF25" i="43"/>
  <c r="AO25" i="43"/>
  <c r="AL25" i="43"/>
  <c r="AD25" i="43"/>
  <c r="AB25" i="43"/>
  <c r="Y25" i="43"/>
  <c r="Z25" i="43"/>
  <c r="AA25" i="43"/>
  <c r="X25" i="43"/>
  <c r="V25" i="43"/>
  <c r="T25" i="43"/>
  <c r="R25" i="43"/>
  <c r="Q25" i="43"/>
  <c r="W25" i="43"/>
  <c r="P25" i="43"/>
  <c r="U25" i="43"/>
  <c r="S25" i="43"/>
  <c r="E195" i="45"/>
  <c r="E196" i="45" s="1"/>
  <c r="W59" i="43"/>
  <c r="R59" i="43"/>
  <c r="AJ59" i="43"/>
  <c r="AA59" i="43"/>
  <c r="AC59" i="43"/>
  <c r="Z59" i="43"/>
  <c r="AE59" i="43"/>
  <c r="AG59" i="43"/>
  <c r="AD59" i="43"/>
  <c r="AP59" i="43"/>
  <c r="T59" i="43"/>
  <c r="P59" i="43"/>
  <c r="U59" i="43"/>
  <c r="V59" i="43"/>
  <c r="AK59" i="43"/>
  <c r="AI59" i="43"/>
  <c r="S59" i="43"/>
  <c r="AF59" i="43"/>
  <c r="AH59" i="43"/>
  <c r="Y59" i="43"/>
  <c r="X59" i="43"/>
  <c r="AO59" i="43"/>
  <c r="AN59" i="43"/>
  <c r="Q59" i="43"/>
  <c r="AL59" i="43"/>
  <c r="AM59" i="43"/>
  <c r="AB59" i="43"/>
  <c r="E359" i="45"/>
  <c r="E360" i="45" s="1"/>
  <c r="AG47" i="43"/>
  <c r="AP47" i="43"/>
  <c r="AM47" i="43"/>
  <c r="AK47" i="43"/>
  <c r="AF47" i="43"/>
  <c r="AI47" i="43"/>
  <c r="AO47" i="43"/>
  <c r="AL47" i="43"/>
  <c r="AN47" i="43"/>
  <c r="AE47" i="43"/>
  <c r="AJ47" i="43"/>
  <c r="AH47" i="43"/>
  <c r="AD47" i="43"/>
  <c r="AC47" i="43"/>
  <c r="AB47" i="43"/>
  <c r="Z47" i="43"/>
  <c r="AA47" i="43"/>
  <c r="Y47" i="43"/>
  <c r="U47" i="43"/>
  <c r="X47" i="43"/>
  <c r="W47" i="43"/>
  <c r="V47" i="43"/>
  <c r="R47" i="43"/>
  <c r="Q47" i="43"/>
  <c r="T47" i="43"/>
  <c r="S47" i="43"/>
  <c r="E310" i="45"/>
  <c r="E311" i="45" s="1"/>
  <c r="P47" i="43"/>
  <c r="AI44" i="43"/>
  <c r="AG44" i="43"/>
  <c r="AJ44" i="43"/>
  <c r="AP44" i="43"/>
  <c r="AN44" i="43"/>
  <c r="AL44" i="43"/>
  <c r="AO44" i="43"/>
  <c r="AH44" i="43"/>
  <c r="AE44" i="43"/>
  <c r="AF44" i="43"/>
  <c r="AK44" i="43"/>
  <c r="AM44" i="43"/>
  <c r="AD44" i="43"/>
  <c r="AA44" i="43"/>
  <c r="AC44" i="43"/>
  <c r="AB44" i="43"/>
  <c r="Y44" i="43"/>
  <c r="X44" i="43"/>
  <c r="Z44" i="43"/>
  <c r="W44" i="43"/>
  <c r="V44" i="43"/>
  <c r="U44" i="43"/>
  <c r="T44" i="43"/>
  <c r="S44" i="43"/>
  <c r="Q44" i="43"/>
  <c r="P44" i="43"/>
  <c r="E298" i="45"/>
  <c r="E299" i="45" s="1"/>
  <c r="R44" i="43"/>
  <c r="AL33" i="43"/>
  <c r="AF33" i="43"/>
  <c r="AK33" i="43"/>
  <c r="AP33" i="43"/>
  <c r="AJ33" i="43"/>
  <c r="AO33" i="43"/>
  <c r="AE33" i="43"/>
  <c r="AI33" i="43"/>
  <c r="AN33" i="43"/>
  <c r="AH33" i="43"/>
  <c r="AM33" i="43"/>
  <c r="AG33" i="43"/>
  <c r="AD33" i="43"/>
  <c r="AC33" i="43"/>
  <c r="AA33" i="43"/>
  <c r="AB33" i="43"/>
  <c r="Z33" i="43"/>
  <c r="Y33" i="43"/>
  <c r="W33" i="43"/>
  <c r="V33" i="43"/>
  <c r="R33" i="43"/>
  <c r="U33" i="43"/>
  <c r="T33" i="43"/>
  <c r="E237" i="45"/>
  <c r="E238" i="45" s="1"/>
  <c r="X33" i="43"/>
  <c r="P33" i="43"/>
  <c r="Q33" i="43"/>
  <c r="S33" i="43"/>
  <c r="K46" i="43"/>
  <c r="L47" i="48" s="1"/>
  <c r="F47" i="48"/>
  <c r="E10" i="57" s="1"/>
  <c r="K23" i="43"/>
  <c r="L25" i="48" s="1"/>
  <c r="F25" i="48"/>
  <c r="E33" i="57" s="1"/>
  <c r="P17" i="60"/>
  <c r="P19" i="60" s="1"/>
  <c r="Q17" i="60"/>
  <c r="Q19" i="60" s="1"/>
  <c r="F38" i="48"/>
  <c r="K36" i="43"/>
  <c r="L38" i="48" s="1"/>
  <c r="AG49" i="43"/>
  <c r="AJ49" i="43"/>
  <c r="AP49" i="43"/>
  <c r="AL49" i="43"/>
  <c r="AO49" i="43"/>
  <c r="AD49" i="43"/>
  <c r="AI49" i="43"/>
  <c r="AH49" i="43"/>
  <c r="AF49" i="43"/>
  <c r="AE49" i="43"/>
  <c r="AM49" i="43"/>
  <c r="AN49" i="43"/>
  <c r="AK49" i="43"/>
  <c r="AC49" i="43"/>
  <c r="AB49" i="43"/>
  <c r="Z49" i="43"/>
  <c r="AA49" i="43"/>
  <c r="Y49" i="43"/>
  <c r="X49" i="43"/>
  <c r="W49" i="43"/>
  <c r="V49" i="43"/>
  <c r="Q49" i="43"/>
  <c r="U49" i="43"/>
  <c r="R49" i="43"/>
  <c r="T49" i="43"/>
  <c r="E322" i="45"/>
  <c r="E323" i="45" s="1"/>
  <c r="S49" i="43"/>
  <c r="P49" i="43"/>
  <c r="AO48" i="43"/>
  <c r="AP48" i="43"/>
  <c r="AM48" i="43"/>
  <c r="AG48" i="43"/>
  <c r="AN48" i="43"/>
  <c r="AL48" i="43"/>
  <c r="AK48" i="43"/>
  <c r="AJ48" i="43"/>
  <c r="AH48" i="43"/>
  <c r="AI48" i="43"/>
  <c r="AF48" i="43"/>
  <c r="AE48" i="43"/>
  <c r="AD48" i="43"/>
  <c r="AC48" i="43"/>
  <c r="AB48" i="43"/>
  <c r="AA48" i="43"/>
  <c r="Z48" i="43"/>
  <c r="Y48" i="43"/>
  <c r="W48" i="43"/>
  <c r="X48" i="43"/>
  <c r="V48" i="43"/>
  <c r="U48" i="43"/>
  <c r="Q48" i="43"/>
  <c r="R48" i="43"/>
  <c r="E316" i="45"/>
  <c r="E317" i="45" s="1"/>
  <c r="T48" i="43"/>
  <c r="S48" i="43"/>
  <c r="P48" i="43"/>
  <c r="AL50" i="43"/>
  <c r="AG50" i="43"/>
  <c r="AJ50" i="43"/>
  <c r="AD50" i="43"/>
  <c r="AP50" i="43"/>
  <c r="AM50" i="43"/>
  <c r="AO50" i="43"/>
  <c r="AE50" i="43"/>
  <c r="AF50" i="43"/>
  <c r="AI50" i="43"/>
  <c r="AH50" i="43"/>
  <c r="AK50" i="43"/>
  <c r="AN50" i="43"/>
  <c r="AC50" i="43"/>
  <c r="Z50" i="43"/>
  <c r="AA50" i="43"/>
  <c r="AB50" i="43"/>
  <c r="X50" i="43"/>
  <c r="S50" i="43"/>
  <c r="Y50" i="43"/>
  <c r="V50" i="43"/>
  <c r="W50" i="43"/>
  <c r="T50" i="43"/>
  <c r="Q50" i="43"/>
  <c r="E328" i="45"/>
  <c r="E329" i="45" s="1"/>
  <c r="R50" i="43"/>
  <c r="U50" i="43"/>
  <c r="P50" i="43"/>
  <c r="AF43" i="43"/>
  <c r="AM43" i="43"/>
  <c r="AP43" i="43"/>
  <c r="AJ43" i="43"/>
  <c r="AO43" i="43"/>
  <c r="AN43" i="43"/>
  <c r="AK43" i="43"/>
  <c r="AH43" i="43"/>
  <c r="AG43" i="43"/>
  <c r="AE43" i="43"/>
  <c r="AI43" i="43"/>
  <c r="AL43" i="43"/>
  <c r="AD43" i="43"/>
  <c r="AC43" i="43"/>
  <c r="AB43" i="43"/>
  <c r="AA43" i="43"/>
  <c r="V43" i="43"/>
  <c r="Y43" i="43"/>
  <c r="X43" i="43"/>
  <c r="W43" i="43"/>
  <c r="Z43" i="43"/>
  <c r="T43" i="43"/>
  <c r="U43" i="43"/>
  <c r="S43" i="43"/>
  <c r="R43" i="43"/>
  <c r="Q43" i="43"/>
  <c r="E292" i="45"/>
  <c r="E293" i="45" s="1"/>
  <c r="P43" i="43"/>
  <c r="F17" i="60"/>
  <c r="F19" i="60" s="1"/>
  <c r="AK24" i="43"/>
  <c r="AP24" i="43"/>
  <c r="AJ24" i="43"/>
  <c r="AO24" i="43"/>
  <c r="AI24" i="43"/>
  <c r="AN24" i="43"/>
  <c r="T24" i="43"/>
  <c r="AH24" i="43"/>
  <c r="AM24" i="43"/>
  <c r="Q24" i="43"/>
  <c r="AG24" i="43"/>
  <c r="AL24" i="43"/>
  <c r="AF24" i="43"/>
  <c r="Y24" i="43"/>
  <c r="Z24" i="43"/>
  <c r="P24" i="43"/>
  <c r="AB24" i="43"/>
  <c r="S24" i="43"/>
  <c r="AD24" i="43"/>
  <c r="R24" i="43"/>
  <c r="AA24" i="43"/>
  <c r="U24" i="43"/>
  <c r="W24" i="43"/>
  <c r="AC24" i="43"/>
  <c r="V24" i="43"/>
  <c r="AE24" i="43"/>
  <c r="X24" i="43"/>
  <c r="E189" i="45"/>
  <c r="E190" i="45" s="1"/>
  <c r="AP39" i="43"/>
  <c r="AM39" i="43"/>
  <c r="AO39" i="43"/>
  <c r="AF39" i="43"/>
  <c r="AI39" i="43"/>
  <c r="AH39" i="43"/>
  <c r="AK39" i="43"/>
  <c r="AN39" i="43"/>
  <c r="AL39" i="43"/>
  <c r="AG39" i="43"/>
  <c r="AJ39" i="43"/>
  <c r="AE39" i="43"/>
  <c r="BG5" i="43"/>
  <c r="D13" i="60"/>
  <c r="B35" i="47"/>
  <c r="AD39" i="43"/>
  <c r="BG4" i="43"/>
  <c r="AC39" i="43"/>
  <c r="Y39" i="43"/>
  <c r="Z39" i="43"/>
  <c r="AB39" i="43"/>
  <c r="X39" i="43"/>
  <c r="AA39" i="43"/>
  <c r="T39" i="43"/>
  <c r="W39" i="43"/>
  <c r="V39" i="43"/>
  <c r="U39" i="43"/>
  <c r="R39" i="43"/>
  <c r="S39" i="43"/>
  <c r="Q39" i="43"/>
  <c r="P39" i="43"/>
  <c r="E268" i="45"/>
  <c r="E269" i="45" s="1"/>
  <c r="AO60" i="43"/>
  <c r="AM60" i="43"/>
  <c r="AP60" i="43"/>
  <c r="AG60" i="43"/>
  <c r="AL60" i="43"/>
  <c r="AN60" i="43"/>
  <c r="AK60" i="43"/>
  <c r="AH60" i="43"/>
  <c r="AJ60" i="43"/>
  <c r="AD60" i="43"/>
  <c r="AE60" i="43"/>
  <c r="AF60" i="43"/>
  <c r="AI60" i="43"/>
  <c r="AC60" i="43"/>
  <c r="AB60" i="43"/>
  <c r="AA60" i="43"/>
  <c r="Z60" i="43"/>
  <c r="U60" i="43"/>
  <c r="Y60" i="43"/>
  <c r="X60" i="43"/>
  <c r="W60" i="43"/>
  <c r="V60" i="43"/>
  <c r="T60" i="43"/>
  <c r="P60" i="43"/>
  <c r="Q60" i="43"/>
  <c r="R60" i="43"/>
  <c r="E347" i="45"/>
  <c r="E348" i="45" s="1"/>
  <c r="S60" i="43"/>
  <c r="AL34" i="43"/>
  <c r="AI34" i="43"/>
  <c r="AF34" i="43"/>
  <c r="AP34" i="43"/>
  <c r="AN34" i="43"/>
  <c r="AK34" i="43"/>
  <c r="AG34" i="43"/>
  <c r="AJ34" i="43"/>
  <c r="AE34" i="43"/>
  <c r="AH34" i="43"/>
  <c r="AM34" i="43"/>
  <c r="AO34" i="43"/>
  <c r="AD34" i="43"/>
  <c r="AB34" i="43"/>
  <c r="AC34" i="43"/>
  <c r="AA34" i="43"/>
  <c r="X34" i="43"/>
  <c r="V34" i="43"/>
  <c r="U34" i="43"/>
  <c r="Y34" i="43"/>
  <c r="Z34" i="43"/>
  <c r="W34" i="43"/>
  <c r="P34" i="43"/>
  <c r="S34" i="43"/>
  <c r="T34" i="43"/>
  <c r="Q34" i="43"/>
  <c r="R34" i="43"/>
  <c r="E255" i="45"/>
  <c r="E256" i="45" s="1"/>
  <c r="AP41" i="43"/>
  <c r="AM41" i="43"/>
  <c r="AO41" i="43"/>
  <c r="AG41" i="43"/>
  <c r="AI41" i="43"/>
  <c r="AJ41" i="43"/>
  <c r="AH41" i="43"/>
  <c r="AN41" i="43"/>
  <c r="AK41" i="43"/>
  <c r="AL41" i="43"/>
  <c r="AF41" i="43"/>
  <c r="AE41" i="43"/>
  <c r="AD41" i="43"/>
  <c r="AC41" i="43"/>
  <c r="AB41" i="43"/>
  <c r="AA41" i="43"/>
  <c r="Z41" i="43"/>
  <c r="W41" i="43"/>
  <c r="V41" i="43"/>
  <c r="Q41" i="43"/>
  <c r="Y41" i="43"/>
  <c r="X41" i="43"/>
  <c r="U41" i="43"/>
  <c r="T41" i="43"/>
  <c r="S41" i="43"/>
  <c r="R41" i="43"/>
  <c r="P41" i="43"/>
  <c r="E280" i="45"/>
  <c r="E281" i="45" s="1"/>
  <c r="K47" i="43"/>
  <c r="L48" i="48" s="1"/>
  <c r="F48" i="48"/>
  <c r="AF48" i="48" s="1"/>
  <c r="S46" i="43"/>
  <c r="AH46" i="43"/>
  <c r="AM46" i="43"/>
  <c r="AN46" i="43"/>
  <c r="U46" i="43"/>
  <c r="AD46" i="43"/>
  <c r="W46" i="43"/>
  <c r="V46" i="43"/>
  <c r="AB46" i="43"/>
  <c r="AL46" i="43"/>
  <c r="AP46" i="43"/>
  <c r="AG46" i="43"/>
  <c r="Z46" i="43"/>
  <c r="Y46" i="43"/>
  <c r="AA46" i="43"/>
  <c r="AF46" i="43"/>
  <c r="AK46" i="43"/>
  <c r="R46" i="43"/>
  <c r="AC46" i="43"/>
  <c r="AI46" i="43"/>
  <c r="AJ46" i="43"/>
  <c r="AO46" i="43"/>
  <c r="T46" i="43"/>
  <c r="E304" i="45"/>
  <c r="E305" i="45" s="1"/>
  <c r="X46" i="43"/>
  <c r="P46" i="43"/>
  <c r="AE46" i="43"/>
  <c r="Q46" i="43"/>
  <c r="AN23" i="43"/>
  <c r="AH23" i="43"/>
  <c r="AM23" i="43"/>
  <c r="D30" i="60"/>
  <c r="AG23" i="43"/>
  <c r="AL23" i="43"/>
  <c r="AF23" i="43"/>
  <c r="AK23" i="43"/>
  <c r="AP23" i="43"/>
  <c r="B6" i="47"/>
  <c r="B8" i="47" s="1"/>
  <c r="AJ23" i="43"/>
  <c r="AO23" i="43"/>
  <c r="AI23" i="43"/>
  <c r="AD23" i="43"/>
  <c r="Y23" i="43"/>
  <c r="AA23" i="43"/>
  <c r="V23" i="43"/>
  <c r="W23" i="43"/>
  <c r="Q23" i="43"/>
  <c r="T23" i="43"/>
  <c r="X23" i="43"/>
  <c r="U23" i="43"/>
  <c r="P23" i="43"/>
  <c r="AB23" i="43"/>
  <c r="S23" i="43"/>
  <c r="R23" i="43"/>
  <c r="Z23" i="43"/>
  <c r="E183" i="45"/>
  <c r="E184" i="45" s="1"/>
  <c r="E84" i="45"/>
  <c r="E85" i="45" s="1"/>
  <c r="E87" i="45" s="1"/>
  <c r="AE23" i="43"/>
  <c r="AC23" i="43"/>
  <c r="AS3" i="43"/>
  <c r="B45" i="47"/>
  <c r="C7" i="31"/>
  <c r="C9" i="31" s="1"/>
  <c r="K43" i="43"/>
  <c r="L44" i="48" s="1"/>
  <c r="F44" i="48"/>
  <c r="E16" i="57" s="1"/>
  <c r="AK57" i="43"/>
  <c r="S57" i="43"/>
  <c r="Z57" i="43"/>
  <c r="AI57" i="43"/>
  <c r="V57" i="43"/>
  <c r="AN57" i="43"/>
  <c r="AO57" i="43"/>
  <c r="AH57" i="43"/>
  <c r="W57" i="43"/>
  <c r="AM57" i="43"/>
  <c r="P57" i="43"/>
  <c r="AB57" i="43"/>
  <c r="AA57" i="43"/>
  <c r="AL57" i="43"/>
  <c r="R57" i="43"/>
  <c r="AD57" i="43"/>
  <c r="AF57" i="43"/>
  <c r="Y57" i="43"/>
  <c r="AC57" i="43"/>
  <c r="AG57" i="43"/>
  <c r="U57" i="43"/>
  <c r="AP57" i="43"/>
  <c r="Q57" i="43"/>
  <c r="X57" i="43"/>
  <c r="AJ57" i="43"/>
  <c r="T57" i="43"/>
  <c r="AE57" i="43"/>
  <c r="F37" i="48"/>
  <c r="K35" i="43"/>
  <c r="L37" i="48" s="1"/>
  <c r="AH31" i="43"/>
  <c r="AM31" i="43"/>
  <c r="AG31" i="43"/>
  <c r="AL31" i="43"/>
  <c r="AF31" i="43"/>
  <c r="AK31" i="43"/>
  <c r="AP31" i="43"/>
  <c r="AJ31" i="43"/>
  <c r="AO31" i="43"/>
  <c r="AE31" i="43"/>
  <c r="AI31" i="43"/>
  <c r="AN31" i="43"/>
  <c r="AD31" i="43"/>
  <c r="AC31" i="43"/>
  <c r="AB31" i="43"/>
  <c r="Y31" i="43"/>
  <c r="X31" i="43"/>
  <c r="AA31" i="43"/>
  <c r="U31" i="43"/>
  <c r="Z31" i="43"/>
  <c r="V31" i="43"/>
  <c r="W31" i="43"/>
  <c r="T31" i="43"/>
  <c r="R31" i="43"/>
  <c r="E225" i="45"/>
  <c r="E226" i="45" s="1"/>
  <c r="S31" i="43"/>
  <c r="Q31" i="43"/>
  <c r="P31" i="43"/>
  <c r="AN32" i="43"/>
  <c r="AH32" i="43"/>
  <c r="AM32" i="43"/>
  <c r="AE32" i="43"/>
  <c r="AG32" i="43"/>
  <c r="AL32" i="43"/>
  <c r="AF32" i="43"/>
  <c r="AK32" i="43"/>
  <c r="AP32" i="43"/>
  <c r="AJ32" i="43"/>
  <c r="AO32" i="43"/>
  <c r="AI32" i="43"/>
  <c r="AD32" i="43"/>
  <c r="AB32" i="43"/>
  <c r="AC32" i="43"/>
  <c r="X32" i="43"/>
  <c r="Z32" i="43"/>
  <c r="AA32" i="43"/>
  <c r="Y32" i="43"/>
  <c r="W32" i="43"/>
  <c r="T32" i="43"/>
  <c r="P32" i="43"/>
  <c r="S32" i="43"/>
  <c r="V32" i="43"/>
  <c r="U32" i="43"/>
  <c r="R32" i="43"/>
  <c r="Q32" i="43"/>
  <c r="E231" i="45"/>
  <c r="E232" i="45" s="1"/>
  <c r="AD45" i="43"/>
  <c r="AF45" i="43"/>
  <c r="X45" i="43"/>
  <c r="AO45" i="43"/>
  <c r="AH45" i="43"/>
  <c r="V45" i="43"/>
  <c r="AC45" i="43"/>
  <c r="H46" i="48" s="1"/>
  <c r="Y45" i="43"/>
  <c r="AJ45" i="43"/>
  <c r="T45" i="43"/>
  <c r="Z45" i="43"/>
  <c r="AL45" i="43"/>
  <c r="R45" i="43"/>
  <c r="AI45" i="43"/>
  <c r="U45" i="43"/>
  <c r="AN45" i="43"/>
  <c r="AG45" i="43"/>
  <c r="W45" i="43"/>
  <c r="AP45" i="43"/>
  <c r="P45" i="43"/>
  <c r="AM45" i="43"/>
  <c r="Q45" i="43"/>
  <c r="AB45" i="43"/>
  <c r="AK45" i="43"/>
  <c r="S45" i="43"/>
  <c r="AA45" i="43"/>
  <c r="AE45" i="43"/>
  <c r="I46" i="48" s="1"/>
  <c r="K39" i="43"/>
  <c r="L40" i="48" s="1"/>
  <c r="F40" i="48"/>
  <c r="E9" i="57" s="1"/>
  <c r="K60" i="43"/>
  <c r="L61" i="48" s="1"/>
  <c r="F61" i="48"/>
  <c r="E23" i="57" s="1"/>
  <c r="F27" i="48"/>
  <c r="K25" i="43"/>
  <c r="L27" i="48" s="1"/>
  <c r="F42" i="48"/>
  <c r="K41" i="43"/>
  <c r="L42" i="48" s="1"/>
  <c r="K42" i="43"/>
  <c r="L43" i="48" s="1"/>
  <c r="F43" i="48"/>
  <c r="F29" i="48"/>
  <c r="K27" i="43"/>
  <c r="L29" i="48" s="1"/>
  <c r="K44" i="43"/>
  <c r="L45" i="48" s="1"/>
  <c r="F45" i="48"/>
  <c r="E22" i="57" s="1"/>
  <c r="K33" i="43"/>
  <c r="L35" i="48" s="1"/>
  <c r="F35" i="48"/>
  <c r="AF36" i="43"/>
  <c r="AK36" i="43"/>
  <c r="AP36" i="43"/>
  <c r="AE36" i="43"/>
  <c r="AJ36" i="43"/>
  <c r="AO36" i="43"/>
  <c r="AI36" i="43"/>
  <c r="AN36" i="43"/>
  <c r="AH36" i="43"/>
  <c r="AM36" i="43"/>
  <c r="AG36" i="43"/>
  <c r="AL36" i="43"/>
  <c r="AD36" i="43"/>
  <c r="AB36" i="43"/>
  <c r="Z36" i="43"/>
  <c r="S36" i="43"/>
  <c r="E243" i="45"/>
  <c r="E244" i="45" s="1"/>
  <c r="Q36" i="43"/>
  <c r="AC36" i="43"/>
  <c r="U36" i="43"/>
  <c r="V36" i="43"/>
  <c r="P36" i="43"/>
  <c r="AA36" i="43"/>
  <c r="Y36" i="43"/>
  <c r="X36" i="43"/>
  <c r="W36" i="43"/>
  <c r="T36" i="43"/>
  <c r="R36" i="43"/>
  <c r="K17" i="60"/>
  <c r="K19" i="60" s="1"/>
  <c r="F50" i="48"/>
  <c r="K49" i="43"/>
  <c r="L50" i="48" s="1"/>
  <c r="V51" i="43"/>
  <c r="AG51" i="43"/>
  <c r="AA51" i="43"/>
  <c r="R51" i="43"/>
  <c r="P51" i="43"/>
  <c r="Q51" i="43"/>
  <c r="AL51" i="43"/>
  <c r="W51" i="43"/>
  <c r="AO51" i="43"/>
  <c r="AI51" i="43"/>
  <c r="AB51" i="43"/>
  <c r="Y51" i="43"/>
  <c r="AJ51" i="43"/>
  <c r="AD51" i="43"/>
  <c r="AK51" i="43"/>
  <c r="Z51" i="43"/>
  <c r="AH51" i="43"/>
  <c r="U51" i="43"/>
  <c r="AF51" i="43"/>
  <c r="S51" i="43"/>
  <c r="AM51" i="43"/>
  <c r="T51" i="43"/>
  <c r="AP51" i="43"/>
  <c r="X51" i="43"/>
  <c r="AN51" i="43"/>
  <c r="AE51" i="43"/>
  <c r="AC51" i="43"/>
  <c r="K57" i="43"/>
  <c r="F59" i="48"/>
  <c r="F26" i="48"/>
  <c r="AF26" i="48" s="1"/>
  <c r="K24" i="43"/>
  <c r="L26" i="48" s="1"/>
  <c r="N17" i="60"/>
  <c r="N19" i="60" s="1"/>
  <c r="AB35" i="43"/>
  <c r="X35" i="43"/>
  <c r="W35" i="43"/>
  <c r="P35" i="43"/>
  <c r="AL35" i="43"/>
  <c r="AK35" i="43"/>
  <c r="AI35" i="43"/>
  <c r="AD35" i="43"/>
  <c r="V35" i="43"/>
  <c r="Y35" i="43"/>
  <c r="S35" i="43"/>
  <c r="AJ35" i="43"/>
  <c r="AP35" i="43"/>
  <c r="AN35" i="43"/>
  <c r="AE35" i="43"/>
  <c r="T35" i="43"/>
  <c r="U35" i="43"/>
  <c r="R35" i="43"/>
  <c r="AO35" i="43"/>
  <c r="AG35" i="43"/>
  <c r="Z35" i="43"/>
  <c r="AA35" i="43"/>
  <c r="Q35" i="43"/>
  <c r="AH35" i="43"/>
  <c r="AF35" i="43"/>
  <c r="AM35" i="43"/>
  <c r="AC35" i="43"/>
  <c r="E261" i="45"/>
  <c r="E262" i="45" s="1"/>
  <c r="K31" i="43"/>
  <c r="L33" i="48" s="1"/>
  <c r="F33" i="48"/>
  <c r="E36" i="57" s="1"/>
  <c r="K34" i="43"/>
  <c r="L36" i="48" s="1"/>
  <c r="F36" i="48"/>
  <c r="AJ42" i="43"/>
  <c r="AI42" i="43"/>
  <c r="AG42" i="43"/>
  <c r="AH42" i="43"/>
  <c r="AK42" i="43"/>
  <c r="AF42" i="43"/>
  <c r="AM42" i="43"/>
  <c r="AP42" i="43"/>
  <c r="AL42" i="43"/>
  <c r="AD42" i="43"/>
  <c r="AN42" i="43"/>
  <c r="AE42" i="43"/>
  <c r="AO42" i="43"/>
  <c r="AC42" i="43"/>
  <c r="AB42" i="43"/>
  <c r="AA42" i="43"/>
  <c r="Y42" i="43"/>
  <c r="Z42" i="43"/>
  <c r="W42" i="43"/>
  <c r="U42" i="43"/>
  <c r="X42" i="43"/>
  <c r="V42" i="43"/>
  <c r="S42" i="43"/>
  <c r="Q42" i="43"/>
  <c r="R42" i="43"/>
  <c r="E286" i="45"/>
  <c r="E287" i="45" s="1"/>
  <c r="T42" i="43"/>
  <c r="P42" i="43"/>
  <c r="AK27" i="43"/>
  <c r="R27" i="43"/>
  <c r="AP27" i="43"/>
  <c r="AI27" i="43"/>
  <c r="Z27" i="43"/>
  <c r="P27" i="43"/>
  <c r="AE27" i="43"/>
  <c r="I29" i="48" s="1"/>
  <c r="AO27" i="43"/>
  <c r="AB27" i="43"/>
  <c r="X27" i="43"/>
  <c r="AF27" i="43"/>
  <c r="V27" i="43"/>
  <c r="AD27" i="43"/>
  <c r="Y27" i="43"/>
  <c r="AH27" i="43"/>
  <c r="T27" i="43"/>
  <c r="AJ27" i="43"/>
  <c r="Q27" i="43"/>
  <c r="W27" i="43"/>
  <c r="AG27" i="43"/>
  <c r="U27" i="43"/>
  <c r="AL27" i="43"/>
  <c r="AA27" i="43"/>
  <c r="AN27" i="43"/>
  <c r="AM27" i="43"/>
  <c r="S27" i="43"/>
  <c r="AC27" i="43"/>
  <c r="H29" i="48" s="1"/>
  <c r="K59" i="43"/>
  <c r="L62" i="48" s="1"/>
  <c r="F62" i="48"/>
  <c r="E26" i="57" s="1"/>
  <c r="H17" i="60"/>
  <c r="H19" i="60" s="1"/>
  <c r="L17" i="60"/>
  <c r="L19" i="60" s="1"/>
  <c r="E25" i="57" l="1"/>
  <c r="E24" i="57"/>
  <c r="L59" i="48"/>
  <c r="L60" i="48"/>
  <c r="I59" i="48"/>
  <c r="I60" i="48"/>
  <c r="H59" i="48"/>
  <c r="P59" i="48" s="1"/>
  <c r="F24" i="57" s="1"/>
  <c r="H60" i="48"/>
  <c r="H52" i="48"/>
  <c r="P52" i="48" s="1"/>
  <c r="H53" i="48"/>
  <c r="I52" i="48"/>
  <c r="I53" i="48"/>
  <c r="L52" i="48"/>
  <c r="L53" i="48"/>
  <c r="E17" i="57"/>
  <c r="AF46" i="48"/>
  <c r="P29" i="48"/>
  <c r="O29" i="48"/>
  <c r="H45" i="45"/>
  <c r="H282" i="45"/>
  <c r="I283" i="45" s="1"/>
  <c r="Q45" i="45"/>
  <c r="Q282" i="45"/>
  <c r="R283" i="45" s="1"/>
  <c r="P36" i="45"/>
  <c r="P257" i="45"/>
  <c r="Q258" i="45" s="1"/>
  <c r="N36" i="45"/>
  <c r="N257" i="45"/>
  <c r="O258" i="45" s="1"/>
  <c r="M45" i="45"/>
  <c r="M282" i="45"/>
  <c r="N283" i="45" s="1"/>
  <c r="N45" i="45"/>
  <c r="N282" i="45"/>
  <c r="O283" i="45" s="1"/>
  <c r="O36" i="45"/>
  <c r="O257" i="45"/>
  <c r="P258" i="45" s="1"/>
  <c r="J36" i="45"/>
  <c r="J257" i="45"/>
  <c r="K258" i="45" s="1"/>
  <c r="K257" i="45"/>
  <c r="L258" i="45" s="1"/>
  <c r="K36" i="45"/>
  <c r="Q36" i="45"/>
  <c r="Q257" i="45"/>
  <c r="R258" i="45" s="1"/>
  <c r="E45" i="45"/>
  <c r="E282" i="45"/>
  <c r="F283" i="45" s="1"/>
  <c r="F45" i="45"/>
  <c r="F282" i="45"/>
  <c r="G283" i="45" s="1"/>
  <c r="J45" i="45"/>
  <c r="J282" i="45"/>
  <c r="K283" i="45" s="1"/>
  <c r="P45" i="45"/>
  <c r="P282" i="45"/>
  <c r="Q283" i="45" s="1"/>
  <c r="T282" i="45"/>
  <c r="T45" i="45"/>
  <c r="I43" i="48"/>
  <c r="I257" i="45"/>
  <c r="J258" i="45" s="1"/>
  <c r="I36" i="45"/>
  <c r="S257" i="45"/>
  <c r="T258" i="45" s="1"/>
  <c r="S36" i="45"/>
  <c r="E36" i="45"/>
  <c r="E257" i="45"/>
  <c r="F258" i="45" s="1"/>
  <c r="G40" i="45"/>
  <c r="G239" i="45"/>
  <c r="H240" i="45" s="1"/>
  <c r="H244" i="45" s="1"/>
  <c r="N40" i="45"/>
  <c r="N239" i="45"/>
  <c r="O240" i="45" s="1"/>
  <c r="O244" i="45" s="1"/>
  <c r="J40" i="45"/>
  <c r="J239" i="45"/>
  <c r="K240" i="45" s="1"/>
  <c r="K244" i="45" s="1"/>
  <c r="H40" i="45"/>
  <c r="H239" i="45"/>
  <c r="I240" i="45" s="1"/>
  <c r="I244" i="45" s="1"/>
  <c r="T40" i="45"/>
  <c r="T239" i="45"/>
  <c r="I38" i="48"/>
  <c r="G38" i="45"/>
  <c r="G227" i="45"/>
  <c r="H228" i="45" s="1"/>
  <c r="H232" i="45" s="1"/>
  <c r="E38" i="45"/>
  <c r="E227" i="45"/>
  <c r="F228" i="45" s="1"/>
  <c r="F232" i="45" s="1"/>
  <c r="P227" i="45"/>
  <c r="Q228" i="45" s="1"/>
  <c r="Q232" i="45" s="1"/>
  <c r="P38" i="45"/>
  <c r="Q227" i="45"/>
  <c r="R228" i="45" s="1"/>
  <c r="R232" i="45" s="1"/>
  <c r="Q38" i="45"/>
  <c r="H37" i="45"/>
  <c r="H221" i="45"/>
  <c r="I222" i="45" s="1"/>
  <c r="I226" i="45" s="1"/>
  <c r="L37" i="45"/>
  <c r="L221" i="45"/>
  <c r="M222" i="45" s="1"/>
  <c r="M226" i="45" s="1"/>
  <c r="P37" i="45"/>
  <c r="P221" i="45"/>
  <c r="Q222" i="45" s="1"/>
  <c r="Q226" i="45" s="1"/>
  <c r="R37" i="45"/>
  <c r="H33" i="48"/>
  <c r="R221" i="45"/>
  <c r="S222" i="45" s="1"/>
  <c r="S226" i="45" s="1"/>
  <c r="T221" i="45"/>
  <c r="T37" i="45"/>
  <c r="I33" i="48"/>
  <c r="AF37" i="48"/>
  <c r="E37" i="57"/>
  <c r="T28" i="45"/>
  <c r="I25" i="48"/>
  <c r="T179" i="45"/>
  <c r="T71" i="45"/>
  <c r="T73" i="45" s="1"/>
  <c r="T174" i="45" s="1"/>
  <c r="G71" i="45"/>
  <c r="G73" i="45" s="1"/>
  <c r="G28" i="45"/>
  <c r="G179" i="45"/>
  <c r="J71" i="45"/>
  <c r="J73" i="45" s="1"/>
  <c r="J28" i="45"/>
  <c r="J179" i="45"/>
  <c r="L28" i="45"/>
  <c r="L71" i="45"/>
  <c r="L73" i="45" s="1"/>
  <c r="L179" i="45"/>
  <c r="S28" i="45"/>
  <c r="S71" i="45"/>
  <c r="S73" i="45" s="1"/>
  <c r="S179" i="45"/>
  <c r="B10" i="47"/>
  <c r="C4" i="47"/>
  <c r="E300" i="45"/>
  <c r="F301" i="45" s="1"/>
  <c r="E48" i="45"/>
  <c r="G300" i="45"/>
  <c r="H301" i="45" s="1"/>
  <c r="G48" i="45"/>
  <c r="N300" i="45"/>
  <c r="O301" i="45" s="1"/>
  <c r="N48" i="45"/>
  <c r="S48" i="45"/>
  <c r="S300" i="45"/>
  <c r="T301" i="45" s="1"/>
  <c r="I44" i="45"/>
  <c r="I276" i="45"/>
  <c r="J277" i="45" s="1"/>
  <c r="F276" i="45"/>
  <c r="G277" i="45" s="1"/>
  <c r="F44" i="45"/>
  <c r="P44" i="45"/>
  <c r="P276" i="45"/>
  <c r="Q277" i="45" s="1"/>
  <c r="I42" i="48"/>
  <c r="T276" i="45"/>
  <c r="T44" i="45"/>
  <c r="H35" i="45"/>
  <c r="H251" i="45"/>
  <c r="I252" i="45" s="1"/>
  <c r="I256" i="45" s="1"/>
  <c r="N35" i="45"/>
  <c r="N251" i="45"/>
  <c r="O252" i="45" s="1"/>
  <c r="O256" i="45" s="1"/>
  <c r="P35" i="45"/>
  <c r="P251" i="45"/>
  <c r="Q252" i="45" s="1"/>
  <c r="Q256" i="45" s="1"/>
  <c r="H343" i="45"/>
  <c r="H57" i="45"/>
  <c r="E57" i="45"/>
  <c r="E343" i="45"/>
  <c r="M57" i="45"/>
  <c r="M343" i="45"/>
  <c r="P57" i="45"/>
  <c r="P343" i="45"/>
  <c r="G42" i="45"/>
  <c r="G264" i="45"/>
  <c r="I42" i="45"/>
  <c r="I264" i="45"/>
  <c r="O42" i="45"/>
  <c r="O264" i="45"/>
  <c r="S264" i="45"/>
  <c r="S42" i="45"/>
  <c r="I40" i="48"/>
  <c r="T264" i="45"/>
  <c r="T42" i="45"/>
  <c r="H26" i="48"/>
  <c r="R29" i="45"/>
  <c r="R185" i="45"/>
  <c r="S186" i="45" s="1"/>
  <c r="G29" i="45"/>
  <c r="G185" i="45"/>
  <c r="H186" i="45" s="1"/>
  <c r="E29" i="45"/>
  <c r="E185" i="45"/>
  <c r="F186" i="45" s="1"/>
  <c r="F46" i="45"/>
  <c r="F288" i="45"/>
  <c r="G289" i="45" s="1"/>
  <c r="I46" i="45"/>
  <c r="I288" i="45"/>
  <c r="J289" i="45" s="1"/>
  <c r="N288" i="45"/>
  <c r="O289" i="45" s="1"/>
  <c r="N46" i="45"/>
  <c r="R46" i="45"/>
  <c r="R288" i="45"/>
  <c r="S289" i="45" s="1"/>
  <c r="H44" i="48"/>
  <c r="T288" i="45"/>
  <c r="T46" i="45"/>
  <c r="I44" i="48"/>
  <c r="G52" i="45"/>
  <c r="G324" i="45"/>
  <c r="H325" i="45" s="1"/>
  <c r="L52" i="45"/>
  <c r="L324" i="45"/>
  <c r="M325" i="45" s="1"/>
  <c r="M324" i="45"/>
  <c r="N325" i="45" s="1"/>
  <c r="M52" i="45"/>
  <c r="R52" i="45"/>
  <c r="R324" i="45"/>
  <c r="S325" i="45" s="1"/>
  <c r="H51" i="48"/>
  <c r="I50" i="45"/>
  <c r="I312" i="45"/>
  <c r="J313" i="45" s="1"/>
  <c r="J50" i="45"/>
  <c r="J312" i="45"/>
  <c r="K313" i="45" s="1"/>
  <c r="N312" i="45"/>
  <c r="O313" i="45" s="1"/>
  <c r="N50" i="45"/>
  <c r="H49" i="48"/>
  <c r="R312" i="45"/>
  <c r="S313" i="45" s="1"/>
  <c r="R50" i="45"/>
  <c r="F318" i="45"/>
  <c r="G319" i="45" s="1"/>
  <c r="F51" i="45"/>
  <c r="N51" i="45"/>
  <c r="N318" i="45"/>
  <c r="O319" i="45" s="1"/>
  <c r="R318" i="45"/>
  <c r="S319" i="45" s="1"/>
  <c r="R51" i="45"/>
  <c r="H50" i="48"/>
  <c r="T51" i="45"/>
  <c r="I50" i="48"/>
  <c r="T318" i="45"/>
  <c r="S51" i="45"/>
  <c r="S318" i="45"/>
  <c r="T319" i="45" s="1"/>
  <c r="E39" i="45"/>
  <c r="E233" i="45"/>
  <c r="F234" i="45" s="1"/>
  <c r="F238" i="45" s="1"/>
  <c r="J39" i="45"/>
  <c r="J233" i="45"/>
  <c r="K234" i="45" s="1"/>
  <c r="K238" i="45" s="1"/>
  <c r="N39" i="45"/>
  <c r="N233" i="45"/>
  <c r="O234" i="45" s="1"/>
  <c r="O238" i="45" s="1"/>
  <c r="R39" i="45"/>
  <c r="H35" i="48"/>
  <c r="R233" i="45"/>
  <c r="S234" i="45" s="1"/>
  <c r="S238" i="45" s="1"/>
  <c r="I294" i="45"/>
  <c r="J295" i="45" s="1"/>
  <c r="I47" i="45"/>
  <c r="O47" i="45"/>
  <c r="O294" i="45"/>
  <c r="P295" i="45" s="1"/>
  <c r="R47" i="45"/>
  <c r="R294" i="45"/>
  <c r="S295" i="45" s="1"/>
  <c r="H45" i="48"/>
  <c r="G49" i="45"/>
  <c r="G306" i="45"/>
  <c r="H307" i="45" s="1"/>
  <c r="J306" i="45"/>
  <c r="K307" i="45" s="1"/>
  <c r="J49" i="45"/>
  <c r="Q49" i="45"/>
  <c r="Q306" i="45"/>
  <c r="R307" i="45" s="1"/>
  <c r="Q59" i="45"/>
  <c r="Q355" i="45"/>
  <c r="R356" i="45" s="1"/>
  <c r="I59" i="45"/>
  <c r="I355" i="45"/>
  <c r="J356" i="45" s="1"/>
  <c r="T355" i="45"/>
  <c r="I62" i="48"/>
  <c r="T59" i="45"/>
  <c r="H30" i="45"/>
  <c r="H191" i="45"/>
  <c r="I192" i="45" s="1"/>
  <c r="F30" i="45"/>
  <c r="F191" i="45"/>
  <c r="G192" i="45" s="1"/>
  <c r="M30" i="45"/>
  <c r="M191" i="45"/>
  <c r="N192" i="45" s="1"/>
  <c r="Q191" i="45"/>
  <c r="R192" i="45" s="1"/>
  <c r="Q30" i="45"/>
  <c r="F31" i="45"/>
  <c r="F197" i="45"/>
  <c r="G198" i="45" s="1"/>
  <c r="S197" i="45"/>
  <c r="T198" i="45" s="1"/>
  <c r="S31" i="45"/>
  <c r="G197" i="45"/>
  <c r="H198" i="45" s="1"/>
  <c r="G31" i="45"/>
  <c r="E197" i="45"/>
  <c r="F198" i="45" s="1"/>
  <c r="E31" i="45"/>
  <c r="I197" i="45"/>
  <c r="J198" i="45" s="1"/>
  <c r="I31" i="45"/>
  <c r="G58" i="45"/>
  <c r="G349" i="45"/>
  <c r="H350" i="45" s="1"/>
  <c r="O58" i="45"/>
  <c r="O349" i="45"/>
  <c r="P350" i="45" s="1"/>
  <c r="H58" i="48"/>
  <c r="R349" i="45"/>
  <c r="S350" i="45" s="1"/>
  <c r="R58" i="45"/>
  <c r="I45" i="45"/>
  <c r="I282" i="45"/>
  <c r="J283" i="45" s="1"/>
  <c r="L45" i="45"/>
  <c r="L282" i="45"/>
  <c r="M283" i="45" s="1"/>
  <c r="R257" i="45"/>
  <c r="S258" i="45" s="1"/>
  <c r="R36" i="45"/>
  <c r="H37" i="48"/>
  <c r="F257" i="45"/>
  <c r="G258" i="45" s="1"/>
  <c r="F36" i="45"/>
  <c r="H36" i="45"/>
  <c r="H257" i="45"/>
  <c r="I258" i="45" s="1"/>
  <c r="L36" i="45"/>
  <c r="L257" i="45"/>
  <c r="M258" i="45" s="1"/>
  <c r="I40" i="45"/>
  <c r="I239" i="45"/>
  <c r="J240" i="45" s="1"/>
  <c r="J244" i="45" s="1"/>
  <c r="P40" i="45"/>
  <c r="P239" i="45"/>
  <c r="Q240" i="45" s="1"/>
  <c r="Q244" i="45" s="1"/>
  <c r="H38" i="48"/>
  <c r="R40" i="45"/>
  <c r="R239" i="45"/>
  <c r="S240" i="45" s="1"/>
  <c r="S244" i="45" s="1"/>
  <c r="O239" i="45"/>
  <c r="P240" i="45" s="1"/>
  <c r="P244" i="45" s="1"/>
  <c r="O40" i="45"/>
  <c r="E32" i="57"/>
  <c r="AF27" i="48"/>
  <c r="J38" i="45"/>
  <c r="J227" i="45"/>
  <c r="K228" i="45" s="1"/>
  <c r="K232" i="45" s="1"/>
  <c r="I38" i="45"/>
  <c r="I227" i="45"/>
  <c r="J228" i="45" s="1"/>
  <c r="J232" i="45" s="1"/>
  <c r="O38" i="45"/>
  <c r="O227" i="45"/>
  <c r="P228" i="45" s="1"/>
  <c r="P232" i="45" s="1"/>
  <c r="S38" i="45"/>
  <c r="S227" i="45"/>
  <c r="T228" i="45" s="1"/>
  <c r="T232" i="45" s="1"/>
  <c r="K37" i="45"/>
  <c r="K221" i="45"/>
  <c r="L222" i="45" s="1"/>
  <c r="L226" i="45" s="1"/>
  <c r="M37" i="45"/>
  <c r="M221" i="45"/>
  <c r="N222" i="45" s="1"/>
  <c r="N226" i="45" s="1"/>
  <c r="S37" i="45"/>
  <c r="S221" i="45"/>
  <c r="T222" i="45" s="1"/>
  <c r="T226" i="45" s="1"/>
  <c r="B46" i="47"/>
  <c r="B42" i="47" s="1"/>
  <c r="B41" i="47" s="1"/>
  <c r="B38" i="47" s="1"/>
  <c r="B37" i="47" s="1"/>
  <c r="C45" i="47"/>
  <c r="H71" i="45"/>
  <c r="H73" i="45" s="1"/>
  <c r="H28" i="45"/>
  <c r="H179" i="45"/>
  <c r="M71" i="45"/>
  <c r="M73" i="45" s="1"/>
  <c r="M28" i="45"/>
  <c r="M179" i="45"/>
  <c r="K179" i="45"/>
  <c r="K28" i="45"/>
  <c r="K71" i="45"/>
  <c r="K73" i="45" s="1"/>
  <c r="M48" i="45"/>
  <c r="M300" i="45"/>
  <c r="N301" i="45" s="1"/>
  <c r="O300" i="45"/>
  <c r="P301" i="45" s="1"/>
  <c r="O48" i="45"/>
  <c r="Q300" i="45"/>
  <c r="R301" i="45" s="1"/>
  <c r="Q48" i="45"/>
  <c r="J300" i="45"/>
  <c r="K301" i="45" s="1"/>
  <c r="J48" i="45"/>
  <c r="H48" i="45"/>
  <c r="H300" i="45"/>
  <c r="I301" i="45" s="1"/>
  <c r="E44" i="45"/>
  <c r="E276" i="45"/>
  <c r="F277" i="45" s="1"/>
  <c r="J44" i="45"/>
  <c r="J276" i="45"/>
  <c r="K277" i="45" s="1"/>
  <c r="K276" i="45"/>
  <c r="L277" i="45" s="1"/>
  <c r="K44" i="45"/>
  <c r="Q276" i="45"/>
  <c r="R277" i="45" s="1"/>
  <c r="Q44" i="45"/>
  <c r="G35" i="45"/>
  <c r="G251" i="45"/>
  <c r="H252" i="45" s="1"/>
  <c r="H256" i="45" s="1"/>
  <c r="E35" i="45"/>
  <c r="E251" i="45"/>
  <c r="F252" i="45" s="1"/>
  <c r="F256" i="45" s="1"/>
  <c r="J35" i="45"/>
  <c r="J251" i="45"/>
  <c r="K252" i="45" s="1"/>
  <c r="K256" i="45" s="1"/>
  <c r="H36" i="48"/>
  <c r="R35" i="45"/>
  <c r="R251" i="45"/>
  <c r="S252" i="45" s="1"/>
  <c r="S256" i="45" s="1"/>
  <c r="I343" i="45"/>
  <c r="I57" i="45"/>
  <c r="N343" i="45"/>
  <c r="N57" i="45"/>
  <c r="Q343" i="45"/>
  <c r="Q57" i="45"/>
  <c r="T343" i="45"/>
  <c r="I61" i="48"/>
  <c r="T57" i="45"/>
  <c r="E42" i="45"/>
  <c r="E264" i="45"/>
  <c r="J264" i="45"/>
  <c r="J42" i="45"/>
  <c r="P42" i="45"/>
  <c r="P264" i="45"/>
  <c r="N42" i="45"/>
  <c r="N264" i="45"/>
  <c r="B36" i="47"/>
  <c r="C35" i="47"/>
  <c r="M29" i="45"/>
  <c r="M185" i="45"/>
  <c r="N186" i="45" s="1"/>
  <c r="L29" i="45"/>
  <c r="L185" i="45"/>
  <c r="M186" i="45" s="1"/>
  <c r="S29" i="45"/>
  <c r="S185" i="45"/>
  <c r="T186" i="45" s="1"/>
  <c r="O185" i="45"/>
  <c r="P186" i="45" s="1"/>
  <c r="O29" i="45"/>
  <c r="I29" i="45"/>
  <c r="I185" i="45"/>
  <c r="J186" i="45" s="1"/>
  <c r="G46" i="45"/>
  <c r="G288" i="45"/>
  <c r="H289" i="45" s="1"/>
  <c r="O46" i="45"/>
  <c r="O288" i="45"/>
  <c r="P289" i="45" s="1"/>
  <c r="K288" i="45"/>
  <c r="L289" i="45" s="1"/>
  <c r="K46" i="45"/>
  <c r="S46" i="45"/>
  <c r="S288" i="45"/>
  <c r="T289" i="45" s="1"/>
  <c r="K52" i="45"/>
  <c r="K324" i="45"/>
  <c r="L325" i="45" s="1"/>
  <c r="Q52" i="45"/>
  <c r="Q324" i="45"/>
  <c r="R325" i="45" s="1"/>
  <c r="K50" i="45"/>
  <c r="K312" i="45"/>
  <c r="L313" i="45" s="1"/>
  <c r="O50" i="45"/>
  <c r="O312" i="45"/>
  <c r="P313" i="45" s="1"/>
  <c r="S50" i="45"/>
  <c r="S312" i="45"/>
  <c r="T313" i="45" s="1"/>
  <c r="I51" i="45"/>
  <c r="I318" i="45"/>
  <c r="J319" i="45" s="1"/>
  <c r="K51" i="45"/>
  <c r="K318" i="45"/>
  <c r="L319" i="45" s="1"/>
  <c r="P51" i="45"/>
  <c r="P318" i="45"/>
  <c r="Q319" i="45" s="1"/>
  <c r="M39" i="45"/>
  <c r="M233" i="45"/>
  <c r="N234" i="45" s="1"/>
  <c r="N238" i="45" s="1"/>
  <c r="G233" i="45"/>
  <c r="H234" i="45" s="1"/>
  <c r="H238" i="45" s="1"/>
  <c r="G39" i="45"/>
  <c r="O39" i="45"/>
  <c r="O233" i="45"/>
  <c r="P234" i="45" s="1"/>
  <c r="P238" i="45" s="1"/>
  <c r="S39" i="45"/>
  <c r="S233" i="45"/>
  <c r="T234" i="45" s="1"/>
  <c r="T238" i="45" s="1"/>
  <c r="E294" i="45"/>
  <c r="F295" i="45" s="1"/>
  <c r="E47" i="45"/>
  <c r="J47" i="45"/>
  <c r="J294" i="45"/>
  <c r="K295" i="45" s="1"/>
  <c r="M294" i="45"/>
  <c r="N295" i="45" s="1"/>
  <c r="M47" i="45"/>
  <c r="P294" i="45"/>
  <c r="Q295" i="45" s="1"/>
  <c r="P47" i="45"/>
  <c r="H49" i="45"/>
  <c r="H306" i="45"/>
  <c r="I307" i="45" s="1"/>
  <c r="K49" i="45"/>
  <c r="K306" i="45"/>
  <c r="L307" i="45" s="1"/>
  <c r="N306" i="45"/>
  <c r="O307" i="45" s="1"/>
  <c r="N49" i="45"/>
  <c r="H48" i="48"/>
  <c r="R49" i="45"/>
  <c r="R306" i="45"/>
  <c r="S307" i="45" s="1"/>
  <c r="T306" i="45"/>
  <c r="T49" i="45"/>
  <c r="I48" i="48"/>
  <c r="K59" i="45"/>
  <c r="K355" i="45"/>
  <c r="L356" i="45" s="1"/>
  <c r="O59" i="45"/>
  <c r="O355" i="45"/>
  <c r="P356" i="45" s="1"/>
  <c r="G59" i="45"/>
  <c r="G355" i="45"/>
  <c r="H356" i="45" s="1"/>
  <c r="J30" i="45"/>
  <c r="J191" i="45"/>
  <c r="K192" i="45" s="1"/>
  <c r="G191" i="45"/>
  <c r="H192" i="45" s="1"/>
  <c r="G30" i="45"/>
  <c r="P30" i="45"/>
  <c r="P191" i="45"/>
  <c r="Q192" i="45" s="1"/>
  <c r="S30" i="45"/>
  <c r="S191" i="45"/>
  <c r="T192" i="45" s="1"/>
  <c r="AF52" i="48"/>
  <c r="E15" i="57"/>
  <c r="K197" i="45"/>
  <c r="L198" i="45" s="1"/>
  <c r="K31" i="45"/>
  <c r="M31" i="45"/>
  <c r="M197" i="45"/>
  <c r="N198" i="45" s="1"/>
  <c r="L197" i="45"/>
  <c r="M198" i="45" s="1"/>
  <c r="L31" i="45"/>
  <c r="H31" i="45"/>
  <c r="H197" i="45"/>
  <c r="I198" i="45" s="1"/>
  <c r="E58" i="45"/>
  <c r="E349" i="45"/>
  <c r="F350" i="45" s="1"/>
  <c r="F349" i="45"/>
  <c r="G350" i="45" s="1"/>
  <c r="F58" i="45"/>
  <c r="J349" i="45"/>
  <c r="K350" i="45" s="1"/>
  <c r="J58" i="45"/>
  <c r="S349" i="45"/>
  <c r="T350" i="45" s="1"/>
  <c r="S58" i="45"/>
  <c r="K45" i="45"/>
  <c r="K282" i="45"/>
  <c r="L283" i="45" s="1"/>
  <c r="S45" i="45"/>
  <c r="S282" i="45"/>
  <c r="T283" i="45" s="1"/>
  <c r="M257" i="45"/>
  <c r="N258" i="45" s="1"/>
  <c r="M36" i="45"/>
  <c r="E12" i="57"/>
  <c r="AF50" i="48"/>
  <c r="L40" i="45"/>
  <c r="L239" i="45"/>
  <c r="M240" i="45" s="1"/>
  <c r="M244" i="45" s="1"/>
  <c r="E40" i="45"/>
  <c r="E239" i="45"/>
  <c r="F240" i="45" s="1"/>
  <c r="F244" i="45" s="1"/>
  <c r="F40" i="45"/>
  <c r="F239" i="45"/>
  <c r="G240" i="45" s="1"/>
  <c r="G244" i="45" s="1"/>
  <c r="Q40" i="45"/>
  <c r="Q239" i="45"/>
  <c r="R240" i="45" s="1"/>
  <c r="R244" i="45" s="1"/>
  <c r="E34" i="57"/>
  <c r="AF29" i="48"/>
  <c r="P46" i="48"/>
  <c r="O46" i="48"/>
  <c r="K38" i="45"/>
  <c r="K227" i="45"/>
  <c r="L228" i="45" s="1"/>
  <c r="L232" i="45" s="1"/>
  <c r="L38" i="45"/>
  <c r="L227" i="45"/>
  <c r="M228" i="45" s="1"/>
  <c r="M232" i="45" s="1"/>
  <c r="M38" i="45"/>
  <c r="M227" i="45"/>
  <c r="N228" i="45" s="1"/>
  <c r="N232" i="45" s="1"/>
  <c r="T38" i="45"/>
  <c r="I34" i="48"/>
  <c r="T227" i="45"/>
  <c r="E37" i="45"/>
  <c r="E221" i="45"/>
  <c r="F222" i="45" s="1"/>
  <c r="F226" i="45" s="1"/>
  <c r="G221" i="45"/>
  <c r="H222" i="45" s="1"/>
  <c r="H226" i="45" s="1"/>
  <c r="G37" i="45"/>
  <c r="O37" i="45"/>
  <c r="O221" i="45"/>
  <c r="P222" i="45" s="1"/>
  <c r="P226" i="45" s="1"/>
  <c r="N37" i="45"/>
  <c r="N221" i="45"/>
  <c r="O222" i="45" s="1"/>
  <c r="O226" i="45" s="1"/>
  <c r="AC3" i="43"/>
  <c r="H6" i="48" s="1"/>
  <c r="Z3" i="43"/>
  <c r="AA3" i="43"/>
  <c r="T3" i="43"/>
  <c r="Q3" i="43"/>
  <c r="S3" i="43"/>
  <c r="X3" i="43"/>
  <c r="W3" i="43"/>
  <c r="R3" i="43"/>
  <c r="P3" i="43"/>
  <c r="Y3" i="43"/>
  <c r="AB3" i="43"/>
  <c r="V3" i="43"/>
  <c r="U3" i="43"/>
  <c r="Q28" i="45"/>
  <c r="Q71" i="45"/>
  <c r="Q73" i="45" s="1"/>
  <c r="Q179" i="45"/>
  <c r="I71" i="45"/>
  <c r="I73" i="45" s="1"/>
  <c r="I28" i="45"/>
  <c r="I179" i="45"/>
  <c r="P71" i="45"/>
  <c r="P73" i="45" s="1"/>
  <c r="P28" i="45"/>
  <c r="P179" i="45"/>
  <c r="D32" i="60"/>
  <c r="R30" i="60"/>
  <c r="F48" i="45"/>
  <c r="F300" i="45"/>
  <c r="G301" i="45" s="1"/>
  <c r="K300" i="45"/>
  <c r="L301" i="45" s="1"/>
  <c r="K48" i="45"/>
  <c r="G44" i="45"/>
  <c r="G276" i="45"/>
  <c r="H277" i="45" s="1"/>
  <c r="M44" i="45"/>
  <c r="M276" i="45"/>
  <c r="N277" i="45" s="1"/>
  <c r="L44" i="45"/>
  <c r="L276" i="45"/>
  <c r="M277" i="45" s="1"/>
  <c r="R44" i="45"/>
  <c r="R276" i="45"/>
  <c r="S277" i="45" s="1"/>
  <c r="H42" i="48"/>
  <c r="F35" i="45"/>
  <c r="F251" i="45"/>
  <c r="G252" i="45" s="1"/>
  <c r="G256" i="45" s="1"/>
  <c r="L35" i="45"/>
  <c r="L251" i="45"/>
  <c r="M252" i="45" s="1"/>
  <c r="M256" i="45" s="1"/>
  <c r="K35" i="45"/>
  <c r="K251" i="45"/>
  <c r="L252" i="45" s="1"/>
  <c r="L256" i="45" s="1"/>
  <c r="Q35" i="45"/>
  <c r="Q251" i="45"/>
  <c r="R252" i="45" s="1"/>
  <c r="R256" i="45" s="1"/>
  <c r="G57" i="45"/>
  <c r="G343" i="45"/>
  <c r="K343" i="45"/>
  <c r="K57" i="45"/>
  <c r="J57" i="45"/>
  <c r="J343" i="45"/>
  <c r="H61" i="48"/>
  <c r="R343" i="45"/>
  <c r="R57" i="45"/>
  <c r="S57" i="45"/>
  <c r="S343" i="45"/>
  <c r="F42" i="45"/>
  <c r="F264" i="45"/>
  <c r="K264" i="45"/>
  <c r="K42" i="45"/>
  <c r="M42" i="45"/>
  <c r="M264" i="45"/>
  <c r="R42" i="45"/>
  <c r="H40" i="48"/>
  <c r="R264" i="45"/>
  <c r="D17" i="60"/>
  <c r="R13" i="60"/>
  <c r="T29" i="45"/>
  <c r="T185" i="45"/>
  <c r="I26" i="48"/>
  <c r="J29" i="45"/>
  <c r="J185" i="45"/>
  <c r="K186" i="45" s="1"/>
  <c r="H29" i="45"/>
  <c r="H185" i="45"/>
  <c r="I186" i="45" s="1"/>
  <c r="N185" i="45"/>
  <c r="O186" i="45" s="1"/>
  <c r="N29" i="45"/>
  <c r="F29" i="45"/>
  <c r="F185" i="45"/>
  <c r="G186" i="45" s="1"/>
  <c r="E46" i="45"/>
  <c r="E288" i="45"/>
  <c r="F289" i="45" s="1"/>
  <c r="H46" i="45"/>
  <c r="H288" i="45"/>
  <c r="I289" i="45" s="1"/>
  <c r="L46" i="45"/>
  <c r="L288" i="45"/>
  <c r="M289" i="45" s="1"/>
  <c r="P46" i="45"/>
  <c r="P288" i="45"/>
  <c r="Q289" i="45" s="1"/>
  <c r="E52" i="45"/>
  <c r="E324" i="45"/>
  <c r="F325" i="45" s="1"/>
  <c r="F52" i="45"/>
  <c r="F324" i="45"/>
  <c r="G325" i="45" s="1"/>
  <c r="N52" i="45"/>
  <c r="N324" i="45"/>
  <c r="O325" i="45" s="1"/>
  <c r="P52" i="45"/>
  <c r="P324" i="45"/>
  <c r="Q325" i="45" s="1"/>
  <c r="T52" i="45"/>
  <c r="T324" i="45"/>
  <c r="I51" i="48"/>
  <c r="S52" i="45"/>
  <c r="S324" i="45"/>
  <c r="T325" i="45" s="1"/>
  <c r="E312" i="45"/>
  <c r="F313" i="45" s="1"/>
  <c r="E50" i="45"/>
  <c r="G50" i="45"/>
  <c r="G312" i="45"/>
  <c r="H313" i="45" s="1"/>
  <c r="M50" i="45"/>
  <c r="M312" i="45"/>
  <c r="N313" i="45" s="1"/>
  <c r="P312" i="45"/>
  <c r="Q313" i="45" s="1"/>
  <c r="P50" i="45"/>
  <c r="T312" i="45"/>
  <c r="T50" i="45"/>
  <c r="I49" i="48"/>
  <c r="E51" i="45"/>
  <c r="E318" i="45"/>
  <c r="F319" i="45" s="1"/>
  <c r="G51" i="45"/>
  <c r="G318" i="45"/>
  <c r="H319" i="45" s="1"/>
  <c r="L51" i="45"/>
  <c r="L318" i="45"/>
  <c r="M319" i="45" s="1"/>
  <c r="O51" i="45"/>
  <c r="O318" i="45"/>
  <c r="P319" i="45" s="1"/>
  <c r="H39" i="45"/>
  <c r="H233" i="45"/>
  <c r="I234" i="45" s="1"/>
  <c r="I238" i="45" s="1"/>
  <c r="K39" i="45"/>
  <c r="K233" i="45"/>
  <c r="L234" i="45" s="1"/>
  <c r="L238" i="45" s="1"/>
  <c r="Q39" i="45"/>
  <c r="Q233" i="45"/>
  <c r="R234" i="45" s="1"/>
  <c r="R238" i="45" s="1"/>
  <c r="F47" i="45"/>
  <c r="F294" i="45"/>
  <c r="G295" i="45" s="1"/>
  <c r="K47" i="45"/>
  <c r="K294" i="45"/>
  <c r="L295" i="45" s="1"/>
  <c r="N47" i="45"/>
  <c r="N294" i="45"/>
  <c r="O295" i="45" s="1"/>
  <c r="S294" i="45"/>
  <c r="T295" i="45" s="1"/>
  <c r="S47" i="45"/>
  <c r="I45" i="48"/>
  <c r="T47" i="45"/>
  <c r="T294" i="45"/>
  <c r="I49" i="45"/>
  <c r="I306" i="45"/>
  <c r="J307" i="45" s="1"/>
  <c r="L49" i="45"/>
  <c r="L306" i="45"/>
  <c r="M307" i="45" s="1"/>
  <c r="P306" i="45"/>
  <c r="Q307" i="45" s="1"/>
  <c r="P49" i="45"/>
  <c r="S306" i="45"/>
  <c r="T307" i="45" s="1"/>
  <c r="S49" i="45"/>
  <c r="M59" i="45"/>
  <c r="M355" i="45"/>
  <c r="N356" i="45" s="1"/>
  <c r="H355" i="45"/>
  <c r="I356" i="45" s="1"/>
  <c r="H59" i="45"/>
  <c r="J355" i="45"/>
  <c r="K356" i="45" s="1"/>
  <c r="J59" i="45"/>
  <c r="S59" i="45"/>
  <c r="S355" i="45"/>
  <c r="T356" i="45" s="1"/>
  <c r="R59" i="45"/>
  <c r="H62" i="48"/>
  <c r="R355" i="45"/>
  <c r="S356" i="45" s="1"/>
  <c r="L59" i="45"/>
  <c r="L355" i="45"/>
  <c r="M356" i="45" s="1"/>
  <c r="E30" i="45"/>
  <c r="E191" i="45"/>
  <c r="F192" i="45" s="1"/>
  <c r="I30" i="45"/>
  <c r="I191" i="45"/>
  <c r="J192" i="45" s="1"/>
  <c r="O30" i="45"/>
  <c r="O191" i="45"/>
  <c r="P192" i="45" s="1"/>
  <c r="E11" i="57"/>
  <c r="AF49" i="48"/>
  <c r="N31" i="45"/>
  <c r="N197" i="45"/>
  <c r="O198" i="45" s="1"/>
  <c r="I28" i="48"/>
  <c r="T31" i="45"/>
  <c r="T197" i="45"/>
  <c r="R31" i="45"/>
  <c r="H28" i="48"/>
  <c r="R197" i="45"/>
  <c r="S198" i="45" s="1"/>
  <c r="P31" i="45"/>
  <c r="P197" i="45"/>
  <c r="Q198" i="45" s="1"/>
  <c r="I58" i="45"/>
  <c r="I349" i="45"/>
  <c r="J350" i="45" s="1"/>
  <c r="M58" i="45"/>
  <c r="M349" i="45"/>
  <c r="N350" i="45" s="1"/>
  <c r="L58" i="45"/>
  <c r="L349" i="45"/>
  <c r="M350" i="45" s="1"/>
  <c r="P58" i="45"/>
  <c r="P349" i="45"/>
  <c r="Q350" i="45" s="1"/>
  <c r="T36" i="45"/>
  <c r="T257" i="45"/>
  <c r="I37" i="48"/>
  <c r="O45" i="45"/>
  <c r="O282" i="45"/>
  <c r="P283" i="45" s="1"/>
  <c r="R45" i="45"/>
  <c r="H43" i="48"/>
  <c r="R282" i="45"/>
  <c r="S283" i="45" s="1"/>
  <c r="G257" i="45"/>
  <c r="H258" i="45" s="1"/>
  <c r="G36" i="45"/>
  <c r="G45" i="45"/>
  <c r="G282" i="45"/>
  <c r="H283" i="45" s="1"/>
  <c r="M40" i="45"/>
  <c r="M239" i="45"/>
  <c r="N240" i="45" s="1"/>
  <c r="N244" i="45" s="1"/>
  <c r="K40" i="45"/>
  <c r="K239" i="45"/>
  <c r="L240" i="45" s="1"/>
  <c r="L244" i="45" s="1"/>
  <c r="S40" i="45"/>
  <c r="S239" i="45"/>
  <c r="T240" i="45" s="1"/>
  <c r="T244" i="45" s="1"/>
  <c r="F38" i="45"/>
  <c r="F227" i="45"/>
  <c r="G228" i="45" s="1"/>
  <c r="G232" i="45" s="1"/>
  <c r="H38" i="45"/>
  <c r="H227" i="45"/>
  <c r="I228" i="45" s="1"/>
  <c r="I232" i="45" s="1"/>
  <c r="N227" i="45"/>
  <c r="O228" i="45" s="1"/>
  <c r="O232" i="45" s="1"/>
  <c r="N38" i="45"/>
  <c r="H34" i="48"/>
  <c r="R38" i="45"/>
  <c r="R227" i="45"/>
  <c r="S228" i="45" s="1"/>
  <c r="S232" i="45" s="1"/>
  <c r="F37" i="45"/>
  <c r="F221" i="45"/>
  <c r="G222" i="45" s="1"/>
  <c r="G226" i="45" s="1"/>
  <c r="I221" i="45"/>
  <c r="J222" i="45" s="1"/>
  <c r="J226" i="45" s="1"/>
  <c r="I37" i="45"/>
  <c r="J37" i="45"/>
  <c r="J221" i="45"/>
  <c r="K222" i="45" s="1"/>
  <c r="K226" i="45" s="1"/>
  <c r="Q221" i="45"/>
  <c r="R222" i="45" s="1"/>
  <c r="R226" i="45" s="1"/>
  <c r="Q37" i="45"/>
  <c r="R28" i="45"/>
  <c r="H25" i="48"/>
  <c r="R179" i="45"/>
  <c r="R71" i="45"/>
  <c r="R73" i="45" s="1"/>
  <c r="O179" i="45"/>
  <c r="O28" i="45"/>
  <c r="O71" i="45"/>
  <c r="O73" i="45" s="1"/>
  <c r="E28" i="45"/>
  <c r="E71" i="45"/>
  <c r="E73" i="45" s="1"/>
  <c r="E179" i="45"/>
  <c r="F28" i="45"/>
  <c r="F71" i="45"/>
  <c r="F73" i="45" s="1"/>
  <c r="F179" i="45"/>
  <c r="N28" i="45"/>
  <c r="N71" i="45"/>
  <c r="N73" i="45" s="1"/>
  <c r="N179" i="45"/>
  <c r="T48" i="45"/>
  <c r="I47" i="48"/>
  <c r="T300" i="45"/>
  <c r="I300" i="45"/>
  <c r="J301" i="45" s="1"/>
  <c r="I48" i="45"/>
  <c r="R48" i="45"/>
  <c r="H47" i="48"/>
  <c r="R300" i="45"/>
  <c r="S301" i="45" s="1"/>
  <c r="P300" i="45"/>
  <c r="Q301" i="45" s="1"/>
  <c r="P48" i="45"/>
  <c r="L48" i="45"/>
  <c r="L300" i="45"/>
  <c r="M301" i="45" s="1"/>
  <c r="H44" i="45"/>
  <c r="H276" i="45"/>
  <c r="I277" i="45" s="1"/>
  <c r="N44" i="45"/>
  <c r="N276" i="45"/>
  <c r="O277" i="45" s="1"/>
  <c r="O44" i="45"/>
  <c r="O276" i="45"/>
  <c r="P277" i="45" s="1"/>
  <c r="S44" i="45"/>
  <c r="S276" i="45"/>
  <c r="T277" i="45" s="1"/>
  <c r="I35" i="45"/>
  <c r="I251" i="45"/>
  <c r="J252" i="45" s="1"/>
  <c r="J256" i="45" s="1"/>
  <c r="O35" i="45"/>
  <c r="O251" i="45"/>
  <c r="P252" i="45" s="1"/>
  <c r="P256" i="45" s="1"/>
  <c r="M251" i="45"/>
  <c r="N252" i="45" s="1"/>
  <c r="N256" i="45" s="1"/>
  <c r="M35" i="45"/>
  <c r="S35" i="45"/>
  <c r="S251" i="45"/>
  <c r="T252" i="45" s="1"/>
  <c r="T256" i="45" s="1"/>
  <c r="T35" i="45"/>
  <c r="T251" i="45"/>
  <c r="I36" i="48"/>
  <c r="F57" i="45"/>
  <c r="F343" i="45"/>
  <c r="L57" i="45"/>
  <c r="L343" i="45"/>
  <c r="O57" i="45"/>
  <c r="O343" i="45"/>
  <c r="H42" i="45"/>
  <c r="H264" i="45"/>
  <c r="L264" i="45"/>
  <c r="L42" i="45"/>
  <c r="Q264" i="45"/>
  <c r="Q42" i="45"/>
  <c r="AN4" i="43"/>
  <c r="AP4" i="43"/>
  <c r="AO4" i="43"/>
  <c r="AM4" i="43"/>
  <c r="AK4" i="43"/>
  <c r="AL4" i="43"/>
  <c r="C5" i="47"/>
  <c r="AF4" i="43"/>
  <c r="AH4" i="43"/>
  <c r="AJ4" i="43"/>
  <c r="AI4" i="43"/>
  <c r="AG4" i="43"/>
  <c r="AD4" i="43"/>
  <c r="S7" i="45" s="1"/>
  <c r="AE4" i="43"/>
  <c r="T7" i="45" s="1"/>
  <c r="AO5" i="43"/>
  <c r="AF5" i="43"/>
  <c r="AL5" i="43"/>
  <c r="S83" i="45"/>
  <c r="AE5" i="43"/>
  <c r="AH5" i="43"/>
  <c r="AM5" i="43"/>
  <c r="AI5" i="43"/>
  <c r="AG5" i="43"/>
  <c r="D6" i="31"/>
  <c r="AN5" i="43"/>
  <c r="AK5" i="43"/>
  <c r="AP5" i="43"/>
  <c r="BG3" i="43"/>
  <c r="AI3" i="43" s="1"/>
  <c r="AJ5" i="43"/>
  <c r="AD5" i="43"/>
  <c r="S88" i="45" s="1"/>
  <c r="K29" i="45"/>
  <c r="K185" i="45"/>
  <c r="L186" i="45" s="1"/>
  <c r="P29" i="45"/>
  <c r="P185" i="45"/>
  <c r="Q186" i="45" s="1"/>
  <c r="Q29" i="45"/>
  <c r="Q185" i="45"/>
  <c r="R186" i="45" s="1"/>
  <c r="J46" i="45"/>
  <c r="J288" i="45"/>
  <c r="K289" i="45" s="1"/>
  <c r="M46" i="45"/>
  <c r="M288" i="45"/>
  <c r="N289" i="45" s="1"/>
  <c r="Q288" i="45"/>
  <c r="R289" i="45" s="1"/>
  <c r="Q46" i="45"/>
  <c r="J52" i="45"/>
  <c r="J324" i="45"/>
  <c r="K325" i="45" s="1"/>
  <c r="I324" i="45"/>
  <c r="J325" i="45" s="1"/>
  <c r="I52" i="45"/>
  <c r="H52" i="45"/>
  <c r="H324" i="45"/>
  <c r="I325" i="45" s="1"/>
  <c r="O324" i="45"/>
  <c r="P325" i="45" s="1"/>
  <c r="O52" i="45"/>
  <c r="H312" i="45"/>
  <c r="I313" i="45" s="1"/>
  <c r="H50" i="45"/>
  <c r="F312" i="45"/>
  <c r="G313" i="45" s="1"/>
  <c r="F50" i="45"/>
  <c r="L312" i="45"/>
  <c r="M313" i="45" s="1"/>
  <c r="L50" i="45"/>
  <c r="Q50" i="45"/>
  <c r="Q312" i="45"/>
  <c r="R313" i="45" s="1"/>
  <c r="H51" i="45"/>
  <c r="H318" i="45"/>
  <c r="I319" i="45" s="1"/>
  <c r="J51" i="45"/>
  <c r="J318" i="45"/>
  <c r="K319" i="45" s="1"/>
  <c r="M51" i="45"/>
  <c r="M318" i="45"/>
  <c r="N319" i="45" s="1"/>
  <c r="Q51" i="45"/>
  <c r="Q318" i="45"/>
  <c r="R319" i="45" s="1"/>
  <c r="F39" i="45"/>
  <c r="F233" i="45"/>
  <c r="G234" i="45" s="1"/>
  <c r="G238" i="45" s="1"/>
  <c r="I39" i="45"/>
  <c r="I233" i="45"/>
  <c r="J234" i="45" s="1"/>
  <c r="J238" i="45" s="1"/>
  <c r="L39" i="45"/>
  <c r="L233" i="45"/>
  <c r="M234" i="45" s="1"/>
  <c r="M238" i="45" s="1"/>
  <c r="P233" i="45"/>
  <c r="Q234" i="45" s="1"/>
  <c r="Q238" i="45" s="1"/>
  <c r="P39" i="45"/>
  <c r="T39" i="45"/>
  <c r="T233" i="45"/>
  <c r="I35" i="48"/>
  <c r="G47" i="45"/>
  <c r="G294" i="45"/>
  <c r="H295" i="45" s="1"/>
  <c r="H47" i="45"/>
  <c r="H294" i="45"/>
  <c r="I295" i="45" s="1"/>
  <c r="L294" i="45"/>
  <c r="M295" i="45" s="1"/>
  <c r="L47" i="45"/>
  <c r="Q47" i="45"/>
  <c r="Q294" i="45"/>
  <c r="R295" i="45" s="1"/>
  <c r="E306" i="45"/>
  <c r="F307" i="45" s="1"/>
  <c r="E49" i="45"/>
  <c r="F49" i="45"/>
  <c r="F306" i="45"/>
  <c r="G307" i="45" s="1"/>
  <c r="M49" i="45"/>
  <c r="M306" i="45"/>
  <c r="N307" i="45" s="1"/>
  <c r="O49" i="45"/>
  <c r="O306" i="45"/>
  <c r="P307" i="45" s="1"/>
  <c r="F59" i="45"/>
  <c r="F355" i="45"/>
  <c r="G356" i="45" s="1"/>
  <c r="N355" i="45"/>
  <c r="O356" i="45" s="1"/>
  <c r="N59" i="45"/>
  <c r="E59" i="45"/>
  <c r="E355" i="45"/>
  <c r="F356" i="45" s="1"/>
  <c r="P355" i="45"/>
  <c r="Q356" i="45" s="1"/>
  <c r="P59" i="45"/>
  <c r="L30" i="45"/>
  <c r="L191" i="45"/>
  <c r="M192" i="45" s="1"/>
  <c r="K191" i="45"/>
  <c r="L192" i="45" s="1"/>
  <c r="K30" i="45"/>
  <c r="N191" i="45"/>
  <c r="O192" i="45" s="1"/>
  <c r="N30" i="45"/>
  <c r="T30" i="45"/>
  <c r="I27" i="48"/>
  <c r="T191" i="45"/>
  <c r="R30" i="45"/>
  <c r="H27" i="48"/>
  <c r="R191" i="45"/>
  <c r="S192" i="45" s="1"/>
  <c r="E35" i="57"/>
  <c r="AF28" i="48"/>
  <c r="O197" i="45"/>
  <c r="P198" i="45" s="1"/>
  <c r="O31" i="45"/>
  <c r="J31" i="45"/>
  <c r="J197" i="45"/>
  <c r="K198" i="45" s="1"/>
  <c r="Q197" i="45"/>
  <c r="R198" i="45" s="1"/>
  <c r="Q31" i="45"/>
  <c r="H58" i="45"/>
  <c r="H349" i="45"/>
  <c r="I350" i="45" s="1"/>
  <c r="K58" i="45"/>
  <c r="K349" i="45"/>
  <c r="L350" i="45" s="1"/>
  <c r="N58" i="45"/>
  <c r="N349" i="45"/>
  <c r="O350" i="45" s="1"/>
  <c r="Q349" i="45"/>
  <c r="R350" i="45" s="1"/>
  <c r="Q58" i="45"/>
  <c r="T349" i="45"/>
  <c r="I58" i="48"/>
  <c r="T58" i="45"/>
  <c r="E13" i="57"/>
  <c r="AF51" i="48"/>
  <c r="O59" i="48" l="1"/>
  <c r="D24" i="57" s="1"/>
  <c r="F14" i="57"/>
  <c r="O52" i="48"/>
  <c r="O60" i="48"/>
  <c r="D25" i="57" s="1"/>
  <c r="P60" i="48"/>
  <c r="F25" i="57" s="1"/>
  <c r="O53" i="48"/>
  <c r="P53" i="48"/>
  <c r="F15" i="57" s="1"/>
  <c r="H263" i="45"/>
  <c r="I265" i="45"/>
  <c r="O47" i="48"/>
  <c r="P47" i="48"/>
  <c r="L351" i="45"/>
  <c r="L354" i="45"/>
  <c r="S196" i="45"/>
  <c r="S193" i="45"/>
  <c r="P308" i="45"/>
  <c r="P311" i="45"/>
  <c r="G308" i="45"/>
  <c r="G311" i="45"/>
  <c r="R299" i="45"/>
  <c r="R296" i="45"/>
  <c r="I299" i="45"/>
  <c r="I296" i="45"/>
  <c r="G314" i="45"/>
  <c r="G317" i="45"/>
  <c r="P326" i="45"/>
  <c r="P329" i="45"/>
  <c r="J326" i="45"/>
  <c r="J329" i="45"/>
  <c r="R290" i="45"/>
  <c r="R293" i="45"/>
  <c r="L263" i="45"/>
  <c r="M265" i="45"/>
  <c r="T281" i="45"/>
  <c r="T278" i="45"/>
  <c r="O278" i="45"/>
  <c r="O281" i="45"/>
  <c r="M305" i="45"/>
  <c r="M302" i="45"/>
  <c r="S302" i="45"/>
  <c r="S305" i="45"/>
  <c r="J305" i="45"/>
  <c r="J302" i="45"/>
  <c r="N178" i="45"/>
  <c r="O180" i="45"/>
  <c r="G471" i="45"/>
  <c r="F174" i="45"/>
  <c r="S471" i="45"/>
  <c r="R174" i="45"/>
  <c r="P43" i="48"/>
  <c r="O43" i="48"/>
  <c r="V52" i="48"/>
  <c r="AD52" i="48"/>
  <c r="P28" i="48"/>
  <c r="O28" i="48"/>
  <c r="T357" i="45"/>
  <c r="T360" i="45"/>
  <c r="M311" i="45"/>
  <c r="M308" i="45"/>
  <c r="T299" i="45"/>
  <c r="T296" i="45"/>
  <c r="H314" i="45"/>
  <c r="H317" i="45"/>
  <c r="T329" i="45"/>
  <c r="T326" i="45"/>
  <c r="O187" i="45"/>
  <c r="O190" i="45"/>
  <c r="K263" i="45"/>
  <c r="L265" i="45"/>
  <c r="J336" i="45"/>
  <c r="K344" i="45"/>
  <c r="G336" i="45"/>
  <c r="H344" i="45"/>
  <c r="L302" i="45"/>
  <c r="L305" i="45"/>
  <c r="R32" i="60"/>
  <c r="R33" i="60" s="1"/>
  <c r="D33" i="60"/>
  <c r="D35" i="60" s="1"/>
  <c r="I178" i="45"/>
  <c r="J180" i="45"/>
  <c r="R471" i="45"/>
  <c r="Q174" i="45"/>
  <c r="Q25" i="45"/>
  <c r="Q78" i="45"/>
  <c r="L25" i="45"/>
  <c r="L78" i="45"/>
  <c r="I78" i="45"/>
  <c r="I25" i="45"/>
  <c r="AD3" i="43"/>
  <c r="AK3" i="43"/>
  <c r="AO3" i="43"/>
  <c r="AL3" i="43"/>
  <c r="AC46" i="48"/>
  <c r="D17" i="57"/>
  <c r="D63" i="65"/>
  <c r="E63" i="65" s="1"/>
  <c r="U46" i="48"/>
  <c r="T287" i="45"/>
  <c r="T284" i="45"/>
  <c r="I199" i="45"/>
  <c r="I202" i="45"/>
  <c r="N199" i="45"/>
  <c r="N202" i="45"/>
  <c r="Q193" i="45"/>
  <c r="Q196" i="45"/>
  <c r="K193" i="45"/>
  <c r="K196" i="45"/>
  <c r="P357" i="45"/>
  <c r="P360" i="45"/>
  <c r="L308" i="45"/>
  <c r="L311" i="45"/>
  <c r="K299" i="45"/>
  <c r="K296" i="45"/>
  <c r="Q320" i="45"/>
  <c r="Q323" i="45"/>
  <c r="J320" i="45"/>
  <c r="J323" i="45"/>
  <c r="P317" i="45"/>
  <c r="P314" i="45"/>
  <c r="R326" i="45"/>
  <c r="R329" i="45"/>
  <c r="T290" i="45"/>
  <c r="T293" i="45"/>
  <c r="P290" i="45"/>
  <c r="P293" i="45"/>
  <c r="J190" i="45"/>
  <c r="J187" i="45"/>
  <c r="T187" i="45"/>
  <c r="T190" i="45"/>
  <c r="N187" i="45"/>
  <c r="N190" i="45"/>
  <c r="N263" i="45"/>
  <c r="O265" i="45"/>
  <c r="Q336" i="45"/>
  <c r="R344" i="45"/>
  <c r="I336" i="45"/>
  <c r="J344" i="45"/>
  <c r="F278" i="45"/>
  <c r="F281" i="45"/>
  <c r="L471" i="45"/>
  <c r="K174" i="45"/>
  <c r="I471" i="45"/>
  <c r="H174" i="45"/>
  <c r="M259" i="45"/>
  <c r="M262" i="45"/>
  <c r="S262" i="45"/>
  <c r="S259" i="45"/>
  <c r="P351" i="45"/>
  <c r="P354" i="45"/>
  <c r="G202" i="45"/>
  <c r="G199" i="45"/>
  <c r="N196" i="45"/>
  <c r="N193" i="45"/>
  <c r="I196" i="45"/>
  <c r="I193" i="45"/>
  <c r="K311" i="45"/>
  <c r="K308" i="45"/>
  <c r="S299" i="45"/>
  <c r="S296" i="45"/>
  <c r="P50" i="48"/>
  <c r="O50" i="48"/>
  <c r="S317" i="45"/>
  <c r="S314" i="45"/>
  <c r="K314" i="45"/>
  <c r="K317" i="45"/>
  <c r="P51" i="48"/>
  <c r="O51" i="48"/>
  <c r="N326" i="45"/>
  <c r="N329" i="45"/>
  <c r="P44" i="48"/>
  <c r="O44" i="48"/>
  <c r="O293" i="45"/>
  <c r="O290" i="45"/>
  <c r="S263" i="45"/>
  <c r="T265" i="45"/>
  <c r="Q278" i="45"/>
  <c r="Q281" i="45"/>
  <c r="J278" i="45"/>
  <c r="J281" i="45"/>
  <c r="S178" i="45"/>
  <c r="T180" i="45"/>
  <c r="L174" i="45"/>
  <c r="M471" i="45"/>
  <c r="K471" i="45"/>
  <c r="J174" i="45"/>
  <c r="T262" i="45"/>
  <c r="T259" i="45"/>
  <c r="K284" i="45"/>
  <c r="K287" i="45"/>
  <c r="F284" i="45"/>
  <c r="F287" i="45"/>
  <c r="P259" i="45"/>
  <c r="P262" i="45"/>
  <c r="N287" i="45"/>
  <c r="N284" i="45"/>
  <c r="Q259" i="45"/>
  <c r="Q262" i="45"/>
  <c r="I284" i="45"/>
  <c r="I287" i="45"/>
  <c r="R199" i="45"/>
  <c r="R202" i="45"/>
  <c r="Q357" i="45"/>
  <c r="Q360" i="45"/>
  <c r="N323" i="45"/>
  <c r="N320" i="45"/>
  <c r="I329" i="45"/>
  <c r="I326" i="45"/>
  <c r="L190" i="45"/>
  <c r="L187" i="45"/>
  <c r="P471" i="45"/>
  <c r="O174" i="45"/>
  <c r="R178" i="45"/>
  <c r="S180" i="45"/>
  <c r="Q354" i="45"/>
  <c r="Q351" i="45"/>
  <c r="N351" i="45"/>
  <c r="N354" i="45"/>
  <c r="Q202" i="45"/>
  <c r="Q199" i="45"/>
  <c r="O202" i="45"/>
  <c r="O199" i="45"/>
  <c r="P196" i="45"/>
  <c r="P193" i="45"/>
  <c r="F193" i="45"/>
  <c r="F196" i="45"/>
  <c r="S357" i="45"/>
  <c r="S360" i="45"/>
  <c r="I357" i="45"/>
  <c r="I360" i="45"/>
  <c r="T308" i="45"/>
  <c r="T311" i="45"/>
  <c r="O299" i="45"/>
  <c r="O296" i="45"/>
  <c r="G299" i="45"/>
  <c r="G296" i="45"/>
  <c r="P320" i="45"/>
  <c r="P323" i="45"/>
  <c r="H320" i="45"/>
  <c r="H323" i="45"/>
  <c r="Q314" i="45"/>
  <c r="Q317" i="45"/>
  <c r="Q326" i="45"/>
  <c r="Q329" i="45"/>
  <c r="G326" i="45"/>
  <c r="G329" i="45"/>
  <c r="Q293" i="45"/>
  <c r="Q290" i="45"/>
  <c r="I290" i="45"/>
  <c r="I293" i="45"/>
  <c r="G187" i="45"/>
  <c r="G190" i="45"/>
  <c r="I190" i="45"/>
  <c r="I187" i="45"/>
  <c r="R17" i="60"/>
  <c r="D19" i="60"/>
  <c r="R19" i="60" s="1"/>
  <c r="C42" i="60" s="1"/>
  <c r="B4" i="61" s="1"/>
  <c r="M263" i="45"/>
  <c r="N265" i="45"/>
  <c r="F263" i="45"/>
  <c r="G265" i="45"/>
  <c r="M281" i="45"/>
  <c r="M278" i="45"/>
  <c r="H278" i="45"/>
  <c r="H281" i="45"/>
  <c r="G305" i="45"/>
  <c r="G302" i="45"/>
  <c r="P178" i="45"/>
  <c r="Q180" i="45"/>
  <c r="N25" i="45"/>
  <c r="N78" i="45"/>
  <c r="M25" i="45"/>
  <c r="M78" i="45"/>
  <c r="P25" i="45"/>
  <c r="P78" i="45"/>
  <c r="AG3" i="43"/>
  <c r="AM3" i="43"/>
  <c r="AH3" i="43"/>
  <c r="V46" i="48"/>
  <c r="AD46" i="48"/>
  <c r="F17" i="57"/>
  <c r="T351" i="45"/>
  <c r="T354" i="45"/>
  <c r="G354" i="45"/>
  <c r="G351" i="45"/>
  <c r="P48" i="48"/>
  <c r="O48" i="48"/>
  <c r="Q299" i="45"/>
  <c r="Q296" i="45"/>
  <c r="J263" i="45"/>
  <c r="K265" i="45"/>
  <c r="L278" i="45"/>
  <c r="L281" i="45"/>
  <c r="K302" i="45"/>
  <c r="K305" i="45"/>
  <c r="P305" i="45"/>
  <c r="P302" i="45"/>
  <c r="M174" i="45"/>
  <c r="N471" i="45"/>
  <c r="C46" i="47"/>
  <c r="C42" i="47" s="1"/>
  <c r="C41" i="47" s="1"/>
  <c r="C38" i="47" s="1"/>
  <c r="C37" i="47" s="1"/>
  <c r="D45" i="47"/>
  <c r="D46" i="47" s="1"/>
  <c r="D42" i="47" s="1"/>
  <c r="D41" i="47" s="1"/>
  <c r="D38" i="47" s="1"/>
  <c r="D37" i="47" s="1"/>
  <c r="G259" i="45"/>
  <c r="G262" i="45"/>
  <c r="M287" i="45"/>
  <c r="M284" i="45"/>
  <c r="J202" i="45"/>
  <c r="J199" i="45"/>
  <c r="H199" i="45"/>
  <c r="H202" i="45"/>
  <c r="J360" i="45"/>
  <c r="J357" i="45"/>
  <c r="R311" i="45"/>
  <c r="R308" i="45"/>
  <c r="H311" i="45"/>
  <c r="H308" i="45"/>
  <c r="J296" i="45"/>
  <c r="J299" i="45"/>
  <c r="O49" i="48"/>
  <c r="P49" i="48"/>
  <c r="S326" i="45"/>
  <c r="S329" i="45"/>
  <c r="M329" i="45"/>
  <c r="M326" i="45"/>
  <c r="S293" i="45"/>
  <c r="S290" i="45"/>
  <c r="J290" i="45"/>
  <c r="J293" i="45"/>
  <c r="F190" i="45"/>
  <c r="F187" i="45"/>
  <c r="S187" i="45"/>
  <c r="S190" i="45"/>
  <c r="T263" i="45"/>
  <c r="O263" i="45"/>
  <c r="P265" i="45"/>
  <c r="G263" i="45"/>
  <c r="H265" i="45"/>
  <c r="M336" i="45"/>
  <c r="N344" i="45"/>
  <c r="O302" i="45"/>
  <c r="O305" i="45"/>
  <c r="F302" i="45"/>
  <c r="F305" i="45"/>
  <c r="S174" i="45"/>
  <c r="T471" i="45"/>
  <c r="G178" i="45"/>
  <c r="H180" i="45"/>
  <c r="T178" i="45"/>
  <c r="F262" i="45"/>
  <c r="F259" i="45"/>
  <c r="L259" i="45"/>
  <c r="L262" i="45"/>
  <c r="R354" i="45"/>
  <c r="R351" i="45"/>
  <c r="P27" i="48"/>
  <c r="O27" i="48"/>
  <c r="O357" i="45"/>
  <c r="O360" i="45"/>
  <c r="K326" i="45"/>
  <c r="K329" i="45"/>
  <c r="L336" i="45"/>
  <c r="M344" i="45"/>
  <c r="N174" i="45"/>
  <c r="O471" i="45"/>
  <c r="O354" i="45"/>
  <c r="O351" i="45"/>
  <c r="K199" i="45"/>
  <c r="K202" i="45"/>
  <c r="F360" i="45"/>
  <c r="F357" i="45"/>
  <c r="N308" i="45"/>
  <c r="N311" i="45"/>
  <c r="M314" i="45"/>
  <c r="M317" i="45"/>
  <c r="Q263" i="45"/>
  <c r="R265" i="45"/>
  <c r="I278" i="45"/>
  <c r="I281" i="45"/>
  <c r="E178" i="45"/>
  <c r="F180" i="45"/>
  <c r="P34" i="48"/>
  <c r="O34" i="48"/>
  <c r="H259" i="45"/>
  <c r="H262" i="45"/>
  <c r="P284" i="45"/>
  <c r="P287" i="45"/>
  <c r="O62" i="48"/>
  <c r="P62" i="48"/>
  <c r="N360" i="45"/>
  <c r="N357" i="45"/>
  <c r="J308" i="45"/>
  <c r="J311" i="45"/>
  <c r="N317" i="45"/>
  <c r="N314" i="45"/>
  <c r="R263" i="45"/>
  <c r="S265" i="45"/>
  <c r="R336" i="45"/>
  <c r="S344" i="45"/>
  <c r="P42" i="48"/>
  <c r="O42" i="48"/>
  <c r="I174" i="45"/>
  <c r="J471" i="45"/>
  <c r="J25" i="45"/>
  <c r="J78" i="45"/>
  <c r="E25" i="45"/>
  <c r="E78" i="45"/>
  <c r="H78" i="45"/>
  <c r="H25" i="45"/>
  <c r="O25" i="45"/>
  <c r="O78" i="45"/>
  <c r="AJ3" i="43"/>
  <c r="AN3" i="43"/>
  <c r="AE3" i="43"/>
  <c r="V59" i="48"/>
  <c r="AD59" i="48"/>
  <c r="L284" i="45"/>
  <c r="L287" i="45"/>
  <c r="F354" i="45"/>
  <c r="F351" i="45"/>
  <c r="T196" i="45"/>
  <c r="T193" i="45"/>
  <c r="H360" i="45"/>
  <c r="H357" i="45"/>
  <c r="L360" i="45"/>
  <c r="L357" i="45"/>
  <c r="I308" i="45"/>
  <c r="I311" i="45"/>
  <c r="L323" i="45"/>
  <c r="L320" i="45"/>
  <c r="T317" i="45"/>
  <c r="T314" i="45"/>
  <c r="L314" i="45"/>
  <c r="L317" i="45"/>
  <c r="L326" i="45"/>
  <c r="L329" i="45"/>
  <c r="H293" i="45"/>
  <c r="H290" i="45"/>
  <c r="M187" i="45"/>
  <c r="M190" i="45"/>
  <c r="C36" i="47"/>
  <c r="D35" i="47"/>
  <c r="D36" i="47" s="1"/>
  <c r="P263" i="45"/>
  <c r="Q265" i="45"/>
  <c r="E263" i="45"/>
  <c r="F265" i="45"/>
  <c r="T336" i="45"/>
  <c r="N336" i="45"/>
  <c r="O344" i="45"/>
  <c r="K278" i="45"/>
  <c r="K281" i="45"/>
  <c r="I302" i="45"/>
  <c r="I305" i="45"/>
  <c r="N302" i="45"/>
  <c r="N305" i="45"/>
  <c r="L180" i="45"/>
  <c r="K178" i="45"/>
  <c r="H178" i="45"/>
  <c r="I180" i="45"/>
  <c r="I259" i="45"/>
  <c r="I262" i="45"/>
  <c r="P37" i="48"/>
  <c r="O37" i="48"/>
  <c r="S351" i="45"/>
  <c r="S354" i="45"/>
  <c r="H351" i="45"/>
  <c r="H354" i="45"/>
  <c r="G193" i="45"/>
  <c r="G196" i="45"/>
  <c r="P296" i="45"/>
  <c r="P299" i="45"/>
  <c r="S320" i="45"/>
  <c r="S323" i="45"/>
  <c r="G323" i="45"/>
  <c r="G320" i="45"/>
  <c r="J314" i="45"/>
  <c r="J317" i="45"/>
  <c r="H336" i="45"/>
  <c r="I344" i="45"/>
  <c r="T302" i="45"/>
  <c r="T305" i="45"/>
  <c r="C8" i="47"/>
  <c r="C10" i="47" s="1"/>
  <c r="J178" i="45"/>
  <c r="K180" i="45"/>
  <c r="I75" i="48"/>
  <c r="O33" i="48"/>
  <c r="P33" i="48"/>
  <c r="J262" i="45"/>
  <c r="J259" i="45"/>
  <c r="Q287" i="45"/>
  <c r="Q284" i="45"/>
  <c r="G284" i="45"/>
  <c r="G287" i="45"/>
  <c r="R262" i="45"/>
  <c r="R259" i="45"/>
  <c r="K259" i="45"/>
  <c r="K262" i="45"/>
  <c r="O284" i="45"/>
  <c r="O287" i="45"/>
  <c r="O259" i="45"/>
  <c r="O262" i="45"/>
  <c r="R284" i="45"/>
  <c r="R287" i="45"/>
  <c r="D34" i="57"/>
  <c r="AC29" i="48"/>
  <c r="AJ29" i="48" s="1"/>
  <c r="AK29" i="48" s="1"/>
  <c r="U29" i="48"/>
  <c r="D53" i="65"/>
  <c r="E53" i="65" s="1"/>
  <c r="P199" i="45"/>
  <c r="P202" i="45"/>
  <c r="L193" i="45"/>
  <c r="L196" i="45"/>
  <c r="I320" i="45"/>
  <c r="I323" i="45"/>
  <c r="N293" i="45"/>
  <c r="N290" i="45"/>
  <c r="R190" i="45"/>
  <c r="R187" i="45"/>
  <c r="I354" i="45"/>
  <c r="I351" i="45"/>
  <c r="M193" i="45"/>
  <c r="M196" i="45"/>
  <c r="G357" i="45"/>
  <c r="G360" i="45"/>
  <c r="H299" i="45"/>
  <c r="H296" i="45"/>
  <c r="I314" i="45"/>
  <c r="I317" i="45"/>
  <c r="I7" i="48"/>
  <c r="T88" i="45"/>
  <c r="P281" i="45"/>
  <c r="P278" i="45"/>
  <c r="H75" i="48"/>
  <c r="O25" i="48"/>
  <c r="P25" i="48"/>
  <c r="O196" i="45"/>
  <c r="O193" i="45"/>
  <c r="F311" i="45"/>
  <c r="F308" i="45"/>
  <c r="M296" i="45"/>
  <c r="M299" i="45"/>
  <c r="R323" i="45"/>
  <c r="R320" i="45"/>
  <c r="K323" i="45"/>
  <c r="K320" i="45"/>
  <c r="R317" i="45"/>
  <c r="R314" i="45"/>
  <c r="K293" i="45"/>
  <c r="K290" i="45"/>
  <c r="Q187" i="45"/>
  <c r="Q190" i="45"/>
  <c r="O336" i="45"/>
  <c r="P344" i="45"/>
  <c r="F336" i="45"/>
  <c r="G344" i="45"/>
  <c r="Q305" i="45"/>
  <c r="Q302" i="45"/>
  <c r="F178" i="45"/>
  <c r="G180" i="45"/>
  <c r="E174" i="45"/>
  <c r="E471" i="45"/>
  <c r="F471" i="45"/>
  <c r="O178" i="45"/>
  <c r="P180" i="45"/>
  <c r="H287" i="45"/>
  <c r="H284" i="45"/>
  <c r="S287" i="45"/>
  <c r="S284" i="45"/>
  <c r="M354" i="45"/>
  <c r="M351" i="45"/>
  <c r="J354" i="45"/>
  <c r="J351" i="45"/>
  <c r="S199" i="45"/>
  <c r="S202" i="45"/>
  <c r="J196" i="45"/>
  <c r="J193" i="45"/>
  <c r="M360" i="45"/>
  <c r="M357" i="45"/>
  <c r="K357" i="45"/>
  <c r="K360" i="45"/>
  <c r="Q311" i="45"/>
  <c r="Q308" i="45"/>
  <c r="L299" i="45"/>
  <c r="L296" i="45"/>
  <c r="M323" i="45"/>
  <c r="M320" i="45"/>
  <c r="F320" i="45"/>
  <c r="F323" i="45"/>
  <c r="F317" i="45"/>
  <c r="F314" i="45"/>
  <c r="O326" i="45"/>
  <c r="O329" i="45"/>
  <c r="F329" i="45"/>
  <c r="F326" i="45"/>
  <c r="M290" i="45"/>
  <c r="M293" i="45"/>
  <c r="F290" i="45"/>
  <c r="F293" i="45"/>
  <c r="K190" i="45"/>
  <c r="K187" i="45"/>
  <c r="P40" i="48"/>
  <c r="O40" i="48"/>
  <c r="S336" i="45"/>
  <c r="T344" i="45"/>
  <c r="P61" i="48"/>
  <c r="O61" i="48"/>
  <c r="K336" i="45"/>
  <c r="L344" i="45"/>
  <c r="S281" i="45"/>
  <c r="S278" i="45"/>
  <c r="N281" i="45"/>
  <c r="N278" i="45"/>
  <c r="P174" i="45"/>
  <c r="Q471" i="45"/>
  <c r="Q178" i="45"/>
  <c r="R180" i="45"/>
  <c r="K25" i="45"/>
  <c r="K78" i="45"/>
  <c r="G25" i="45"/>
  <c r="G78" i="45"/>
  <c r="F25" i="45"/>
  <c r="F78" i="45"/>
  <c r="R78" i="45"/>
  <c r="B3" i="70"/>
  <c r="C3" i="70" s="1"/>
  <c r="C4" i="31"/>
  <c r="D5" i="31" s="1"/>
  <c r="D9" i="31" s="1"/>
  <c r="B11" i="47"/>
  <c r="R25" i="45"/>
  <c r="AP3" i="43"/>
  <c r="AF3" i="43"/>
  <c r="N259" i="45"/>
  <c r="N262" i="45"/>
  <c r="K354" i="45"/>
  <c r="K351" i="45"/>
  <c r="M202" i="45"/>
  <c r="M199" i="45"/>
  <c r="L202" i="45"/>
  <c r="L199" i="45"/>
  <c r="H193" i="45"/>
  <c r="H196" i="45"/>
  <c r="S308" i="45"/>
  <c r="S311" i="45"/>
  <c r="O308" i="45"/>
  <c r="O311" i="45"/>
  <c r="N296" i="45"/>
  <c r="N299" i="45"/>
  <c r="F296" i="45"/>
  <c r="F299" i="45"/>
  <c r="L293" i="45"/>
  <c r="L290" i="45"/>
  <c r="P187" i="45"/>
  <c r="P190" i="45"/>
  <c r="B47" i="47"/>
  <c r="B33" i="47"/>
  <c r="B31" i="47" s="1"/>
  <c r="P36" i="48"/>
  <c r="O36" i="48"/>
  <c r="R281" i="45"/>
  <c r="R278" i="45"/>
  <c r="R302" i="45"/>
  <c r="R305" i="45"/>
  <c r="M178" i="45"/>
  <c r="N180" i="45"/>
  <c r="P38" i="48"/>
  <c r="O38" i="48"/>
  <c r="J287" i="45"/>
  <c r="J284" i="45"/>
  <c r="O58" i="48"/>
  <c r="P58" i="48"/>
  <c r="F202" i="45"/>
  <c r="F199" i="45"/>
  <c r="T199" i="45"/>
  <c r="T202" i="45"/>
  <c r="R196" i="45"/>
  <c r="R193" i="45"/>
  <c r="R357" i="45"/>
  <c r="R360" i="45"/>
  <c r="P45" i="48"/>
  <c r="O45" i="48"/>
  <c r="P35" i="48"/>
  <c r="O35" i="48"/>
  <c r="T323" i="45"/>
  <c r="T320" i="45"/>
  <c r="O323" i="45"/>
  <c r="O320" i="45"/>
  <c r="O317" i="45"/>
  <c r="O314" i="45"/>
  <c r="H326" i="45"/>
  <c r="H329" i="45"/>
  <c r="G293" i="45"/>
  <c r="G290" i="45"/>
  <c r="H187" i="45"/>
  <c r="H190" i="45"/>
  <c r="P26" i="48"/>
  <c r="O26" i="48"/>
  <c r="I263" i="45"/>
  <c r="J265" i="45"/>
  <c r="P336" i="45"/>
  <c r="Q344" i="45"/>
  <c r="E336" i="45"/>
  <c r="F344" i="45"/>
  <c r="G281" i="45"/>
  <c r="G278" i="45"/>
  <c r="H302" i="45"/>
  <c r="H305" i="45"/>
  <c r="L178" i="45"/>
  <c r="M180" i="45"/>
  <c r="H471" i="45"/>
  <c r="G174" i="45"/>
  <c r="AD29" i="48"/>
  <c r="V29" i="48"/>
  <c r="F34" i="57"/>
  <c r="U59" i="48" l="1"/>
  <c r="AC59" i="48"/>
  <c r="AJ59" i="48" s="1"/>
  <c r="AK59" i="48" s="1"/>
  <c r="D72" i="65"/>
  <c r="E72" i="65" s="1"/>
  <c r="U52" i="48"/>
  <c r="D14" i="57"/>
  <c r="O177" i="45"/>
  <c r="O425" i="45" s="1"/>
  <c r="O428" i="45" s="1"/>
  <c r="J177" i="45"/>
  <c r="J425" i="45" s="1"/>
  <c r="J428" i="45" s="1"/>
  <c r="M177" i="45"/>
  <c r="M425" i="45" s="1"/>
  <c r="M428" i="45" s="1"/>
  <c r="F177" i="45"/>
  <c r="F425" i="45" s="1"/>
  <c r="F428" i="45" s="1"/>
  <c r="AC52" i="48"/>
  <c r="AJ52" i="48" s="1"/>
  <c r="AK52" i="48" s="1"/>
  <c r="D69" i="65"/>
  <c r="E69" i="65" s="1"/>
  <c r="K177" i="45"/>
  <c r="K425" i="45" s="1"/>
  <c r="K428" i="45" s="1"/>
  <c r="D15" i="57"/>
  <c r="V60" i="48"/>
  <c r="AD60" i="48"/>
  <c r="U60" i="48"/>
  <c r="AC60" i="48"/>
  <c r="AJ60" i="48" s="1"/>
  <c r="AK60" i="48" s="1"/>
  <c r="AD53" i="48"/>
  <c r="V53" i="48"/>
  <c r="U53" i="48"/>
  <c r="AC53" i="48"/>
  <c r="AH46" i="48"/>
  <c r="AJ46" i="48" s="1"/>
  <c r="AK46" i="48" s="1"/>
  <c r="L177" i="45"/>
  <c r="L425" i="45" s="1"/>
  <c r="L428" i="45" s="1"/>
  <c r="S177" i="45"/>
  <c r="S425" i="45" s="1"/>
  <c r="S428" i="45" s="1"/>
  <c r="Q177" i="45"/>
  <c r="Q425" i="45" s="1"/>
  <c r="Q428" i="45" s="1"/>
  <c r="H177" i="45"/>
  <c r="H425" i="45" s="1"/>
  <c r="H428" i="45" s="1"/>
  <c r="G177" i="45"/>
  <c r="G425" i="45" s="1"/>
  <c r="G428" i="45" s="1"/>
  <c r="V26" i="48"/>
  <c r="AD26" i="48"/>
  <c r="F22" i="57"/>
  <c r="AD45" i="48"/>
  <c r="V45" i="48"/>
  <c r="M184" i="45"/>
  <c r="M181" i="45"/>
  <c r="F348" i="45"/>
  <c r="F345" i="45"/>
  <c r="J266" i="45"/>
  <c r="J269" i="45"/>
  <c r="D56" i="65"/>
  <c r="U35" i="48"/>
  <c r="AC35" i="48"/>
  <c r="AJ35" i="48" s="1"/>
  <c r="AK35" i="48" s="1"/>
  <c r="AD58" i="48"/>
  <c r="V58" i="48"/>
  <c r="F21" i="57"/>
  <c r="D27" i="65"/>
  <c r="U38" i="48"/>
  <c r="AC38" i="48"/>
  <c r="AJ38" i="48" s="1"/>
  <c r="AK38" i="48" s="1"/>
  <c r="U36" i="48"/>
  <c r="D57" i="65"/>
  <c r="E57" i="65" s="1"/>
  <c r="AC36" i="48"/>
  <c r="AJ36" i="48" s="1"/>
  <c r="AK36" i="48" s="1"/>
  <c r="R74" i="45"/>
  <c r="S79" i="45"/>
  <c r="S85" i="45" s="1"/>
  <c r="S87" i="45" s="1"/>
  <c r="R442" i="45"/>
  <c r="R77" i="45"/>
  <c r="G74" i="45"/>
  <c r="H469" i="45"/>
  <c r="H473" i="45" s="1"/>
  <c r="P181" i="45"/>
  <c r="P184" i="45"/>
  <c r="O75" i="48"/>
  <c r="P75" i="48"/>
  <c r="O345" i="45"/>
  <c r="O348" i="45"/>
  <c r="C47" i="47"/>
  <c r="C33" i="47"/>
  <c r="C31" i="47" s="1"/>
  <c r="D4" i="31"/>
  <c r="C11" i="47"/>
  <c r="T78" i="45"/>
  <c r="T25" i="45"/>
  <c r="T74" i="45" s="1"/>
  <c r="I6" i="48"/>
  <c r="I24" i="48" s="1"/>
  <c r="O74" i="45"/>
  <c r="P469" i="45"/>
  <c r="P473" i="45" s="1"/>
  <c r="E74" i="45"/>
  <c r="F469" i="45"/>
  <c r="F473" i="45" s="1"/>
  <c r="E469" i="45"/>
  <c r="E473" i="45" s="1"/>
  <c r="AD34" i="48"/>
  <c r="V34" i="48"/>
  <c r="M77" i="45"/>
  <c r="N79" i="45"/>
  <c r="N85" i="45" s="1"/>
  <c r="N87" i="45" s="1"/>
  <c r="M442" i="45"/>
  <c r="Q184" i="45"/>
  <c r="Q181" i="45"/>
  <c r="G266" i="45"/>
  <c r="G269" i="45"/>
  <c r="T266" i="45"/>
  <c r="T269" i="45"/>
  <c r="U44" i="48"/>
  <c r="D16" i="57"/>
  <c r="D61" i="65"/>
  <c r="E61" i="65" s="1"/>
  <c r="AC44" i="48"/>
  <c r="AJ44" i="48" s="1"/>
  <c r="AK44" i="48" s="1"/>
  <c r="AC51" i="48"/>
  <c r="D13" i="57"/>
  <c r="U51" i="48"/>
  <c r="D68" i="65"/>
  <c r="E68" i="65" s="1"/>
  <c r="R345" i="45"/>
  <c r="R348" i="45"/>
  <c r="I77" i="45"/>
  <c r="I442" i="45"/>
  <c r="J79" i="45"/>
  <c r="J85" i="45" s="1"/>
  <c r="J87" i="45" s="1"/>
  <c r="Q74" i="45"/>
  <c r="R469" i="45"/>
  <c r="R473" i="45" s="1"/>
  <c r="I177" i="45"/>
  <c r="I425" i="45" s="1"/>
  <c r="I428" i="45" s="1"/>
  <c r="F35" i="57"/>
  <c r="AD28" i="48"/>
  <c r="V28" i="48"/>
  <c r="U43" i="48"/>
  <c r="AC43" i="48"/>
  <c r="AJ43" i="48" s="1"/>
  <c r="AK43" i="48" s="1"/>
  <c r="D60" i="65"/>
  <c r="E60" i="65" s="1"/>
  <c r="AD47" i="48"/>
  <c r="F10" i="57"/>
  <c r="V47" i="48"/>
  <c r="AD35" i="48"/>
  <c r="V35" i="48"/>
  <c r="D21" i="57"/>
  <c r="U58" i="48"/>
  <c r="D70" i="65"/>
  <c r="E70" i="65" s="1"/>
  <c r="AC58" i="48"/>
  <c r="AJ58" i="48" s="1"/>
  <c r="AK58" i="48" s="1"/>
  <c r="V38" i="48"/>
  <c r="AD38" i="48"/>
  <c r="AD36" i="48"/>
  <c r="V36" i="48"/>
  <c r="H24" i="48"/>
  <c r="P6" i="48"/>
  <c r="F6" i="57" s="1"/>
  <c r="H4" i="48"/>
  <c r="O6" i="48"/>
  <c r="H3" i="48"/>
  <c r="F77" i="45"/>
  <c r="G79" i="45"/>
  <c r="G85" i="45" s="1"/>
  <c r="G87" i="45" s="1"/>
  <c r="F442" i="45"/>
  <c r="F451" i="45" s="1"/>
  <c r="K77" i="45"/>
  <c r="K442" i="45"/>
  <c r="L79" i="45"/>
  <c r="L85" i="45" s="1"/>
  <c r="L87" i="45" s="1"/>
  <c r="U61" i="48"/>
  <c r="D23" i="57"/>
  <c r="AC61" i="48"/>
  <c r="AJ61" i="48" s="1"/>
  <c r="AK61" i="48" s="1"/>
  <c r="D71" i="65"/>
  <c r="E71" i="65" s="1"/>
  <c r="D9" i="57"/>
  <c r="U40" i="48"/>
  <c r="D59" i="65"/>
  <c r="E59" i="65" s="1"/>
  <c r="AC40" i="48"/>
  <c r="AJ40" i="48" s="1"/>
  <c r="G184" i="45"/>
  <c r="G181" i="45"/>
  <c r="G345" i="45"/>
  <c r="G348" i="45"/>
  <c r="K184" i="45"/>
  <c r="K181" i="45"/>
  <c r="L181" i="45"/>
  <c r="L184" i="45"/>
  <c r="Q269" i="45"/>
  <c r="Q266" i="45"/>
  <c r="H74" i="45"/>
  <c r="I469" i="45"/>
  <c r="I473" i="45" s="1"/>
  <c r="J77" i="45"/>
  <c r="J442" i="45"/>
  <c r="K79" i="45"/>
  <c r="K85" i="45" s="1"/>
  <c r="K87" i="45" s="1"/>
  <c r="U42" i="48"/>
  <c r="D30" i="65"/>
  <c r="AC42" i="48"/>
  <c r="AJ42" i="48" s="1"/>
  <c r="AK42" i="48" s="1"/>
  <c r="S269" i="45"/>
  <c r="S266" i="45"/>
  <c r="V62" i="48"/>
  <c r="F26" i="57"/>
  <c r="AD62" i="48"/>
  <c r="F181" i="45"/>
  <c r="F184" i="45"/>
  <c r="R269" i="45"/>
  <c r="R266" i="45"/>
  <c r="U27" i="48"/>
  <c r="D32" i="57"/>
  <c r="AC27" i="48"/>
  <c r="AJ27" i="48" s="1"/>
  <c r="AK27" i="48" s="1"/>
  <c r="D51" i="65"/>
  <c r="E51" i="65" s="1"/>
  <c r="H266" i="45"/>
  <c r="H269" i="45"/>
  <c r="M74" i="45"/>
  <c r="N469" i="45"/>
  <c r="N473" i="45" s="1"/>
  <c r="P177" i="45"/>
  <c r="P425" i="45" s="1"/>
  <c r="P428" i="45" s="1"/>
  <c r="AD44" i="48"/>
  <c r="V44" i="48"/>
  <c r="F16" i="57"/>
  <c r="F13" i="57"/>
  <c r="AD51" i="48"/>
  <c r="V51" i="48"/>
  <c r="L77" i="45"/>
  <c r="L442" i="45"/>
  <c r="M79" i="45"/>
  <c r="M85" i="45" s="1"/>
  <c r="M87" i="45" s="1"/>
  <c r="D36" i="60"/>
  <c r="E35" i="60"/>
  <c r="H348" i="45"/>
  <c r="H345" i="45"/>
  <c r="L266" i="45"/>
  <c r="L269" i="45"/>
  <c r="AD43" i="48"/>
  <c r="V43" i="48"/>
  <c r="D10" i="57"/>
  <c r="U47" i="48"/>
  <c r="D64" i="65"/>
  <c r="E64" i="65" s="1"/>
  <c r="AC47" i="48"/>
  <c r="AJ47" i="48" s="1"/>
  <c r="AK47" i="48" s="1"/>
  <c r="Q345" i="45"/>
  <c r="Q348" i="45"/>
  <c r="U26" i="48"/>
  <c r="AC26" i="48"/>
  <c r="AJ26" i="48" s="1"/>
  <c r="AK26" i="48" s="1"/>
  <c r="D50" i="65"/>
  <c r="E50" i="65" s="1"/>
  <c r="D22" i="57"/>
  <c r="U45" i="48"/>
  <c r="AC45" i="48"/>
  <c r="AJ45" i="48" s="1"/>
  <c r="D62" i="65"/>
  <c r="E62" i="65" s="1"/>
  <c r="N184" i="45"/>
  <c r="N181" i="45"/>
  <c r="F74" i="45"/>
  <c r="G469" i="45"/>
  <c r="G473" i="45" s="1"/>
  <c r="L469" i="45"/>
  <c r="L473" i="45" s="1"/>
  <c r="K74" i="45"/>
  <c r="F23" i="57"/>
  <c r="V61" i="48"/>
  <c r="AD61" i="48"/>
  <c r="V40" i="48"/>
  <c r="AD40" i="48"/>
  <c r="F9" i="57"/>
  <c r="F33" i="57"/>
  <c r="AD25" i="48"/>
  <c r="V25" i="48"/>
  <c r="AD33" i="48"/>
  <c r="V33" i="48"/>
  <c r="F36" i="57"/>
  <c r="I345" i="45"/>
  <c r="I348" i="45"/>
  <c r="D37" i="57"/>
  <c r="U37" i="48"/>
  <c r="AC37" i="48"/>
  <c r="D58" i="65"/>
  <c r="E58" i="65" s="1"/>
  <c r="I184" i="45"/>
  <c r="I181" i="45"/>
  <c r="H77" i="45"/>
  <c r="I79" i="45"/>
  <c r="I85" i="45" s="1"/>
  <c r="I87" i="45" s="1"/>
  <c r="H442" i="45"/>
  <c r="J74" i="45"/>
  <c r="K469" i="45"/>
  <c r="K473" i="45" s="1"/>
  <c r="AD42" i="48"/>
  <c r="V42" i="48"/>
  <c r="U62" i="48"/>
  <c r="D26" i="57"/>
  <c r="AC62" i="48"/>
  <c r="AJ62" i="48" s="1"/>
  <c r="AK62" i="48" s="1"/>
  <c r="D73" i="65"/>
  <c r="E73" i="65" s="1"/>
  <c r="E177" i="45"/>
  <c r="E425" i="45" s="1"/>
  <c r="E428" i="45" s="1"/>
  <c r="V27" i="48"/>
  <c r="AD27" i="48"/>
  <c r="F32" i="57"/>
  <c r="T177" i="45"/>
  <c r="T425" i="45" s="1"/>
  <c r="T428" i="45" s="1"/>
  <c r="F11" i="57"/>
  <c r="V49" i="48"/>
  <c r="AD49" i="48"/>
  <c r="K266" i="45"/>
  <c r="K269" i="45"/>
  <c r="U48" i="48"/>
  <c r="AC48" i="48"/>
  <c r="AH48" i="48" s="1"/>
  <c r="D65" i="65"/>
  <c r="E65" i="65" s="1"/>
  <c r="P77" i="45"/>
  <c r="P442" i="45"/>
  <c r="Q79" i="45"/>
  <c r="Q85" i="45" s="1"/>
  <c r="Q87" i="45" s="1"/>
  <c r="N77" i="45"/>
  <c r="N442" i="45"/>
  <c r="O79" i="45"/>
  <c r="O85" i="45" s="1"/>
  <c r="O87" i="45" s="1"/>
  <c r="N269" i="45"/>
  <c r="N266" i="45"/>
  <c r="S184" i="45"/>
  <c r="S181" i="45"/>
  <c r="T181" i="45"/>
  <c r="T184" i="45"/>
  <c r="U50" i="48"/>
  <c r="AC50" i="48"/>
  <c r="D67" i="65"/>
  <c r="E67" i="65" s="1"/>
  <c r="D12" i="57"/>
  <c r="J345" i="45"/>
  <c r="J348" i="45"/>
  <c r="O266" i="45"/>
  <c r="O269" i="45"/>
  <c r="S78" i="45"/>
  <c r="S25" i="45"/>
  <c r="L74" i="45"/>
  <c r="M469" i="45"/>
  <c r="M473" i="45" s="1"/>
  <c r="O181" i="45"/>
  <c r="O184" i="45"/>
  <c r="M266" i="45"/>
  <c r="M269" i="45"/>
  <c r="I269" i="45"/>
  <c r="I266" i="45"/>
  <c r="H79" i="45"/>
  <c r="H85" i="45" s="1"/>
  <c r="H87" i="45" s="1"/>
  <c r="G77" i="45"/>
  <c r="G442" i="45"/>
  <c r="G451" i="45" s="1"/>
  <c r="R184" i="45"/>
  <c r="R181" i="45"/>
  <c r="L345" i="45"/>
  <c r="L348" i="45"/>
  <c r="T345" i="45"/>
  <c r="T348" i="45"/>
  <c r="P348" i="45"/>
  <c r="P345" i="45"/>
  <c r="D49" i="65"/>
  <c r="U25" i="48"/>
  <c r="D33" i="57"/>
  <c r="AC25" i="48"/>
  <c r="AJ25" i="48" s="1"/>
  <c r="U33" i="48"/>
  <c r="D36" i="57"/>
  <c r="AC33" i="48"/>
  <c r="AJ33" i="48" s="1"/>
  <c r="AK33" i="48" s="1"/>
  <c r="D54" i="65"/>
  <c r="E54" i="65" s="1"/>
  <c r="F37" i="57"/>
  <c r="V37" i="48"/>
  <c r="AD37" i="48"/>
  <c r="F269" i="45"/>
  <c r="F266" i="45"/>
  <c r="D33" i="47"/>
  <c r="D31" i="47" s="1"/>
  <c r="D47" i="47"/>
  <c r="E47" i="47" s="1"/>
  <c r="O77" i="45"/>
  <c r="O442" i="45"/>
  <c r="P79" i="45"/>
  <c r="P85" i="45" s="1"/>
  <c r="P87" i="45" s="1"/>
  <c r="E77" i="45"/>
  <c r="F79" i="45"/>
  <c r="F85" i="45" s="1"/>
  <c r="F87" i="45" s="1"/>
  <c r="E442" i="45"/>
  <c r="E451" i="45" s="1"/>
  <c r="S348" i="45"/>
  <c r="S345" i="45"/>
  <c r="AC34" i="48"/>
  <c r="AJ34" i="48" s="1"/>
  <c r="AK34" i="48" s="1"/>
  <c r="D55" i="65"/>
  <c r="E55" i="65" s="1"/>
  <c r="U34" i="48"/>
  <c r="M345" i="45"/>
  <c r="M348" i="45"/>
  <c r="H181" i="45"/>
  <c r="H184" i="45"/>
  <c r="N345" i="45"/>
  <c r="N348" i="45"/>
  <c r="P269" i="45"/>
  <c r="P266" i="45"/>
  <c r="U49" i="48"/>
  <c r="D11" i="57"/>
  <c r="AC49" i="48"/>
  <c r="D66" i="65"/>
  <c r="E66" i="65" s="1"/>
  <c r="V48" i="48"/>
  <c r="AD48" i="48"/>
  <c r="P74" i="45"/>
  <c r="Q469" i="45"/>
  <c r="Q473" i="45" s="1"/>
  <c r="O469" i="45"/>
  <c r="O473" i="45" s="1"/>
  <c r="N74" i="45"/>
  <c r="R177" i="45"/>
  <c r="R425" i="45" s="1"/>
  <c r="R428" i="45" s="1"/>
  <c r="F12" i="57"/>
  <c r="AD50" i="48"/>
  <c r="V50" i="48"/>
  <c r="J469" i="45"/>
  <c r="J473" i="45" s="1"/>
  <c r="I74" i="45"/>
  <c r="Q77" i="45"/>
  <c r="Q442" i="45"/>
  <c r="R79" i="45"/>
  <c r="R85" i="45" s="1"/>
  <c r="R87" i="45" s="1"/>
  <c r="J181" i="45"/>
  <c r="J184" i="45"/>
  <c r="K348" i="45"/>
  <c r="K345" i="45"/>
  <c r="D35" i="57"/>
  <c r="AC28" i="48"/>
  <c r="U28" i="48"/>
  <c r="D52" i="65"/>
  <c r="E52" i="65" s="1"/>
  <c r="N177" i="45"/>
  <c r="N425" i="45" s="1"/>
  <c r="N428" i="45" s="1"/>
  <c r="AH53" i="48" l="1"/>
  <c r="AJ53" i="48" s="1"/>
  <c r="AK53" i="48" s="1"/>
  <c r="E5" i="57"/>
  <c r="AJ48" i="48"/>
  <c r="AK48" i="48" s="1"/>
  <c r="AH37" i="48"/>
  <c r="AJ37" i="48" s="1"/>
  <c r="AK37" i="48" s="1"/>
  <c r="E36" i="60"/>
  <c r="F35" i="60"/>
  <c r="U6" i="48"/>
  <c r="AC6" i="48"/>
  <c r="D5" i="57"/>
  <c r="N4" i="48"/>
  <c r="D3" i="65"/>
  <c r="D21" i="65" s="1"/>
  <c r="V75" i="48"/>
  <c r="AD75" i="48"/>
  <c r="I16" i="65"/>
  <c r="M4" i="65"/>
  <c r="N4" i="65" s="1"/>
  <c r="E49" i="65"/>
  <c r="AK45" i="48"/>
  <c r="AO28" i="48"/>
  <c r="AK40" i="48"/>
  <c r="T77" i="45"/>
  <c r="T442" i="45"/>
  <c r="U75" i="48"/>
  <c r="AC75" i="48"/>
  <c r="AJ75" i="48" s="1"/>
  <c r="I17" i="65"/>
  <c r="I14" i="65"/>
  <c r="I19" i="65" s="1"/>
  <c r="D74" i="65"/>
  <c r="AH28" i="48"/>
  <c r="AJ28" i="48" s="1"/>
  <c r="AK25" i="48"/>
  <c r="S74" i="45"/>
  <c r="T469" i="45"/>
  <c r="T473" i="45" s="1"/>
  <c r="AH50" i="48"/>
  <c r="AJ50" i="48" s="1"/>
  <c r="AK50" i="48" s="1"/>
  <c r="V6" i="48"/>
  <c r="AD6" i="48"/>
  <c r="F5" i="57"/>
  <c r="S469" i="45"/>
  <c r="S473" i="45" s="1"/>
  <c r="AH49" i="48"/>
  <c r="AJ49" i="48" s="1"/>
  <c r="S77" i="45"/>
  <c r="S442" i="45"/>
  <c r="T79" i="45"/>
  <c r="T85" i="45" s="1"/>
  <c r="T87" i="45" s="1"/>
  <c r="O24" i="48"/>
  <c r="P24" i="48"/>
  <c r="D63" i="57"/>
  <c r="AH51" i="48"/>
  <c r="AJ51" i="48" s="1"/>
  <c r="AK51" i="48" s="1"/>
  <c r="AK49" i="48" l="1"/>
  <c r="AO27" i="48"/>
  <c r="AK28" i="48"/>
  <c r="AO26" i="48"/>
  <c r="AD24" i="48"/>
  <c r="V24" i="48"/>
  <c r="F36" i="60"/>
  <c r="G35" i="60"/>
  <c r="AJ6" i="48"/>
  <c r="F63" i="57"/>
  <c r="C3" i="57" s="1"/>
  <c r="N17" i="65"/>
  <c r="M14" i="65"/>
  <c r="O14" i="65" s="1"/>
  <c r="N9" i="65"/>
  <c r="N12" i="65"/>
  <c r="M8" i="65"/>
  <c r="O8" i="65" s="1"/>
  <c r="U14" i="65"/>
  <c r="V14" i="65" s="1"/>
  <c r="M13" i="65"/>
  <c r="O13" i="65" s="1"/>
  <c r="M17" i="65"/>
  <c r="O17" i="65" s="1"/>
  <c r="U16" i="65"/>
  <c r="V16" i="65" s="1"/>
  <c r="N14" i="65"/>
  <c r="U10" i="65"/>
  <c r="V10" i="65" s="1"/>
  <c r="U11" i="65"/>
  <c r="V11" i="65" s="1"/>
  <c r="N18" i="65"/>
  <c r="N13" i="65"/>
  <c r="N16" i="65"/>
  <c r="U8" i="65"/>
  <c r="V8" i="65" s="1"/>
  <c r="M11" i="65"/>
  <c r="O11" i="65" s="1"/>
  <c r="M15" i="65"/>
  <c r="O15" i="65" s="1"/>
  <c r="M12" i="65"/>
  <c r="O12" i="65" s="1"/>
  <c r="M16" i="65"/>
  <c r="O16" i="65" s="1"/>
  <c r="U18" i="65"/>
  <c r="V18" i="65" s="1"/>
  <c r="U12" i="65"/>
  <c r="V12" i="65" s="1"/>
  <c r="U13" i="65"/>
  <c r="V13" i="65" s="1"/>
  <c r="N10" i="65"/>
  <c r="N15" i="65"/>
  <c r="U15" i="65"/>
  <c r="V15" i="65" s="1"/>
  <c r="M9" i="65"/>
  <c r="O9" i="65" s="1"/>
  <c r="U17" i="65"/>
  <c r="V17" i="65" s="1"/>
  <c r="U9" i="65"/>
  <c r="V9" i="65" s="1"/>
  <c r="N11" i="65"/>
  <c r="M18" i="65"/>
  <c r="O18" i="65" s="1"/>
  <c r="M10" i="65"/>
  <c r="O10" i="65" s="1"/>
  <c r="N8" i="65"/>
  <c r="U24" i="48"/>
  <c r="AC24" i="48"/>
  <c r="AJ24" i="48" s="1"/>
  <c r="F64" i="57" l="1"/>
  <c r="F65" i="57" s="1"/>
  <c r="G36" i="60"/>
  <c r="H35" i="60"/>
  <c r="H36" i="60" l="1"/>
  <c r="I35" i="60"/>
  <c r="I36" i="60" l="1"/>
  <c r="J35" i="60"/>
  <c r="J36" i="60" l="1"/>
  <c r="K35" i="60"/>
  <c r="K36" i="60" l="1"/>
  <c r="L35" i="60"/>
  <c r="L36" i="60" l="1"/>
  <c r="M35" i="60"/>
  <c r="M36" i="60" l="1"/>
  <c r="N35" i="60"/>
  <c r="N36" i="60" l="1"/>
  <c r="O35" i="60"/>
  <c r="O36" i="60" l="1"/>
  <c r="P35" i="60"/>
  <c r="P36" i="60" l="1"/>
  <c r="Q35" i="60"/>
  <c r="Q36" i="60" s="1"/>
  <c r="R37" i="60" l="1"/>
  <c r="R38" i="60" s="1"/>
  <c r="C43" i="60" s="1"/>
  <c r="B5" i="61" s="1"/>
  <c r="C44" i="60" l="1"/>
  <c r="B6" i="61" s="1"/>
  <c r="C45" i="60" l="1"/>
  <c r="C47" i="60" s="1"/>
  <c r="B9" i="61" s="1"/>
  <c r="B7" i="61" l="1"/>
  <c r="AG31" i="48" l="1"/>
  <c r="AI31" i="48" s="1"/>
  <c r="AP21" i="48" l="1"/>
  <c r="AQ21" i="48" s="1"/>
  <c r="AQ22" i="48" s="1"/>
  <c r="AQ24" i="48" s="1"/>
  <c r="AI6" i="48"/>
  <c r="AI24" i="48" s="1"/>
  <c r="AK24" i="48" s="1"/>
  <c r="AJ2" i="48"/>
  <c r="AJ3" i="48" s="1"/>
  <c r="AK31" i="48"/>
  <c r="AI75" i="48"/>
  <c r="AK75" i="48" s="1"/>
  <c r="AK6" i="48" l="1"/>
  <c r="AJ4" i="48" s="1"/>
</calcChain>
</file>

<file path=xl/comments1.xml><?xml version="1.0" encoding="utf-8"?>
<comments xmlns="http://schemas.openxmlformats.org/spreadsheetml/2006/main">
  <authors>
    <author>FANG, XIANG</author>
  </authors>
  <commentList>
    <comment ref="C21" authorId="0">
      <text>
        <r>
          <rPr>
            <sz val="9"/>
            <color indexed="81"/>
            <rFont val="Tahoma"/>
            <family val="2"/>
          </rPr>
          <t>Password are removed for FED examination.</t>
        </r>
      </text>
    </comment>
  </commentList>
</comments>
</file>

<file path=xl/comments2.xml><?xml version="1.0" encoding="utf-8"?>
<comments xmlns="http://schemas.openxmlformats.org/spreadsheetml/2006/main">
  <authors>
    <author>LI, RENJIE</author>
  </authors>
  <commentList>
    <comment ref="C5" authorId="0">
      <text>
        <r>
          <rPr>
            <b/>
            <sz val="8"/>
            <color indexed="81"/>
            <rFont val="Tahoma"/>
            <family val="2"/>
          </rPr>
          <t>Inner Limit: 10%
Outer Limit: 5%</t>
        </r>
      </text>
    </comment>
  </commentList>
</comments>
</file>

<file path=xl/comments3.xml><?xml version="1.0" encoding="utf-8"?>
<comments xmlns="http://schemas.openxmlformats.org/spreadsheetml/2006/main">
  <authors>
    <author>Ruiming He</author>
  </authors>
  <commentList>
    <comment ref="A37" authorId="0">
      <text>
        <r>
          <rPr>
            <b/>
            <sz val="9"/>
            <color indexed="81"/>
            <rFont val="Tahoma"/>
            <family val="2"/>
          </rPr>
          <t>Ruiming He:</t>
        </r>
        <r>
          <rPr>
            <sz val="9"/>
            <color indexed="81"/>
            <rFont val="Tahoma"/>
            <family val="2"/>
          </rPr>
          <t xml:space="preserve">
(A) General. The net internal stressed cash-flow need of the U.S. branches and agencies of the foreign banking organization equals the greater of: 2.1 &amp; 2.2</t>
        </r>
      </text>
    </comment>
    <comment ref="E47" authorId="0">
      <text>
        <r>
          <rPr>
            <b/>
            <sz val="9"/>
            <color indexed="81"/>
            <rFont val="Tahoma"/>
            <family val="2"/>
          </rPr>
          <t>Ruiming He:</t>
        </r>
        <r>
          <rPr>
            <sz val="9"/>
            <color indexed="81"/>
            <rFont val="Tahoma"/>
            <family val="2"/>
          </rPr>
          <t xml:space="preserve">
Need to be 0 to ensure the buffer results from stress test model is in line with the EPS buffer calculation fomular.
</t>
        </r>
      </text>
    </comment>
  </commentList>
</comments>
</file>

<file path=xl/comments4.xml><?xml version="1.0" encoding="utf-8"?>
<comments xmlns="http://schemas.openxmlformats.org/spreadsheetml/2006/main">
  <authors>
    <author>Ruiming He</author>
  </authors>
  <commentList>
    <comment ref="C74" authorId="0">
      <text>
        <r>
          <rPr>
            <b/>
            <sz val="9"/>
            <color indexed="81"/>
            <rFont val="Tahoma"/>
            <family val="2"/>
          </rPr>
          <t>Ruiming He:</t>
        </r>
        <r>
          <rPr>
            <sz val="9"/>
            <color indexed="81"/>
            <rFont val="Tahoma"/>
            <family val="2"/>
          </rPr>
          <t xml:space="preserve">
Each tenor the control result should be 0. (Spreadsheet Reconciliation Control)</t>
        </r>
      </text>
    </comment>
  </commentList>
</comments>
</file>

<file path=xl/comments5.xml><?xml version="1.0" encoding="utf-8"?>
<comments xmlns="http://schemas.openxmlformats.org/spreadsheetml/2006/main">
  <authors>
    <author>FANG, XIANG</author>
  </authors>
  <commentList>
    <comment ref="A1" authorId="0">
      <text>
        <r>
          <rPr>
            <sz val="9"/>
            <color indexed="81"/>
            <rFont val="Tahoma"/>
            <family val="2"/>
          </rPr>
          <t>This tab has definition of all TrialBalance (G/L).
Used for developer to identify product mapping.</t>
        </r>
      </text>
    </comment>
  </commentList>
</comments>
</file>

<file path=xl/comments6.xml><?xml version="1.0" encoding="utf-8"?>
<comments xmlns="http://schemas.openxmlformats.org/spreadsheetml/2006/main">
  <authors>
    <author>FANG, XIANG</author>
  </authors>
  <commentList>
    <comment ref="A1" authorId="0">
      <text>
        <r>
          <rPr>
            <sz val="9"/>
            <color indexed="81"/>
            <rFont val="Tahoma"/>
            <family val="2"/>
          </rPr>
          <t>This tab is used to keep major change to LST template.</t>
        </r>
      </text>
    </comment>
  </commentList>
</comments>
</file>

<file path=xl/sharedStrings.xml><?xml version="1.0" encoding="utf-8"?>
<sst xmlns="http://schemas.openxmlformats.org/spreadsheetml/2006/main" count="6276" uniqueCount="2818">
  <si>
    <t>Spot</t>
  </si>
  <si>
    <t>O/N</t>
  </si>
  <si>
    <t>1W</t>
  </si>
  <si>
    <t>2W</t>
  </si>
  <si>
    <t>3W</t>
  </si>
  <si>
    <t>1M</t>
  </si>
  <si>
    <t>2M</t>
  </si>
  <si>
    <t>3M</t>
  </si>
  <si>
    <t>4M</t>
  </si>
  <si>
    <t>5M</t>
  </si>
  <si>
    <t>6M</t>
  </si>
  <si>
    <t>7M</t>
  </si>
  <si>
    <t>8M</t>
  </si>
  <si>
    <t>9M</t>
  </si>
  <si>
    <t>10M</t>
  </si>
  <si>
    <t>11M</t>
  </si>
  <si>
    <t>12M</t>
  </si>
  <si>
    <t>Due From Banks (IB / Affiliates)</t>
  </si>
  <si>
    <t>Loans</t>
  </si>
  <si>
    <t>Securities</t>
  </si>
  <si>
    <t>BOLI</t>
  </si>
  <si>
    <t>Other Assets</t>
  </si>
  <si>
    <t>Total Assets</t>
  </si>
  <si>
    <t>Due To Banks</t>
  </si>
  <si>
    <t>Customer Deposits</t>
  </si>
  <si>
    <t>Brokered CDs</t>
  </si>
  <si>
    <t>Equity</t>
  </si>
  <si>
    <t>Other Liabilities</t>
  </si>
  <si>
    <t>Total Liabilities</t>
  </si>
  <si>
    <t>Time (Bilateral)</t>
  </si>
  <si>
    <t>Mortgage</t>
  </si>
  <si>
    <t xml:space="preserve">  Trade finance</t>
  </si>
  <si>
    <t>Assets</t>
  </si>
  <si>
    <t>Liabilities</t>
  </si>
  <si>
    <t>Due to Banks - IB &amp; Affiliate</t>
  </si>
  <si>
    <t>Line item #</t>
  </si>
  <si>
    <t>Due to Banks - 3rd party FI</t>
  </si>
  <si>
    <t>Due From Banks (3rd Party FI)</t>
  </si>
  <si>
    <t>Due from Banks</t>
  </si>
  <si>
    <t>Loan Commitments</t>
  </si>
  <si>
    <t>Borrow Eurodollars or Fed Funds in interbank market.</t>
  </si>
  <si>
    <t>REPO NY Branch securities.</t>
  </si>
  <si>
    <t>Inform and request funding from HO TRD departments.</t>
  </si>
  <si>
    <t>Issue BCD.</t>
  </si>
  <si>
    <t>Issue YCD.</t>
  </si>
  <si>
    <t>Suspend loans.</t>
  </si>
  <si>
    <t>Rebalance investments to increase liquidity.</t>
  </si>
  <si>
    <t>Sell Investment Portfolio.</t>
  </si>
  <si>
    <t>Access Fed Discount window.</t>
  </si>
  <si>
    <t>Assumptions</t>
  </si>
  <si>
    <t>Factor Assumption</t>
  </si>
  <si>
    <t>Contractual maturities</t>
  </si>
  <si>
    <t>No run-off</t>
  </si>
  <si>
    <t>OUTWARD DOC BILL</t>
  </si>
  <si>
    <t>DUE FROM INTERBRANCH-TRADE FIN</t>
  </si>
  <si>
    <t>GLNAME</t>
  </si>
  <si>
    <t>CASH ON HAND</t>
  </si>
  <si>
    <t>PETTY CASH</t>
  </si>
  <si>
    <t>CASH IN TRANSIT</t>
  </si>
  <si>
    <t>CASH IN ATM</t>
  </si>
  <si>
    <t>DUE FROM U.S. BANKS - DEMAND</t>
  </si>
  <si>
    <t>CHIPS - NET SETTLEMENT</t>
  </si>
  <si>
    <t>DUE FROM NONUS BANKS - DEMAND</t>
  </si>
  <si>
    <t>DUE FROM BANKS - INVESTMENT</t>
  </si>
  <si>
    <t>INVESTMENT IN FUNDS</t>
  </si>
  <si>
    <t>DUE FROM BANK DEPOSIT</t>
  </si>
  <si>
    <t>FEDERAL FUNDS SOLD-OVERNIGHT</t>
  </si>
  <si>
    <t>FEDERAL FUNDS SOLD - TERM</t>
  </si>
  <si>
    <t>SECURITY UNDER AGMT TO RESELL</t>
  </si>
  <si>
    <t>CALL LOANS - U.S.</t>
  </si>
  <si>
    <t>CALL LOANS - NON U.S.</t>
  </si>
  <si>
    <t>OVERDRAFT TO U.S. CUSTOMERS</t>
  </si>
  <si>
    <t>SYNDICATED LOAN-U.S.</t>
  </si>
  <si>
    <t>SYNDICATED LOAN NUS</t>
  </si>
  <si>
    <t>SECONDARY MARKET LOAN PUR DISC</t>
  </si>
  <si>
    <t>TIME LOANS UNSECURED-US</t>
  </si>
  <si>
    <t>TIME LOANS SECURED - U.S.</t>
  </si>
  <si>
    <t>TIME LOANS SECURED- NON U.S.</t>
  </si>
  <si>
    <t>COMMERICAL MORTGAGE LOANS</t>
  </si>
  <si>
    <t>RESIDENTIAL MORTGAGE LOANS</t>
  </si>
  <si>
    <t>FMV LOANS</t>
  </si>
  <si>
    <t>LOAN FV REVALUATION</t>
  </si>
  <si>
    <t>OVERDUE LOAN</t>
  </si>
  <si>
    <t>NON-ACCRUAL LOAN</t>
  </si>
  <si>
    <t>RESERVES FOR LOAN LOSSES-GENER</t>
  </si>
  <si>
    <t>RESERVE FOR LOAN LOSSES-SPECIF</t>
  </si>
  <si>
    <t>SYNDICATED DISCOUNT LOAN</t>
  </si>
  <si>
    <t>INWARD DOC BILL</t>
  </si>
  <si>
    <t>PREPAYMENT IDB</t>
  </si>
  <si>
    <t>BANK ACPT US</t>
  </si>
  <si>
    <t>BANK ACPT NON US</t>
  </si>
  <si>
    <t>SHORT TERM TRADE FINANCE</t>
  </si>
  <si>
    <t>FACTORING</t>
  </si>
  <si>
    <t>PACKING LOAN</t>
  </si>
  <si>
    <t>TRADING SECURITIES</t>
  </si>
  <si>
    <t>PREMIUN ON TRADING SECURITIES</t>
  </si>
  <si>
    <t>DISCOUNT ON TRADING SECURITIES</t>
  </si>
  <si>
    <t>SEC-AVAILABLE FOR SALE-BOCUS</t>
  </si>
  <si>
    <t>PREMIUM / DISCOUNT AFS LA</t>
  </si>
  <si>
    <t>PREMIUM ON AFS SECURITIES</t>
  </si>
  <si>
    <t>DISCOUNT ON AFS SECURITIES</t>
  </si>
  <si>
    <t>SECURITY AVAILABLE FOR SALE-OP</t>
  </si>
  <si>
    <t>REVALUATION AVAILABLE FOR SALE</t>
  </si>
  <si>
    <t>INVESTMENT IN NEW YORK EQUITY</t>
  </si>
  <si>
    <t>NEW YORK EQUITY FUND AMORTIZAT</t>
  </si>
  <si>
    <t>CUST LIAB ON ACCEPTANCES UNDER</t>
  </si>
  <si>
    <t>BUILDINGS &amp; RESIDENCES</t>
  </si>
  <si>
    <t>ACCUMULATED DEP-BUILDING RESID</t>
  </si>
  <si>
    <t>FIXED ASSET IN CONSTRUCTION</t>
  </si>
  <si>
    <t>FURNITURE &amp; EQUIPMENT</t>
  </si>
  <si>
    <t>ACCUMULATED DEP-FURNITURE &amp; EQ</t>
  </si>
  <si>
    <t>BUILDING ATTACHMENTS</t>
  </si>
  <si>
    <t>ACCUMULATED DEP-BLDG ATTACHMEN</t>
  </si>
  <si>
    <t>LEASEHOLD IMPROVEMENTS</t>
  </si>
  <si>
    <t>ACCU AMORT LEASEHOLD IMPROVEME</t>
  </si>
  <si>
    <t>LEASEHD IMPROV IN CONSTRUCTION</t>
  </si>
  <si>
    <t>EQUIPMENT UNDER CAPITAL LEASE</t>
  </si>
  <si>
    <t>ACCUM AMORT EQUIP UNDER CAP LE</t>
  </si>
  <si>
    <t>COMPUTER EQUIPMENT</t>
  </si>
  <si>
    <t>ACCUMULATED DEP-COMPUTER EQUIP</t>
  </si>
  <si>
    <t>VEHICLE</t>
  </si>
  <si>
    <t>ACCUMULATED DEPRECIATION-VEHIC</t>
  </si>
  <si>
    <t>COMPUTER SOFTWARE</t>
  </si>
  <si>
    <t>ACCUMULATED SOFTWARE AMORTIZE</t>
  </si>
  <si>
    <t>AIR ZERO BALANCE SYND LOAN</t>
  </si>
  <si>
    <t>AIR ZERO BALANCE TM LOAN</t>
  </si>
  <si>
    <t>AIR AIM FUND</t>
  </si>
  <si>
    <t>AIR O/D TO CUSTOMER</t>
  </si>
  <si>
    <t>AIR SYNDI LOAN</t>
  </si>
  <si>
    <t>AIR TIME LOAN UNSECURED</t>
  </si>
  <si>
    <t>AIR TIME LOAN SECURED</t>
  </si>
  <si>
    <t>AIR COMMERCIAL MG LOAN</t>
  </si>
  <si>
    <t>AIR INWARD DOC BILL</t>
  </si>
  <si>
    <t>AIR OUTWARD DOC BILL</t>
  </si>
  <si>
    <t>AIR SEC - LAD</t>
  </si>
  <si>
    <t>AIR DUE FROM BANK DEPOSIT</t>
  </si>
  <si>
    <t>AIR DT USBANK</t>
  </si>
  <si>
    <t>AIR DT NONUSBA OD</t>
  </si>
  <si>
    <t>AIR DEMAND DEPOSIT</t>
  </si>
  <si>
    <t>AIR SWAP</t>
  </si>
  <si>
    <t>AIR PASTDUE</t>
  </si>
  <si>
    <t>AIR BANK ACCEP US</t>
  </si>
  <si>
    <t>AIR BANK ACCEP NUS</t>
  </si>
  <si>
    <t>AIR FFS O/N</t>
  </si>
  <si>
    <t>AIR FFS TERM</t>
  </si>
  <si>
    <t>AIR RESELL</t>
  </si>
  <si>
    <t>AIR RESIDENTIAL MG LOAN</t>
  </si>
  <si>
    <t>AIR FMV LOANS</t>
  </si>
  <si>
    <t>AIR CALL LOAN</t>
  </si>
  <si>
    <t>AIR CALL LOAN NON USBN</t>
  </si>
  <si>
    <t>AIR DUE FROM FRB</t>
  </si>
  <si>
    <t>AIR DF CUST TRADE FINANCE</t>
  </si>
  <si>
    <t>AIR FACTORING</t>
  </si>
  <si>
    <t>AIR PACKING LOAN</t>
  </si>
  <si>
    <t>AIR TARDE SEC</t>
  </si>
  <si>
    <t>AIR AFS SEC</t>
  </si>
  <si>
    <t>AIR INTERBRANCH TF</t>
  </si>
  <si>
    <t>AIR DT INTERBRANCH OD</t>
  </si>
  <si>
    <t>AIR SWAP INTERBRANCH</t>
  </si>
  <si>
    <t>AIR BANK ACCEP INTERBRANCH</t>
  </si>
  <si>
    <t>AIR INTERBRANCH FACTORING</t>
  </si>
  <si>
    <t>AIR INTERBRANCH RESELL</t>
  </si>
  <si>
    <t>AIR DUE FR INTERBR TERM DEPOSI</t>
  </si>
  <si>
    <t>AIR INTBR CALL LOAN</t>
  </si>
  <si>
    <t>AIR DT AFFILIATE OD</t>
  </si>
  <si>
    <t>AIR AFFILIATE - FACTORING</t>
  </si>
  <si>
    <t>AIR DF AFFILIATE-C</t>
  </si>
  <si>
    <t>AIR OTHERS</t>
  </si>
  <si>
    <t>UNREAL GAIN-FX</t>
  </si>
  <si>
    <t>UNREAL GAIN-SEC</t>
  </si>
  <si>
    <t>UNREAL GAIN IRS-TRADE</t>
  </si>
  <si>
    <t>UNREAL GAIN -SHORT SALE SEC</t>
  </si>
  <si>
    <t>UNREAL GAIN AMORTIZATION</t>
  </si>
  <si>
    <t>UNREAL GAIN INTBR IRS TRADE</t>
  </si>
  <si>
    <t>UNREAL GAIN AFFIL IRS TRADE</t>
  </si>
  <si>
    <t>AIR DF INTRABRANCH INV</t>
  </si>
  <si>
    <t>AIR D/FM INTRABR-CL</t>
  </si>
  <si>
    <t>BANK OWNED LIFE INSURANCE</t>
  </si>
  <si>
    <t>AIR BOLI</t>
  </si>
  <si>
    <t>ACCOUNTS RECEIVABLE &amp; ADVANCES</t>
  </si>
  <si>
    <t>PREPAID EXPENSE AMORTIZATION</t>
  </si>
  <si>
    <t>PREPAID RENTAL EXP-AMORTIZE 1Y</t>
  </si>
  <si>
    <t>SUSPENSE DEBIT-COLLECTION</t>
  </si>
  <si>
    <t>PREPAID PROPERTY TAX</t>
  </si>
  <si>
    <t>GUARANTEE DEPOSIT &amp; MARGIN PAI</t>
  </si>
  <si>
    <t>PREPAID EXPENSES</t>
  </si>
  <si>
    <t>INTER OFFICE TRANSFER</t>
  </si>
  <si>
    <t>ACCRU COMMISSION RCVBL</t>
  </si>
  <si>
    <t>AC RECEIVABLE-TRADE FIN COMMIS</t>
  </si>
  <si>
    <t>CDARS CD RATE BRIDGE INT REC'B</t>
  </si>
  <si>
    <t>INTER PROCESS-OVER COUNTER</t>
  </si>
  <si>
    <t>INTER PROCESS REJECTED ITEMS-C</t>
  </si>
  <si>
    <t>INTER PROCESS REJECTED ITEMS-A</t>
  </si>
  <si>
    <t>FTPS REJECTED - DEDIT CARD</t>
  </si>
  <si>
    <t>SUSPENSE SUNDRY DEBIT</t>
  </si>
  <si>
    <t>LC MARGIN SUSPENSE ACCOUNT</t>
  </si>
  <si>
    <t>SUSPENSE DR CENTRAL BALANCE CO</t>
  </si>
  <si>
    <t>TELLERS SHORTAGES</t>
  </si>
  <si>
    <t>DEFERRED TAX ASSETS</t>
  </si>
  <si>
    <t>VALUATION ALLOWANCE OF DTA</t>
  </si>
  <si>
    <t>INCOME TAX RECEIVABLE-FED</t>
  </si>
  <si>
    <t>INCOME TAX RECEIVABLE-NYS</t>
  </si>
  <si>
    <t>INCOME TAX REVEIVABLE-NYC</t>
  </si>
  <si>
    <t>INTERPROCESS SUSPENSE BALANCE-</t>
  </si>
  <si>
    <t>LC INTERPROCESS SUSP</t>
  </si>
  <si>
    <t>ACCOUNT RECEIVABLE TRADE FINAN</t>
  </si>
  <si>
    <t>INTERPROCESS SUSPENSE-FX(GPS)</t>
  </si>
  <si>
    <t>INTERPROCESS SUSP GPS</t>
  </si>
  <si>
    <t>DUE FROM INTERBRANCH BA</t>
  </si>
  <si>
    <t>DUE FROM INTERBRANCH FACTORING</t>
  </si>
  <si>
    <t>DUE FROM INTERBRANCH - DEMAND</t>
  </si>
  <si>
    <t>INTERPROCESS SUSPENSE-BANKING</t>
  </si>
  <si>
    <t>DUE FROM INTERBRANCH - CALL LO</t>
  </si>
  <si>
    <t>DUE FROM AFFILIATE - DEMAND</t>
  </si>
  <si>
    <t>DUE FROM AFFILIATE-CALL LOAN</t>
  </si>
  <si>
    <t>DUE FROM AFFILIATE BA</t>
  </si>
  <si>
    <t>DUE FROM AFFILIATE - FACTORING</t>
  </si>
  <si>
    <t>DUE FROM INTRABRANCH-DEMAND DE</t>
  </si>
  <si>
    <t>DUE FROM INTRABRANCH-INVESTMEN</t>
  </si>
  <si>
    <t>DUE FROM INTRABRANCH-CALL LOAN</t>
  </si>
  <si>
    <t>SECURITY RESALE INTERBRANCH</t>
  </si>
  <si>
    <t>DUE FR BOC INTERBR TERM DEPOSI</t>
  </si>
  <si>
    <t>BLOCKED ACCOUNT</t>
  </si>
  <si>
    <t>DUE TO US BANKS-DEMAND</t>
  </si>
  <si>
    <t>DUE TO NON U.S. BANKS-DEMAND</t>
  </si>
  <si>
    <t>DUE TO OTHER FI DDA</t>
  </si>
  <si>
    <t>DEMAND DEPOSITS-PERSONAL</t>
  </si>
  <si>
    <t>DEMAND DEPOSITS-NON PERSONAL</t>
  </si>
  <si>
    <t>DEMAND DEPOSIT-CUSTODIAL IND</t>
  </si>
  <si>
    <t>DEMAND DEPOSITS-INACTIVE</t>
  </si>
  <si>
    <t>DEMAND DEPOSIT-CTRL-NON INT BE</t>
  </si>
  <si>
    <t>DEMAND DEPOSIT-INT CHECKING</t>
  </si>
  <si>
    <t>INSURED CASH SWEEP DDA</t>
  </si>
  <si>
    <t>EASY CHECKING - PERSONAL</t>
  </si>
  <si>
    <t>EASY CHECKING - NONPERSONAL</t>
  </si>
  <si>
    <t>NOW ACCOUNTS-PERSONAL</t>
  </si>
  <si>
    <t>NOW ACCOUNT-INACTIVE</t>
  </si>
  <si>
    <t>MONEY MARKETS-PERSONAL</t>
  </si>
  <si>
    <t>MONEY MARKETS-NON PERSONAL</t>
  </si>
  <si>
    <t>MONEY MARKETS-CUSTODIAL IND</t>
  </si>
  <si>
    <t>CORPORATE MONEY MARKET FUNDS</t>
  </si>
  <si>
    <t>ICS RECIPROCAL MMK DEPOSIT</t>
  </si>
  <si>
    <t>MONEY MARKETS-INACTIVE</t>
  </si>
  <si>
    <t>MMDA BROKERED DEPOSIT</t>
  </si>
  <si>
    <t>OFFICIAL CHECKS</t>
  </si>
  <si>
    <t>CERTIFIED CHECKS</t>
  </si>
  <si>
    <t>TRAVELLER'S CHECK SOLD</t>
  </si>
  <si>
    <t>MONEY ORDER</t>
  </si>
  <si>
    <t>GIFT CERTIFICATE</t>
  </si>
  <si>
    <t>SAVINGS DEP (STATEMENT)-PERSON</t>
  </si>
  <si>
    <t>SAVINGS DEP (STATEMENT) NPL</t>
  </si>
  <si>
    <t>SAVINGS DEP (STMT) VIP-PERS.</t>
  </si>
  <si>
    <t>SAVINGS DEP (STMT) VIP-NPL</t>
  </si>
  <si>
    <t>SAVINGS DEPOSIT(STATEMENT)-INA</t>
  </si>
  <si>
    <t>SAVINGS DEP (PASSBOOK)-PERSONA</t>
  </si>
  <si>
    <t>SAVINGS DEP (PASSBOOK)-NON PER</t>
  </si>
  <si>
    <t>SAVINGS DEPOSIT(PASS BOOK)-INA</t>
  </si>
  <si>
    <t>ESCROW DEPOSIT EB5-NON INT BEA</t>
  </si>
  <si>
    <t>ESCROW DEPOSIT-NON INT BEARING</t>
  </si>
  <si>
    <t>ESCROW DEPOSITS IB COMMERCIAL</t>
  </si>
  <si>
    <t>ESCROW DEPOSITS-RESIDENTIAL</t>
  </si>
  <si>
    <t>TIME DEPOSITS-PERSONAL</t>
  </si>
  <si>
    <t>TIME DEPOSITS-NON PERSONAL</t>
  </si>
  <si>
    <t>CDARS CD RECIPROCAL DEPOSIT</t>
  </si>
  <si>
    <t>TIME DEPOSITS-INACTIVE</t>
  </si>
  <si>
    <t>IRA CD</t>
  </si>
  <si>
    <t>CD ISSUANCE</t>
  </si>
  <si>
    <t>CD ISSU UNAMORTIZED FEE</t>
  </si>
  <si>
    <t>YANKEE CD ISSUANCE</t>
  </si>
  <si>
    <t>YANKEE CD DIS-UNAMORTIZED FEES</t>
  </si>
  <si>
    <t>FEDERAL FUNDS PURCHASED - OVER</t>
  </si>
  <si>
    <t>FEDERAL FUND PURCHASE -- TERM</t>
  </si>
  <si>
    <t>SHORT SALE DISCOUNT</t>
  </si>
  <si>
    <t>SHORT SALE SECURITY</t>
  </si>
  <si>
    <t>SHORT SALE PREMIUM</t>
  </si>
  <si>
    <t>SEC SOLD UNDER AGMT TO REPURCH</t>
  </si>
  <si>
    <t>BANKERS DEPOSITS-INVESTMET US</t>
  </si>
  <si>
    <t>DUE TO BANK INVESTMENT NON US</t>
  </si>
  <si>
    <t>DT OTHER FI INV</t>
  </si>
  <si>
    <t>DUE TO BANK - CALL LOANS</t>
  </si>
  <si>
    <t>EUROFUNDS BORROWED US</t>
  </si>
  <si>
    <t>EUROFUNDS BORROWED NON US</t>
  </si>
  <si>
    <t>AIP MMDA BROKERED DEPOSIT</t>
  </si>
  <si>
    <t>AIP DDA-INTEREST CHECKING</t>
  </si>
  <si>
    <t>AIP DEMAND DEP-CUSTODIAL IND</t>
  </si>
  <si>
    <t>AIP MONEY MARKETS-CUSTOD IND</t>
  </si>
  <si>
    <t>INT PBL D/TO INTRA-C/LOAN</t>
  </si>
  <si>
    <t>AIP CORPORATE MMK FUNDS</t>
  </si>
  <si>
    <t>AIP DUE TO INTRABR-CALL LOAN</t>
  </si>
  <si>
    <t>AIP INTRA INV</t>
  </si>
  <si>
    <t>AIP AFFILIATE</t>
  </si>
  <si>
    <t>AIP AFFILIATE INV NON US</t>
  </si>
  <si>
    <t>AIP DT AFFILIATE-CL</t>
  </si>
  <si>
    <t>AIP AFFILIATE INV US</t>
  </si>
  <si>
    <t>AIP SWAP AFFILIATE</t>
  </si>
  <si>
    <t>OUTWARD REM &amp; DRAFT OUTSTANDING</t>
  </si>
  <si>
    <t>BANK LIAB ON ACCEPTANCES UNDER</t>
  </si>
  <si>
    <t>AIP BLOCK ACCOUNT</t>
  </si>
  <si>
    <t>AIP NOW PERSONAL</t>
  </si>
  <si>
    <t>AIP NOW INACTIVE</t>
  </si>
  <si>
    <t>AIP MM PERSONAL</t>
  </si>
  <si>
    <t>AIP MM NON PERSONAL</t>
  </si>
  <si>
    <t>AIP MM NON PERSONAL INACTIVE</t>
  </si>
  <si>
    <t>AIP SAVING STMT DEP PERSONAL</t>
  </si>
  <si>
    <t>AIP SAVING STMT DEP NON PERSON</t>
  </si>
  <si>
    <t>AIP SAVING STMT DEP INACTIVE</t>
  </si>
  <si>
    <t>AIP IRA CD</t>
  </si>
  <si>
    <t>AIP SAVING STMT DEP PASSBK PER</t>
  </si>
  <si>
    <t>AIP SAVING STMT DEP PASSBK NON PER</t>
  </si>
  <si>
    <t>AIP SAVING STMT DEP PASSBK INA</t>
  </si>
  <si>
    <t>AIP ESC DEP-IB RESIDENTIAL</t>
  </si>
  <si>
    <t>AIP ESC DEP-IB COMMERCIAL</t>
  </si>
  <si>
    <t>AIP TIME DEPOSIT PNL</t>
  </si>
  <si>
    <t>AIP TIME DEPOSIT NON PNL</t>
  </si>
  <si>
    <t>AIP BANK INV US</t>
  </si>
  <si>
    <t>AIP BANK INV NON US</t>
  </si>
  <si>
    <t>AIP SEC SOLD UNDER AGMT TO RPO</t>
  </si>
  <si>
    <t>AIP OTHER FI</t>
  </si>
  <si>
    <t>AIP SWAP</t>
  </si>
  <si>
    <t>AIP TIME DEPOSIT -- INATV</t>
  </si>
  <si>
    <t>AIP SHORT SALE SECURITY</t>
  </si>
  <si>
    <t>AIP FFP OVERNIGHT</t>
  </si>
  <si>
    <t>AIP FFP TERM</t>
  </si>
  <si>
    <t>INT PBL CD ISSUANCE</t>
  </si>
  <si>
    <t>AIP DUE TO BANK - CALL LOANS</t>
  </si>
  <si>
    <t>AIP EF BORROW NON US</t>
  </si>
  <si>
    <t>AIP CDARS CD RECIPROCAL DEP</t>
  </si>
  <si>
    <t>AIP ICS RECIPROCAL MMK DEPOSIT</t>
  </si>
  <si>
    <t>AIP EF BORROW US</t>
  </si>
  <si>
    <t>AIP OTHERS</t>
  </si>
  <si>
    <t>AIP YANKEE CD ISSUANCE</t>
  </si>
  <si>
    <t>UNEARNED DIS-SYNDICATED DIS LN</t>
  </si>
  <si>
    <t>UNEARNED DISC OUTWARD DOCUMEN</t>
  </si>
  <si>
    <t>UNEARNED DISC PREPAYMENT IDB</t>
  </si>
  <si>
    <t>UNEARNED DISC B/A-U.S. BANKS</t>
  </si>
  <si>
    <t>UNEARNED DISC  B/A-NON U.S. BA</t>
  </si>
  <si>
    <t>UNEARNED DISC  B/A-NON U.S. GOV</t>
  </si>
  <si>
    <t>UNEARNED DISC  O/SEC PLD/IV-US</t>
  </si>
  <si>
    <t>UNEARNED DISC D/F INTBR-BA</t>
  </si>
  <si>
    <t>UNEARNED DISC  D/F INTERBR-SEC</t>
  </si>
  <si>
    <t>UNEARNED DISC  DF AFFILIATE-TF</t>
  </si>
  <si>
    <t>AIP INTERBRANCH INV</t>
  </si>
  <si>
    <t>AIP SWAP INTERBR</t>
  </si>
  <si>
    <t>AIP INTERBR REPO</t>
  </si>
  <si>
    <t>AIP DUE FROM INTERBR OD</t>
  </si>
  <si>
    <t>AIP DT INTERBR CL</t>
  </si>
  <si>
    <t>UNEARNED FEES MISCELLANEOUS</t>
  </si>
  <si>
    <t>UNEARNED FEES SYNDI LOAN</t>
  </si>
  <si>
    <t>UNEARNED FEES TIME LOANS SECUR</t>
  </si>
  <si>
    <t>UNEARNED FEES MORTGAGE LOANS</t>
  </si>
  <si>
    <t>UNEARNED FEES COMMIS ON LINE O</t>
  </si>
  <si>
    <t>UNREALIZED LOSS FX</t>
  </si>
  <si>
    <t>UNREALIZED LOSS SECURITY</t>
  </si>
  <si>
    <t>UNREALIZED LOSS FX OPTION</t>
  </si>
  <si>
    <t>UNREALIZED LOSS IRS-TRADE</t>
  </si>
  <si>
    <t>UNREALIZED LOSS -SHORT SALE</t>
  </si>
  <si>
    <t>UNREALIZED LOSS SEC. OPTION</t>
  </si>
  <si>
    <t>UNREALIZED LOSS SWAPTION</t>
  </si>
  <si>
    <t>UNREALIZED LOSS AMORTIZATION</t>
  </si>
  <si>
    <t>UNREALIZED LOSS INTBR IRS TRAD</t>
  </si>
  <si>
    <t>UNREALIZED LOSS AFFIL IRS TRAD</t>
  </si>
  <si>
    <t>PREMIUM-OPTION RECEIPT</t>
  </si>
  <si>
    <t>PREMIUM-FUTURE OPTION RECEIVED</t>
  </si>
  <si>
    <t>ACCOUNTS PAYABLE</t>
  </si>
  <si>
    <t>ACCUM POSTRETIRE BENEFIT OBLIG</t>
  </si>
  <si>
    <t>SUSPENSE CREDIT-COLLECTION</t>
  </si>
  <si>
    <t>ACCOUNT PAYABLE-LOAN</t>
  </si>
  <si>
    <t>GUARANTEE DEPOSIT MARGIN RECEI</t>
  </si>
  <si>
    <t>OBLIGATIONS UNDER CAPITAL LEAS</t>
  </si>
  <si>
    <t>ACCRUED EXPENSES</t>
  </si>
  <si>
    <t>TELLERS OVERAGES</t>
  </si>
  <si>
    <t>INTER OFFICE TRANSFERS - PR</t>
  </si>
  <si>
    <t>INTERPROCESS INCOMING CHECKS-C</t>
  </si>
  <si>
    <t>INTER PROCESS REJECTED -ACH CR</t>
  </si>
  <si>
    <t>ICS RATE BRIDGE PAYABLE</t>
  </si>
  <si>
    <t>CDARS CD RATE BRIDGE INT PAYBL</t>
  </si>
  <si>
    <t>SUSPENSE SUNDRY CREDIT</t>
  </si>
  <si>
    <t>INTERPROCESS NONCUSTOMER-LC</t>
  </si>
  <si>
    <t>DEBIT CARD INVESTIGATION</t>
  </si>
  <si>
    <t>SUSPENSE CR CENTRAL BALANCE CO</t>
  </si>
  <si>
    <t>ACCT PAYABLE BACKUP WITH HOLD</t>
  </si>
  <si>
    <t>ACCT PAYBLE-SALES/USE TAX</t>
  </si>
  <si>
    <t>A/C PAYABLE ABANDON PROPERTY</t>
  </si>
  <si>
    <t>INTER OFFICE TRANSFER-CASH</t>
  </si>
  <si>
    <t>UNEARNED LC COMMISSION INCOME</t>
  </si>
  <si>
    <t>UNSETTLED SECURITY PAYABLE</t>
  </si>
  <si>
    <t>DEFERRED TAX LIABILITIES</t>
  </si>
  <si>
    <t>OTHER RESERVE GENERAL</t>
  </si>
  <si>
    <t>OTHER RESERVE CALL LOAN</t>
  </si>
  <si>
    <t>OTHER RESERVE-FX &amp; DERIVATIVES</t>
  </si>
  <si>
    <t>OTHER RESERVE ACCEPTANCE</t>
  </si>
  <si>
    <t>OTHER RESERVE IDR AGAINST TR</t>
  </si>
  <si>
    <t>OTHER RESERVE LC &amp; GUARANTEE</t>
  </si>
  <si>
    <t>OTHER RESERVE SBLC</t>
  </si>
  <si>
    <t>OTHER RESERVE SHIPG GUARANTEE</t>
  </si>
  <si>
    <t>OTHER RESERVE-CR E CP &amp; BONDS</t>
  </si>
  <si>
    <t>OTHER RESERVE-FUNDS INVESTMENT</t>
  </si>
  <si>
    <t>LITIGATION CONTINGENT LIABILI</t>
  </si>
  <si>
    <t>DEBIT/CREDIT CARD LOSS RESERVE</t>
  </si>
  <si>
    <t>FEDERAL INCOME TAX PAYABLE</t>
  </si>
  <si>
    <t>NEW YORK STATE INCOME TAX PAYA</t>
  </si>
  <si>
    <t>NEW YORK CITY INCOME TAX PAYAB</t>
  </si>
  <si>
    <t>CALIFORNIA STATE INCOME TAX PA</t>
  </si>
  <si>
    <t>IL STATE INCOME TAX PAYABLE</t>
  </si>
  <si>
    <t>INCOME TAX RESERVE</t>
  </si>
  <si>
    <t>DEFERRED RENT</t>
  </si>
  <si>
    <t>FOREIGN EXCHANGE EQUIVALENCY</t>
  </si>
  <si>
    <t>DUE TO INTERBRANCH - DEMAND</t>
  </si>
  <si>
    <t>DUE TO HEAD OFFICE-OPERATION F</t>
  </si>
  <si>
    <t>DUE TO INTERBRANCH - INVESTMEN</t>
  </si>
  <si>
    <t>DUE TO INTERBRANCH-CALL LOANS</t>
  </si>
  <si>
    <t>DUE TO INTERBRANCH-ADC/AUDIT C</t>
  </si>
  <si>
    <t>DUE TO INTERBR-REMIT UNDER COL</t>
  </si>
  <si>
    <t>DUE TO INTBR-WIRETRANSFER INVE</t>
  </si>
  <si>
    <t>INTERPROCESS CHECK COLLECTION</t>
  </si>
  <si>
    <t>DUE TO INTBR- DRAFT ACCOUNTS</t>
  </si>
  <si>
    <t>DUE TO INTERBRANCH-REPO</t>
  </si>
  <si>
    <t>DUE TO INTRABRANCH-DEMAND DEPO</t>
  </si>
  <si>
    <t>DUE TO INTRABRANCH-INVESTMENT</t>
  </si>
  <si>
    <t>DUE TO INTRABRANCH-CALL LOAN</t>
  </si>
  <si>
    <t>DUE TO AFFILIATE DDA US</t>
  </si>
  <si>
    <t>DUE TO AFFILIATE DDA NUS</t>
  </si>
  <si>
    <t>DUE TO AFFILIATE INV US</t>
  </si>
  <si>
    <t>DUE TO AFFILIATE INV NUS</t>
  </si>
  <si>
    <t>DUE TO  AFFILIATE-CALL LOAN</t>
  </si>
  <si>
    <t>DUE TO AFFILIATE DRAFT</t>
  </si>
  <si>
    <t>PROFIT OR LOSS - PREVIOUS YEAR</t>
  </si>
  <si>
    <t>OTHER COMPREHENSIVE INCOME</t>
  </si>
  <si>
    <t>AFS REVAL DEFERRED TAX EFFECT</t>
  </si>
  <si>
    <t>INT INC-OTHER US</t>
  </si>
  <si>
    <t>INT INC-OTHER NUS</t>
  </si>
  <si>
    <t>INT INC D/F NUS DEMAND</t>
  </si>
  <si>
    <t>INT INC DUE FR BK INVES</t>
  </si>
  <si>
    <t>INT INC INVESTMENT IN FUNDS</t>
  </si>
  <si>
    <t>INT INC DUE FROM BANK DEPOSIT</t>
  </si>
  <si>
    <t>INT INC F/F SOLD O/N</t>
  </si>
  <si>
    <t>INT INC FEDERAL FUNDS SOLD</t>
  </si>
  <si>
    <t>INT INC SEC. RESELL</t>
  </si>
  <si>
    <t>INT INC BULN PUR RESELL</t>
  </si>
  <si>
    <t>INT INC CALL LOANS - U. S. BANK</t>
  </si>
  <si>
    <t>INT INC CALL LOANS - NUS BK</t>
  </si>
  <si>
    <t>INT INCCALL LOAN-B/SWP</t>
  </si>
  <si>
    <t>INT INC C/LOAN BSWP-NUS</t>
  </si>
  <si>
    <t>INT INC O/D TO U.S.CUST</t>
  </si>
  <si>
    <t>INT INC SYNDI LOAN-US</t>
  </si>
  <si>
    <t>INT INC SYNDI LOAN-NUS</t>
  </si>
  <si>
    <t>INT INC TIME LOANS</t>
  </si>
  <si>
    <t>INT INC TIME LOANS SECURED-US</t>
  </si>
  <si>
    <t>INT INC TIME LN SECU NUS</t>
  </si>
  <si>
    <t>INT INC FMV LOANS</t>
  </si>
  <si>
    <t>INT INC RESIDENTIAL MORTGAGE</t>
  </si>
  <si>
    <t>INT INC MORTGAGE</t>
  </si>
  <si>
    <t>INT INC NON ACCRU MG LN</t>
  </si>
  <si>
    <t>INT INC NON ACCRU TIME LN</t>
  </si>
  <si>
    <t>INT INC NON ACCRU DIS LN</t>
  </si>
  <si>
    <t>INT INC NON ACCRU IDB</t>
  </si>
  <si>
    <t>INT INC NON ACCRU ODB</t>
  </si>
  <si>
    <t>INT INC NON ACCRU SYND</t>
  </si>
  <si>
    <t>INT INC SYNDICATED DIS LOAN</t>
  </si>
  <si>
    <t>INT INC IDB</t>
  </si>
  <si>
    <t>INT INC ODB</t>
  </si>
  <si>
    <t>INT INC PREPAYMENT IDB</t>
  </si>
  <si>
    <t>INT INC BA US</t>
  </si>
  <si>
    <t>INT INC BA NUS</t>
  </si>
  <si>
    <t>INT INC BAP FNG GOVT BK</t>
  </si>
  <si>
    <t>INT INC DF CUST TRADE FINANCE</t>
  </si>
  <si>
    <t>INT INC FACTORING</t>
  </si>
  <si>
    <t>INT INC PACKING LOAN</t>
  </si>
  <si>
    <t>INT INC PASTDUE LOAN</t>
  </si>
  <si>
    <t>INT INC US T/SEC TRADE</t>
  </si>
  <si>
    <t>INT INC SEC AFS BOCUS</t>
  </si>
  <si>
    <t>INT INC SEC AFS OPICS</t>
  </si>
  <si>
    <t>INT INC  DUE TO US BANKS</t>
  </si>
  <si>
    <t>INT INC  DUE TO NON U.S.</t>
  </si>
  <si>
    <t>INT INC D/TO NONBK F.I.</t>
  </si>
  <si>
    <t>INT INC  DEMAND DEPOSITS</t>
  </si>
  <si>
    <t>INT INC DEMAND DP-F.C.</t>
  </si>
  <si>
    <t>INT INC IRS RCB-S TRADE</t>
  </si>
  <si>
    <t>INT INC OTHERS</t>
  </si>
  <si>
    <t>INT INC SYDICATION LOANS</t>
  </si>
  <si>
    <t>INT INC TRADE FINANCE</t>
  </si>
  <si>
    <t>INT INC COMMERCIAL MORTGAGE</t>
  </si>
  <si>
    <t>INT INC RESIDENTIAL MORTGAGE COMMITMENT</t>
  </si>
  <si>
    <t>INT INC RESIDENTIAL MORTGAGE UNDERWRITING</t>
  </si>
  <si>
    <t>INT INC RESIDENTIAL MORTGAGE ORIGINATION</t>
  </si>
  <si>
    <t>INT INC PENALTY SPREAD</t>
  </si>
  <si>
    <t>COMMISSION INCOME</t>
  </si>
  <si>
    <t>COMMI INC ON EXCHANGE</t>
  </si>
  <si>
    <t>COMMI INC SEC. CUSTODY</t>
  </si>
  <si>
    <t>COMMI INC QDII-QULIFIED DOMEST</t>
  </si>
  <si>
    <t>COMMI INC COMMERCIAL PAPER FX</t>
  </si>
  <si>
    <t>COMMI INC TRANSFERABL L/C</t>
  </si>
  <si>
    <t>COMMI INC ON ACCEPTANCE US</t>
  </si>
  <si>
    <t>COMMI INC ON COLLECTIONS I.D.C</t>
  </si>
  <si>
    <t>COMMI INC ON C OLLECTIONS O.D.</t>
  </si>
  <si>
    <t>COMMI INC SHORT TERM TRADE FIN</t>
  </si>
  <si>
    <t>COMMI INC BACK-TO-BACK LC</t>
  </si>
  <si>
    <t>COMMI INC IMPORT LC PAYMT</t>
  </si>
  <si>
    <t>COMMI INC EXPORT LC NEGOT</t>
  </si>
  <si>
    <t>COMMI INC GUARANTEE ISSUED</t>
  </si>
  <si>
    <t>COMMI INC STANDBY LC/GUTY</t>
  </si>
  <si>
    <t>COMMI INC REIMBURSE UNDER DIRE</t>
  </si>
  <si>
    <t>COMMI INC OTHER</t>
  </si>
  <si>
    <t>COMMI INC POSTAGE RECEIVED</t>
  </si>
  <si>
    <t>COMMI INC TELEPHONE AND FAX</t>
  </si>
  <si>
    <t>COMMI INC TELEX RECEIVED</t>
  </si>
  <si>
    <t>COMMI INC CREDIT CARD</t>
  </si>
  <si>
    <t>COMMI INC REMITTANCE FEES</t>
  </si>
  <si>
    <t>COMMI INC DEBIT CARD</t>
  </si>
  <si>
    <t>COMMI INC  ON TRAVAL CHECK SOLD</t>
  </si>
  <si>
    <t>COMMI INC ON LINE OF CREDIT</t>
  </si>
  <si>
    <t>COMMI INC OTHER LOAN FEES</t>
  </si>
  <si>
    <t>COMMI INC ON CREDIT INVESTIGAT</t>
  </si>
  <si>
    <t>COMMI INC DDA SERVICE FEE</t>
  </si>
  <si>
    <t>COMMI INC P &amp; R TELEX RECEIVED</t>
  </si>
  <si>
    <t>COMM INC POSTAGE OUTWARD</t>
  </si>
  <si>
    <t>COMM INC POSTAGE INWARD</t>
  </si>
  <si>
    <t>COMM INC POSTAGE BOOKTSF</t>
  </si>
  <si>
    <t>COMM INC CLR FEE OUTWARD</t>
  </si>
  <si>
    <t>COMM INC CLR FEE INWARD</t>
  </si>
  <si>
    <t>COMMI INC CLR FEE BOOKTSF</t>
  </si>
  <si>
    <t>COMMI INC CLR SERVICE FEES</t>
  </si>
  <si>
    <t>COMMI INC TD PENALTY</t>
  </si>
  <si>
    <t>COMMI INC SAFE DEPOSIT BOX</t>
  </si>
  <si>
    <t>COMMI INC COLL. DEPT</t>
  </si>
  <si>
    <t>COMMI INC SWIFT&amp;TELEX STMT FEE</t>
  </si>
  <si>
    <t>COMMI INC LC ADVISING</t>
  </si>
  <si>
    <t>COMMI INC LC CONFIRMATION</t>
  </si>
  <si>
    <t>COMMI INC SYNDI LOAN-US</t>
  </si>
  <si>
    <t>COMMI INC SYNDI LOAN-NUS</t>
  </si>
  <si>
    <t>COMMI INC TIME LOANS UNSECURED</t>
  </si>
  <si>
    <t>COMMI INC TIME LOANS SECURED</t>
  </si>
  <si>
    <t>COMMI INC MORTGAGE LOANS</t>
  </si>
  <si>
    <t>COMMI INC INWARD DOC BILL</t>
  </si>
  <si>
    <t>COMMI INC PREPAYMENT-IDB</t>
  </si>
  <si>
    <t>COMM INC FOREITING/RISK PARTIC</t>
  </si>
  <si>
    <t>COMMI INC C/L ACCEP NUS</t>
  </si>
  <si>
    <t>COMM INC FACTORING</t>
  </si>
  <si>
    <t>COMMI INC STB LC-SYNDICAT</t>
  </si>
  <si>
    <t>COMMI INC ADMINISTRATION CHARG</t>
  </si>
  <si>
    <t>COMMI INC FACILITY FEE</t>
  </si>
  <si>
    <t>COMMI INC LOAN  DRAWDOWN COMMI</t>
  </si>
  <si>
    <t>COMMI INC RESTRUCTURE FEES</t>
  </si>
  <si>
    <t>COMMI INC ARRANGEMENT FEES</t>
  </si>
  <si>
    <t>COMMI INC MANAGEMENT FEES</t>
  </si>
  <si>
    <t>COMMI INC COMMITMENT FEES</t>
  </si>
  <si>
    <t>COMMI INC PRINCIPAL INCREASE CHARGE</t>
  </si>
  <si>
    <t>COMMI INC UNUSED COMMITMENT FE</t>
  </si>
  <si>
    <t>COMMI INC LEVEL FEE</t>
  </si>
  <si>
    <t>COMMI INC LATE FEE</t>
  </si>
  <si>
    <t>COMMI INC PREPAYMENT PENALTY FEE</t>
  </si>
  <si>
    <t>COMMI INC BREAKAGE AMENDMENT F</t>
  </si>
  <si>
    <t>COMMI INC DEFAULT INTEREST RATE</t>
  </si>
  <si>
    <t>COMMI INC LOAN ORIGINATION FEE</t>
  </si>
  <si>
    <t>COMMI INC APPLICATION FEE</t>
  </si>
  <si>
    <t>COMMI INC UNDERWRITING FEE</t>
  </si>
  <si>
    <t>COMMI INC RESIDENTIAL MG COMMITMENT</t>
  </si>
  <si>
    <t>COMMI INC SYNDICATION L/C FEE</t>
  </si>
  <si>
    <t>COMMI INC MODIFICATION FEE</t>
  </si>
  <si>
    <t>COM INC UTILIZATION SYDICATION LOAN</t>
  </si>
  <si>
    <t>COMMI INC AC BALANCE MAITAIN</t>
  </si>
  <si>
    <t>COMMI INC DORMAT ACCOUNT CHARGE</t>
  </si>
  <si>
    <t>COMMI INC COUNTER CHECKS</t>
  </si>
  <si>
    <t>COMMI INC CERTIFIED CHECK</t>
  </si>
  <si>
    <t>COMMI INC PERSONAL MONEY ORDER</t>
  </si>
  <si>
    <t>COMMI INC GIFT CHECK</t>
  </si>
  <si>
    <t>COMMI INC OFFICIAL CHECK FEE</t>
  </si>
  <si>
    <t>COMMI INC STOP PAYMENT</t>
  </si>
  <si>
    <t>COMMI INC CHK RETURNED UNPAID BY US</t>
  </si>
  <si>
    <t>COMMI INC DEPOS CHECK RETURN U</t>
  </si>
  <si>
    <t>COMMI INC ACH RETURNED UNPAID</t>
  </si>
  <si>
    <t>COMMI INC ACH PAID AGAINST NSF</t>
  </si>
  <si>
    <t>COMMI INC CHECK PAID NSF</t>
  </si>
  <si>
    <t>COMMI INC COPY OF PAID CHECK</t>
  </si>
  <si>
    <t>COMMI INC INTERIM STATEMENT</t>
  </si>
  <si>
    <t>COMMI INC MISS SAVING PASSBOOK-CD</t>
  </si>
  <si>
    <t>COMMI INC LEGAL PROCESS</t>
  </si>
  <si>
    <t>COMMI INC CLOSE AC WITHIN 2 MO</t>
  </si>
  <si>
    <t>COMMI INC ABANDONED PROPERTY</t>
  </si>
  <si>
    <t>COMMI INC DAILY CASH DEPOS OVE</t>
  </si>
  <si>
    <t>COMMI INC ACCOUNT CERTIFICATIO</t>
  </si>
  <si>
    <t>COMMI INC OUTG COLLECT CLEAN</t>
  </si>
  <si>
    <t>COMMI INC DOMESTIC INCOMING COLLECT</t>
  </si>
  <si>
    <t>COMMI INC FAX REQUESTS</t>
  </si>
  <si>
    <t>COMMI INC TRAVELERS CHECKS</t>
  </si>
  <si>
    <t>COMMI INC TRAVELER CHECKS CASHED</t>
  </si>
  <si>
    <t>COMMI INC COIN EXCHANGE FEE</t>
  </si>
  <si>
    <t>COMMI INC FX REQ FOR BK TRAN</t>
  </si>
  <si>
    <t>COMMI INC VOSTRO SWFT/TELEX FEE</t>
  </si>
  <si>
    <t>COMMI INC REBATE FOR CHECK PRI</t>
  </si>
  <si>
    <t>COMMI INC GREAT WALL CASH ADVA</t>
  </si>
  <si>
    <t>COMM INC ON EXCHANGE FC BILLS</t>
  </si>
  <si>
    <t>COMMI INC  DT INTERBR-L/C (DUE</t>
  </si>
  <si>
    <t>COMMI INC DT AFFILIA-L/C (DUE TO)</t>
  </si>
  <si>
    <t>COMMI INC DUEFR INTBR-TLS</t>
  </si>
  <si>
    <t>COMMI INC DF INTB-PP LOAN</t>
  </si>
  <si>
    <t>COMMI INC DF AFFILIATE-TL</t>
  </si>
  <si>
    <t>COMMI INC DF AFFILIATE-PL</t>
  </si>
  <si>
    <t>COMM INC POSTAGE OUTWARD INTER</t>
  </si>
  <si>
    <t>COMM INC POSTAGE INWARD INTER</t>
  </si>
  <si>
    <t>COMM INC POSTAGE BOOKTSF INTER</t>
  </si>
  <si>
    <t>COMM INC CLR FEE OUTWARD INTER</t>
  </si>
  <si>
    <t>COMM INC CLR FEE INWARD INTER</t>
  </si>
  <si>
    <t>COMMI INC CLR FEE BOOKTS INTER</t>
  </si>
  <si>
    <t>COMMI INC DT INTERBR P&amp;R</t>
  </si>
  <si>
    <t>COMM INC POSTAGE OUTWARD AFFIL</t>
  </si>
  <si>
    <t>COMM INC POSTAGE INWARD AFFIL</t>
  </si>
  <si>
    <t>COMM INC POSTAGE BOOKTSF AFFIL</t>
  </si>
  <si>
    <t>COMM INC CLR FEE OUTWARD AFFIL</t>
  </si>
  <si>
    <t>COMM INC CLR FEE INWARD AFFILI</t>
  </si>
  <si>
    <t>COMM INC CLR FEE BOOKTSF AFFIL</t>
  </si>
  <si>
    <t>COMMI INC DT AFFILIATE P&amp;R</t>
  </si>
  <si>
    <t>COMMI INC DT INTBR-REPO</t>
  </si>
  <si>
    <t>FX MM BROKERAGE RECEIVED</t>
  </si>
  <si>
    <t>BOLI INCOME</t>
  </si>
  <si>
    <t>PROFIT/LOSS ON INVESTMENT</t>
  </si>
  <si>
    <t>P/L ON TR FX POSITION REVAL</t>
  </si>
  <si>
    <t>P/L ON TR FX CONTRACT REVAL</t>
  </si>
  <si>
    <t>P/L ON TRDNG FX SWAP</t>
  </si>
  <si>
    <t>P/L ON TRADING SEC REVAL</t>
  </si>
  <si>
    <t>P/L ON TRDNG IRS</t>
  </si>
  <si>
    <t>P/L ON TRDNG REALIZED SEC</t>
  </si>
  <si>
    <t>P/L ON SHORT SALE SEC REVAL</t>
  </si>
  <si>
    <t>SHORT SALE SEC RLZD PL</t>
  </si>
  <si>
    <t>REALIZED GAIN/LOSS CD ISSUANCE</t>
  </si>
  <si>
    <t>P/L ON TRDNG BULLION</t>
  </si>
  <si>
    <t>PL ON LOAN REVALUATION</t>
  </si>
  <si>
    <t>P/L ON TRDNG OPTION-FX</t>
  </si>
  <si>
    <t>P/L ON TRDNG OPTION-SEC</t>
  </si>
  <si>
    <t>P/L ON TRDNG OPTION-BULLION</t>
  </si>
  <si>
    <t>P/L ON TRDNG OPTION-FUTURES</t>
  </si>
  <si>
    <t>P/L ON TRDNG BULLION SWAP</t>
  </si>
  <si>
    <t>P/L ON TRDNG FINANCL FUTURES</t>
  </si>
  <si>
    <t>P/L ON TRDNG SWAPTION</t>
  </si>
  <si>
    <t>P/L ON TRDNG INTERBR IRS TRD</t>
  </si>
  <si>
    <t>P/L ON TRDNG AFFIL IRS TRADE</t>
  </si>
  <si>
    <t>P/L ON FUNDS INVESTMENTS</t>
  </si>
  <si>
    <t>P/L ON IRS UNWINDING</t>
  </si>
  <si>
    <t>MISCELLANEOUS INCOME</t>
  </si>
  <si>
    <t>GAIN ON SALE OF FIXED ASSETS</t>
  </si>
  <si>
    <t>GAIN COMPENSATION</t>
  </si>
  <si>
    <t>GAIN COM INTER-BRANCH</t>
  </si>
  <si>
    <t>GAIN COM AFFILIATE</t>
  </si>
  <si>
    <t>SERVICE INCOME OF ADC</t>
  </si>
  <si>
    <t>OTHER COMPENSATION RECEIVED</t>
  </si>
  <si>
    <t>INT INC INTERBR RESELL</t>
  </si>
  <si>
    <t>INT INC D/F INTBR-BA</t>
  </si>
  <si>
    <t>INT INC D/F INTBR-FACTORING</t>
  </si>
  <si>
    <t>INT INC DUE FR INTBR-DE</t>
  </si>
  <si>
    <t>INT INC DUE FROM BOC AFFILIATE</t>
  </si>
  <si>
    <t>INT INC INTBR CALL LOAN</t>
  </si>
  <si>
    <t>INT INC INTERBR TERM DEPOSIT</t>
  </si>
  <si>
    <t>INT INC D/F INTERBR-SEC</t>
  </si>
  <si>
    <t>INT INC DFR INTBR-T/FIN</t>
  </si>
  <si>
    <t>INT INC DUE TO INTBR DE</t>
  </si>
  <si>
    <t>INT INC INTBR IRS RC-TD</t>
  </si>
  <si>
    <t>INT INC DF AFFILIATE-CL</t>
  </si>
  <si>
    <t>INT INC DF AFFILIATE-BA</t>
  </si>
  <si>
    <t>INT INC AFFILIATE - FACTORING</t>
  </si>
  <si>
    <t>INT INC RESELL AFFILIATES</t>
  </si>
  <si>
    <t>INT INC D/TO AFIL-D-NUS</t>
  </si>
  <si>
    <t>INT INC AFFIL IRS RC-TD</t>
  </si>
  <si>
    <t>INT INC INTRABRANCH DE</t>
  </si>
  <si>
    <t>INT INC D/FM INTRABR-IV</t>
  </si>
  <si>
    <t>INT INC D/FM INTRABR-CL</t>
  </si>
  <si>
    <t>INT.EXP - OTHER</t>
  </si>
  <si>
    <t>INT.EXP FED INTRADAY OD</t>
  </si>
  <si>
    <t>INT.EXP DUE FROM US BANK</t>
  </si>
  <si>
    <t>INT.EXP DUE FROM NON US</t>
  </si>
  <si>
    <t>INT.EXP BLOCKED ACCT</t>
  </si>
  <si>
    <t>INT.EXP DUE TO US BK</t>
  </si>
  <si>
    <t>INT.EXP DUE TO NUSBK DE</t>
  </si>
  <si>
    <t>INT.EXP D/TO NBK F.I.DM</t>
  </si>
  <si>
    <t>INT EXP DDA-CUSTODIAL IND</t>
  </si>
  <si>
    <t>INT. EXP DDA-INTEREST CHECKING</t>
  </si>
  <si>
    <t>INT.EXP NOW ACCOUNTS-PERSONAL</t>
  </si>
  <si>
    <t>INT.EXP NOW A/C-INACTIV</t>
  </si>
  <si>
    <t>INT.EXP MONEY MARKETS PSNL</t>
  </si>
  <si>
    <t>INT.EXP MONEY MARKETS-NON PSNL</t>
  </si>
  <si>
    <t>INT EXP MMDA-CUSTODIAL IND</t>
  </si>
  <si>
    <t>INT EXP CORPORATE MMK FUNDS</t>
  </si>
  <si>
    <t>INT EXP ICS RECIPROCAL MMK DEP</t>
  </si>
  <si>
    <t>INT EXP MMDA BROKERED DEPOSIT</t>
  </si>
  <si>
    <t>INT.EXP MONEY MKT-INACT</t>
  </si>
  <si>
    <t>INT.EXP SAVINGS DEP STMT PSNL</t>
  </si>
  <si>
    <t>INT.EXP SAVINGS DEP STMT NPSNL</t>
  </si>
  <si>
    <t>INT.EXP SAV STMT-INACTI</t>
  </si>
  <si>
    <t>INT.EXP CALL DEP-N.P.;</t>
  </si>
  <si>
    <t>INT.EXP SAVINGS DEP PSBK PSNL</t>
  </si>
  <si>
    <t>INT.EXP SAVINGS DEP PSBK NPSNL</t>
  </si>
  <si>
    <t>INT.EXP SAV PASBK-INACT;</t>
  </si>
  <si>
    <t>INT.EXP ESC DEP RESIDENTIAL</t>
  </si>
  <si>
    <t>INT.EXP ESC DEP-I/B COMMERCIAL</t>
  </si>
  <si>
    <t>INT EXP TIME DEP-PERSON</t>
  </si>
  <si>
    <t>INT EXP TIME DEP NPSN</t>
  </si>
  <si>
    <t>INT EXP TIME DEP. INATV</t>
  </si>
  <si>
    <t>INT. EXP CD ISSUANCE</t>
  </si>
  <si>
    <t>INT.EXP CALL ACCT IN F</t>
  </si>
  <si>
    <t>INT.EXP CALL A/C IN F.C</t>
  </si>
  <si>
    <t>INT EXP IRA CD</t>
  </si>
  <si>
    <t>INT. EXP YANKEE CD ISSUANCE</t>
  </si>
  <si>
    <t>INT EXP CDARS CD-RECIPROCAL</t>
  </si>
  <si>
    <t>INT.EXP FEDERAL FUNDS P</t>
  </si>
  <si>
    <t>INT.EXP FED FUND P TERM</t>
  </si>
  <si>
    <t>INT.EXP SHORT SALE SECURITY</t>
  </si>
  <si>
    <t>INT EXP SEC REPO</t>
  </si>
  <si>
    <t>INT.EXP BULLION REPO</t>
  </si>
  <si>
    <t>INT.EXP B/A SOLD</t>
  </si>
  <si>
    <t>INT.EXP BANKERS DEPOSIT US</t>
  </si>
  <si>
    <t>INT.EXP BANKERS DEPOSIT NUS</t>
  </si>
  <si>
    <t>INT.EXP D/TO NBK F.I.IV</t>
  </si>
  <si>
    <t>INT EXP. DUE TO BANK - CALL LN</t>
  </si>
  <si>
    <t>INT.EXP EF BORROW US</t>
  </si>
  <si>
    <t>INT EXP EF BORROW NON US</t>
  </si>
  <si>
    <t>INT.EXP IRS PBL-TRADE</t>
  </si>
  <si>
    <t>INT EXP OTHERS</t>
  </si>
  <si>
    <t>COMMISSION EXPENSES</t>
  </si>
  <si>
    <t>COMMI EXP ON EXCHANGE</t>
  </si>
  <si>
    <t>COMMI EXP OTHERS</t>
  </si>
  <si>
    <t>COMMI EXP POSTAGE PAID</t>
  </si>
  <si>
    <t>COMMI EXP SEC CUSTODY FEE</t>
  </si>
  <si>
    <t>COMMI EXP TELEX PAID</t>
  </si>
  <si>
    <t>COMMI EXP DUE TO BOC INTERBR</t>
  </si>
  <si>
    <t>COMMI EXP DUE TO BOC AFFILIATE</t>
  </si>
  <si>
    <t>COMMI EXP DUE TO BANKS US&amp;NUS</t>
  </si>
  <si>
    <t>COMMI EXP BROKERAGE PAID</t>
  </si>
  <si>
    <t>COMMI EXP CLEARING HOUSE</t>
  </si>
  <si>
    <t>COMMI EXP CREDIT AND INVE</t>
  </si>
  <si>
    <t>COMMI EXP BKS SERVICE CHG</t>
  </si>
  <si>
    <t>COMMI EXP POSTAGE-COLL DP</t>
  </si>
  <si>
    <t>COMMI EXP TELEX PAID-F/X</t>
  </si>
  <si>
    <t>COMMI EXP COMM ON FU OPTN</t>
  </si>
  <si>
    <t>COMMI EXP REMITTANCE CLR FEE</t>
  </si>
  <si>
    <t>COMMI EXP DEBIT CARD</t>
  </si>
  <si>
    <t>COMMI EXP  INTERBR POSTAGE</t>
  </si>
  <si>
    <t>COMMI EXP INTBR FINANCING</t>
  </si>
  <si>
    <t>COMMI EXP SEC CUS FEE INTBR</t>
  </si>
  <si>
    <t>COMMI EXP INTE POSTAGE AFFILIA</t>
  </si>
  <si>
    <t>LOAN EXP OTHER-BOC,INTERBRANCH</t>
  </si>
  <si>
    <t>LOAN LOSS PROVISION GENERAL</t>
  </si>
  <si>
    <t>LOAN LOSS PROVISION SPECIFIC</t>
  </si>
  <si>
    <t>RECOVERY ON WRITTEN-OFF LOANS</t>
  </si>
  <si>
    <t>LITIGATION PROVISION</t>
  </si>
  <si>
    <t>MISC LOAN EXP AMORTIZATION</t>
  </si>
  <si>
    <t>MISC LOAN EXP-COMPEN &amp; PENALTY</t>
  </si>
  <si>
    <t>OTHER EXPENSES</t>
  </si>
  <si>
    <t>LOSS ON DISPOSE OF FIXED</t>
  </si>
  <si>
    <t>PROVISION OTHER RESERVES GENER</t>
  </si>
  <si>
    <t>PROVISION OTHER RESERVE SPECIFIC</t>
  </si>
  <si>
    <t>DEPRECIATION BLDG/RESIDENCE</t>
  </si>
  <si>
    <t>DEPRECIATION FURNITURE/ EQUIP</t>
  </si>
  <si>
    <t>DEPRECIATION BLDG ATTACHMENTS</t>
  </si>
  <si>
    <t>DEPRECIATION  LEASEHD IMPROVE</t>
  </si>
  <si>
    <t>DEPRECIATION EQP/ CAPTL LEASE</t>
  </si>
  <si>
    <t>DEPRECIATION COMPUTER EQUIP</t>
  </si>
  <si>
    <t>DEPRECIATION VEHICLE</t>
  </si>
  <si>
    <t>SOFTWARE AMORTIZATION</t>
  </si>
  <si>
    <t>PARTNERSHIP GAIN &amp; LOSS-NYEF</t>
  </si>
  <si>
    <t>LOSS COMP. BKING</t>
  </si>
  <si>
    <t>DEBIT/CREDIT CARD LOSS PROVISI</t>
  </si>
  <si>
    <t>RENTS ON LAND &amp; BUILDING</t>
  </si>
  <si>
    <t>RENTS ON EQUIPMENT</t>
  </si>
  <si>
    <t>REPAIR ON BUILDING</t>
  </si>
  <si>
    <t>WATER,LIGHT&amp;HEAT</t>
  </si>
  <si>
    <t>TAXES ON LAND &amp; BUILDING</t>
  </si>
  <si>
    <t>AUDIT FEES-EXTE</t>
  </si>
  <si>
    <t>ADVERTISING &amp; PROMOTION</t>
  </si>
  <si>
    <t>MEMBERSHIP FEES</t>
  </si>
  <si>
    <t>CONTRIBUTIONS</t>
  </si>
  <si>
    <t>COMPUTER EXPENSE</t>
  </si>
  <si>
    <t>BOOKS &amp; PERIODIC</t>
  </si>
  <si>
    <t>INSURANCE</t>
  </si>
  <si>
    <t>GUARD SERVICE</t>
  </si>
  <si>
    <t>LEGAL EXPENSESE</t>
  </si>
  <si>
    <t>PRINTING</t>
  </si>
  <si>
    <t>POSTAGE-BUSINESS OPERATION</t>
  </si>
  <si>
    <t>MEAL</t>
  </si>
  <si>
    <t>RENTAL-APARTMENT</t>
  </si>
  <si>
    <t>REPAIR/MAINENANCE ON EQUIPMENT</t>
  </si>
  <si>
    <t>SOCIAL &amp; ENTERTAINMENT</t>
  </si>
  <si>
    <t>STATIONERY &amp; SUPPLIES</t>
  </si>
  <si>
    <t>TELECOMMUNICATION</t>
  </si>
  <si>
    <t>TRANSPORTATION</t>
  </si>
  <si>
    <t>TRAVELING EXPENSE</t>
  </si>
  <si>
    <t>MAINTENANCE ON BUILDING</t>
  </si>
  <si>
    <t>PAYROLL SERVICE</t>
  </si>
  <si>
    <t>OTHER TAXES</t>
  </si>
  <si>
    <t>OCC ASSESSMENT</t>
  </si>
  <si>
    <t>FRF ASSESSMENT FEE</t>
  </si>
  <si>
    <t>FDIC ASSESSMENT</t>
  </si>
  <si>
    <t>TRANSIT CHECKS</t>
  </si>
  <si>
    <t>OFFICE SUPPLY</t>
  </si>
  <si>
    <t>DE MINIMIS FRINGE BENEFIT</t>
  </si>
  <si>
    <t>CONFERENCE FEE</t>
  </si>
  <si>
    <t>DOCUMENT STORAGE SVC EXPENSE</t>
  </si>
  <si>
    <t>MISCELLANEOUS</t>
  </si>
  <si>
    <t>OTHER BUSINESS SERVICE FEE</t>
  </si>
  <si>
    <t>CONSULTING</t>
  </si>
  <si>
    <t>OTHER CONSULTING FEES</t>
  </si>
  <si>
    <t>SALARIES</t>
  </si>
  <si>
    <t>ALLOWANCE AND COMPENSATION</t>
  </si>
  <si>
    <t>OVERTIME ALLOWANCE</t>
  </si>
  <si>
    <t>MEDICAL EXPENSES</t>
  </si>
  <si>
    <t>BANK'S PENSION SCHEME</t>
  </si>
  <si>
    <t>STAFF TRAINING</t>
  </si>
  <si>
    <t>DISABILITY INSURANCE</t>
  </si>
  <si>
    <t>BONUS</t>
  </si>
  <si>
    <t>FUTA</t>
  </si>
  <si>
    <t>STATE UNEMPLOYMENT TAX</t>
  </si>
  <si>
    <t>METRO COMMUTER TRANS TAX</t>
  </si>
  <si>
    <t>FICASS</t>
  </si>
  <si>
    <t>FICAMC</t>
  </si>
  <si>
    <t>NET PERIO POSTRETIR BENEF COST</t>
  </si>
  <si>
    <t>OTHER PERSONNEL EXPENSES</t>
  </si>
  <si>
    <t>HEAD OFFICE EXPENSES</t>
  </si>
  <si>
    <t>INT EXP DUE FM INTBR OD</t>
  </si>
  <si>
    <t>INT EXP INTERB REPO</t>
  </si>
  <si>
    <t>INT EXP DUE TO INTBR DE</t>
  </si>
  <si>
    <t>INT EXP DUE TO INTBR IV</t>
  </si>
  <si>
    <t>INT EXP DUE TO INTBR CL</t>
  </si>
  <si>
    <t>INT EXP INTBR IRS PB-TD</t>
  </si>
  <si>
    <t>INT EXP DUE FM AFFILIATES OD</t>
  </si>
  <si>
    <t>INT EXP AFFILIATE REPO</t>
  </si>
  <si>
    <t>INT EXP D/TO AFIL-D-NUS</t>
  </si>
  <si>
    <t>INT EXP D/TO AFIL-I-NUS</t>
  </si>
  <si>
    <t>INT EXP D/T AFIL-CL</t>
  </si>
  <si>
    <t>INT EXP D/T AFIL-D-US</t>
  </si>
  <si>
    <t>INT EXP D/T AFIL-IV-US</t>
  </si>
  <si>
    <t>INT EXP AFFIL IRS PB-TRD</t>
  </si>
  <si>
    <t>INT EXP DT INTRABRANCH INV</t>
  </si>
  <si>
    <t>INT EXP INTRA REPO</t>
  </si>
  <si>
    <t>INT EXP D/TO INTRABR-CA</t>
  </si>
  <si>
    <t>INT EXP D/TO INTRABR-CL</t>
  </si>
  <si>
    <t>INT EXP D/TO LA-C/LOAN</t>
  </si>
  <si>
    <t>INCOME TAX EXPENSES-FEDERAL</t>
  </si>
  <si>
    <t>INCOME TAX EXPENSES-STATE</t>
  </si>
  <si>
    <t>INCOME TAX EXPENSES-CITY</t>
  </si>
  <si>
    <t>WITHHOLDING TAX</t>
  </si>
  <si>
    <t>PL ANNUAL CLOSEOUT</t>
  </si>
  <si>
    <t>CHECK COLLECTION RECEIVED</t>
  </si>
  <si>
    <t>CONTIGENT BALANCE</t>
  </si>
  <si>
    <t>LC EXCLUSIVE</t>
  </si>
  <si>
    <t>INTERPROCESS REJECTED ITEMS-FX(GPS)</t>
  </si>
  <si>
    <t>SUSPENSE REJECTED ITEM-LC</t>
  </si>
  <si>
    <t>INTERPROCESS REJECTED FX</t>
  </si>
  <si>
    <t>NON ACCRUAL INTEREST RECEIVABL</t>
  </si>
  <si>
    <t>INWARD COLLECTIONS RECEIVED</t>
  </si>
  <si>
    <t>INWARD DOCS RELEASE AGAINST TR</t>
  </si>
  <si>
    <t>OUTWARD COLLECTIONS RECEIVED</t>
  </si>
  <si>
    <t>OUTWARD BILL RECEIVEABLE</t>
  </si>
  <si>
    <t>TR INTEREST RATE SWAP REC</t>
  </si>
  <si>
    <t>INTERBR IRS RECEIVABLE-TRADE</t>
  </si>
  <si>
    <t>AFFILIATE IRS RECEIVABLE-TRADE</t>
  </si>
  <si>
    <t>LC AND GUARANTEE ISSUED</t>
  </si>
  <si>
    <t>STANDBY LC</t>
  </si>
  <si>
    <t>ISSUING BK LIAB CONFIRMED LC</t>
  </si>
  <si>
    <t>LC REIMBURSEMENT</t>
  </si>
  <si>
    <t>CUST LIAB UNDER SHIPPING GUARANTEE</t>
  </si>
  <si>
    <t>UNFUNDED RISK PATICIPATION</t>
  </si>
  <si>
    <t>UNFUNDED FACTORING</t>
  </si>
  <si>
    <t>CREDIT ENHANCE FACILITY-CP&amp;BDS</t>
  </si>
  <si>
    <t>GUARANTEE RECEV</t>
  </si>
  <si>
    <t>LOAN COMMITMENT</t>
  </si>
  <si>
    <t>STANDBY L/C-SYNDICATED</t>
  </si>
  <si>
    <t>FINANCE SBLC SYND ISSUED</t>
  </si>
  <si>
    <t>FINANCE SBLC NON SYND ISSUED</t>
  </si>
  <si>
    <t>NON-FINA SBLC P 3RD PAR CONTRA</t>
  </si>
  <si>
    <t>COMMERCIAL L/C-SYNDICATED</t>
  </si>
  <si>
    <t>LOAN COLLATERAL</t>
  </si>
  <si>
    <t>CUSTODY ITEMS-US TREASURY SECU</t>
  </si>
  <si>
    <t>CREDIT CARD COLLATERAL</t>
  </si>
  <si>
    <t>CREDIT CARD NON COLLATERAL</t>
  </si>
  <si>
    <t>CUSTODY ITEMS-TRAVELLER'S CHECK</t>
  </si>
  <si>
    <t>CUSTODY ITEMS-FC BILLS</t>
  </si>
  <si>
    <t>CUSTODY ITEMS-OTHER SECURITIES</t>
  </si>
  <si>
    <t>COLLATERAL ITEMS-US T/SECURITU</t>
  </si>
  <si>
    <t>SECURITY CUSTODY PHYSICAL KEPT</t>
  </si>
  <si>
    <t>TRUST SECURITIES-JPCHASE DTC</t>
  </si>
  <si>
    <t>TRUST SECURITIES-DTC</t>
  </si>
  <si>
    <t>EUROCLEAR BANK-SECURITIES</t>
  </si>
  <si>
    <t>SECURITY PURCHASED TRADING</t>
  </si>
  <si>
    <t>SHORT SALE SECURITY PURCHASE</t>
  </si>
  <si>
    <t>SECURITY AFS PURCHASED LONG</t>
  </si>
  <si>
    <t>FORWARD CD MATURED</t>
  </si>
  <si>
    <t>FORWARD YANKEECD ISSUED CONTRA</t>
  </si>
  <si>
    <t>FORWARD YANKEE CD MATURED</t>
  </si>
  <si>
    <t>NEW YORK EQUITY FUNDS</t>
  </si>
  <si>
    <t>CUSTODY ITEMS - BULLION - GOLD</t>
  </si>
  <si>
    <t>CUSTODY ITEMS - BULLION - SILVER</t>
  </si>
  <si>
    <t>FX-SPOT PURCHASE RELATED</t>
  </si>
  <si>
    <t>BULLION PURCHASE-RELATED-SPOT</t>
  </si>
  <si>
    <t>BULLION PURCHASE-RELATED-FORWA</t>
  </si>
  <si>
    <t>SECURITY SOLD TRADE POSITION CONTR</t>
  </si>
  <si>
    <t>SEC. AFS SOLD CONTRA</t>
  </si>
  <si>
    <t>SHORT SALE SECURITY CONTRA</t>
  </si>
  <si>
    <t>FORWARD CD ISSUED CONTRA</t>
  </si>
  <si>
    <t>FX-SPOT PURCHASE-NON RELATED</t>
  </si>
  <si>
    <t>FX-SWAP PURCHASE-NON RELATED</t>
  </si>
  <si>
    <t>BULLION PURCHASE-NON RELATED-S</t>
  </si>
  <si>
    <t>BULLION PURCHASE-NONRELATED-FO</t>
  </si>
  <si>
    <t>FX-FWD PURCHASE-NR OUTRIGHT</t>
  </si>
  <si>
    <t>FX-FORWARD PURCHASE-NON RELATED, SWAP</t>
  </si>
  <si>
    <t>CALL OPTION PURCHASED-TRADE</t>
  </si>
  <si>
    <t>PUT OPTION SOLD-TRADE</t>
  </si>
  <si>
    <t>BUY SWAPTION TR</t>
  </si>
  <si>
    <t>SELL SWAPTION TR</t>
  </si>
  <si>
    <t>BAD DEBT WRITE OFF CURRENT YR</t>
  </si>
  <si>
    <t>ACCU BAD DEBT WRITE OFF</t>
  </si>
  <si>
    <t>SECU CALL OPTION SOLD-TRADE-CONTRA</t>
  </si>
  <si>
    <t>SEC PUT OPTION PURCHAS CONTRA TRADE</t>
  </si>
  <si>
    <t>SEC. PUT OPTION SOLD-TRADE</t>
  </si>
  <si>
    <t>SECURIT CALL OPTION PURCHASED-TRADE</t>
  </si>
  <si>
    <t>FX-FWD PURCHASE RELATED OUTRT</t>
  </si>
  <si>
    <t>FX-FORWARD PURCHASE RELATED SWAP</t>
  </si>
  <si>
    <t>INWARD COLLECTION RECEIVED</t>
  </si>
  <si>
    <t>CHECK COLLECTION</t>
  </si>
  <si>
    <t>OUTWARD BILL RECEIVEABLE CONTA</t>
  </si>
  <si>
    <t>STANDBY LC CONTRA</t>
  </si>
  <si>
    <t>ISSUING BK LIAB CONFIRMED LC C</t>
  </si>
  <si>
    <t>TR INTEREST RATE SWAP PAYABLE</t>
  </si>
  <si>
    <t>BANK LIAB UNDER SHIPPING GUARANTEE</t>
  </si>
  <si>
    <t>INTERBR IRS PAYABLE-TRADE</t>
  </si>
  <si>
    <t>AFFIATE IRS PAYABLE-TRADE</t>
  </si>
  <si>
    <t>LC DEFPAY CON LIAB</t>
  </si>
  <si>
    <t>LOAN COMMITMENT OBLIGATED</t>
  </si>
  <si>
    <t>INTERPROCESS REJECTED ITEMS-LC</t>
  </si>
  <si>
    <t>NON ACCRUAL INT REV CONTRA</t>
  </si>
  <si>
    <t>STANDBY L/C-SYNDICATED-CONTRA</t>
  </si>
  <si>
    <t>FINANCE SBLC SYND CONTRA</t>
  </si>
  <si>
    <t>FINANCE SBLC NON SYND CONTRA</t>
  </si>
  <si>
    <t>NON-FINA SBLC PARTI TO 3RD PTY</t>
  </si>
  <si>
    <t>COMMERCIAL L/C-SYNDICATED-CONTRA</t>
  </si>
  <si>
    <t>LOAN COLLATERAL CONTRA</t>
  </si>
  <si>
    <t>LIAB ON CUSTODY -US T.SECURITI</t>
  </si>
  <si>
    <t>LIAB ON CUSTODY TRAVELLER CHEQUE</t>
  </si>
  <si>
    <t>LIAB ON CUSTODY ITEMS-FC BILLS</t>
  </si>
  <si>
    <t>SECURITY CUSTODY PHYSICAL REC</t>
  </si>
  <si>
    <t>SEC. COLLATERAL</t>
  </si>
  <si>
    <t>SEC RESELL AGREE MEMORANDUMCONTRA</t>
  </si>
  <si>
    <t>LIAB. ON TRUST SEC.-JPCHASE DT</t>
  </si>
  <si>
    <t>LIAB. ON TRUST SECURITIES-DTC</t>
  </si>
  <si>
    <t>LIAB ON EUROCLEAR -SECURITIES</t>
  </si>
  <si>
    <t>SECURITY PURCHASED TRADING CONTRA</t>
  </si>
  <si>
    <t>LIAB. CREDIT CARD NON COLLATER</t>
  </si>
  <si>
    <t>LIAB. CREDIT CARD COLLATERAL</t>
  </si>
  <si>
    <t>SHORT SALE SECURITY PUR CONTRA</t>
  </si>
  <si>
    <t>SECURITY AFS PURCHASED LONG CONTRA</t>
  </si>
  <si>
    <t>FORWARD CD MATURED CONTRA</t>
  </si>
  <si>
    <t>FORWARD YANKEE CD ISSUED</t>
  </si>
  <si>
    <t>FORWARD YANKECD MATURED CONTRA</t>
  </si>
  <si>
    <t>REPO POSITION MEMORANDUM</t>
  </si>
  <si>
    <t>NEW YORK EQUITY FUNDS-COMMITMENT</t>
  </si>
  <si>
    <t>LIAB ON CUSTODY ITEMS  - GOLD</t>
  </si>
  <si>
    <t>LIAB ON CUSTODY ITEMS - SILVER</t>
  </si>
  <si>
    <t>FX-SPOT SALES RELATED</t>
  </si>
  <si>
    <t>BULLION SALE-RELATED-SPOT</t>
  </si>
  <si>
    <t>BULLION SALE-RELATED-FORWARD</t>
  </si>
  <si>
    <t>SECURITY SOLD TRADE SHORT POSITION</t>
  </si>
  <si>
    <t>SEC. AFS SOLD</t>
  </si>
  <si>
    <t>FORWARD CD ISSUED</t>
  </si>
  <si>
    <t>FX-SPOT SALES NON RELATED</t>
  </si>
  <si>
    <t>FX-SWAP SALES NON RELATED</t>
  </si>
  <si>
    <t>BULLION SALE-NON RELATED-SPOT</t>
  </si>
  <si>
    <t>BULLION SALE-NON RELATED-FORWA</t>
  </si>
  <si>
    <t>FX-FWD SALES NR OUTRIGHT</t>
  </si>
  <si>
    <t>FX-FORWARD SALES NON-RELATED SWAP</t>
  </si>
  <si>
    <t>PUT  OPTION PURCHASED-TRADE</t>
  </si>
  <si>
    <t>CALL OPTION SOLD-TRADE</t>
  </si>
  <si>
    <t>FINANCIAL FUTURE PURCHASED CONTRA</t>
  </si>
  <si>
    <t>FINANCIAL FUTURE SOLD CONTRA-TRADE</t>
  </si>
  <si>
    <t>BUY SWAPTION TR CONTRA</t>
  </si>
  <si>
    <t>SELL SWAPTION TR CONTRA</t>
  </si>
  <si>
    <t>PUT  FUTURE OPTION PURCHASED-TRADE</t>
  </si>
  <si>
    <t>CALL FUTURE OPTION SOLD-TRADE</t>
  </si>
  <si>
    <t>SP ALLL FOR SHORT TERM LOAN</t>
  </si>
  <si>
    <t>SP ALLL LT LOAN MAT IN 1 YR</t>
  </si>
  <si>
    <t>SP ALLL FOR LONG TERM LOAN</t>
  </si>
  <si>
    <t>NON ACCURAL LOAN UPG CUR YR</t>
  </si>
  <si>
    <t>SEC. CALL OPTION SOLD-TRADE</t>
  </si>
  <si>
    <t>SECURITIES PUT OPTION PURCHAS-TRADE</t>
  </si>
  <si>
    <t>SEC PUT OPTION SOLD CONTRA-TRADE</t>
  </si>
  <si>
    <t>SEC. CALL OPTION PURCHASED CONTRA</t>
  </si>
  <si>
    <t>FX-FORWARD SALES RELATED OUTRT</t>
  </si>
  <si>
    <t>FX-FORWARD SALES RELATED, SWAP</t>
  </si>
  <si>
    <t>FX EQUIVALENCY CONTIGENT</t>
  </si>
  <si>
    <t>MIGRATION ZERO SUSP</t>
  </si>
  <si>
    <t>LC TIB DUMMY AC</t>
  </si>
  <si>
    <t>TIME DEPOSIT DRAWDOWN</t>
  </si>
  <si>
    <t>WRITE OFF PASS THROUGH</t>
  </si>
  <si>
    <t>CATCH ALL</t>
  </si>
  <si>
    <t>Trade Finance - IB &amp; Affiliates</t>
  </si>
  <si>
    <t>Trade Finance - 3rd Parties</t>
  </si>
  <si>
    <t>Syndications</t>
  </si>
  <si>
    <t>Trade finance</t>
  </si>
  <si>
    <t>8.1.1</t>
  </si>
  <si>
    <t>8.1.2</t>
  </si>
  <si>
    <t>8.1.3</t>
  </si>
  <si>
    <t>8.1.4</t>
  </si>
  <si>
    <t>Cash Outflow</t>
  </si>
  <si>
    <t>Description</t>
  </si>
  <si>
    <t>No maturity date for all the transactions, assuming all the deposits have no maturity dates.</t>
  </si>
  <si>
    <t xml:space="preserve">     Demand,MM &amp; Savings - Retail</t>
  </si>
  <si>
    <t xml:space="preserve">   Demand,MM &amp; Savings - Corporates</t>
  </si>
  <si>
    <t xml:space="preserve">  Time Deposits - Retail</t>
  </si>
  <si>
    <t xml:space="preserve">  Time Deposits - Corporates</t>
  </si>
  <si>
    <t>Beginning balance</t>
  </si>
  <si>
    <t>No run-off assumptions</t>
  </si>
  <si>
    <t>Total Cash outflow</t>
  </si>
  <si>
    <t>Total Cash inflow</t>
  </si>
  <si>
    <t>50% cash inflow on contractual maturities</t>
  </si>
  <si>
    <t xml:space="preserve">Assumed all the time loans are unsecured given not sufficient data (yet). </t>
  </si>
  <si>
    <r>
      <t xml:space="preserve">Overnight Deposits from BOC Branch net work; </t>
    </r>
    <r>
      <rPr>
        <u/>
        <sz val="11"/>
        <rFont val="Calibri"/>
        <family val="2"/>
      </rPr>
      <t>Interest bearing</t>
    </r>
  </si>
  <si>
    <t>Ending balance</t>
  </si>
  <si>
    <t>Reserve Balance</t>
  </si>
  <si>
    <t>Reinvested securities proceeds</t>
  </si>
  <si>
    <t>Cash Inflow (outflow)</t>
  </si>
  <si>
    <t>BOC U.S. Branches Stress Test Model</t>
  </si>
  <si>
    <t>Mortgage (Commercial and Retail)</t>
  </si>
  <si>
    <t>Cash inflows</t>
  </si>
  <si>
    <t>Cash outflows</t>
  </si>
  <si>
    <t>Questions</t>
  </si>
  <si>
    <t>Assumptions confirmed with FMD</t>
  </si>
  <si>
    <t>Assumptions to be confirmed</t>
  </si>
  <si>
    <t xml:space="preserve">BOC H.O. has two accounts: DDA clearing, and O/n lending. </t>
  </si>
  <si>
    <t xml:space="preserve">Treasury: BOC inter branches can only clear with BOC, stable deposits. </t>
  </si>
  <si>
    <t>Balance with Fed (Net of Reserve balance)</t>
  </si>
  <si>
    <t>Balance with Fed (include Reserve balance)</t>
  </si>
  <si>
    <t>Balance with Fed (net of Reserve balance)</t>
  </si>
  <si>
    <t>Reserve</t>
  </si>
  <si>
    <t>(Incr) Decr reserve balance</t>
  </si>
  <si>
    <t/>
  </si>
  <si>
    <t xml:space="preserve">Major C/P: CDB, ICBC, PBOC. The top 6 counter partis represent 92% of the bal. </t>
  </si>
  <si>
    <t>9.2.1</t>
  </si>
  <si>
    <t>Demand,MM &amp; Savings - GIFS Capital Company</t>
  </si>
  <si>
    <t>Major C/P: CME. 100% run-off</t>
  </si>
  <si>
    <t>Net Cash Flow</t>
  </si>
  <si>
    <t>Not Matured in 1 yr</t>
  </si>
  <si>
    <t>Bankers deposits - Investment US (4440)</t>
  </si>
  <si>
    <t xml:space="preserve">The following items are not considered as off-balance sheet exposure: Inward/Outward Collections ($109 M), Trust Securities ($38 B), Other - Outward bill receivable ($4.7 B).  Disregard Non-Accrual Interest Rec ($9M), Forward Exchange Bought ($3020M), IRS Trade ($2311M), as there is no potential liquidity impact. </t>
  </si>
  <si>
    <t>Off-Balance Sheet (U.S. Branches)                                    $ Millions</t>
  </si>
  <si>
    <t>Checked with Stephen, based on TRY's brokered CD profile, no changes to the run-off assumptions.</t>
  </si>
  <si>
    <t>Commercial Paper Backstop</t>
  </si>
  <si>
    <t>TB 170</t>
  </si>
  <si>
    <t xml:space="preserve"> Syndications - U.S. customers  (170)</t>
  </si>
  <si>
    <t xml:space="preserve"> Syndications - Non U.S. customers (240)</t>
  </si>
  <si>
    <t>25% outflow for the first month, and no additional outflow after 30 days.</t>
  </si>
  <si>
    <t>100% outflow given the overnight funding from HO is not sticky or stable. Term deposits outflow at contractual maturities.</t>
  </si>
  <si>
    <t>Bankers deposits - Investment Non-US (4450 - Exclude CDB, PBOC, ICBC)</t>
  </si>
  <si>
    <t>Bankers deposits - Investment Non- US Volatile FI clients (4450)- CDB, PBOC, ICBC</t>
  </si>
  <si>
    <t>Total off-Balance Sheet</t>
  </si>
  <si>
    <t>Just run-off maturities</t>
  </si>
  <si>
    <t>Total Cash Outflow (Off-Balance Sheet)</t>
  </si>
  <si>
    <t>Total Net Cash flow</t>
  </si>
  <si>
    <t>Balance with Fed</t>
  </si>
  <si>
    <t>Total Cash outflow (including OBS)</t>
  </si>
  <si>
    <t>Time -Secured Non U.S. (380)</t>
  </si>
  <si>
    <t>Time - secured U.S. (310)</t>
  </si>
  <si>
    <t>Time - unsecured U.S. (270)</t>
  </si>
  <si>
    <t>Time -Secured Non U.S.</t>
  </si>
  <si>
    <t>5.1.1</t>
  </si>
  <si>
    <t>5.1.2</t>
  </si>
  <si>
    <t>5.2.1</t>
  </si>
  <si>
    <t xml:space="preserve">Syndications </t>
  </si>
  <si>
    <t>5.2.2</t>
  </si>
  <si>
    <t>5.2.3</t>
  </si>
  <si>
    <t xml:space="preserve">Trade Finance - Non FI </t>
  </si>
  <si>
    <t>5.4.1</t>
  </si>
  <si>
    <t>5.4.2</t>
  </si>
  <si>
    <t>Cash outflows from off-balance sheet</t>
  </si>
  <si>
    <t>Ending balance after OBS</t>
  </si>
  <si>
    <t>N/A</t>
  </si>
  <si>
    <t>Sell loans on the secondary market</t>
  </si>
  <si>
    <t>Beginning Balance</t>
  </si>
  <si>
    <t>Write-off</t>
  </si>
  <si>
    <t>Maturities</t>
  </si>
  <si>
    <t>Book value sold</t>
  </si>
  <si>
    <t>Remaining balance</t>
  </si>
  <si>
    <t>Haircut assumption (high haircut)</t>
  </si>
  <si>
    <t>Haircut assumption (low haircut)</t>
  </si>
  <si>
    <t>Sale proceeds (low range)</t>
  </si>
  <si>
    <t>Sale proceeds (high range)</t>
  </si>
  <si>
    <t xml:space="preserve">Time </t>
  </si>
  <si>
    <t>Ref #</t>
  </si>
  <si>
    <t>Ending Bal. Month 1          $  Millions</t>
  </si>
  <si>
    <t>Month 2</t>
  </si>
  <si>
    <t>Month 3</t>
  </si>
  <si>
    <t>Month 4</t>
  </si>
  <si>
    <t>Month 5</t>
  </si>
  <si>
    <t>Month 6</t>
  </si>
  <si>
    <t>Month 7</t>
  </si>
  <si>
    <t>Month 8</t>
  </si>
  <si>
    <t>Month 9</t>
  </si>
  <si>
    <t>Month 10</t>
  </si>
  <si>
    <t>Month 11</t>
  </si>
  <si>
    <t>Month 12</t>
  </si>
  <si>
    <t>Other U.S. Entities</t>
  </si>
  <si>
    <t>Lend HO securities</t>
  </si>
  <si>
    <t xml:space="preserve">Syndication </t>
  </si>
  <si>
    <t xml:space="preserve">BOC Commodities &amp; Futures (USA) </t>
  </si>
  <si>
    <t>7 Bryant Park</t>
  </si>
  <si>
    <t>BOC Aviation (USA) Corporation</t>
  </si>
  <si>
    <t>BOC International (USA) Holdings Inc.</t>
  </si>
  <si>
    <t>BOC International (USA) Inc</t>
  </si>
  <si>
    <t>Nanyang Commercial Bank</t>
  </si>
  <si>
    <t>Need Mat</t>
  </si>
  <si>
    <t>Test Code</t>
  </si>
  <si>
    <t>Test Category</t>
  </si>
  <si>
    <t>BAL</t>
  </si>
  <si>
    <t>NO MAT</t>
  </si>
  <si>
    <t>Demand,MM &amp; Savings - Retail</t>
  </si>
  <si>
    <t>Time Deposits - Retail</t>
  </si>
  <si>
    <t>Systemic</t>
  </si>
  <si>
    <t>Combined</t>
  </si>
  <si>
    <t>Idiosyncratic</t>
  </si>
  <si>
    <t xml:space="preserve">Ending balance </t>
  </si>
  <si>
    <t>Current</t>
  </si>
  <si>
    <t>Historical</t>
  </si>
  <si>
    <t>after 14 days</t>
  </si>
  <si>
    <t>after 30 days</t>
  </si>
  <si>
    <t>Tiers</t>
  </si>
  <si>
    <t>Reserve Rate</t>
  </si>
  <si>
    <t>Daily Average Deposits ($ Thousand)</t>
  </si>
  <si>
    <t>Ratio of total deposits for reserve requirement</t>
  </si>
  <si>
    <t xml:space="preserve">Reserved at 0 percent  </t>
  </si>
  <si>
    <t xml:space="preserve">THE AMOUNT OF NET TRANSACTION THAT IS LESS THAN 13,500 </t>
  </si>
  <si>
    <t>Reserved at 3 percent</t>
  </si>
  <si>
    <t xml:space="preserve">THE AMOUNT OF NET TRANSACTION ACCOUNTS THAT IS GREATER THAN 13,500 AND LESS THAN 101,600 </t>
  </si>
  <si>
    <t>Reserved at 10 percent</t>
  </si>
  <si>
    <t>THE AMOUNT OF NET TRANSACTION ACCOUNTS THAT IS GREATER THAN 101,600</t>
  </si>
  <si>
    <t>Total Deposits for reserve requirement</t>
  </si>
  <si>
    <t xml:space="preserve">Answers </t>
  </si>
  <si>
    <t>Data sources</t>
  </si>
  <si>
    <t>What is this model trying to do?</t>
  </si>
  <si>
    <t>How do I read the output?</t>
  </si>
  <si>
    <t>FDIC Sweep Deposits</t>
  </si>
  <si>
    <t>Control</t>
  </si>
  <si>
    <t>REPO Assets</t>
  </si>
  <si>
    <t>REPO Liabilities</t>
  </si>
  <si>
    <t>Chart Height Ratio</t>
  </si>
  <si>
    <t>BOC U.S. Branches</t>
  </si>
  <si>
    <t xml:space="preserve">BOC Combined U.S. Operations </t>
  </si>
  <si>
    <t xml:space="preserve">Buffer Ending Balance </t>
  </si>
  <si>
    <t>Net external stressed cashflow need</t>
  </si>
  <si>
    <t>Net stressed cashflow need</t>
  </si>
  <si>
    <t>1W Cumulative</t>
  </si>
  <si>
    <t>2W  Cumulative</t>
  </si>
  <si>
    <t>External Inflow</t>
  </si>
  <si>
    <t>Internal Inflow</t>
  </si>
  <si>
    <t>External Outflow</t>
  </si>
  <si>
    <t>Internal Outflow</t>
  </si>
  <si>
    <t>Ending balance after OBS (Include CUSO)</t>
  </si>
  <si>
    <t>External or Internal</t>
  </si>
  <si>
    <t>Total Liabilities and Equities</t>
  </si>
  <si>
    <t xml:space="preserve">Control </t>
  </si>
  <si>
    <t>Potential Counter Measures $ Millions</t>
  </si>
  <si>
    <t>BOC U.S. Branches Buffer Result from Liquidity Stress Test</t>
  </si>
  <si>
    <t>5.4.3</t>
  </si>
  <si>
    <t xml:space="preserve">Time - secured U.S. </t>
  </si>
  <si>
    <t xml:space="preserve">Time - unsecured U.S. </t>
  </si>
  <si>
    <t>Trade Finance - FI (Includes both 5.4.1.1 &amp; 5.4.1.2)</t>
  </si>
  <si>
    <t>DUE TO IB-Call Loans</t>
  </si>
  <si>
    <t>8.1.A</t>
  </si>
  <si>
    <t>8.1.B</t>
  </si>
  <si>
    <t>8.1.C</t>
  </si>
  <si>
    <t>8.1.D</t>
  </si>
  <si>
    <t>8.1.E</t>
  </si>
  <si>
    <t>Due to U.S. Banks - Demand; Due to Non-U.S. Bank - Demand; Due to Non-Bank FI Demand; Due to Non-Bank FI Investment</t>
  </si>
  <si>
    <t>8.2.1 &amp; 8.2.2 &amp;8.2.3 &amp; 8.2.4</t>
  </si>
  <si>
    <t>8.2.5</t>
  </si>
  <si>
    <t>8.2.6.1</t>
  </si>
  <si>
    <t>8.2.6.2</t>
  </si>
  <si>
    <t>9.2.2</t>
  </si>
  <si>
    <t>Yankee CDs</t>
  </si>
  <si>
    <t>Brokered CDs, FDIC Sweep Deposits, and Yankee CDs</t>
  </si>
  <si>
    <t>Projected cash-flow needs resulting from transactions between BOC U.S. Branches and BOC non-U.S. offices and its affiliates</t>
  </si>
  <si>
    <t>Projected cash-flow sources resulting from transactions between BOC U.S. Branches and BOC non-U.S. offices and its affiliates</t>
  </si>
  <si>
    <t>Net stressed cashflow need equal to the sum of next external stressed cash-flow need (1) and net internal stressed cash-flow need (2) over the first 14 days of the 30 day plannig horizon.</t>
  </si>
  <si>
    <t>(1) Net external stressed cash-flow need calcuation</t>
  </si>
  <si>
    <t>The projected amount of cash-flow needs that results from transactions between the BOC U.S. branches and agencies and BOC's non-U.S. offices and its U.S. and non-U.S. affiliates</t>
  </si>
  <si>
    <t>The projected amount of cash-flow sources that results from transactions between the BOC U.S. branches and agencies and BOC's non-U.S. offices and its U.S. and non-U.S. affiliates</t>
  </si>
  <si>
    <t>(2) Net internal stressed cash-flow need calcuation</t>
  </si>
  <si>
    <t>(2.2) Zero</t>
  </si>
  <si>
    <t>Daily cumulative net intragroup cash flow</t>
  </si>
  <si>
    <t xml:space="preserve">Net intragroup cash-flow </t>
  </si>
  <si>
    <t>Daily cumulative net intragroup cash flow need</t>
  </si>
  <si>
    <t>Net intragroup cash-flow equal the dfferences between:</t>
  </si>
  <si>
    <t>(2.1) The greatest daily cumulative net intragroup cash-flow need over the first 14 days</t>
  </si>
  <si>
    <t>Daily cumulative net intragroup cash-flow need calculation</t>
  </si>
  <si>
    <t>Calculation of U.S. branch and agency liquidity buffer requirement (EPS Rule)</t>
  </si>
  <si>
    <t>Balance Sheet (U.S. Branches)                                $ Millions</t>
  </si>
  <si>
    <t>Balance</t>
  </si>
  <si>
    <t>TOTAL</t>
  </si>
  <si>
    <t>CF</t>
  </si>
  <si>
    <t>CM</t>
  </si>
  <si>
    <t>New</t>
  </si>
  <si>
    <t>Item Name</t>
  </si>
  <si>
    <t>Parent Category</t>
  </si>
  <si>
    <t>O/B Item</t>
  </si>
  <si>
    <t>BASED ON CM OR NOT</t>
  </si>
  <si>
    <t>Run off Ratio in 14 days</t>
  </si>
  <si>
    <t>CF TYPE</t>
  </si>
  <si>
    <t>Inflow</t>
  </si>
  <si>
    <t>Outflow</t>
  </si>
  <si>
    <t>Cashflow in 14 days</t>
  </si>
  <si>
    <t>Cashflow Type</t>
  </si>
  <si>
    <t>Run-off Ratio Details</t>
  </si>
  <si>
    <t>Contractual Maturity in 14 days</t>
  </si>
  <si>
    <t>CUSO BOC C&amp;F</t>
  </si>
  <si>
    <t>Other Entities</t>
  </si>
  <si>
    <t>Constant Amount</t>
  </si>
  <si>
    <t>Balance After 14 days</t>
  </si>
  <si>
    <t>Netflow</t>
  </si>
  <si>
    <t>Item Name    (Millions $)</t>
  </si>
  <si>
    <t>Balance Change</t>
  </si>
  <si>
    <t>Non-Core Change</t>
  </si>
  <si>
    <t>Data Interface Row</t>
  </si>
  <si>
    <t>Contractual Maturity</t>
  </si>
  <si>
    <t>A or L</t>
  </si>
  <si>
    <t>Asset</t>
  </si>
  <si>
    <t>Liability</t>
  </si>
  <si>
    <t>OB</t>
  </si>
  <si>
    <t>Cuso</t>
  </si>
  <si>
    <t>Assumptions Row</t>
  </si>
  <si>
    <t>Total Factor</t>
  </si>
  <si>
    <t>Type</t>
  </si>
  <si>
    <t>Cashflow</t>
  </si>
  <si>
    <r>
      <t xml:space="preserve">Overnight Deposits from BOC Branch net work; </t>
    </r>
    <r>
      <rPr>
        <u/>
        <sz val="11"/>
        <rFont val="Calibri"/>
        <family val="2"/>
      </rPr>
      <t>No Interest;</t>
    </r>
    <r>
      <rPr>
        <sz val="11"/>
        <rFont val="Calibri"/>
        <family val="2"/>
      </rPr>
      <t>minimum deposit requirment: 50K; for the amount above the minimum deposit, will be swept to IBF investment account if the client has one.</t>
    </r>
  </si>
  <si>
    <t>10.1.1</t>
  </si>
  <si>
    <t>10.1.2</t>
  </si>
  <si>
    <t>FRB Reserve</t>
  </si>
  <si>
    <t>8.1.3.1</t>
  </si>
  <si>
    <t>Based on CM or Not</t>
  </si>
  <si>
    <t>8.2.6.3</t>
  </si>
  <si>
    <t>SPLITED FROM 10.1</t>
  </si>
  <si>
    <t>SPLITED FROM 8.1.3</t>
  </si>
  <si>
    <t>NEW ITEMS</t>
  </si>
  <si>
    <t>NAME</t>
  </si>
  <si>
    <t>REPO</t>
  </si>
  <si>
    <t>Time Deposits - Corporates</t>
  </si>
  <si>
    <t>ROW</t>
  </si>
  <si>
    <t>Date</t>
  </si>
  <si>
    <t>OB Outflow</t>
  </si>
  <si>
    <t>Scenario</t>
  </si>
  <si>
    <t>Bond Issuance</t>
  </si>
  <si>
    <t>BOND ISSUANCE</t>
  </si>
  <si>
    <t>FDIC Sweep Deposits - Non-Retail</t>
  </si>
  <si>
    <t>TRD</t>
  </si>
  <si>
    <t>CBD</t>
  </si>
  <si>
    <t>TSD</t>
  </si>
  <si>
    <t>FID</t>
  </si>
  <si>
    <t>BKD</t>
  </si>
  <si>
    <t>TB</t>
  </si>
  <si>
    <t>OTHER REAL ESTATE OWNED</t>
  </si>
  <si>
    <t>AIR AFFILIATE SWAP</t>
  </si>
  <si>
    <t>AIR BANK ACCEP AFFILIATE</t>
  </si>
  <si>
    <t>TIME DEPOSIT-OTHER FIN INSTITU</t>
  </si>
  <si>
    <t>DISCOUNT &amp;UNAMORT FEE ON BOND</t>
  </si>
  <si>
    <t>INTEREST PAYABLE BOND ISSUANCE</t>
  </si>
  <si>
    <t>AIP TIME DEPOSIT-OTHER FI</t>
  </si>
  <si>
    <t>UNEARNED DISCOUNT-FACTORING</t>
  </si>
  <si>
    <t>AIP DUE TO BOC-INTERBRANCH TF</t>
  </si>
  <si>
    <t>DUE TO BOC INTERBR-TRADE FINAN</t>
  </si>
  <si>
    <t>INT INC DUE FROM FRB</t>
  </si>
  <si>
    <t>COMM INC SYNDICATE AGENCY FEE</t>
  </si>
  <si>
    <t>MISC LOAN INCOME-OREO</t>
  </si>
  <si>
    <t>INT. EXP BOND ISSUANCE</t>
  </si>
  <si>
    <t>INT.EXP TIME DEPOSIT-OTHER FI</t>
  </si>
  <si>
    <t>MISC LOAN EXP OREO</t>
  </si>
  <si>
    <t>INT EXP DUE TO BOC INTERBR TF</t>
  </si>
  <si>
    <t>8.2.4.1</t>
  </si>
  <si>
    <t>SEPARATED FROM 8.2.1-4</t>
  </si>
  <si>
    <t xml:space="preserve"> </t>
  </si>
  <si>
    <t>Not changed in 14 days, will change based on total customer deposit balance after 14 days</t>
  </si>
  <si>
    <t>金融机构客户15天以上定期资金</t>
  </si>
  <si>
    <t>公司客户15天以上定期资金</t>
  </si>
  <si>
    <t>个人客户15天以上定期资金</t>
  </si>
  <si>
    <t>总行Investment账户存款</t>
  </si>
  <si>
    <t>联行Investment账户存款</t>
  </si>
  <si>
    <t>个人客户活期资金</t>
  </si>
  <si>
    <t>纽行发行15天以上期限CD</t>
  </si>
  <si>
    <t>发行15天以上期限债券</t>
  </si>
  <si>
    <t>Sweep Deposit 网络存款（ICS, CEDARS）</t>
  </si>
  <si>
    <t>Sweep Deposit 网络存款（IND）</t>
  </si>
  <si>
    <t>Sweep Deposit 网络存款 （MMDA）</t>
  </si>
  <si>
    <t>CBD/BKD</t>
  </si>
  <si>
    <t>10.1.4</t>
  </si>
  <si>
    <t>10.1.3</t>
  </si>
  <si>
    <t>8.1.3.2</t>
  </si>
  <si>
    <t>8.1.2.1</t>
  </si>
  <si>
    <t>SPLITED FROM 8.1.2</t>
  </si>
  <si>
    <t>Due to Interbranch - Demand</t>
  </si>
  <si>
    <t>Due to Interbranch - Call Loans (Exclude HO)</t>
  </si>
  <si>
    <t>FDIC Sweep Deposits - Retail - Custodial IND</t>
  </si>
  <si>
    <t>FDIC Sweep Deposits - Retail - ICS/CEDARS</t>
  </si>
  <si>
    <t>FDIC Sweep Deposits - Retail - MMDA</t>
  </si>
  <si>
    <t>Federal Fund Purchased</t>
  </si>
  <si>
    <t>Due to Interbranch - Call Loans (H.O.)</t>
  </si>
  <si>
    <t>Due to Interbranch - Investment (H.O.)</t>
  </si>
  <si>
    <t>Due to Interbranch - Trade Finance</t>
  </si>
  <si>
    <t>8.2.1</t>
  </si>
  <si>
    <t>8.2.2</t>
  </si>
  <si>
    <t>8.2.3</t>
  </si>
  <si>
    <t>8.2.4</t>
  </si>
  <si>
    <t>SPLITED FROM 8.2.1-4</t>
  </si>
  <si>
    <t>Due to Affiliate - Demand - US</t>
  </si>
  <si>
    <t>Due to Affiliate - Demand - Non-US</t>
  </si>
  <si>
    <t>Due to Affiliate - Investment - US</t>
  </si>
  <si>
    <t>Due to Affiliate - Investment - Non-US</t>
  </si>
  <si>
    <t>Due to Affiliate - Call Loans</t>
  </si>
  <si>
    <t>Due to Banks - Demand</t>
  </si>
  <si>
    <t>Eurofund Borrowed</t>
  </si>
  <si>
    <t>Blocked Account</t>
  </si>
  <si>
    <t>Due to Banks - Time Deposit</t>
  </si>
  <si>
    <t>8.2.7</t>
  </si>
  <si>
    <t>Due to Banks - Call Loans</t>
  </si>
  <si>
    <t>8.2.8</t>
  </si>
  <si>
    <t>8.2.4.2</t>
  </si>
  <si>
    <t>8.2.6.2.1</t>
  </si>
  <si>
    <t>8.2.6.2.2</t>
  </si>
  <si>
    <t>8.2.6.2.3</t>
  </si>
  <si>
    <t>GIFS</t>
  </si>
  <si>
    <t>CME</t>
  </si>
  <si>
    <t>PBOC</t>
  </si>
  <si>
    <t>CDB CDBS</t>
  </si>
  <si>
    <t>CDB HK</t>
  </si>
  <si>
    <t>9.2.1.1</t>
  </si>
  <si>
    <t>UBER</t>
  </si>
  <si>
    <t>Due to Non-Bank FI (Exclude Large FI)</t>
  </si>
  <si>
    <t>Due to Non-Bank Large FI - Best Investment</t>
  </si>
  <si>
    <t>Due to Non-Bank Large FI - GIFS Capital</t>
  </si>
  <si>
    <t>Due to Banks - Investment - CME</t>
  </si>
  <si>
    <t>Due to Banks - Investment - Non-US (Exclude Large FI)</t>
  </si>
  <si>
    <t>Due to Banks - Investment - PBOC</t>
  </si>
  <si>
    <t>Due to Banks - Investment - CDB &amp; CDB S</t>
  </si>
  <si>
    <t>Due to Banks - Investment - CDB HK</t>
  </si>
  <si>
    <t>Demand,MM &amp; Savings - Corporates (Exclude Large Corporates)</t>
  </si>
  <si>
    <t>Demand,MM &amp; Savings - Large Corporates - Uber Tech.</t>
  </si>
  <si>
    <t>9.2.3</t>
  </si>
  <si>
    <t>ESCROW Deposits</t>
  </si>
  <si>
    <t>ESCROW</t>
  </si>
  <si>
    <t>X</t>
  </si>
  <si>
    <t>主要项目</t>
  </si>
  <si>
    <t>Buffer</t>
  </si>
  <si>
    <t>Progress Report Index</t>
  </si>
  <si>
    <t>Old Combined</t>
  </si>
  <si>
    <t>Old Idiosyncratic</t>
  </si>
  <si>
    <t>Old Systemic</t>
  </si>
  <si>
    <t>Run off Ratio in 30 days</t>
  </si>
  <si>
    <t>Balance After 30 days</t>
  </si>
  <si>
    <t>14 D RUN-OFF</t>
  </si>
  <si>
    <t>30D RUN-OFF</t>
  </si>
  <si>
    <t>8.1.4.1</t>
  </si>
  <si>
    <t>Due to Affiliate - Investment - BOC HK LTD</t>
  </si>
  <si>
    <t>AFF</t>
  </si>
  <si>
    <t>IB</t>
  </si>
  <si>
    <t>FI</t>
  </si>
  <si>
    <t>CORP</t>
  </si>
  <si>
    <t>Customer</t>
  </si>
  <si>
    <t>1000790</t>
  </si>
  <si>
    <t>1126198</t>
  </si>
  <si>
    <t>1030623</t>
  </si>
  <si>
    <t>1147542</t>
  </si>
  <si>
    <t>1151227</t>
  </si>
  <si>
    <t>1000526</t>
  </si>
  <si>
    <t>1155314</t>
  </si>
  <si>
    <t>1159099</t>
  </si>
  <si>
    <t>1000798</t>
  </si>
  <si>
    <t>CHINA DEVELOPMENT BK-HONG KONG BR.</t>
  </si>
  <si>
    <t>PBOC-SAFE HO</t>
  </si>
  <si>
    <t>CHINA DEVELOPMENT BANK</t>
  </si>
  <si>
    <t>CHICAGO MERCANTILE EXCHANGE INC.</t>
  </si>
  <si>
    <t>BOC HEAD OFFICE - A</t>
  </si>
  <si>
    <t>GIFS CAPITAL COMPANY, LLC</t>
  </si>
  <si>
    <t>UBER TECHNOLOGIES, INC.</t>
  </si>
  <si>
    <t>BOC (HONG KONG) LTD.</t>
  </si>
  <si>
    <t>1141467</t>
  </si>
  <si>
    <t>CHINA DEVELOPMENT BANK-S</t>
  </si>
  <si>
    <t>Accumulative to Non-Accumulative</t>
  </si>
  <si>
    <t>ID CODE</t>
  </si>
  <si>
    <t>DATE</t>
  </si>
  <si>
    <t>ROW MATCH</t>
  </si>
  <si>
    <t>CUSTOMER NO</t>
  </si>
  <si>
    <t>CUST NAME</t>
  </si>
  <si>
    <t>TYPE</t>
  </si>
  <si>
    <t>MULTIPLIER</t>
  </si>
  <si>
    <t>OD RATIO</t>
  </si>
  <si>
    <t>BEST INVESTMENT CORPORATION</t>
  </si>
  <si>
    <t>Miscellaneous(other liability)</t>
  </si>
  <si>
    <r>
      <t>Due From Banks</t>
    </r>
    <r>
      <rPr>
        <sz val="12"/>
        <color rgb="FFFF0000"/>
        <rFont val="KaiTi"/>
        <family val="3"/>
      </rPr>
      <t>（资产）</t>
    </r>
  </si>
  <si>
    <r>
      <t>贸易融资</t>
    </r>
    <r>
      <rPr>
        <sz val="12"/>
        <color rgb="FFFF0000"/>
        <rFont val="KaiTi"/>
        <family val="3"/>
      </rPr>
      <t>(资产）</t>
    </r>
  </si>
  <si>
    <r>
      <t xml:space="preserve">贷款 </t>
    </r>
    <r>
      <rPr>
        <sz val="12"/>
        <color rgb="FFFF0000"/>
        <rFont val="KaiTi"/>
        <family val="3"/>
      </rPr>
      <t>（资产）</t>
    </r>
  </si>
  <si>
    <t>公司客户活期资金(除GIFS CAPITAL/UBER/ESCROW)</t>
  </si>
  <si>
    <t>小型金融机构(清算)客户活期资金-(除Best Investment,CME,PBOC,CDB)</t>
  </si>
  <si>
    <t>子行Investment账户存款(除BOC HK LTD)</t>
  </si>
  <si>
    <t>余额</t>
  </si>
  <si>
    <t>NEW PROGRESS</t>
  </si>
  <si>
    <t>BOCHK</t>
  </si>
  <si>
    <t>BIC</t>
  </si>
  <si>
    <t>CDB</t>
  </si>
  <si>
    <t>CDBHK</t>
  </si>
  <si>
    <t>HQLA</t>
  </si>
  <si>
    <t>总行拆借</t>
  </si>
  <si>
    <t>联行拆借</t>
  </si>
  <si>
    <t>14D流失率</t>
  </si>
  <si>
    <t>现金流</t>
  </si>
  <si>
    <t>Buffer Result</t>
  </si>
  <si>
    <t>BOCI</t>
  </si>
  <si>
    <t>Buffer (不流失部分)</t>
  </si>
  <si>
    <t>Core Change</t>
  </si>
  <si>
    <t>8.1.2.2</t>
  </si>
  <si>
    <t>Due to Interbranch - Investment (Exclude Large IB)</t>
  </si>
  <si>
    <t>Due to Interbranch - Investment (MACAU)</t>
  </si>
  <si>
    <t>1000857</t>
  </si>
  <si>
    <t>BOC MACAU</t>
  </si>
  <si>
    <t>BOCMC</t>
  </si>
  <si>
    <t>BOC MC</t>
  </si>
  <si>
    <t>净现金流出(假设总行隔夜100)</t>
  </si>
  <si>
    <t>a</t>
  </si>
  <si>
    <t>Other Asset (Reserve Requirement, Equity, etc)</t>
  </si>
  <si>
    <t>8.1.2.3</t>
  </si>
  <si>
    <t>Due to Interbranch - Investment (LUXEMBOURG)</t>
  </si>
  <si>
    <t>BOC LUXEMBOURG</t>
  </si>
  <si>
    <t>BOCLUXEMBOURG</t>
  </si>
  <si>
    <t>1000800</t>
  </si>
  <si>
    <t>BALANCE</t>
  </si>
  <si>
    <t>BUFFER</t>
  </si>
  <si>
    <t>14D 资金占用</t>
  </si>
  <si>
    <t>其中</t>
  </si>
  <si>
    <t>FRB准备金</t>
  </si>
  <si>
    <t>债券</t>
  </si>
  <si>
    <t>存拆同业</t>
  </si>
  <si>
    <t>贷款</t>
  </si>
  <si>
    <t>贸易融资</t>
  </si>
  <si>
    <t>其他</t>
  </si>
  <si>
    <t>14D 稳定负债</t>
  </si>
  <si>
    <t>高波动负债</t>
  </si>
  <si>
    <t>低波动负债</t>
  </si>
  <si>
    <t>Buffer盈余</t>
  </si>
  <si>
    <t>Non-Volatile Liablity</t>
  </si>
  <si>
    <t>对应Buffer额度</t>
  </si>
  <si>
    <t>Volatile Liability</t>
  </si>
  <si>
    <t>Unrestricted Fed Balance and other HQLA securites</t>
  </si>
  <si>
    <t>1149214</t>
  </si>
  <si>
    <t>VERIZON</t>
  </si>
  <si>
    <t>1139027</t>
  </si>
  <si>
    <t>CIC INTERNATIONAL CO., LIMITED</t>
  </si>
  <si>
    <t>8.2.4.3</t>
  </si>
  <si>
    <t>Due to Non-Bank Large FI - CIC INTERNATIONAL CO., LIMITED</t>
  </si>
  <si>
    <t>CIC</t>
  </si>
  <si>
    <t>9.2.2.1</t>
  </si>
  <si>
    <t>Demand,MM &amp; Savings - Large Corporates - Verizon</t>
  </si>
  <si>
    <t>D1</t>
  </si>
  <si>
    <t>D2</t>
  </si>
  <si>
    <t>D3</t>
  </si>
  <si>
    <t>D4</t>
  </si>
  <si>
    <t>D5</t>
  </si>
  <si>
    <t>D6</t>
  </si>
  <si>
    <t>D7</t>
  </si>
  <si>
    <t>D8</t>
  </si>
  <si>
    <t>D9</t>
  </si>
  <si>
    <t>D10</t>
  </si>
  <si>
    <t>D11</t>
  </si>
  <si>
    <t>D12</t>
  </si>
  <si>
    <t>D13</t>
  </si>
  <si>
    <t>D14</t>
  </si>
  <si>
    <t>Check</t>
  </si>
  <si>
    <t>PAST</t>
  </si>
  <si>
    <t>Time Loan</t>
  </si>
  <si>
    <t>Non-Buffer Securities</t>
  </si>
  <si>
    <t>Unpledged HQLA Securities Haircut</t>
  </si>
  <si>
    <t>B</t>
  </si>
  <si>
    <t>Flow Type</t>
  </si>
  <si>
    <t>II1</t>
  </si>
  <si>
    <t>EI2</t>
  </si>
  <si>
    <t>Unpledged HQLA Securities Aftre Haircut</t>
  </si>
  <si>
    <t>NET EXTERNAL STRESSED CASH FLOW NEED</t>
  </si>
  <si>
    <t>Day 1</t>
  </si>
  <si>
    <t>Day 2</t>
  </si>
  <si>
    <t>Day 3</t>
  </si>
  <si>
    <t>Day 4</t>
  </si>
  <si>
    <t>Day 5</t>
  </si>
  <si>
    <t>Day 6</t>
  </si>
  <si>
    <t>Day 7</t>
  </si>
  <si>
    <t>Day 8</t>
  </si>
  <si>
    <t>Day 9</t>
  </si>
  <si>
    <t>Day 10</t>
  </si>
  <si>
    <t>Day 11</t>
  </si>
  <si>
    <t>Day 12</t>
  </si>
  <si>
    <t>Day 13</t>
  </si>
  <si>
    <t>Day 14</t>
  </si>
  <si>
    <t>Period Total</t>
  </si>
  <si>
    <t>External cash flow sources</t>
  </si>
  <si>
    <t>Line item in the accounting system</t>
  </si>
  <si>
    <t>EI1</t>
  </si>
  <si>
    <t xml:space="preserve">Maturing loans/placements with 3rd party FI </t>
  </si>
  <si>
    <t>Due from banks</t>
  </si>
  <si>
    <t>Maturing securities</t>
  </si>
  <si>
    <t>EI3</t>
  </si>
  <si>
    <t>Maturing loans</t>
  </si>
  <si>
    <t>EI4</t>
  </si>
  <si>
    <t>Maturing trade finance loans</t>
  </si>
  <si>
    <t>Trade finance - 3rd party</t>
  </si>
  <si>
    <t>Total external cash flow sources</t>
  </si>
  <si>
    <t>External cash flow need</t>
  </si>
  <si>
    <t>EO1</t>
  </si>
  <si>
    <t>Maturing wholesale funding /deposits</t>
  </si>
  <si>
    <t>Non-branch entities</t>
  </si>
  <si>
    <t>EO2</t>
  </si>
  <si>
    <t>Maturing deposits from FI</t>
  </si>
  <si>
    <t>EO3</t>
  </si>
  <si>
    <t>Maturing deposits from corporate and retail</t>
  </si>
  <si>
    <t>EO4</t>
  </si>
  <si>
    <t>Maturing CDs</t>
  </si>
  <si>
    <t>Brokered CDs and bonds</t>
  </si>
  <si>
    <t>EO5</t>
  </si>
  <si>
    <t>Off-Balance Sheet Items</t>
  </si>
  <si>
    <t>O/B item</t>
  </si>
  <si>
    <t>Total external cash flow needs</t>
  </si>
  <si>
    <t>Net external stressed cash flow need</t>
  </si>
  <si>
    <t>NET INTERNAL STRESSED CASH FLOW NEED</t>
  </si>
  <si>
    <t>Intragroup cash flow sources</t>
  </si>
  <si>
    <t>Maturing loans to parent, interbranches and affiliates</t>
  </si>
  <si>
    <t>II2</t>
  </si>
  <si>
    <t>Maturing loans to interbranches (Trade Finance)</t>
  </si>
  <si>
    <t xml:space="preserve"> Trade Finance - IB &amp; Affiliates</t>
  </si>
  <si>
    <t>Total intragroup cash flow sources</t>
  </si>
  <si>
    <t>Intragroup cash flow needs</t>
  </si>
  <si>
    <t xml:space="preserve">Net intragroup cash flow calculation </t>
  </si>
  <si>
    <t>IO1</t>
  </si>
  <si>
    <t>Maturing deposits from parent, interbranch and affiliates</t>
  </si>
  <si>
    <t>Due to Banks - IB &amp; Affiliate (aggregated to one line)</t>
  </si>
  <si>
    <t>IO2</t>
  </si>
  <si>
    <t>Credit facility to BOCI</t>
  </si>
  <si>
    <t>Total intragroup cash flow needs</t>
  </si>
  <si>
    <t>Net intragroup cash flow</t>
  </si>
  <si>
    <t xml:space="preserve">Daily Cumulative net intragroup cash flow calculation </t>
  </si>
  <si>
    <t>Greatest daily cumulative net intragroup cash flow need</t>
  </si>
  <si>
    <t>Net internal stressed cash flow need</t>
  </si>
  <si>
    <t>NET STRESSED CASH FLOW NEED</t>
  </si>
  <si>
    <t xml:space="preserve">Amounts below relate to the first 14 days </t>
  </si>
  <si>
    <t>Net stressed cash flow need</t>
  </si>
  <si>
    <t>Minimum size of U.S. liquidity buffer for U.S. branches/agencies</t>
  </si>
  <si>
    <t>HQLA Buffer</t>
  </si>
  <si>
    <t>Cushion</t>
  </si>
  <si>
    <t>First 14 Days Net Stressed Cash Flow Summary</t>
  </si>
  <si>
    <t>SCENARIO</t>
  </si>
  <si>
    <t>parameter</t>
  </si>
  <si>
    <t>Check1</t>
  </si>
  <si>
    <t xml:space="preserve">Account Type </t>
  </si>
  <si>
    <t>Operational Proportion</t>
  </si>
  <si>
    <t>Run off Multiplier          (Max 2.0)</t>
  </si>
  <si>
    <t>14 Day Run off Ratio</t>
  </si>
  <si>
    <t>30 Day Run off Ratio</t>
  </si>
  <si>
    <t>Corp</t>
  </si>
  <si>
    <t>Escrow AC</t>
  </si>
  <si>
    <t>Financial Institutions</t>
  </si>
  <si>
    <t>Interbranch</t>
  </si>
  <si>
    <t>Interbranch-HO</t>
  </si>
  <si>
    <t>Affiliates</t>
  </si>
  <si>
    <t>Affilliates - HK</t>
  </si>
  <si>
    <t>CDB HO and S</t>
  </si>
  <si>
    <t>BOC U.S. Branches Stress Test Model Scenario</t>
  </si>
  <si>
    <t>Combined Scenario</t>
  </si>
  <si>
    <t>Data as of date</t>
  </si>
  <si>
    <t xml:space="preserve">One-day Change </t>
  </si>
  <si>
    <t xml:space="preserve">Result based on data of last business day </t>
  </si>
  <si>
    <t>Day to day difference (Balance)</t>
  </si>
  <si>
    <t>Day to day difference (14D)</t>
  </si>
  <si>
    <t>Day to day difference (30D)</t>
  </si>
  <si>
    <t>Due to Non-Bank FI - Best Investment</t>
  </si>
  <si>
    <t>本日</t>
  </si>
  <si>
    <t>高波动负债余额</t>
  </si>
  <si>
    <t>高波动负债平均流失率</t>
  </si>
  <si>
    <t>其他各月末 高波动负债余额</t>
  </si>
  <si>
    <t>Total Liability</t>
  </si>
  <si>
    <t>Credit Enhancement Facility Letter of Credit</t>
  </si>
  <si>
    <t>Credit Enhancement Facility Commercial Paper</t>
  </si>
  <si>
    <t>WeekEndDays O/N include</t>
  </si>
  <si>
    <t>Comment</t>
  </si>
  <si>
    <t>Value</t>
  </si>
  <si>
    <t>30D</t>
  </si>
  <si>
    <t>14D</t>
  </si>
  <si>
    <t>ER Assumption</t>
  </si>
  <si>
    <t>Early Redemption</t>
  </si>
  <si>
    <t>0 stands for Old Version, no early redemption assumes. 1 stands for the version with MRA3 Change</t>
  </si>
  <si>
    <t>Number of Days to next business day</t>
  </si>
  <si>
    <t>Monthly Run-off Change</t>
  </si>
  <si>
    <t>FMD Review</t>
  </si>
  <si>
    <t>To</t>
  </si>
  <si>
    <t>CC</t>
  </si>
  <si>
    <t>xiangfang@bocusa.com</t>
  </si>
  <si>
    <t>kenxiang@bocusa.com</t>
  </si>
  <si>
    <t>sylu@bocusa.com</t>
  </si>
  <si>
    <t>rjli@bocusa.com</t>
  </si>
  <si>
    <t>BOC Review</t>
  </si>
  <si>
    <t>jinjunpeng@bocusa.com</t>
  </si>
  <si>
    <t>zdliu@bocusa.com</t>
  </si>
  <si>
    <t>minli@bocusa.com</t>
  </si>
  <si>
    <t>zdu@bocusa.com</t>
  </si>
  <si>
    <t>lzhao@bocusa.com</t>
  </si>
  <si>
    <t>fge@bocusa.com</t>
  </si>
  <si>
    <t>kyang@bocusa.com</t>
  </si>
  <si>
    <t>qpeng@bocusa.com</t>
  </si>
  <si>
    <t>mxli@bocusa.com</t>
  </si>
  <si>
    <t>yyu@bocusa.com</t>
  </si>
  <si>
    <t>xyguo@bocusa.com</t>
  </si>
  <si>
    <t>NOTE</t>
  </si>
  <si>
    <t>ORG D1-D14,used to calculate 14 buckets</t>
  </si>
  <si>
    <t>Schedule Indicator</t>
  </si>
  <si>
    <t>Type (Schedule Indicator)</t>
  </si>
  <si>
    <t>Accumulative Run-off</t>
  </si>
  <si>
    <t>Total</t>
  </si>
  <si>
    <t>OLD</t>
  </si>
  <si>
    <t>NEW</t>
  </si>
  <si>
    <t>USED</t>
  </si>
  <si>
    <t>USE OR NOT</t>
  </si>
  <si>
    <t>Index Code</t>
  </si>
  <si>
    <t>ER or Not</t>
  </si>
  <si>
    <t>Use or not</t>
  </si>
  <si>
    <t>Cmbined</t>
  </si>
  <si>
    <t>Old Haircut Method</t>
  </si>
  <si>
    <t>Version Date</t>
  </si>
  <si>
    <t xml:space="preserve">Update the tab Assumption to break down the 14days runoff rate to to daily. Apply Different allocation schedule for FI and Non FI. </t>
  </si>
  <si>
    <t>ER 14D</t>
  </si>
  <si>
    <t>14D CF</t>
  </si>
  <si>
    <t>ER</t>
  </si>
  <si>
    <t>ER Cashflow</t>
  </si>
  <si>
    <t>Mat Cashflow</t>
  </si>
  <si>
    <t>Due to Affiliate - Draft</t>
  </si>
  <si>
    <t>END BALANCE</t>
  </si>
  <si>
    <t>END BUFFER</t>
  </si>
  <si>
    <t>IF SCENARIO</t>
  </si>
  <si>
    <t>CHANGE</t>
  </si>
  <si>
    <t>BROKER DEP</t>
  </si>
  <si>
    <t>RATIO</t>
  </si>
  <si>
    <t>Brokered BKD</t>
  </si>
  <si>
    <t>Brokered CBD</t>
  </si>
  <si>
    <t>Brokered TRD (CD)</t>
  </si>
  <si>
    <t>Brokered TRD (Custodial IND)</t>
  </si>
  <si>
    <t>Customer Deposit</t>
  </si>
  <si>
    <t>Due to Aff/FI</t>
  </si>
  <si>
    <t>Due to IB</t>
  </si>
  <si>
    <t>Brokered Ratio</t>
  </si>
  <si>
    <t>HO ON</t>
  </si>
  <si>
    <t>CHG</t>
  </si>
  <si>
    <t>Total HQLA balance change equals total netcashflow in 14 days</t>
  </si>
  <si>
    <t>Total assets equals total liability&amp;equity</t>
  </si>
  <si>
    <t>Note</t>
  </si>
  <si>
    <t>Pass or not</t>
  </si>
  <si>
    <t>Ensure calculation is correct</t>
  </si>
  <si>
    <t>Ensure all items are captured</t>
  </si>
  <si>
    <t>Check Number</t>
  </si>
  <si>
    <t>Check Content</t>
  </si>
  <si>
    <t>Contro Check in Liquidity Stress Test</t>
  </si>
  <si>
    <t>1000790IB</t>
  </si>
  <si>
    <t>1000798AFF</t>
  </si>
  <si>
    <t>1000526FI</t>
  </si>
  <si>
    <t>1030623FI</t>
  </si>
  <si>
    <t>1126198FI</t>
  </si>
  <si>
    <t>1151227FI</t>
  </si>
  <si>
    <t>1147542CME</t>
  </si>
  <si>
    <t>FIRST CHECK</t>
  </si>
  <si>
    <t>THEN CHECK</t>
  </si>
  <si>
    <t>This Month</t>
  </si>
  <si>
    <t>Last Month</t>
  </si>
  <si>
    <t>1000857IB</t>
  </si>
  <si>
    <t>Interbranch-Macau</t>
  </si>
  <si>
    <t>UserName</t>
  </si>
  <si>
    <t>qpeng</t>
  </si>
  <si>
    <t>mxli</t>
  </si>
  <si>
    <t>yyu</t>
  </si>
  <si>
    <t>minli</t>
  </si>
  <si>
    <t>VBA Password:</t>
  </si>
  <si>
    <t>Protection Password:</t>
  </si>
  <si>
    <t>Authorization</t>
  </si>
  <si>
    <t>Protection</t>
  </si>
  <si>
    <t>Balance of 11/30/2017</t>
  </si>
  <si>
    <t>Contractual Maturity in 30 days</t>
  </si>
  <si>
    <t>This is Liquidity Stress Test Model for Bank of China U.S. Branches and Combined Operations based on Enhanced Prudential Standards (EPS rule) under Regulation YY</t>
  </si>
  <si>
    <t>Balance sheet and contractual maturities data for all assets, liabilities, equities, and off-balancesheet items</t>
  </si>
  <si>
    <t>T24 system/DataMart</t>
  </si>
  <si>
    <t xml:space="preserve">Output is the buffer results of the three scenarios for both 14 days and 30 days. Go to "Daily CF 3 Scenario Tab", click Run. The Macro will shows all the results. </t>
  </si>
  <si>
    <t>How it work?</t>
  </si>
  <si>
    <t>Credit Line to BOCI</t>
  </si>
  <si>
    <t>scfan@bocusa.com</t>
  </si>
  <si>
    <t>Read me first, ControlCheck, VOLA, Data Processing, Para Adj, Data Interface, Monthly Run-off Change, Blended run off ratio, Stress testing Buffer, DailyCashflow, Model Report Formatized, Daily CF 3 Scenario, Buffer, New Progress Table, LST Email List, Authorization</t>
  </si>
  <si>
    <t>Off</t>
  </si>
  <si>
    <t>1167651</t>
  </si>
  <si>
    <t>GIFMS CAPITAL COMPANY LLC</t>
  </si>
  <si>
    <t>Total Liabilities+Equity</t>
  </si>
  <si>
    <t>xlou@bocusa.com</t>
  </si>
  <si>
    <t>Data Inputs needed</t>
  </si>
  <si>
    <t>Output is the buffer results of the three scenarios for both 14 days and 30 days. Go to "Daily CF 3 Scenario Tab", click Run. The Macro will shows all the scenarios results. 
Besides, the calculation of daily cashflow is provided in tab "DailyCashflow", format following as instructed in EPS rule.</t>
  </si>
  <si>
    <r>
      <t xml:space="preserve">The template is a modularized design with a few parts as graph on the right.
The "Data Interface" is the data input of all on/off balance sheet items needed for LST in summarized and data friendly format.
The "Assumptions" is used to collect all the assumtion run-off ratios for different categories before calculation.
The "Data Processing" is where </t>
    </r>
    <r>
      <rPr>
        <b/>
        <sz val="11"/>
        <color theme="1"/>
        <rFont val="Arial"/>
        <family val="2"/>
        <scheme val="minor"/>
      </rPr>
      <t>all the data input and assumption are centralized for calculation</t>
    </r>
    <r>
      <rPr>
        <sz val="11"/>
        <color theme="1"/>
        <rFont val="Arial"/>
        <family val="2"/>
        <scheme val="minor"/>
      </rPr>
      <t xml:space="preserve"> in data friendly manner, all cashflow calculation are performed in this tab.
With cashflow calculated in "Data Processing", all other reports are produced based on need.</t>
    </r>
  </si>
  <si>
    <t>How to switch scenarios?</t>
  </si>
  <si>
    <t>In "Daily CF 3 Scenario", cell "B2", there is a drop-down menu that can select between scenarios, the result would change accordingly.</t>
  </si>
  <si>
    <t>What are Macros in this template used for?</t>
  </si>
  <si>
    <r>
      <t xml:space="preserve">All the Macros in this template  are </t>
    </r>
    <r>
      <rPr>
        <b/>
        <sz val="11"/>
        <color theme="1"/>
        <rFont val="Arial"/>
        <family val="2"/>
        <scheme val="minor"/>
      </rPr>
      <t>NOT</t>
    </r>
    <r>
      <rPr>
        <sz val="11"/>
        <color theme="1"/>
        <rFont val="Arial"/>
        <family val="2"/>
        <scheme val="minor"/>
      </rPr>
      <t xml:space="preserve"> used in calculation of buffer result. They are used to automate the manual process (e.g.: adding authorization, automatically produce results of 3 scenarios)</t>
    </r>
  </si>
  <si>
    <t>What each worksheet is used for?</t>
  </si>
  <si>
    <t>Worksheet</t>
  </si>
  <si>
    <t>Descriptions</t>
  </si>
  <si>
    <t>Notes</t>
  </si>
  <si>
    <t>Daily CF 3 Scenario</t>
  </si>
  <si>
    <t>Summary of the net stressed cash flow need under three scenarios</t>
  </si>
  <si>
    <t>DailyCashflow</t>
  </si>
  <si>
    <t>This table shows the daily cash flow for the first 14 days for both internal and external stressed cash flows need</t>
  </si>
  <si>
    <t>Model Report Formatized</t>
  </si>
  <si>
    <t xml:space="preserve">This is the balance sheet of BOC U.S. branches. Each line item was descried in detail in Section III. User will need to choose the different scenarios at E1, where different scenarios are listed. With different scenarios and assumptions embedded, the model result will change accordingly. </t>
  </si>
  <si>
    <t xml:space="preserve">All the assumptions are linked to the assumption worksheet. The data is linked to the Data Interface worksheet. This worksheet is locked for the purpose of control. </t>
  </si>
  <si>
    <t xml:space="preserve">Data Interface </t>
  </si>
  <si>
    <t>This is the interface that connects the data extracted from T24, OPICS, and the Stress test model.</t>
  </si>
  <si>
    <t>Additional data points are required to input manually, e.g., federal reserve requirement</t>
  </si>
  <si>
    <t>Data Processing</t>
  </si>
  <si>
    <t>The worksheet that pulls all the data together (Balance, Maturity, Assumptions), and calculate the result cash flows.</t>
  </si>
  <si>
    <t>Para Adj</t>
  </si>
  <si>
    <t>This is the input tab that is used to input all the parameters</t>
  </si>
  <si>
    <t>HQLA-Security Amount and haircut are input here as well.</t>
  </si>
  <si>
    <t>ControlCheck</t>
  </si>
  <si>
    <t>This is the summary of the data quality check.</t>
  </si>
  <si>
    <t xml:space="preserve">Assumptions </t>
  </si>
  <si>
    <t xml:space="preserve">This tab contains all the assumptions that are developed for the three scenarios. </t>
  </si>
  <si>
    <t>Those assumptions are locked. Only users possess the password.</t>
  </si>
  <si>
    <t>This tab contains all the assumptions that would change monthly based on the Operational Deposit Analysis.</t>
  </si>
  <si>
    <t>MRARunoffChange</t>
  </si>
  <si>
    <t>This tab contains all the assumptions that captured the change related to MRA Modification</t>
  </si>
  <si>
    <t>Schedule Allocation</t>
  </si>
  <si>
    <t>This tab contains all the assumptions that used for daily run-off schedule allocation in first 14 days.</t>
  </si>
  <si>
    <t>CR Log</t>
  </si>
  <si>
    <t>Change log is used to track changes and versions.</t>
  </si>
  <si>
    <t>Change</t>
  </si>
  <si>
    <t>As approved in Board meething, run-off ratio of Due to FI - Investment (CDB, PBOC, ICBC) change from 100% O/N to 80% O/N</t>
  </si>
  <si>
    <t>Operational Deposit Analysis applied to multiple product</t>
  </si>
  <si>
    <t xml:space="preserve">Based on MRA2/3 Modification, Early Redemption Schedule is used in tab "MRARunoffChange" to include the early redemption part for all the related 5 products in MRA3. Newew run-off rate for CPDP and 8020 in tab "Assumption" and allocate into daily rate based on MRA1 schedule. </t>
  </si>
  <si>
    <t>TB TEXT</t>
  </si>
  <si>
    <t>0010</t>
  </si>
  <si>
    <t>0020</t>
  </si>
  <si>
    <t>0030</t>
  </si>
  <si>
    <t>0050</t>
  </si>
  <si>
    <t>0060</t>
  </si>
  <si>
    <t>0070</t>
  </si>
  <si>
    <t>0075</t>
  </si>
  <si>
    <t>0090</t>
  </si>
  <si>
    <t>0100</t>
  </si>
  <si>
    <t>0105</t>
  </si>
  <si>
    <t>0110</t>
  </si>
  <si>
    <t>0120</t>
  </si>
  <si>
    <t>0130</t>
  </si>
  <si>
    <t>0140</t>
  </si>
  <si>
    <t>0150</t>
  </si>
  <si>
    <t>0160</t>
  </si>
  <si>
    <t>0170</t>
  </si>
  <si>
    <t>0240</t>
  </si>
  <si>
    <t>0250</t>
  </si>
  <si>
    <t>0270</t>
  </si>
  <si>
    <t>0310</t>
  </si>
  <si>
    <t>0380</t>
  </si>
  <si>
    <t>0390</t>
  </si>
  <si>
    <t>0400</t>
  </si>
  <si>
    <t>0405</t>
  </si>
  <si>
    <t>0406</t>
  </si>
  <si>
    <t>0420</t>
  </si>
  <si>
    <t>0440</t>
  </si>
  <si>
    <t>0450</t>
  </si>
  <si>
    <t>0590</t>
  </si>
  <si>
    <t>0720</t>
  </si>
  <si>
    <t>0730</t>
  </si>
  <si>
    <t>0740</t>
  </si>
  <si>
    <t>0750</t>
  </si>
  <si>
    <t>0760</t>
  </si>
  <si>
    <t>0770</t>
  </si>
  <si>
    <t>0780</t>
  </si>
  <si>
    <t>0790</t>
  </si>
  <si>
    <t>0800</t>
  </si>
  <si>
    <t>0810</t>
  </si>
  <si>
    <t>PRE-EXPORT A/R FINANCING</t>
  </si>
  <si>
    <t>1300</t>
  </si>
  <si>
    <t>1310</t>
  </si>
  <si>
    <t>1320</t>
  </si>
  <si>
    <t>1330</t>
  </si>
  <si>
    <t>1335</t>
  </si>
  <si>
    <t>1340</t>
  </si>
  <si>
    <t>1350</t>
  </si>
  <si>
    <t>1360</t>
  </si>
  <si>
    <t>1370</t>
  </si>
  <si>
    <t>1380</t>
  </si>
  <si>
    <t>1390</t>
  </si>
  <si>
    <t>1400</t>
  </si>
  <si>
    <t>1600</t>
  </si>
  <si>
    <t>1610</t>
  </si>
  <si>
    <t>1615</t>
  </si>
  <si>
    <t>1620</t>
  </si>
  <si>
    <t>1630</t>
  </si>
  <si>
    <t>1631</t>
  </si>
  <si>
    <t>1632</t>
  </si>
  <si>
    <t>1640</t>
  </si>
  <si>
    <t>1650</t>
  </si>
  <si>
    <t>1655</t>
  </si>
  <si>
    <t>1660</t>
  </si>
  <si>
    <t>1670</t>
  </si>
  <si>
    <t>1680</t>
  </si>
  <si>
    <t>1690</t>
  </si>
  <si>
    <t>1700</t>
  </si>
  <si>
    <t>1710</t>
  </si>
  <si>
    <t>1715</t>
  </si>
  <si>
    <t>1716</t>
  </si>
  <si>
    <t>1720</t>
  </si>
  <si>
    <t>1736</t>
  </si>
  <si>
    <t>1737</t>
  </si>
  <si>
    <t>1741</t>
  </si>
  <si>
    <t>1742</t>
  </si>
  <si>
    <t>1743</t>
  </si>
  <si>
    <t>1744</t>
  </si>
  <si>
    <t>1745</t>
  </si>
  <si>
    <t>1746</t>
  </si>
  <si>
    <t>1747</t>
  </si>
  <si>
    <t>1748</t>
  </si>
  <si>
    <t>1749</t>
  </si>
  <si>
    <t>1750</t>
  </si>
  <si>
    <t>1751</t>
  </si>
  <si>
    <t>1752</t>
  </si>
  <si>
    <t>1753</t>
  </si>
  <si>
    <t>1754</t>
  </si>
  <si>
    <t>1755</t>
  </si>
  <si>
    <t>1756</t>
  </si>
  <si>
    <t>1757</t>
  </si>
  <si>
    <t>1758</t>
  </si>
  <si>
    <t>1759</t>
  </si>
  <si>
    <t>1760</t>
  </si>
  <si>
    <t>1761</t>
  </si>
  <si>
    <t>1762</t>
  </si>
  <si>
    <t>1763</t>
  </si>
  <si>
    <t>AIR DUE TO OTHER FI DDA OD</t>
  </si>
  <si>
    <t>1770</t>
  </si>
  <si>
    <t>1780</t>
  </si>
  <si>
    <t>1785</t>
  </si>
  <si>
    <t>1790</t>
  </si>
  <si>
    <t>1795</t>
  </si>
  <si>
    <t>1796</t>
  </si>
  <si>
    <t>1798</t>
  </si>
  <si>
    <t>AIR PRE-EXPORT A/R FINANCING</t>
  </si>
  <si>
    <t>1800</t>
  </si>
  <si>
    <t>1810</t>
  </si>
  <si>
    <t>1821</t>
  </si>
  <si>
    <t>1822</t>
  </si>
  <si>
    <t>1823</t>
  </si>
  <si>
    <t>1824</t>
  </si>
  <si>
    <t>1825</t>
  </si>
  <si>
    <t>1830</t>
  </si>
  <si>
    <t>1835</t>
  </si>
  <si>
    <t>1840</t>
  </si>
  <si>
    <t>1852</t>
  </si>
  <si>
    <t>1853</t>
  </si>
  <si>
    <t>1854</t>
  </si>
  <si>
    <t>1856</t>
  </si>
  <si>
    <t>1860</t>
  </si>
  <si>
    <t>1868</t>
  </si>
  <si>
    <t>1870</t>
  </si>
  <si>
    <t>1880</t>
  </si>
  <si>
    <t>1890</t>
  </si>
  <si>
    <t>1900</t>
  </si>
  <si>
    <t>1930</t>
  </si>
  <si>
    <t>1940</t>
  </si>
  <si>
    <t>1950</t>
  </si>
  <si>
    <t>1981</t>
  </si>
  <si>
    <t>1990</t>
  </si>
  <si>
    <t>2000</t>
  </si>
  <si>
    <t>2001</t>
  </si>
  <si>
    <t>2020</t>
  </si>
  <si>
    <t>2025</t>
  </si>
  <si>
    <t>2026</t>
  </si>
  <si>
    <t>2030</t>
  </si>
  <si>
    <t>2035</t>
  </si>
  <si>
    <t>2040</t>
  </si>
  <si>
    <t>2050</t>
  </si>
  <si>
    <t>2055</t>
  </si>
  <si>
    <t>ADVANCES-TRADE FINANCE</t>
  </si>
  <si>
    <t>2060</t>
  </si>
  <si>
    <t>2065</t>
  </si>
  <si>
    <t>2066</t>
  </si>
  <si>
    <t>2075</t>
  </si>
  <si>
    <t>2080</t>
  </si>
  <si>
    <t>2110</t>
  </si>
  <si>
    <t>2120</t>
  </si>
  <si>
    <t>2125</t>
  </si>
  <si>
    <t>2130</t>
  </si>
  <si>
    <t>2135</t>
  </si>
  <si>
    <t>2140</t>
  </si>
  <si>
    <t>2150</t>
  </si>
  <si>
    <t>2160</t>
  </si>
  <si>
    <t>2161</t>
  </si>
  <si>
    <t>2170</t>
  </si>
  <si>
    <t>2180</t>
  </si>
  <si>
    <t>2190</t>
  </si>
  <si>
    <t>2210</t>
  </si>
  <si>
    <t>2220</t>
  </si>
  <si>
    <t>2225</t>
  </si>
  <si>
    <t>2230</t>
  </si>
  <si>
    <t>2240</t>
  </si>
  <si>
    <t>2241</t>
  </si>
  <si>
    <t>2245</t>
  </si>
  <si>
    <t>2360</t>
  </si>
  <si>
    <t>2370</t>
  </si>
  <si>
    <t>2380</t>
  </si>
  <si>
    <t>2400</t>
  </si>
  <si>
    <t>2410</t>
  </si>
  <si>
    <t>2420</t>
  </si>
  <si>
    <t>2431</t>
  </si>
  <si>
    <t>2435</t>
  </si>
  <si>
    <t>2550</t>
  </si>
  <si>
    <t>2560</t>
  </si>
  <si>
    <t>2570</t>
  </si>
  <si>
    <t>2575</t>
  </si>
  <si>
    <t>2835</t>
  </si>
  <si>
    <t>4080</t>
  </si>
  <si>
    <t>4090</t>
  </si>
  <si>
    <t>4100</t>
  </si>
  <si>
    <t>4120</t>
  </si>
  <si>
    <t>4126</t>
  </si>
  <si>
    <t>4130</t>
  </si>
  <si>
    <t>4131</t>
  </si>
  <si>
    <t>4135</t>
  </si>
  <si>
    <t>4140</t>
  </si>
  <si>
    <t>4150</t>
  </si>
  <si>
    <t>4154</t>
  </si>
  <si>
    <t>4156</t>
  </si>
  <si>
    <t>4160</t>
  </si>
  <si>
    <t>4165</t>
  </si>
  <si>
    <t>4170</t>
  </si>
  <si>
    <t>4180</t>
  </si>
  <si>
    <t>4190</t>
  </si>
  <si>
    <t>4200</t>
  </si>
  <si>
    <t>4207</t>
  </si>
  <si>
    <t>4208</t>
  </si>
  <si>
    <t>4209</t>
  </si>
  <si>
    <t>4210</t>
  </si>
  <si>
    <t>4211</t>
  </si>
  <si>
    <t>ICS RECIPROCAL DDA-INT BEARING</t>
  </si>
  <si>
    <t>4215</t>
  </si>
  <si>
    <t>4220</t>
  </si>
  <si>
    <t>4230</t>
  </si>
  <si>
    <t>4240</t>
  </si>
  <si>
    <t>4250</t>
  </si>
  <si>
    <t>4260</t>
  </si>
  <si>
    <t>4270</t>
  </si>
  <si>
    <t>4280</t>
  </si>
  <si>
    <t>4285</t>
  </si>
  <si>
    <t>4286</t>
  </si>
  <si>
    <t>4290</t>
  </si>
  <si>
    <t>4310</t>
  </si>
  <si>
    <t>4320</t>
  </si>
  <si>
    <t>4330</t>
  </si>
  <si>
    <t>4335</t>
  </si>
  <si>
    <t>4345</t>
  </si>
  <si>
    <t>4350</t>
  </si>
  <si>
    <t>4355</t>
  </si>
  <si>
    <t>4360</t>
  </si>
  <si>
    <t>4370</t>
  </si>
  <si>
    <t>4371</t>
  </si>
  <si>
    <t>4380</t>
  </si>
  <si>
    <t>4385</t>
  </si>
  <si>
    <t>4390</t>
  </si>
  <si>
    <t>4392</t>
  </si>
  <si>
    <t>4393</t>
  </si>
  <si>
    <t>4394</t>
  </si>
  <si>
    <t>4400</t>
  </si>
  <si>
    <t>4402</t>
  </si>
  <si>
    <t>4410</t>
  </si>
  <si>
    <t>4420</t>
  </si>
  <si>
    <t>4426</t>
  </si>
  <si>
    <t>4427</t>
  </si>
  <si>
    <t>4428</t>
  </si>
  <si>
    <t>4430</t>
  </si>
  <si>
    <t>4440</t>
  </si>
  <si>
    <t>4450</t>
  </si>
  <si>
    <t>4460</t>
  </si>
  <si>
    <t>4465</t>
  </si>
  <si>
    <t>4470</t>
  </si>
  <si>
    <t>4480</t>
  </si>
  <si>
    <t>4494</t>
  </si>
  <si>
    <t>AIP ICS RECIPROCAL DDA</t>
  </si>
  <si>
    <t>4495</t>
  </si>
  <si>
    <t>4497</t>
  </si>
  <si>
    <t>4498</t>
  </si>
  <si>
    <t>4499</t>
  </si>
  <si>
    <t>4500</t>
  </si>
  <si>
    <t>4501</t>
  </si>
  <si>
    <t>4510</t>
  </si>
  <si>
    <t>4520</t>
  </si>
  <si>
    <t>4521</t>
  </si>
  <si>
    <t>4525</t>
  </si>
  <si>
    <t>4530</t>
  </si>
  <si>
    <t>4535</t>
  </si>
  <si>
    <t>4540</t>
  </si>
  <si>
    <t>4560</t>
  </si>
  <si>
    <t>4580</t>
  </si>
  <si>
    <t>4581</t>
  </si>
  <si>
    <t>4582</t>
  </si>
  <si>
    <t>4583</t>
  </si>
  <si>
    <t>4584</t>
  </si>
  <si>
    <t>4585</t>
  </si>
  <si>
    <t>4586</t>
  </si>
  <si>
    <t>4587</t>
  </si>
  <si>
    <t>4588</t>
  </si>
  <si>
    <t>4589</t>
  </si>
  <si>
    <t>4590</t>
  </si>
  <si>
    <t>4591</t>
  </si>
  <si>
    <t>4592</t>
  </si>
  <si>
    <t>4593</t>
  </si>
  <si>
    <t>4594</t>
  </si>
  <si>
    <t>4595</t>
  </si>
  <si>
    <t>4596</t>
  </si>
  <si>
    <t>4597</t>
  </si>
  <si>
    <t>4598</t>
  </si>
  <si>
    <t>4599</t>
  </si>
  <si>
    <t>4600</t>
  </si>
  <si>
    <t>4601</t>
  </si>
  <si>
    <t>4602</t>
  </si>
  <si>
    <t>4603</t>
  </si>
  <si>
    <t>4604</t>
  </si>
  <si>
    <t>4605</t>
  </si>
  <si>
    <t>4606</t>
  </si>
  <si>
    <t>4607</t>
  </si>
  <si>
    <t>4608</t>
  </si>
  <si>
    <t>4609</t>
  </si>
  <si>
    <t>4610</t>
  </si>
  <si>
    <t>4612</t>
  </si>
  <si>
    <t>4613</t>
  </si>
  <si>
    <t>4614</t>
  </si>
  <si>
    <t>4615</t>
  </si>
  <si>
    <t>4616</t>
  </si>
  <si>
    <t>4618</t>
  </si>
  <si>
    <t>4619</t>
  </si>
  <si>
    <t>4620</t>
  </si>
  <si>
    <t>4625</t>
  </si>
  <si>
    <t>UNEARNED DISC-TF RISK PARTICIP</t>
  </si>
  <si>
    <t>4630</t>
  </si>
  <si>
    <t>4635</t>
  </si>
  <si>
    <t>4640</t>
  </si>
  <si>
    <t>4650</t>
  </si>
  <si>
    <t>4660</t>
  </si>
  <si>
    <t>4670</t>
  </si>
  <si>
    <t>4680</t>
  </si>
  <si>
    <t>4690</t>
  </si>
  <si>
    <t>4700</t>
  </si>
  <si>
    <t>4710</t>
  </si>
  <si>
    <t>4715</t>
  </si>
  <si>
    <t>4720</t>
  </si>
  <si>
    <t>4725</t>
  </si>
  <si>
    <t>4728</t>
  </si>
  <si>
    <t>4730</t>
  </si>
  <si>
    <t>4735</t>
  </si>
  <si>
    <t>4740</t>
  </si>
  <si>
    <t>4760</t>
  </si>
  <si>
    <t>4770</t>
  </si>
  <si>
    <t>4780</t>
  </si>
  <si>
    <t>4790</t>
  </si>
  <si>
    <t>4800</t>
  </si>
  <si>
    <t>4805</t>
  </si>
  <si>
    <t>4810</t>
  </si>
  <si>
    <t>4815</t>
  </si>
  <si>
    <t>4830</t>
  </si>
  <si>
    <t>4835</t>
  </si>
  <si>
    <t>4840</t>
  </si>
  <si>
    <t>4850</t>
  </si>
  <si>
    <t>4860</t>
  </si>
  <si>
    <t>4870</t>
  </si>
  <si>
    <t>4880</t>
  </si>
  <si>
    <t>4890</t>
  </si>
  <si>
    <t>4892</t>
  </si>
  <si>
    <t>4895</t>
  </si>
  <si>
    <t>4910</t>
  </si>
  <si>
    <t>4920</t>
  </si>
  <si>
    <t>4930</t>
  </si>
  <si>
    <t>4940</t>
  </si>
  <si>
    <t>4950</t>
  </si>
  <si>
    <t>4960</t>
  </si>
  <si>
    <t>4970</t>
  </si>
  <si>
    <t>4980</t>
  </si>
  <si>
    <t>4984</t>
  </si>
  <si>
    <t>4985</t>
  </si>
  <si>
    <t>4990</t>
  </si>
  <si>
    <t>4995</t>
  </si>
  <si>
    <t>INTERPROCESS SUSPENSE-SWEEP</t>
  </si>
  <si>
    <t>5010</t>
  </si>
  <si>
    <t>5015</t>
  </si>
  <si>
    <t>5020</t>
  </si>
  <si>
    <t>5030</t>
  </si>
  <si>
    <t>5040</t>
  </si>
  <si>
    <t>5050</t>
  </si>
  <si>
    <t>5060</t>
  </si>
  <si>
    <t>5070</t>
  </si>
  <si>
    <t>5080</t>
  </si>
  <si>
    <t>5090</t>
  </si>
  <si>
    <t>5100</t>
  </si>
  <si>
    <t>5105</t>
  </si>
  <si>
    <t>5106</t>
  </si>
  <si>
    <t>5110</t>
  </si>
  <si>
    <t>5115</t>
  </si>
  <si>
    <t>5120</t>
  </si>
  <si>
    <t>5125</t>
  </si>
  <si>
    <t>5130</t>
  </si>
  <si>
    <t>5131</t>
  </si>
  <si>
    <t>5135</t>
  </si>
  <si>
    <t>5140</t>
  </si>
  <si>
    <t>5141</t>
  </si>
  <si>
    <t>5160</t>
  </si>
  <si>
    <t>5170</t>
  </si>
  <si>
    <t>5180</t>
  </si>
  <si>
    <t>5190</t>
  </si>
  <si>
    <t>5195</t>
  </si>
  <si>
    <t>5200</t>
  </si>
  <si>
    <t>5205</t>
  </si>
  <si>
    <t>5210</t>
  </si>
  <si>
    <t>5220</t>
  </si>
  <si>
    <t>5230</t>
  </si>
  <si>
    <t>5240</t>
  </si>
  <si>
    <t>5250</t>
  </si>
  <si>
    <t>5255</t>
  </si>
  <si>
    <t>5260</t>
  </si>
  <si>
    <t>5270</t>
  </si>
  <si>
    <t>5280</t>
  </si>
  <si>
    <t>5285</t>
  </si>
  <si>
    <t>5286</t>
  </si>
  <si>
    <t>5301</t>
  </si>
  <si>
    <t>5310</t>
  </si>
  <si>
    <t>5320</t>
  </si>
  <si>
    <t>5330</t>
  </si>
  <si>
    <t>5340</t>
  </si>
  <si>
    <t>5345</t>
  </si>
  <si>
    <t>5350</t>
  </si>
  <si>
    <t>5355</t>
  </si>
  <si>
    <t>5360</t>
  </si>
  <si>
    <t>5370</t>
  </si>
  <si>
    <t>5371</t>
  </si>
  <si>
    <t>DUE TO AFFILIATE REPO</t>
  </si>
  <si>
    <t>5380</t>
  </si>
  <si>
    <t>5401</t>
  </si>
  <si>
    <t>5402</t>
  </si>
  <si>
    <t>5403</t>
  </si>
  <si>
    <t>5420</t>
  </si>
  <si>
    <t>5430</t>
  </si>
  <si>
    <t>5440</t>
  </si>
  <si>
    <t>5450</t>
  </si>
  <si>
    <t>5455</t>
  </si>
  <si>
    <t>5460</t>
  </si>
  <si>
    <t>5465</t>
  </si>
  <si>
    <t>5470</t>
  </si>
  <si>
    <t>5480</t>
  </si>
  <si>
    <t>5490</t>
  </si>
  <si>
    <t>5500</t>
  </si>
  <si>
    <t>5510</t>
  </si>
  <si>
    <t>5520</t>
  </si>
  <si>
    <t>5530</t>
  </si>
  <si>
    <t>5540</t>
  </si>
  <si>
    <t>5550</t>
  </si>
  <si>
    <t>5560</t>
  </si>
  <si>
    <t>5570</t>
  </si>
  <si>
    <t>5580</t>
  </si>
  <si>
    <t>5590</t>
  </si>
  <si>
    <t>5600</t>
  </si>
  <si>
    <t>5603</t>
  </si>
  <si>
    <t>5604</t>
  </si>
  <si>
    <t>5605</t>
  </si>
  <si>
    <t>5606</t>
  </si>
  <si>
    <t>5607</t>
  </si>
  <si>
    <t>5608</t>
  </si>
  <si>
    <t>5609</t>
  </si>
  <si>
    <t>5610</t>
  </si>
  <si>
    <t>5611</t>
  </si>
  <si>
    <t>5612</t>
  </si>
  <si>
    <t>5613</t>
  </si>
  <si>
    <t>5614</t>
  </si>
  <si>
    <t>5615</t>
  </si>
  <si>
    <t>5616</t>
  </si>
  <si>
    <t>5617</t>
  </si>
  <si>
    <t>5618</t>
  </si>
  <si>
    <t>5620</t>
  </si>
  <si>
    <t>5625</t>
  </si>
  <si>
    <t>5626</t>
  </si>
  <si>
    <t>5630</t>
  </si>
  <si>
    <t>INT INC PRE-EXPORT A/R FINANCI</t>
  </si>
  <si>
    <t>5650</t>
  </si>
  <si>
    <t>5700</t>
  </si>
  <si>
    <t>5720</t>
  </si>
  <si>
    <t>5725</t>
  </si>
  <si>
    <t>5730</t>
  </si>
  <si>
    <t>5740</t>
  </si>
  <si>
    <t>5750</t>
  </si>
  <si>
    <t>5760</t>
  </si>
  <si>
    <t>5770</t>
  </si>
  <si>
    <t>5772</t>
  </si>
  <si>
    <t>5780</t>
  </si>
  <si>
    <t>5785</t>
  </si>
  <si>
    <t>5786</t>
  </si>
  <si>
    <t>5787</t>
  </si>
  <si>
    <t>5788</t>
  </si>
  <si>
    <t>5789</t>
  </si>
  <si>
    <t>5790</t>
  </si>
  <si>
    <t>5791</t>
  </si>
  <si>
    <t>5792</t>
  </si>
  <si>
    <t>5800</t>
  </si>
  <si>
    <t>5805</t>
  </si>
  <si>
    <t>5810</t>
  </si>
  <si>
    <t>5811</t>
  </si>
  <si>
    <t>5815</t>
  </si>
  <si>
    <t>5820</t>
  </si>
  <si>
    <t>5830</t>
  </si>
  <si>
    <t>5840</t>
  </si>
  <si>
    <t>5850</t>
  </si>
  <si>
    <t>5860</t>
  </si>
  <si>
    <t>5865</t>
  </si>
  <si>
    <t>5870</t>
  </si>
  <si>
    <t>5880</t>
  </si>
  <si>
    <t>5890</t>
  </si>
  <si>
    <t>5900</t>
  </si>
  <si>
    <t>5910</t>
  </si>
  <si>
    <t>5920</t>
  </si>
  <si>
    <t>5930</t>
  </si>
  <si>
    <t>5940</t>
  </si>
  <si>
    <t>5950</t>
  </si>
  <si>
    <t>5960</t>
  </si>
  <si>
    <t>5965</t>
  </si>
  <si>
    <t>5970</t>
  </si>
  <si>
    <t>5975</t>
  </si>
  <si>
    <t>5980</t>
  </si>
  <si>
    <t>5990</t>
  </si>
  <si>
    <t>6000</t>
  </si>
  <si>
    <t>6010</t>
  </si>
  <si>
    <t>6020</t>
  </si>
  <si>
    <t>6025</t>
  </si>
  <si>
    <t>6030</t>
  </si>
  <si>
    <t>6031</t>
  </si>
  <si>
    <t>6032</t>
  </si>
  <si>
    <t>6033</t>
  </si>
  <si>
    <t>6034</t>
  </si>
  <si>
    <t>6040</t>
  </si>
  <si>
    <t>6045</t>
  </si>
  <si>
    <t>6050</t>
  </si>
  <si>
    <t>6060</t>
  </si>
  <si>
    <t>6070</t>
  </si>
  <si>
    <t>6080</t>
  </si>
  <si>
    <t>6090</t>
  </si>
  <si>
    <t>6100</t>
  </si>
  <si>
    <t>6110</t>
  </si>
  <si>
    <t>6112</t>
  </si>
  <si>
    <t>6114</t>
  </si>
  <si>
    <t>COMM INC SYNDICATE TICKING FEE</t>
  </si>
  <si>
    <t>6115</t>
  </si>
  <si>
    <t>COMM INC-SYNDICATION LOAN FEES</t>
  </si>
  <si>
    <t>6120</t>
  </si>
  <si>
    <t>6130</t>
  </si>
  <si>
    <t>6140</t>
  </si>
  <si>
    <t>6150</t>
  </si>
  <si>
    <t>6160</t>
  </si>
  <si>
    <t>6170</t>
  </si>
  <si>
    <t>6175</t>
  </si>
  <si>
    <t>6180</t>
  </si>
  <si>
    <t>6185</t>
  </si>
  <si>
    <t>6190</t>
  </si>
  <si>
    <t>6200</t>
  </si>
  <si>
    <t>6210</t>
  </si>
  <si>
    <t>6220</t>
  </si>
  <si>
    <t>6230</t>
  </si>
  <si>
    <t>6240</t>
  </si>
  <si>
    <t>6250</t>
  </si>
  <si>
    <t>6260</t>
  </si>
  <si>
    <t>6270</t>
  </si>
  <si>
    <t>6280</t>
  </si>
  <si>
    <t>6290</t>
  </si>
  <si>
    <t>6300</t>
  </si>
  <si>
    <t>6310</t>
  </si>
  <si>
    <t>6320</t>
  </si>
  <si>
    <t>6330</t>
  </si>
  <si>
    <t>6340</t>
  </si>
  <si>
    <t>6350</t>
  </si>
  <si>
    <t>6360</t>
  </si>
  <si>
    <t>6370</t>
  </si>
  <si>
    <t>6380</t>
  </si>
  <si>
    <t>6390</t>
  </si>
  <si>
    <t>6400</t>
  </si>
  <si>
    <t>6410</t>
  </si>
  <si>
    <t>6420</t>
  </si>
  <si>
    <t>6430</t>
  </si>
  <si>
    <t>6440</t>
  </si>
  <si>
    <t>6450</t>
  </si>
  <si>
    <t>6460</t>
  </si>
  <si>
    <t>6470</t>
  </si>
  <si>
    <t>6480</t>
  </si>
  <si>
    <t>6490</t>
  </si>
  <si>
    <t>6500</t>
  </si>
  <si>
    <t>6510</t>
  </si>
  <si>
    <t>6520</t>
  </si>
  <si>
    <t>6530</t>
  </si>
  <si>
    <t>6540</t>
  </si>
  <si>
    <t>6550</t>
  </si>
  <si>
    <t>6560</t>
  </si>
  <si>
    <t>6570</t>
  </si>
  <si>
    <t>6580</t>
  </si>
  <si>
    <t>6590</t>
  </si>
  <si>
    <t>6600</t>
  </si>
  <si>
    <t>6610</t>
  </si>
  <si>
    <t>6620</t>
  </si>
  <si>
    <t>6630</t>
  </si>
  <si>
    <t>6640</t>
  </si>
  <si>
    <t>6650</t>
  </si>
  <si>
    <t>6660</t>
  </si>
  <si>
    <t>6670</t>
  </si>
  <si>
    <t>6680</t>
  </si>
  <si>
    <t>6690</t>
  </si>
  <si>
    <t>6700</t>
  </si>
  <si>
    <t>6710</t>
  </si>
  <si>
    <t>6715</t>
  </si>
  <si>
    <t>6720</t>
  </si>
  <si>
    <t>6730</t>
  </si>
  <si>
    <t>6740</t>
  </si>
  <si>
    <t>6750</t>
  </si>
  <si>
    <t>6760</t>
  </si>
  <si>
    <t>6770</t>
  </si>
  <si>
    <t>6780</t>
  </si>
  <si>
    <t>6781</t>
  </si>
  <si>
    <t>6782</t>
  </si>
  <si>
    <t>6783</t>
  </si>
  <si>
    <t>6784</t>
  </si>
  <si>
    <t>6785</t>
  </si>
  <si>
    <t>6786</t>
  </si>
  <si>
    <t>6790</t>
  </si>
  <si>
    <t>6791</t>
  </si>
  <si>
    <t>6792</t>
  </si>
  <si>
    <t>6793</t>
  </si>
  <si>
    <t>6794</t>
  </si>
  <si>
    <t>6795</t>
  </si>
  <si>
    <t>6796</t>
  </si>
  <si>
    <t>6800</t>
  </si>
  <si>
    <t>6805</t>
  </si>
  <si>
    <t>6810</t>
  </si>
  <si>
    <t>6815</t>
  </si>
  <si>
    <t>6820</t>
  </si>
  <si>
    <t>6830</t>
  </si>
  <si>
    <t>6840</t>
  </si>
  <si>
    <t>6850</t>
  </si>
  <si>
    <t>6860</t>
  </si>
  <si>
    <t>6870</t>
  </si>
  <si>
    <t>6875</t>
  </si>
  <si>
    <t>6876</t>
  </si>
  <si>
    <t>6877</t>
  </si>
  <si>
    <t>6879</t>
  </si>
  <si>
    <t>6880</t>
  </si>
  <si>
    <t>6881</t>
  </si>
  <si>
    <t>6890</t>
  </si>
  <si>
    <t>6900</t>
  </si>
  <si>
    <t>6910</t>
  </si>
  <si>
    <t>6920</t>
  </si>
  <si>
    <t>6930</t>
  </si>
  <si>
    <t>6940</t>
  </si>
  <si>
    <t>6950</t>
  </si>
  <si>
    <t>6960</t>
  </si>
  <si>
    <t>6970</t>
  </si>
  <si>
    <t>6973</t>
  </si>
  <si>
    <t>6975</t>
  </si>
  <si>
    <t>6980</t>
  </si>
  <si>
    <t>6990</t>
  </si>
  <si>
    <t>7000</t>
  </si>
  <si>
    <t>7060</t>
  </si>
  <si>
    <t>7070</t>
  </si>
  <si>
    <t>7075</t>
  </si>
  <si>
    <t>MISCELLANEOUS INCOME-INTERBRAN</t>
  </si>
  <si>
    <t>7080</t>
  </si>
  <si>
    <t>7090</t>
  </si>
  <si>
    <t>7110</t>
  </si>
  <si>
    <t>7120</t>
  </si>
  <si>
    <t>7125</t>
  </si>
  <si>
    <t>7130</t>
  </si>
  <si>
    <t>7135</t>
  </si>
  <si>
    <t>7140</t>
  </si>
  <si>
    <t>7145</t>
  </si>
  <si>
    <t>7150</t>
  </si>
  <si>
    <t>7160</t>
  </si>
  <si>
    <t>7170</t>
  </si>
  <si>
    <t>7180</t>
  </si>
  <si>
    <t>7200</t>
  </si>
  <si>
    <t>7210</t>
  </si>
  <si>
    <t>7213</t>
  </si>
  <si>
    <t>7215</t>
  </si>
  <si>
    <t>7220</t>
  </si>
  <si>
    <t>7230</t>
  </si>
  <si>
    <t>7240</t>
  </si>
  <si>
    <t>7250</t>
  </si>
  <si>
    <t>7260</t>
  </si>
  <si>
    <t>7505</t>
  </si>
  <si>
    <t>7510</t>
  </si>
  <si>
    <t>7515</t>
  </si>
  <si>
    <t>7520</t>
  </si>
  <si>
    <t>7525</t>
  </si>
  <si>
    <t>7528</t>
  </si>
  <si>
    <t>7530</t>
  </si>
  <si>
    <t>7535</t>
  </si>
  <si>
    <t>7537</t>
  </si>
  <si>
    <t>7538</t>
  </si>
  <si>
    <t>7540</t>
  </si>
  <si>
    <t>7545</t>
  </si>
  <si>
    <t>7550</t>
  </si>
  <si>
    <t>7555</t>
  </si>
  <si>
    <t>7556</t>
  </si>
  <si>
    <t>7557</t>
  </si>
  <si>
    <t>7558</t>
  </si>
  <si>
    <t>7559</t>
  </si>
  <si>
    <t>7560</t>
  </si>
  <si>
    <t>7561</t>
  </si>
  <si>
    <t>INT EXP ICS RECIPROCAL DDA</t>
  </si>
  <si>
    <t>7565</t>
  </si>
  <si>
    <t>7570</t>
  </si>
  <si>
    <t>7575</t>
  </si>
  <si>
    <t>7580</t>
  </si>
  <si>
    <t>7585</t>
  </si>
  <si>
    <t>7590</t>
  </si>
  <si>
    <t>7595</t>
  </si>
  <si>
    <t>7600</t>
  </si>
  <si>
    <t>7603</t>
  </si>
  <si>
    <t>7606</t>
  </si>
  <si>
    <t>7607</t>
  </si>
  <si>
    <t>7608</t>
  </si>
  <si>
    <t>7609</t>
  </si>
  <si>
    <t>7610</t>
  </si>
  <si>
    <t>7615</t>
  </si>
  <si>
    <t>7616</t>
  </si>
  <si>
    <t>7617</t>
  </si>
  <si>
    <t>7618</t>
  </si>
  <si>
    <t>7619</t>
  </si>
  <si>
    <t>7620</t>
  </si>
  <si>
    <t>7625</t>
  </si>
  <si>
    <t>7627</t>
  </si>
  <si>
    <t>7630</t>
  </si>
  <si>
    <t>7635</t>
  </si>
  <si>
    <t>7640</t>
  </si>
  <si>
    <t>7645</t>
  </si>
  <si>
    <t>7650</t>
  </si>
  <si>
    <t>7652</t>
  </si>
  <si>
    <t>7655</t>
  </si>
  <si>
    <t>7658</t>
  </si>
  <si>
    <t>7660</t>
  </si>
  <si>
    <t>7665</t>
  </si>
  <si>
    <t>7670</t>
  </si>
  <si>
    <t>7674</t>
  </si>
  <si>
    <t>7675</t>
  </si>
  <si>
    <t>7680</t>
  </si>
  <si>
    <t>7685</t>
  </si>
  <si>
    <t>7690</t>
  </si>
  <si>
    <t>7695</t>
  </si>
  <si>
    <t>7700</t>
  </si>
  <si>
    <t>7702</t>
  </si>
  <si>
    <t>7703</t>
  </si>
  <si>
    <t>7704</t>
  </si>
  <si>
    <t>7705</t>
  </si>
  <si>
    <t>7710</t>
  </si>
  <si>
    <t>7715</t>
  </si>
  <si>
    <t>7720</t>
  </si>
  <si>
    <t>7725</t>
  </si>
  <si>
    <t>7730</t>
  </si>
  <si>
    <t>7735</t>
  </si>
  <si>
    <t>7736</t>
  </si>
  <si>
    <t>7737</t>
  </si>
  <si>
    <t>7740</t>
  </si>
  <si>
    <t>7745</t>
  </si>
  <si>
    <t>7750</t>
  </si>
  <si>
    <t>7755</t>
  </si>
  <si>
    <t>7756</t>
  </si>
  <si>
    <t>7760</t>
  </si>
  <si>
    <t>7761</t>
  </si>
  <si>
    <t>7764</t>
  </si>
  <si>
    <t>7765</t>
  </si>
  <si>
    <t>7770</t>
  </si>
  <si>
    <t>7775</t>
  </si>
  <si>
    <t>7776</t>
  </si>
  <si>
    <t>7780</t>
  </si>
  <si>
    <t>7785</t>
  </si>
  <si>
    <t>7790</t>
  </si>
  <si>
    <t>7795</t>
  </si>
  <si>
    <t>7797</t>
  </si>
  <si>
    <t>PROVISION OTHER RES-CALL LOANS</t>
  </si>
  <si>
    <t>7805</t>
  </si>
  <si>
    <t>7810</t>
  </si>
  <si>
    <t>7811</t>
  </si>
  <si>
    <t>7815</t>
  </si>
  <si>
    <t>7820</t>
  </si>
  <si>
    <t>7825</t>
  </si>
  <si>
    <t>7830</t>
  </si>
  <si>
    <t>7831</t>
  </si>
  <si>
    <t>7835</t>
  </si>
  <si>
    <t>7840</t>
  </si>
  <si>
    <t>7841</t>
  </si>
  <si>
    <t>7845</t>
  </si>
  <si>
    <t>7846</t>
  </si>
  <si>
    <t>7850</t>
  </si>
  <si>
    <t>7853</t>
  </si>
  <si>
    <t>7855</t>
  </si>
  <si>
    <t>7860</t>
  </si>
  <si>
    <t>7865</t>
  </si>
  <si>
    <t>7870</t>
  </si>
  <si>
    <t>7875</t>
  </si>
  <si>
    <t>7880</t>
  </si>
  <si>
    <t>7885</t>
  </si>
  <si>
    <t>7890</t>
  </si>
  <si>
    <t>7895</t>
  </si>
  <si>
    <t>7900</t>
  </si>
  <si>
    <t>7905</t>
  </si>
  <si>
    <t>7906</t>
  </si>
  <si>
    <t>7910</t>
  </si>
  <si>
    <t>7911</t>
  </si>
  <si>
    <t>7915</t>
  </si>
  <si>
    <t>7920</t>
  </si>
  <si>
    <t>7930</t>
  </si>
  <si>
    <t>7935</t>
  </si>
  <si>
    <t>7940</t>
  </si>
  <si>
    <t>7945</t>
  </si>
  <si>
    <t>7950</t>
  </si>
  <si>
    <t>7955</t>
  </si>
  <si>
    <t>7960</t>
  </si>
  <si>
    <t>7965</t>
  </si>
  <si>
    <t>7966</t>
  </si>
  <si>
    <t>7970</t>
  </si>
  <si>
    <t>7975</t>
  </si>
  <si>
    <t>7980</t>
  </si>
  <si>
    <t>7985</t>
  </si>
  <si>
    <t>7990</t>
  </si>
  <si>
    <t>7991</t>
  </si>
  <si>
    <t>7995</t>
  </si>
  <si>
    <t>7996</t>
  </si>
  <si>
    <t>8000</t>
  </si>
  <si>
    <t>8001</t>
  </si>
  <si>
    <t>8005</t>
  </si>
  <si>
    <t>8007</t>
  </si>
  <si>
    <t>8010</t>
  </si>
  <si>
    <t>8015</t>
  </si>
  <si>
    <t>8018</t>
  </si>
  <si>
    <t>8020</t>
  </si>
  <si>
    <t>8025</t>
  </si>
  <si>
    <t>8030</t>
  </si>
  <si>
    <t>8035</t>
  </si>
  <si>
    <t>8040</t>
  </si>
  <si>
    <t>8041</t>
  </si>
  <si>
    <t>8045</t>
  </si>
  <si>
    <t>8050</t>
  </si>
  <si>
    <t>8051</t>
  </si>
  <si>
    <t>8052</t>
  </si>
  <si>
    <t>8055</t>
  </si>
  <si>
    <t>8060</t>
  </si>
  <si>
    <t>8065</t>
  </si>
  <si>
    <t>8070</t>
  </si>
  <si>
    <t>8075</t>
  </si>
  <si>
    <t>8077</t>
  </si>
  <si>
    <t>8080</t>
  </si>
  <si>
    <t>8085</t>
  </si>
  <si>
    <t>8089</t>
  </si>
  <si>
    <t>8090</t>
  </si>
  <si>
    <t>8095</t>
  </si>
  <si>
    <t>8100</t>
  </si>
  <si>
    <t>8105</t>
  </si>
  <si>
    <t>8110</t>
  </si>
  <si>
    <t>8115</t>
  </si>
  <si>
    <t>8120</t>
  </si>
  <si>
    <t>8125</t>
  </si>
  <si>
    <t>8130</t>
  </si>
  <si>
    <t>8135</t>
  </si>
  <si>
    <t>8145</t>
  </si>
  <si>
    <t>8150</t>
  </si>
  <si>
    <t>8155</t>
  </si>
  <si>
    <t>8160</t>
  </si>
  <si>
    <t>8165</t>
  </si>
  <si>
    <t>8175</t>
  </si>
  <si>
    <t>8180</t>
  </si>
  <si>
    <t>9000</t>
  </si>
  <si>
    <t>9001</t>
  </si>
  <si>
    <t>9002</t>
  </si>
  <si>
    <t>9003</t>
  </si>
  <si>
    <t>FRB REQUIRED RESERVE MEMORANDU</t>
  </si>
  <si>
    <t>9005</t>
  </si>
  <si>
    <t>9010</t>
  </si>
  <si>
    <t>9015</t>
  </si>
  <si>
    <t>9020</t>
  </si>
  <si>
    <t>9025</t>
  </si>
  <si>
    <t>9027</t>
  </si>
  <si>
    <t>9030</t>
  </si>
  <si>
    <t>9035</t>
  </si>
  <si>
    <t>9100</t>
  </si>
  <si>
    <t>9105</t>
  </si>
  <si>
    <t>9110</t>
  </si>
  <si>
    <t>9115</t>
  </si>
  <si>
    <t>9116</t>
  </si>
  <si>
    <t>9117</t>
  </si>
  <si>
    <t>9118</t>
  </si>
  <si>
    <t>9120</t>
  </si>
  <si>
    <t>9121</t>
  </si>
  <si>
    <t>9122</t>
  </si>
  <si>
    <t>9123</t>
  </si>
  <si>
    <t>9125</t>
  </si>
  <si>
    <t>9160</t>
  </si>
  <si>
    <t>9165</t>
  </si>
  <si>
    <t>9167</t>
  </si>
  <si>
    <t>9168</t>
  </si>
  <si>
    <t>9169</t>
  </si>
  <si>
    <t>9170</t>
  </si>
  <si>
    <t>9171</t>
  </si>
  <si>
    <t>9175</t>
  </si>
  <si>
    <t>9177</t>
  </si>
  <si>
    <t>9178</t>
  </si>
  <si>
    <t>9180</t>
  </si>
  <si>
    <t>9181</t>
  </si>
  <si>
    <t>9185</t>
  </si>
  <si>
    <t>9190</t>
  </si>
  <si>
    <t>9195</t>
  </si>
  <si>
    <t>9196</t>
  </si>
  <si>
    <t>9200</t>
  </si>
  <si>
    <t>9201</t>
  </si>
  <si>
    <t>9202</t>
  </si>
  <si>
    <t>9205</t>
  </si>
  <si>
    <t>9208</t>
  </si>
  <si>
    <t>9210</t>
  </si>
  <si>
    <t>9212</t>
  </si>
  <si>
    <t>9213</t>
  </si>
  <si>
    <t>9214</t>
  </si>
  <si>
    <t>9215</t>
  </si>
  <si>
    <t>9220</t>
  </si>
  <si>
    <t>9225</t>
  </si>
  <si>
    <t>9230</t>
  </si>
  <si>
    <t>9235</t>
  </si>
  <si>
    <t>9240</t>
  </si>
  <si>
    <t>9245</t>
  </si>
  <si>
    <t>9250</t>
  </si>
  <si>
    <t>9255</t>
  </si>
  <si>
    <t>9256</t>
  </si>
  <si>
    <t>9258</t>
  </si>
  <si>
    <t>9260</t>
  </si>
  <si>
    <t>9262</t>
  </si>
  <si>
    <t>9265</t>
  </si>
  <si>
    <t>9270</t>
  </si>
  <si>
    <t>9275</t>
  </si>
  <si>
    <t>9277</t>
  </si>
  <si>
    <t>9280</t>
  </si>
  <si>
    <t>9285</t>
  </si>
  <si>
    <t>9297</t>
  </si>
  <si>
    <t>9298</t>
  </si>
  <si>
    <t>9302</t>
  </si>
  <si>
    <t>9307</t>
  </si>
  <si>
    <t>9310</t>
  </si>
  <si>
    <t>9315</t>
  </si>
  <si>
    <t>9320</t>
  </si>
  <si>
    <t>9325</t>
  </si>
  <si>
    <t>9330</t>
  </si>
  <si>
    <t>9335</t>
  </si>
  <si>
    <t>9503</t>
  </si>
  <si>
    <t>9505</t>
  </si>
  <si>
    <t>9504</t>
  </si>
  <si>
    <t>9506</t>
  </si>
  <si>
    <t>9507</t>
  </si>
  <si>
    <t>9508</t>
  </si>
  <si>
    <t>9511</t>
  </si>
  <si>
    <t>9512</t>
  </si>
  <si>
    <t>9513</t>
  </si>
  <si>
    <t>9514</t>
  </si>
  <si>
    <t>9515</t>
  </si>
  <si>
    <t>9518</t>
  </si>
  <si>
    <t>9519</t>
  </si>
  <si>
    <t>9520</t>
  </si>
  <si>
    <t>9521</t>
  </si>
  <si>
    <t>9522</t>
  </si>
  <si>
    <t>9523</t>
  </si>
  <si>
    <t>9525</t>
  </si>
  <si>
    <t>9526</t>
  </si>
  <si>
    <t>9530</t>
  </si>
  <si>
    <t>9531</t>
  </si>
  <si>
    <t>9532</t>
  </si>
  <si>
    <t>9535</t>
  </si>
  <si>
    <t>9537</t>
  </si>
  <si>
    <t>9538</t>
  </si>
  <si>
    <t>9539</t>
  </si>
  <si>
    <t>9540</t>
  </si>
  <si>
    <t>9541</t>
  </si>
  <si>
    <t>9545</t>
  </si>
  <si>
    <t>9550</t>
  </si>
  <si>
    <t>9551</t>
  </si>
  <si>
    <t>9555</t>
  </si>
  <si>
    <t>9556</t>
  </si>
  <si>
    <t>9560</t>
  </si>
  <si>
    <t>9565</t>
  </si>
  <si>
    <t>9570</t>
  </si>
  <si>
    <t>9571</t>
  </si>
  <si>
    <t>9572</t>
  </si>
  <si>
    <t>9575</t>
  </si>
  <si>
    <t>9576</t>
  </si>
  <si>
    <t>9577</t>
  </si>
  <si>
    <t>9578</t>
  </si>
  <si>
    <t>9580</t>
  </si>
  <si>
    <t>9582</t>
  </si>
  <si>
    <t>9583</t>
  </si>
  <si>
    <t>9584</t>
  </si>
  <si>
    <t>9585</t>
  </si>
  <si>
    <t>9590</t>
  </si>
  <si>
    <t>9595</t>
  </si>
  <si>
    <t>9600</t>
  </si>
  <si>
    <t>9605</t>
  </si>
  <si>
    <t>9610</t>
  </si>
  <si>
    <t>9615</t>
  </si>
  <si>
    <t>9620</t>
  </si>
  <si>
    <t>9625</t>
  </si>
  <si>
    <t>9626</t>
  </si>
  <si>
    <t>9628</t>
  </si>
  <si>
    <t>9630</t>
  </si>
  <si>
    <t>9631</t>
  </si>
  <si>
    <t>9635</t>
  </si>
  <si>
    <t>9640</t>
  </si>
  <si>
    <t>9645</t>
  </si>
  <si>
    <t>9647</t>
  </si>
  <si>
    <t>9650</t>
  </si>
  <si>
    <t>9655</t>
  </si>
  <si>
    <t>9660</t>
  </si>
  <si>
    <t>9665</t>
  </si>
  <si>
    <t>9667</t>
  </si>
  <si>
    <t>9668</t>
  </si>
  <si>
    <t>9670</t>
  </si>
  <si>
    <t>9671</t>
  </si>
  <si>
    <t>9672</t>
  </si>
  <si>
    <t>9673</t>
  </si>
  <si>
    <t>9674</t>
  </si>
  <si>
    <t>9675</t>
  </si>
  <si>
    <t>9676</t>
  </si>
  <si>
    <t>9677</t>
  </si>
  <si>
    <t>9680</t>
  </si>
  <si>
    <t>9685</t>
  </si>
  <si>
    <t>9690</t>
  </si>
  <si>
    <t>9695</t>
  </si>
  <si>
    <t>9700</t>
  </si>
  <si>
    <t>9703</t>
  </si>
  <si>
    <t>9705</t>
  </si>
  <si>
    <t>9800</t>
  </si>
  <si>
    <t>9805</t>
  </si>
  <si>
    <t>9810</t>
  </si>
  <si>
    <t>9815</t>
  </si>
  <si>
    <t>9870</t>
  </si>
  <si>
    <t>LOAN LOSS RESRV CORP-HO IFRS9</t>
  </si>
  <si>
    <t>9875</t>
  </si>
  <si>
    <t>LOAN LOSS RESRV INDIV-HO IFRS9</t>
  </si>
  <si>
    <t>9880</t>
  </si>
  <si>
    <t>LOAN LOSS RSRV CALL LN-HOIFRS9</t>
  </si>
  <si>
    <t>9885</t>
  </si>
  <si>
    <t>OTHER RESERVE-HO IFRS9</t>
  </si>
  <si>
    <t>9910</t>
  </si>
  <si>
    <t>LOAN LOSS PRVSN PR YR-HO IFRS9</t>
  </si>
  <si>
    <t>9915</t>
  </si>
  <si>
    <t>LLR CONVERSION-HO IFRS9</t>
  </si>
  <si>
    <t>9999</t>
  </si>
  <si>
    <t>20000</t>
  </si>
  <si>
    <t>TOTAL ASSETS</t>
  </si>
  <si>
    <t>40000</t>
  </si>
  <si>
    <t>TOTAL LIABILITIES + PROFIT &amp; LOSS</t>
  </si>
  <si>
    <t>其他概率分布 统计范围自从2017 01 假设平均流失率不变</t>
  </si>
  <si>
    <t>VBA Password Change.</t>
  </si>
  <si>
    <t>FMD2018</t>
  </si>
  <si>
    <t>Percentile</t>
  </si>
  <si>
    <t>IF EST BY MON AVG</t>
  </si>
  <si>
    <t>PERCENTILE</t>
  </si>
  <si>
    <t>minzhu@bocusa.com</t>
  </si>
  <si>
    <t>cxu@bocusa.com</t>
  </si>
  <si>
    <t>Assuming 25 Bn</t>
  </si>
  <si>
    <t>Actual Cashflow</t>
  </si>
  <si>
    <t>Email list updated. Buffer surplus ratio added.</t>
  </si>
  <si>
    <t>Projected 14 Day Buffer Surplus Ratio</t>
  </si>
  <si>
    <t>8.2.6.2.4</t>
  </si>
  <si>
    <t>Due to Banks - Investment - BANK OF COMM. CO. LTD.</t>
  </si>
  <si>
    <t>1030150</t>
  </si>
  <si>
    <t>BANK OF COMM. CO. LTD.-HEAD OFFICE</t>
  </si>
  <si>
    <t>BANK OF COMM</t>
  </si>
  <si>
    <t>1030150FI</t>
  </si>
  <si>
    <t>COMM</t>
  </si>
  <si>
    <t>Stand By LC</t>
  </si>
  <si>
    <t>StandByLC applied or not</t>
  </si>
  <si>
    <t>LoanCommitment to 14.5%</t>
  </si>
  <si>
    <t>Unpledged HQLA Securities</t>
  </si>
  <si>
    <t>Update the feature that could switch on/off to apply new assumption for Loan Commitment and Standby LC</t>
  </si>
  <si>
    <t>Based on MRD review document, for new run-off of Loan Commitment, only apply the new ratio with Corp. 85% FI 15% division under combined scenario.</t>
  </si>
  <si>
    <t>Standby Letter of Credit</t>
  </si>
  <si>
    <t>Changed by</t>
  </si>
  <si>
    <t>Xiang Fang</t>
  </si>
  <si>
    <t>Yuanyuan Ma</t>
  </si>
  <si>
    <t>kweir@bocusa.com</t>
  </si>
  <si>
    <t>azhou@bocusa.com</t>
  </si>
  <si>
    <t>CPDP Assumption Version</t>
  </si>
  <si>
    <t>8020 Facility Assumption Version</t>
  </si>
  <si>
    <t>0 Stands for Old Version, 1 stands for version with 2017 MRA2 Remediation</t>
  </si>
  <si>
    <t>CPDP run-off has been updated upon RMICC approval based on Fed's feedback</t>
  </si>
  <si>
    <t>Reviewed By</t>
  </si>
  <si>
    <t>Min Li</t>
  </si>
  <si>
    <t>Kexiang Xiang</t>
  </si>
  <si>
    <t>0 Stands for Old Version, 1 stands for version with 2017 MRA2 Remediation, 2 for 2018 MR2 follow-up remediation</t>
  </si>
  <si>
    <t>Boc Head Office - A</t>
  </si>
  <si>
    <t>yongma@bocusa.com</t>
  </si>
  <si>
    <t>Gifms Capital Company Llc</t>
  </si>
  <si>
    <t>Gifs Capital Company  Llc</t>
  </si>
  <si>
    <t>Run-off Ratio for Nov, 2018</t>
  </si>
  <si>
    <t>8.2.6.2.5</t>
  </si>
  <si>
    <t>Due to Banks - Investment - CHINA EXIMBANK</t>
  </si>
  <si>
    <t>EXIM</t>
  </si>
  <si>
    <t>9.2.2.2</t>
  </si>
  <si>
    <t>Demand,MM &amp; Savings - Large Corporates - KEMPS LANDING CAPITAL</t>
  </si>
  <si>
    <t>1172869</t>
  </si>
  <si>
    <t>KEMPS LANDING CAPITAL COMPANY LLC</t>
  </si>
  <si>
    <t>1030628</t>
  </si>
  <si>
    <t>CHINA EXIMBANK</t>
  </si>
  <si>
    <t>Run-off Ratio for Dec, 2018</t>
  </si>
  <si>
    <t>1030628FI</t>
  </si>
  <si>
    <t>KEMPS</t>
  </si>
  <si>
    <t>Credit Enhancement Facility - CPDP</t>
  </si>
  <si>
    <t>Credit Enhancement Facility - 80/20</t>
  </si>
  <si>
    <t>Balance of 12/31/2018</t>
  </si>
  <si>
    <t>Projected 14 Day Buffer Surplus for Dec 31</t>
  </si>
  <si>
    <t>Projected 30 Day Buffer Surplus for Dec 31</t>
  </si>
  <si>
    <t>MLEESHUE@BOCUSA.COM</t>
  </si>
  <si>
    <t>KEMPS LANDING</t>
  </si>
  <si>
    <t>1172869CORP</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</si>
</sst>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4" formatCode="_(&quot;$&quot;* #,##0.00_);_(&quot;$&quot;* \(#,##0.00\);_(&quot;$&quot;* &quot;-&quot;??_);_(@_)"/>
    <numFmt numFmtId="43" formatCode="_(* #,##0.00_);_(* \(#,##0.00\);_(* &quot;-&quot;??_);_(@_)"/>
    <numFmt numFmtId="164" formatCode="_(* #,##0_);_(* \(#,##0\);_(* &quot;-&quot;??_);_(@_)"/>
    <numFmt numFmtId="165" formatCode="_(* #,##0.0_);_(* \(#,##0.0\);_(* &quot;-&quot;??_);_(@_)"/>
    <numFmt numFmtId="166" formatCode="0.0%"/>
    <numFmt numFmtId="167" formatCode="0.0"/>
    <numFmt numFmtId="168" formatCode="_(* #,##0.00000_);_(* \(#,##0.00000\);_(* &quot;-&quot;??_);_(@_)"/>
    <numFmt numFmtId="169" formatCode="_(&quot;$&quot;* #,##0_);_(&quot;$&quot;* \(#,##0\);_(&quot;$&quot;* &quot;-&quot;??_);_(@_)"/>
    <numFmt numFmtId="170" formatCode="0.000"/>
    <numFmt numFmtId="171" formatCode="0.0000%"/>
    <numFmt numFmtId="172" formatCode="_(* #,##0.0000_);_(* \(#,##0.0000\);_(* &quot;-&quot;??_);_(@_)"/>
    <numFmt numFmtId="173" formatCode="_(* #,##0.0_);_(* \(#,##0.0\);_(* &quot;-&quot;?_);_(@_)"/>
    <numFmt numFmtId="174" formatCode="_(* #,##0.000_);_(* \(#,##0.000\);_(* &quot;-&quot;??_);_(@_)"/>
    <numFmt numFmtId="175" formatCode="0_);[Red]\(0\)"/>
    <numFmt numFmtId="176" formatCode="0.0000"/>
    <numFmt numFmtId="177" formatCode="0.00000%"/>
  </numFmts>
  <fonts count="72">
    <font>
      <sz val="11"/>
      <color theme="1"/>
      <name val="Arial"/>
      <family val="2"/>
      <scheme val="minor"/>
    </font>
    <font>
      <sz val="11"/>
      <color theme="1"/>
      <name val="Arial"/>
      <family val="2"/>
      <scheme val="minor"/>
    </font>
    <font>
      <sz val="11"/>
      <color theme="1"/>
      <name val="Calibri"/>
      <family val="2"/>
    </font>
    <font>
      <b/>
      <sz val="11"/>
      <color theme="1"/>
      <name val="Calibri"/>
      <family val="2"/>
    </font>
    <font>
      <b/>
      <u/>
      <sz val="11"/>
      <color theme="1"/>
      <name val="Calibri"/>
      <family val="2"/>
    </font>
    <font>
      <sz val="9"/>
      <color indexed="81"/>
      <name val="Tahoma"/>
      <family val="2"/>
    </font>
    <font>
      <b/>
      <sz val="9"/>
      <color indexed="81"/>
      <name val="Tahoma"/>
      <family val="2"/>
    </font>
    <font>
      <sz val="10"/>
      <color theme="1"/>
      <name val="Calibri"/>
      <family val="2"/>
    </font>
    <font>
      <i/>
      <sz val="11"/>
      <color rgb="FF0070C0"/>
      <name val="Calibri"/>
      <family val="2"/>
    </font>
    <font>
      <i/>
      <sz val="10"/>
      <color rgb="FF0070C0"/>
      <name val="Calibri"/>
      <family val="2"/>
    </font>
    <font>
      <sz val="11"/>
      <color rgb="FF0070C0"/>
      <name val="Calibri"/>
      <family val="2"/>
    </font>
    <font>
      <b/>
      <sz val="10"/>
      <color theme="1"/>
      <name val="Calibri"/>
      <family val="2"/>
    </font>
    <font>
      <b/>
      <sz val="11"/>
      <name val="Calibri"/>
      <family val="2"/>
    </font>
    <font>
      <sz val="11"/>
      <name val="Calibri"/>
      <family val="2"/>
    </font>
    <font>
      <i/>
      <sz val="11"/>
      <name val="Calibri"/>
      <family val="2"/>
    </font>
    <font>
      <sz val="10"/>
      <name val="Arial"/>
      <family val="2"/>
    </font>
    <font>
      <i/>
      <sz val="10"/>
      <name val="Calibri"/>
      <family val="2"/>
    </font>
    <font>
      <sz val="10"/>
      <name val="Calibri"/>
      <family val="2"/>
    </font>
    <font>
      <i/>
      <sz val="10"/>
      <color theme="8"/>
      <name val="Calibri"/>
      <family val="2"/>
    </font>
    <font>
      <sz val="11"/>
      <color theme="8"/>
      <name val="Calibri"/>
      <family val="2"/>
    </font>
    <font>
      <sz val="10"/>
      <color theme="8"/>
      <name val="Calibri"/>
      <family val="2"/>
    </font>
    <font>
      <b/>
      <sz val="10"/>
      <name val="Arial"/>
      <family val="2"/>
      <scheme val="minor"/>
    </font>
    <font>
      <u/>
      <sz val="11"/>
      <name val="Calibri"/>
      <family val="2"/>
    </font>
    <font>
      <b/>
      <sz val="11"/>
      <color rgb="FFFF0000"/>
      <name val="Calibri"/>
      <family val="2"/>
    </font>
    <font>
      <b/>
      <sz val="10"/>
      <name val="Calibri"/>
      <family val="2"/>
    </font>
    <font>
      <b/>
      <sz val="11"/>
      <color rgb="FF0070C0"/>
      <name val="Calibri"/>
      <family val="2"/>
    </font>
    <font>
      <b/>
      <u/>
      <sz val="11"/>
      <name val="Calibri"/>
      <family val="2"/>
    </font>
    <font>
      <sz val="11"/>
      <color rgb="FFFF0000"/>
      <name val="Calibri"/>
      <family val="2"/>
    </font>
    <font>
      <sz val="10"/>
      <color rgb="FF0070C0"/>
      <name val="Calibri"/>
      <family val="2"/>
    </font>
    <font>
      <sz val="12"/>
      <name val="Arial"/>
      <family val="2"/>
    </font>
    <font>
      <sz val="12"/>
      <name val="新細明體"/>
      <family val="1"/>
      <charset val="136"/>
    </font>
    <font>
      <b/>
      <i/>
      <sz val="10"/>
      <name val="Calibri"/>
      <family val="2"/>
    </font>
    <font>
      <i/>
      <sz val="11"/>
      <color theme="3"/>
      <name val="Calibri"/>
      <family val="2"/>
    </font>
    <font>
      <sz val="12"/>
      <name val="宋体"/>
      <charset val="134"/>
    </font>
    <font>
      <b/>
      <sz val="13"/>
      <name val="Aharoni"/>
      <charset val="177"/>
    </font>
    <font>
      <sz val="11"/>
      <color theme="1"/>
      <name val="Georgia"/>
      <family val="1"/>
      <scheme val="major"/>
    </font>
    <font>
      <sz val="11"/>
      <name val="Georgia"/>
      <family val="1"/>
      <scheme val="major"/>
    </font>
    <font>
      <sz val="11"/>
      <color rgb="FFFF0000"/>
      <name val="Georgia"/>
      <family val="1"/>
      <scheme val="major"/>
    </font>
    <font>
      <sz val="11"/>
      <color rgb="FF000000"/>
      <name val="Calibri"/>
      <family val="2"/>
    </font>
    <font>
      <b/>
      <sz val="11"/>
      <color theme="1"/>
      <name val="Georgia"/>
      <family val="1"/>
      <scheme val="major"/>
    </font>
    <font>
      <b/>
      <sz val="11"/>
      <color theme="1"/>
      <name val="Arial"/>
      <family val="2"/>
      <scheme val="minor"/>
    </font>
    <font>
      <b/>
      <sz val="11"/>
      <color rgb="FFFF0000"/>
      <name val="Georgia"/>
      <family val="1"/>
      <scheme val="major"/>
    </font>
    <font>
      <b/>
      <sz val="11"/>
      <name val="Georgia"/>
      <family val="1"/>
      <scheme val="major"/>
    </font>
    <font>
      <b/>
      <sz val="14"/>
      <color theme="1"/>
      <name val="Calibri"/>
      <family val="2"/>
    </font>
    <font>
      <b/>
      <sz val="14"/>
      <name val="Aharoni"/>
      <charset val="177"/>
    </font>
    <font>
      <b/>
      <sz val="12"/>
      <color theme="1"/>
      <name val="Arial"/>
      <family val="2"/>
      <scheme val="minor"/>
    </font>
    <font>
      <b/>
      <sz val="12"/>
      <color theme="1"/>
      <name val="KaiTi"/>
      <family val="3"/>
    </font>
    <font>
      <sz val="12"/>
      <color theme="1"/>
      <name val="KaiTi"/>
      <family val="3"/>
    </font>
    <font>
      <sz val="12"/>
      <color rgb="FFFF0000"/>
      <name val="KaiTi"/>
      <family val="3"/>
    </font>
    <font>
      <sz val="11"/>
      <color theme="1"/>
      <name val="KaiTi"/>
      <family val="3"/>
    </font>
    <font>
      <b/>
      <sz val="11"/>
      <color theme="1"/>
      <name val="KaiTi"/>
      <family val="3"/>
    </font>
    <font>
      <b/>
      <sz val="16"/>
      <color theme="1"/>
      <name val="KaiTi"/>
      <family val="3"/>
    </font>
    <font>
      <sz val="11"/>
      <color rgb="FF000000"/>
      <name val="Arial"/>
      <family val="2"/>
    </font>
    <font>
      <sz val="11"/>
      <color theme="1"/>
      <name val="Georgia"/>
      <family val="1"/>
    </font>
    <font>
      <b/>
      <sz val="11"/>
      <color theme="1"/>
      <name val="Georgia"/>
      <family val="1"/>
    </font>
    <font>
      <b/>
      <sz val="14"/>
      <color theme="1"/>
      <name val="Georgia"/>
      <family val="1"/>
    </font>
    <font>
      <b/>
      <i/>
      <sz val="11"/>
      <name val="Georgia"/>
      <family val="1"/>
    </font>
    <font>
      <b/>
      <i/>
      <sz val="11"/>
      <color theme="1"/>
      <name val="Georgia"/>
      <family val="1"/>
    </font>
    <font>
      <b/>
      <u/>
      <sz val="11"/>
      <color theme="1"/>
      <name val="Georgia"/>
      <family val="1"/>
    </font>
    <font>
      <b/>
      <sz val="11"/>
      <name val="Georgia"/>
      <family val="1"/>
    </font>
    <font>
      <sz val="11"/>
      <color rgb="FFFF0000"/>
      <name val="Georgia"/>
      <family val="1"/>
    </font>
    <font>
      <sz val="11"/>
      <color theme="0"/>
      <name val="Georgia"/>
      <family val="1"/>
    </font>
    <font>
      <b/>
      <sz val="14"/>
      <color theme="9" tint="-0.249977111117893"/>
      <name val="Georgia"/>
      <family val="1"/>
    </font>
    <font>
      <b/>
      <i/>
      <sz val="11"/>
      <color theme="1"/>
      <name val="Georgia"/>
      <family val="1"/>
      <scheme val="major"/>
    </font>
    <font>
      <b/>
      <sz val="11"/>
      <color theme="0"/>
      <name val="Arial"/>
      <family val="2"/>
      <scheme val="minor"/>
    </font>
    <font>
      <sz val="11"/>
      <name val="Arial"/>
      <family val="2"/>
      <scheme val="minor"/>
    </font>
    <font>
      <b/>
      <sz val="14"/>
      <color theme="1"/>
      <name val="Arial"/>
      <family val="2"/>
      <scheme val="minor"/>
    </font>
    <font>
      <sz val="12"/>
      <color theme="1"/>
      <name val="Arial"/>
      <family val="2"/>
      <scheme val="minor"/>
    </font>
    <font>
      <sz val="10"/>
      <color theme="1"/>
      <name val="Arial"/>
      <family val="2"/>
      <scheme val="minor"/>
    </font>
    <font>
      <u/>
      <sz val="11"/>
      <color theme="10"/>
      <name val="Arial"/>
      <family val="2"/>
      <scheme val="minor"/>
    </font>
    <font>
      <b/>
      <sz val="16"/>
      <color theme="1"/>
      <name val="Arial"/>
      <family val="2"/>
      <scheme val="minor"/>
    </font>
    <font>
      <b/>
      <sz val="8"/>
      <color indexed="81"/>
      <name val="Tahoma"/>
      <family val="2"/>
    </font>
  </fonts>
  <fills count="21">
    <fill>
      <patternFill patternType="none"/>
    </fill>
    <fill>
      <patternFill patternType="gray125"/>
    </fill>
    <fill>
      <patternFill patternType="solid">
        <fgColor theme="0" tint="-4.9989318521683403E-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79998168889431442"/>
        <bgColor indexed="64"/>
      </patternFill>
    </fill>
    <fill>
      <patternFill patternType="solid">
        <fgColor rgb="FFDAEEF3"/>
        <bgColor indexed="64"/>
      </patternFill>
    </fill>
    <fill>
      <patternFill patternType="solid">
        <fgColor theme="8" tint="0.79998168889431442"/>
        <bgColor indexed="64"/>
      </patternFill>
    </fill>
    <fill>
      <patternFill patternType="solid">
        <fgColor rgb="FFDDDDDD"/>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rgb="FFC00000"/>
        <bgColor indexed="64"/>
      </patternFill>
    </fill>
    <fill>
      <patternFill patternType="solid">
        <fgColor rgb="FF00B050"/>
        <bgColor indexed="64"/>
      </patternFill>
    </fill>
  </fills>
  <borders count="7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diagonal/>
    </border>
    <border>
      <left/>
      <right style="thin">
        <color indexed="64"/>
      </right>
      <top/>
      <bottom/>
      <diagonal/>
    </border>
    <border>
      <left/>
      <right style="thin">
        <color indexed="64"/>
      </right>
      <top style="thin">
        <color indexed="64"/>
      </top>
      <bottom style="double">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right/>
      <top style="thin">
        <color indexed="64"/>
      </top>
      <bottom style="hair">
        <color indexed="64"/>
      </bottom>
      <diagonal/>
    </border>
    <border>
      <left/>
      <right style="thin">
        <color indexed="64"/>
      </right>
      <top style="hair">
        <color indexed="64"/>
      </top>
      <bottom/>
      <diagonal/>
    </border>
    <border>
      <left/>
      <right/>
      <top style="hair">
        <color indexed="64"/>
      </top>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hair">
        <color indexed="64"/>
      </top>
      <bottom/>
      <diagonal/>
    </border>
    <border>
      <left style="hair">
        <color indexed="64"/>
      </left>
      <right/>
      <top/>
      <bottom/>
      <diagonal/>
    </border>
    <border>
      <left/>
      <right style="hair">
        <color indexed="64"/>
      </right>
      <top/>
      <bottom style="hair">
        <color indexed="64"/>
      </bottom>
      <diagonal/>
    </border>
    <border>
      <left style="thin">
        <color indexed="64"/>
      </left>
      <right/>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auto="1"/>
      </left>
      <right/>
      <top style="thin">
        <color auto="1"/>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indexed="64"/>
      </left>
      <right/>
      <top style="thin">
        <color indexed="64"/>
      </top>
      <bottom style="hair">
        <color indexed="64"/>
      </bottom>
      <diagonal/>
    </border>
    <border>
      <left style="hair">
        <color indexed="64"/>
      </left>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right/>
      <top style="double">
        <color indexed="64"/>
      </top>
      <bottom style="double">
        <color indexed="64"/>
      </bottom>
      <diagonal/>
    </border>
    <border>
      <left/>
      <right/>
      <top/>
      <bottom style="medium">
        <color indexed="64"/>
      </bottom>
      <diagonal/>
    </border>
    <border>
      <left/>
      <right/>
      <top style="double">
        <color indexed="64"/>
      </top>
      <bottom style="hair">
        <color indexed="64"/>
      </bottom>
      <diagonal/>
    </border>
    <border>
      <left/>
      <right style="thin">
        <color indexed="64"/>
      </right>
      <top style="double">
        <color indexed="64"/>
      </top>
      <bottom style="hair">
        <color indexed="64"/>
      </bottom>
      <diagonal/>
    </border>
    <border>
      <left/>
      <right style="thin">
        <color indexed="64"/>
      </right>
      <top style="double">
        <color indexed="64"/>
      </top>
      <bottom style="double">
        <color indexed="64"/>
      </bottom>
      <diagonal/>
    </border>
    <border>
      <left style="thin">
        <color indexed="64"/>
      </left>
      <right/>
      <top style="thin">
        <color theme="4" tint="0.39997558519241921"/>
      </top>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auto="1"/>
      </left>
      <right style="medium">
        <color auto="1"/>
      </right>
      <top style="thin">
        <color auto="1"/>
      </top>
      <bottom style="thin">
        <color auto="1"/>
      </bottom>
      <diagonal/>
    </border>
    <border>
      <left style="thin">
        <color indexed="64"/>
      </left>
      <right/>
      <top style="thin">
        <color indexed="64"/>
      </top>
      <bottom style="thin">
        <color theme="1"/>
      </bottom>
      <diagonal/>
    </border>
    <border>
      <left/>
      <right/>
      <top style="thin">
        <color indexed="64"/>
      </top>
      <bottom style="thin">
        <color theme="1"/>
      </bottom>
      <diagonal/>
    </border>
    <border>
      <left/>
      <right style="thin">
        <color indexed="64"/>
      </right>
      <top style="thin">
        <color indexed="64"/>
      </top>
      <bottom style="thin">
        <color theme="1"/>
      </bottom>
      <diagonal/>
    </border>
    <border>
      <left style="thin">
        <color indexed="64"/>
      </left>
      <right/>
      <top style="thin">
        <color theme="1"/>
      </top>
      <bottom style="thin">
        <color theme="1"/>
      </bottom>
      <diagonal/>
    </border>
    <border>
      <left/>
      <right style="thin">
        <color indexed="64"/>
      </right>
      <top style="thin">
        <color theme="1"/>
      </top>
      <bottom style="thin">
        <color theme="1"/>
      </bottom>
      <diagonal/>
    </border>
    <border>
      <left style="thin">
        <color theme="1"/>
      </left>
      <right/>
      <top style="thin">
        <color indexed="64"/>
      </top>
      <bottom style="thin">
        <color theme="1"/>
      </bottom>
      <diagonal/>
    </border>
    <border>
      <left style="thin">
        <color theme="1"/>
      </left>
      <right/>
      <top/>
      <bottom style="thin">
        <color indexed="64"/>
      </bottom>
      <diagonal/>
    </border>
  </borders>
  <cellStyleXfs count="11">
    <xf numFmtId="0" fontId="0" fillId="0" borderId="0"/>
    <xf numFmtId="43" fontId="1" fillId="0" borderId="0" applyFont="0" applyFill="0" applyBorder="0" applyAlignment="0" applyProtection="0"/>
    <xf numFmtId="9" fontId="1" fillId="0" borderId="0" applyFont="0" applyFill="0" applyBorder="0" applyAlignment="0" applyProtection="0"/>
    <xf numFmtId="0" fontId="15" fillId="0" borderId="0"/>
    <xf numFmtId="0" fontId="29" fillId="0" borderId="0"/>
    <xf numFmtId="43" fontId="15" fillId="0" borderId="0" applyFont="0" applyFill="0" applyBorder="0" applyAlignment="0" applyProtection="0"/>
    <xf numFmtId="0" fontId="30" fillId="0" borderId="0"/>
    <xf numFmtId="43" fontId="30" fillId="0" borderId="0" applyFont="0" applyFill="0" applyBorder="0" applyAlignment="0" applyProtection="0"/>
    <xf numFmtId="0" fontId="33" fillId="0" borderId="0"/>
    <xf numFmtId="43" fontId="33" fillId="0" borderId="0" applyFont="0" applyFill="0" applyBorder="0" applyAlignment="0" applyProtection="0"/>
    <xf numFmtId="0" fontId="69" fillId="0" borderId="0" applyNumberFormat="0" applyFill="0" applyBorder="0" applyAlignment="0" applyProtection="0"/>
  </cellStyleXfs>
  <cellXfs count="997">
    <xf numFmtId="0" fontId="0" fillId="0" borderId="0" xfId="0"/>
    <xf numFmtId="0" fontId="0" fillId="0" borderId="0" xfId="0" applyBorder="1"/>
    <xf numFmtId="0" fontId="0" fillId="0" borderId="0" xfId="0" applyAlignment="1">
      <alignment wrapText="1"/>
    </xf>
    <xf numFmtId="0" fontId="0" fillId="0" borderId="30" xfId="0" applyBorder="1"/>
    <xf numFmtId="0" fontId="0" fillId="0" borderId="39" xfId="0" applyBorder="1"/>
    <xf numFmtId="0" fontId="0" fillId="0" borderId="38" xfId="0" applyBorder="1"/>
    <xf numFmtId="0" fontId="35" fillId="0" borderId="0" xfId="0" applyFont="1"/>
    <xf numFmtId="0" fontId="36" fillId="0" borderId="5" xfId="0" applyFont="1" applyBorder="1" applyAlignment="1">
      <alignment horizontal="left" wrapText="1" indent="1"/>
    </xf>
    <xf numFmtId="14" fontId="35" fillId="0" borderId="0" xfId="0" applyNumberFormat="1" applyFont="1"/>
    <xf numFmtId="9" fontId="0" fillId="0" borderId="0" xfId="2" applyFont="1"/>
    <xf numFmtId="169" fontId="35" fillId="0" borderId="0" xfId="0" applyNumberFormat="1" applyFont="1"/>
    <xf numFmtId="9" fontId="0" fillId="0" borderId="11" xfId="2" applyFont="1" applyBorder="1"/>
    <xf numFmtId="9" fontId="0" fillId="0" borderId="40" xfId="2" applyFont="1" applyBorder="1"/>
    <xf numFmtId="0" fontId="0" fillId="0" borderId="36" xfId="0" applyBorder="1" applyAlignment="1">
      <alignment wrapText="1"/>
    </xf>
    <xf numFmtId="0" fontId="0" fillId="0" borderId="3" xfId="0" applyBorder="1" applyAlignment="1">
      <alignment wrapText="1"/>
    </xf>
    <xf numFmtId="9" fontId="0" fillId="0" borderId="4" xfId="2" applyFont="1" applyBorder="1" applyAlignment="1">
      <alignment wrapText="1"/>
    </xf>
    <xf numFmtId="0" fontId="35" fillId="0" borderId="1" xfId="0" applyFont="1" applyBorder="1"/>
    <xf numFmtId="0" fontId="35" fillId="0" borderId="5" xfId="0" applyFont="1" applyBorder="1"/>
    <xf numFmtId="0" fontId="36" fillId="0" borderId="6" xfId="0" applyFont="1" applyBorder="1" applyAlignment="1">
      <alignment horizontal="left" wrapText="1" indent="1"/>
    </xf>
    <xf numFmtId="164" fontId="35" fillId="0" borderId="0" xfId="1" applyNumberFormat="1" applyFont="1"/>
    <xf numFmtId="165" fontId="37" fillId="0" borderId="0" xfId="1" applyNumberFormat="1" applyFont="1"/>
    <xf numFmtId="0" fontId="37" fillId="0" borderId="0" xfId="0" applyFont="1"/>
    <xf numFmtId="164" fontId="37" fillId="0" borderId="0" xfId="0" applyNumberFormat="1" applyFont="1"/>
    <xf numFmtId="0" fontId="14" fillId="0" borderId="0" xfId="0" applyFont="1" applyFill="1" applyBorder="1" applyAlignment="1">
      <alignment horizontal="left" wrapText="1" indent="1"/>
    </xf>
    <xf numFmtId="0" fontId="36" fillId="0" borderId="0" xfId="0" applyFont="1"/>
    <xf numFmtId="164" fontId="36" fillId="0" borderId="0" xfId="1" applyNumberFormat="1" applyFont="1"/>
    <xf numFmtId="43" fontId="0" fillId="0" borderId="0" xfId="0" applyNumberFormat="1"/>
    <xf numFmtId="43" fontId="35" fillId="0" borderId="0" xfId="0" applyNumberFormat="1" applyFont="1"/>
    <xf numFmtId="0" fontId="36" fillId="0" borderId="6" xfId="0" applyFont="1" applyBorder="1"/>
    <xf numFmtId="0" fontId="35" fillId="3" borderId="9" xfId="0" applyFont="1" applyFill="1" applyBorder="1"/>
    <xf numFmtId="0" fontId="35" fillId="5" borderId="9" xfId="0" applyFont="1" applyFill="1" applyBorder="1"/>
    <xf numFmtId="0" fontId="35" fillId="0" borderId="46" xfId="0" applyFont="1" applyBorder="1"/>
    <xf numFmtId="164" fontId="35" fillId="0" borderId="46" xfId="0" applyNumberFormat="1" applyFont="1" applyBorder="1"/>
    <xf numFmtId="164" fontId="35" fillId="0" borderId="0" xfId="0" applyNumberFormat="1" applyFont="1"/>
    <xf numFmtId="44" fontId="35" fillId="0" borderId="0" xfId="0" applyNumberFormat="1" applyFont="1"/>
    <xf numFmtId="164" fontId="0" fillId="0" borderId="0" xfId="1" applyNumberFormat="1" applyFont="1"/>
    <xf numFmtId="0" fontId="39" fillId="0" borderId="36" xfId="0" applyFont="1" applyBorder="1" applyAlignment="1">
      <alignment wrapText="1"/>
    </xf>
    <xf numFmtId="0" fontId="35" fillId="0" borderId="3" xfId="0" applyFont="1" applyBorder="1" applyAlignment="1">
      <alignment horizontal="center"/>
    </xf>
    <xf numFmtId="0" fontId="35" fillId="0" borderId="4" xfId="0" applyFont="1" applyBorder="1" applyAlignment="1">
      <alignment horizontal="center"/>
    </xf>
    <xf numFmtId="0" fontId="42" fillId="11" borderId="5" xfId="0" applyFont="1" applyFill="1" applyBorder="1" applyAlignment="1">
      <alignment wrapText="1"/>
    </xf>
    <xf numFmtId="0" fontId="42" fillId="11" borderId="2" xfId="0" applyFont="1" applyFill="1" applyBorder="1"/>
    <xf numFmtId="0" fontId="35" fillId="11" borderId="2" xfId="0" applyFont="1" applyFill="1" applyBorder="1"/>
    <xf numFmtId="0" fontId="36" fillId="11" borderId="2" xfId="0" applyFont="1" applyFill="1" applyBorder="1"/>
    <xf numFmtId="2" fontId="24" fillId="8" borderId="36" xfId="0" applyNumberFormat="1" applyFont="1" applyFill="1" applyBorder="1" applyAlignment="1" applyProtection="1">
      <alignment horizontal="left" vertical="center" wrapText="1"/>
      <protection locked="0"/>
    </xf>
    <xf numFmtId="9" fontId="31" fillId="8" borderId="3" xfId="2" applyFont="1" applyFill="1" applyBorder="1" applyAlignment="1" applyProtection="1">
      <alignment horizontal="left" vertical="center"/>
      <protection locked="0"/>
    </xf>
    <xf numFmtId="9" fontId="24" fillId="8" borderId="3" xfId="2" applyFont="1" applyFill="1" applyBorder="1" applyAlignment="1" applyProtection="1">
      <alignment horizontal="left" vertical="center" wrapText="1"/>
      <protection locked="0"/>
    </xf>
    <xf numFmtId="9" fontId="24" fillId="8" borderId="3" xfId="2" applyFont="1" applyFill="1" applyBorder="1" applyAlignment="1" applyProtection="1">
      <alignment vertical="center" wrapText="1"/>
      <protection locked="0"/>
    </xf>
    <xf numFmtId="9" fontId="24" fillId="8" borderId="4" xfId="2" applyFont="1" applyFill="1" applyBorder="1" applyAlignment="1" applyProtection="1">
      <alignment horizontal="left" vertical="center" wrapText="1"/>
      <protection locked="0"/>
    </xf>
    <xf numFmtId="0" fontId="2" fillId="0" borderId="0" xfId="0" applyFont="1" applyProtection="1">
      <protection locked="0"/>
    </xf>
    <xf numFmtId="1" fontId="12" fillId="0" borderId="20" xfId="0" applyNumberFormat="1" applyFont="1" applyFill="1" applyBorder="1" applyAlignment="1" applyProtection="1">
      <alignment horizontal="left" vertical="center"/>
      <protection locked="0"/>
    </xf>
    <xf numFmtId="0" fontId="12" fillId="7" borderId="17" xfId="0" applyFont="1" applyFill="1" applyBorder="1" applyAlignment="1" applyProtection="1">
      <alignment horizontal="left" wrapText="1"/>
      <protection locked="0"/>
    </xf>
    <xf numFmtId="9" fontId="12" fillId="7" borderId="17" xfId="2" applyFont="1" applyFill="1" applyBorder="1" applyAlignment="1" applyProtection="1">
      <alignment wrapText="1"/>
      <protection locked="0"/>
    </xf>
    <xf numFmtId="0" fontId="12" fillId="7" borderId="18" xfId="0" applyFont="1" applyFill="1" applyBorder="1" applyAlignment="1" applyProtection="1">
      <alignment horizontal="left" wrapText="1"/>
      <protection locked="0"/>
    </xf>
    <xf numFmtId="167" fontId="13" fillId="0" borderId="16" xfId="0" applyNumberFormat="1" applyFont="1" applyFill="1" applyBorder="1" applyAlignment="1" applyProtection="1">
      <alignment horizontal="left" vertical="center"/>
      <protection locked="0"/>
    </xf>
    <xf numFmtId="0" fontId="13" fillId="7" borderId="24" xfId="0" applyFont="1" applyFill="1" applyBorder="1" applyAlignment="1" applyProtection="1">
      <alignment horizontal="left" wrapText="1"/>
      <protection locked="0"/>
    </xf>
    <xf numFmtId="0" fontId="12" fillId="7" borderId="24" xfId="0" applyFont="1" applyFill="1" applyBorder="1" applyAlignment="1" applyProtection="1">
      <alignment horizontal="left" wrapText="1"/>
      <protection locked="0"/>
    </xf>
    <xf numFmtId="9" fontId="12" fillId="7" borderId="24" xfId="2" applyFont="1" applyFill="1" applyBorder="1" applyAlignment="1" applyProtection="1">
      <alignment wrapText="1"/>
      <protection locked="0"/>
    </xf>
    <xf numFmtId="0" fontId="12" fillId="7" borderId="26" xfId="0" applyFont="1" applyFill="1" applyBorder="1" applyAlignment="1" applyProtection="1">
      <alignment horizontal="left" wrapText="1"/>
      <protection locked="0"/>
    </xf>
    <xf numFmtId="167" fontId="13" fillId="0" borderId="5" xfId="0" applyNumberFormat="1" applyFont="1" applyFill="1" applyBorder="1" applyAlignment="1" applyProtection="1">
      <alignment horizontal="left" vertical="center"/>
      <protection locked="0"/>
    </xf>
    <xf numFmtId="0" fontId="32" fillId="0" borderId="0" xfId="0" applyFont="1" applyFill="1" applyBorder="1" applyAlignment="1" applyProtection="1">
      <alignment horizontal="left" wrapText="1" indent="2"/>
      <protection locked="0"/>
    </xf>
    <xf numFmtId="9" fontId="2" fillId="0" borderId="0" xfId="2" applyFont="1" applyAlignment="1" applyProtection="1">
      <protection locked="0"/>
    </xf>
    <xf numFmtId="0" fontId="2" fillId="0" borderId="11" xfId="0" applyFont="1" applyBorder="1" applyProtection="1">
      <protection locked="0"/>
    </xf>
    <xf numFmtId="0" fontId="14" fillId="3" borderId="30" xfId="0" applyFont="1" applyFill="1" applyBorder="1" applyAlignment="1" applyProtection="1">
      <alignment horizontal="left" wrapText="1" indent="2"/>
      <protection locked="0"/>
    </xf>
    <xf numFmtId="0" fontId="14" fillId="3" borderId="0" xfId="0" applyFont="1" applyFill="1" applyBorder="1" applyAlignment="1" applyProtection="1">
      <alignment horizontal="left" wrapText="1" indent="2"/>
      <protection locked="0"/>
    </xf>
    <xf numFmtId="9" fontId="13" fillId="3" borderId="0" xfId="2" applyFont="1" applyFill="1" applyBorder="1" applyAlignment="1" applyProtection="1">
      <alignment wrapText="1"/>
      <protection locked="0"/>
    </xf>
    <xf numFmtId="0" fontId="14" fillId="3" borderId="11" xfId="0" applyFont="1" applyFill="1" applyBorder="1" applyAlignment="1" applyProtection="1">
      <alignment horizontal="left" wrapText="1" indent="2"/>
      <protection locked="0"/>
    </xf>
    <xf numFmtId="0" fontId="14" fillId="5" borderId="30" xfId="0" applyFont="1" applyFill="1" applyBorder="1" applyAlignment="1" applyProtection="1">
      <alignment horizontal="left" wrapText="1" indent="2"/>
      <protection locked="0"/>
    </xf>
    <xf numFmtId="0" fontId="14" fillId="5" borderId="0" xfId="0" applyFont="1" applyFill="1" applyBorder="1" applyAlignment="1" applyProtection="1">
      <alignment horizontal="left" wrapText="1" indent="2"/>
      <protection locked="0"/>
    </xf>
    <xf numFmtId="9" fontId="13" fillId="5" borderId="0" xfId="2" applyFont="1" applyFill="1" applyBorder="1" applyAlignment="1" applyProtection="1">
      <alignment wrapText="1"/>
      <protection locked="0"/>
    </xf>
    <xf numFmtId="0" fontId="14" fillId="5" borderId="11" xfId="0" applyFont="1" applyFill="1" applyBorder="1" applyAlignment="1" applyProtection="1">
      <alignment horizontal="left" wrapText="1" indent="2"/>
      <protection locked="0"/>
    </xf>
    <xf numFmtId="0" fontId="14" fillId="5" borderId="41" xfId="0" applyFont="1" applyFill="1" applyBorder="1" applyAlignment="1" applyProtection="1">
      <alignment horizontal="left" wrapText="1" indent="2"/>
      <protection locked="0"/>
    </xf>
    <xf numFmtId="0" fontId="14" fillId="5" borderId="17" xfId="0" applyFont="1" applyFill="1" applyBorder="1" applyAlignment="1" applyProtection="1">
      <alignment horizontal="left" wrapText="1" indent="2"/>
      <protection locked="0"/>
    </xf>
    <xf numFmtId="9" fontId="13" fillId="5" borderId="17" xfId="2" applyFont="1" applyFill="1" applyBorder="1" applyAlignment="1" applyProtection="1">
      <alignment wrapText="1"/>
      <protection locked="0"/>
    </xf>
    <xf numFmtId="0" fontId="14" fillId="5" borderId="18" xfId="0" applyFont="1" applyFill="1" applyBorder="1" applyAlignment="1" applyProtection="1">
      <alignment horizontal="left" wrapText="1" indent="2"/>
      <protection locked="0"/>
    </xf>
    <xf numFmtId="167" fontId="13" fillId="0" borderId="16" xfId="0" applyNumberFormat="1" applyFont="1" applyBorder="1" applyAlignment="1" applyProtection="1">
      <alignment horizontal="left" vertical="center"/>
      <protection locked="0"/>
    </xf>
    <xf numFmtId="167" fontId="13" fillId="0" borderId="5" xfId="0" applyNumberFormat="1" applyFont="1" applyBorder="1" applyAlignment="1" applyProtection="1">
      <alignment horizontal="left" vertical="center"/>
      <protection locked="0"/>
    </xf>
    <xf numFmtId="9" fontId="13" fillId="7" borderId="24" xfId="2" applyFont="1" applyFill="1" applyBorder="1" applyAlignment="1" applyProtection="1">
      <alignment wrapText="1"/>
      <protection locked="0"/>
    </xf>
    <xf numFmtId="0" fontId="13" fillId="7" borderId="26" xfId="0" applyFont="1" applyFill="1" applyBorder="1" applyAlignment="1" applyProtection="1">
      <alignment horizontal="left" wrapText="1"/>
      <protection locked="0"/>
    </xf>
    <xf numFmtId="0" fontId="13" fillId="7" borderId="17" xfId="0" applyFont="1" applyFill="1" applyBorder="1" applyAlignment="1" applyProtection="1">
      <alignment horizontal="left" wrapText="1"/>
      <protection locked="0"/>
    </xf>
    <xf numFmtId="9" fontId="13" fillId="7" borderId="17" xfId="2" applyFont="1" applyFill="1" applyBorder="1" applyAlignment="1" applyProtection="1">
      <alignment wrapText="1"/>
      <protection locked="0"/>
    </xf>
    <xf numFmtId="0" fontId="13" fillId="7" borderId="18" xfId="0" applyFont="1" applyFill="1" applyBorder="1" applyAlignment="1" applyProtection="1">
      <alignment horizontal="left" wrapText="1"/>
      <protection locked="0"/>
    </xf>
    <xf numFmtId="167" fontId="13" fillId="0" borderId="6" xfId="0" applyNumberFormat="1" applyFont="1" applyBorder="1" applyAlignment="1" applyProtection="1">
      <alignment horizontal="left" vertical="center"/>
      <protection locked="0"/>
    </xf>
    <xf numFmtId="0" fontId="14" fillId="5" borderId="39" xfId="0" applyFont="1" applyFill="1" applyBorder="1" applyAlignment="1" applyProtection="1">
      <alignment horizontal="left" wrapText="1" indent="2"/>
      <protection locked="0"/>
    </xf>
    <xf numFmtId="0" fontId="14" fillId="5" borderId="38" xfId="0" applyFont="1" applyFill="1" applyBorder="1" applyAlignment="1" applyProtection="1">
      <alignment horizontal="left" wrapText="1" indent="2"/>
      <protection locked="0"/>
    </xf>
    <xf numFmtId="9" fontId="13" fillId="5" borderId="38" xfId="2" applyFont="1" applyFill="1" applyBorder="1" applyAlignment="1" applyProtection="1">
      <alignment wrapText="1"/>
      <protection locked="0"/>
    </xf>
    <xf numFmtId="0" fontId="14" fillId="5" borderId="40" xfId="0" applyFont="1" applyFill="1" applyBorder="1" applyAlignment="1" applyProtection="1">
      <alignment horizontal="left" wrapText="1" indent="2"/>
      <protection locked="0"/>
    </xf>
    <xf numFmtId="9" fontId="24" fillId="8" borderId="3" xfId="2" applyFont="1" applyFill="1" applyBorder="1" applyAlignment="1" applyProtection="1">
      <alignment horizontal="left" vertical="center" wrapText="1"/>
    </xf>
    <xf numFmtId="0" fontId="12" fillId="7" borderId="17" xfId="0" applyFont="1" applyFill="1" applyBorder="1" applyAlignment="1" applyProtection="1">
      <alignment horizontal="left" wrapText="1"/>
    </xf>
    <xf numFmtId="0" fontId="12" fillId="7" borderId="24" xfId="0" applyFont="1" applyFill="1" applyBorder="1" applyAlignment="1" applyProtection="1">
      <alignment horizontal="left" wrapText="1"/>
    </xf>
    <xf numFmtId="0" fontId="2" fillId="0" borderId="0" xfId="0" applyFont="1" applyProtection="1"/>
    <xf numFmtId="9" fontId="13" fillId="3" borderId="0" xfId="2" applyFont="1" applyFill="1" applyBorder="1" applyAlignment="1" applyProtection="1">
      <alignment wrapText="1"/>
    </xf>
    <xf numFmtId="9" fontId="13" fillId="5" borderId="0" xfId="2" applyFont="1" applyFill="1" applyBorder="1" applyAlignment="1" applyProtection="1">
      <alignment wrapText="1"/>
    </xf>
    <xf numFmtId="0" fontId="14" fillId="3" borderId="0" xfId="0" applyFont="1" applyFill="1" applyBorder="1" applyAlignment="1" applyProtection="1">
      <alignment horizontal="left" wrapText="1" indent="2"/>
    </xf>
    <xf numFmtId="0" fontId="14" fillId="5" borderId="17" xfId="0" applyFont="1" applyFill="1" applyBorder="1" applyAlignment="1" applyProtection="1">
      <alignment horizontal="left" wrapText="1" indent="2"/>
    </xf>
    <xf numFmtId="0" fontId="13" fillId="7" borderId="24" xfId="0" applyFont="1" applyFill="1" applyBorder="1" applyAlignment="1" applyProtection="1">
      <alignment horizontal="left" wrapText="1"/>
    </xf>
    <xf numFmtId="0" fontId="13" fillId="7" borderId="17" xfId="0" applyFont="1" applyFill="1" applyBorder="1" applyAlignment="1" applyProtection="1">
      <alignment horizontal="left" wrapText="1"/>
    </xf>
    <xf numFmtId="0" fontId="14" fillId="5" borderId="38" xfId="0" applyFont="1" applyFill="1" applyBorder="1" applyAlignment="1" applyProtection="1">
      <alignment horizontal="left" wrapText="1" indent="2"/>
    </xf>
    <xf numFmtId="14" fontId="2" fillId="3" borderId="2" xfId="0" applyNumberFormat="1" applyFont="1" applyFill="1" applyBorder="1" applyAlignment="1">
      <alignment horizontal="center" wrapText="1"/>
    </xf>
    <xf numFmtId="0" fontId="7" fillId="0" borderId="0" xfId="0" applyFont="1" applyAlignment="1" applyProtection="1">
      <alignment horizontal="left"/>
      <protection locked="0"/>
    </xf>
    <xf numFmtId="0" fontId="3" fillId="0" borderId="0" xfId="0" applyFont="1" applyAlignment="1" applyProtection="1">
      <alignment horizontal="left" wrapText="1"/>
      <protection locked="0"/>
    </xf>
    <xf numFmtId="0" fontId="34" fillId="3" borderId="45" xfId="0" applyFont="1" applyFill="1" applyBorder="1" applyAlignment="1" applyProtection="1">
      <alignment horizontal="center"/>
      <protection locked="0"/>
    </xf>
    <xf numFmtId="2" fontId="2" fillId="0" borderId="0" xfId="0" applyNumberFormat="1" applyFont="1" applyAlignment="1" applyProtection="1">
      <alignment horizontal="left" wrapText="1"/>
      <protection locked="0"/>
    </xf>
    <xf numFmtId="0" fontId="2" fillId="0" borderId="0" xfId="0" applyFont="1" applyAlignment="1" applyProtection="1">
      <alignment horizontal="left" wrapText="1"/>
      <protection locked="0"/>
    </xf>
    <xf numFmtId="0" fontId="2" fillId="0" borderId="0" xfId="0" applyFont="1" applyAlignment="1" applyProtection="1">
      <alignment horizontal="center" wrapText="1"/>
      <protection locked="0"/>
    </xf>
    <xf numFmtId="0" fontId="2" fillId="4" borderId="0" xfId="0" applyFont="1" applyFill="1" applyBorder="1" applyAlignment="1" applyProtection="1">
      <alignment horizontal="left" wrapText="1"/>
      <protection locked="0"/>
    </xf>
    <xf numFmtId="0" fontId="13" fillId="0" borderId="0" xfId="0" applyFont="1" applyAlignment="1" applyProtection="1">
      <alignment horizontal="left" wrapText="1"/>
      <protection locked="0"/>
    </xf>
    <xf numFmtId="14" fontId="3" fillId="0" borderId="0" xfId="0" applyNumberFormat="1" applyFont="1" applyAlignment="1" applyProtection="1">
      <alignment horizontal="left" wrapText="1"/>
      <protection locked="0"/>
    </xf>
    <xf numFmtId="164" fontId="2" fillId="0" borderId="0" xfId="1" applyNumberFormat="1" applyFont="1" applyAlignment="1" applyProtection="1">
      <alignment horizontal="right" wrapText="1"/>
      <protection locked="0"/>
    </xf>
    <xf numFmtId="164" fontId="3" fillId="3" borderId="3" xfId="1" applyNumberFormat="1" applyFont="1" applyFill="1" applyBorder="1" applyAlignment="1" applyProtection="1">
      <alignment horizontal="right" wrapText="1"/>
      <protection locked="0"/>
    </xf>
    <xf numFmtId="0" fontId="3" fillId="3" borderId="3" xfId="0" applyFont="1" applyFill="1" applyBorder="1" applyAlignment="1" applyProtection="1">
      <alignment horizontal="center" wrapText="1"/>
      <protection locked="0"/>
    </xf>
    <xf numFmtId="0" fontId="3" fillId="3" borderId="4" xfId="0" applyFont="1" applyFill="1" applyBorder="1" applyAlignment="1" applyProtection="1">
      <alignment horizontal="center" wrapText="1"/>
      <protection locked="0"/>
    </xf>
    <xf numFmtId="0" fontId="3" fillId="4" borderId="0" xfId="0" applyFont="1" applyFill="1" applyBorder="1" applyAlignment="1" applyProtection="1">
      <alignment horizontal="center" wrapText="1"/>
      <protection locked="0"/>
    </xf>
    <xf numFmtId="0" fontId="3" fillId="0" borderId="0" xfId="0" applyFont="1" applyAlignment="1" applyProtection="1">
      <alignment horizontal="center" wrapText="1"/>
      <protection locked="0"/>
    </xf>
    <xf numFmtId="14" fontId="25" fillId="3" borderId="3" xfId="1" applyNumberFormat="1" applyFont="1" applyFill="1" applyBorder="1" applyAlignment="1" applyProtection="1">
      <alignment horizontal="right" wrapText="1"/>
      <protection locked="0"/>
    </xf>
    <xf numFmtId="14" fontId="2" fillId="3" borderId="3" xfId="0" applyNumberFormat="1" applyFont="1" applyFill="1" applyBorder="1" applyAlignment="1" applyProtection="1">
      <alignment horizontal="center" wrapText="1"/>
      <protection locked="0"/>
    </xf>
    <xf numFmtId="14" fontId="2" fillId="3" borderId="4"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wrapText="1"/>
      <protection locked="0"/>
    </xf>
    <xf numFmtId="0" fontId="7" fillId="0" borderId="0" xfId="0" applyFont="1" applyAlignment="1" applyProtection="1">
      <alignment horizontal="left" wrapText="1"/>
      <protection locked="0"/>
    </xf>
    <xf numFmtId="0" fontId="7" fillId="0" borderId="10" xfId="0" applyFont="1" applyBorder="1" applyAlignment="1" applyProtection="1">
      <alignment horizontal="left" wrapText="1"/>
    </xf>
    <xf numFmtId="0" fontId="2" fillId="4" borderId="0" xfId="0" applyFont="1" applyFill="1" applyBorder="1" applyAlignment="1" applyProtection="1">
      <alignment horizontal="left" wrapText="1"/>
    </xf>
    <xf numFmtId="0" fontId="13" fillId="0" borderId="32" xfId="0" applyFont="1" applyBorder="1" applyAlignment="1" applyProtection="1">
      <alignment horizontal="left" wrapText="1"/>
    </xf>
    <xf numFmtId="0" fontId="2" fillId="0" borderId="0" xfId="0" applyFont="1" applyAlignment="1" applyProtection="1">
      <alignment horizontal="left" wrapText="1"/>
    </xf>
    <xf numFmtId="0" fontId="16" fillId="0" borderId="11" xfId="0" applyFont="1" applyBorder="1" applyAlignment="1" applyProtection="1">
      <alignment horizontal="left" wrapText="1"/>
    </xf>
    <xf numFmtId="0" fontId="14" fillId="0" borderId="5" xfId="0" applyFont="1" applyBorder="1" applyAlignment="1" applyProtection="1">
      <alignment horizontal="left" wrapText="1" indent="3"/>
    </xf>
    <xf numFmtId="164" fontId="14" fillId="4" borderId="0" xfId="1" applyNumberFormat="1" applyFont="1" applyFill="1" applyBorder="1" applyAlignment="1" applyProtection="1">
      <alignment horizontal="right" wrapText="1"/>
    </xf>
    <xf numFmtId="0" fontId="13" fillId="4" borderId="0" xfId="0" applyFont="1" applyFill="1" applyBorder="1" applyAlignment="1" applyProtection="1">
      <alignment horizontal="left" wrapText="1"/>
    </xf>
    <xf numFmtId="0" fontId="13" fillId="0" borderId="0" xfId="0" applyFont="1" applyAlignment="1" applyProtection="1">
      <alignment horizontal="left" wrapText="1"/>
    </xf>
    <xf numFmtId="0" fontId="17" fillId="0" borderId="11" xfId="0" applyFont="1" applyBorder="1" applyAlignment="1" applyProtection="1">
      <alignment horizontal="left" wrapText="1"/>
    </xf>
    <xf numFmtId="164" fontId="13" fillId="4" borderId="0" xfId="1" applyNumberFormat="1" applyFont="1" applyFill="1" applyBorder="1" applyAlignment="1" applyProtection="1">
      <alignment horizontal="right" wrapText="1"/>
    </xf>
    <xf numFmtId="164" fontId="13" fillId="4" borderId="11" xfId="1" applyNumberFormat="1" applyFont="1" applyFill="1" applyBorder="1" applyAlignment="1" applyProtection="1">
      <alignment horizontal="right" wrapText="1"/>
    </xf>
    <xf numFmtId="0" fontId="13" fillId="0" borderId="5" xfId="0" applyFont="1" applyBorder="1" applyAlignment="1" applyProtection="1">
      <alignment horizontal="left" wrapText="1" indent="1"/>
    </xf>
    <xf numFmtId="0" fontId="12" fillId="0" borderId="8" xfId="0" applyFont="1" applyBorder="1" applyAlignment="1" applyProtection="1">
      <alignment horizontal="left" wrapText="1"/>
    </xf>
    <xf numFmtId="164" fontId="12" fillId="4" borderId="9" xfId="1" applyNumberFormat="1" applyFont="1" applyFill="1" applyBorder="1" applyAlignment="1" applyProtection="1">
      <alignment horizontal="right" wrapText="1"/>
    </xf>
    <xf numFmtId="164" fontId="13" fillId="4" borderId="0" xfId="0" applyNumberFormat="1" applyFont="1" applyFill="1" applyBorder="1" applyAlignment="1" applyProtection="1">
      <alignment horizontal="left" wrapText="1"/>
    </xf>
    <xf numFmtId="0" fontId="13" fillId="0" borderId="35" xfId="0" applyFont="1" applyBorder="1" applyAlignment="1" applyProtection="1">
      <alignment horizontal="left" wrapText="1"/>
    </xf>
    <xf numFmtId="0" fontId="7" fillId="0" borderId="0" xfId="0" applyFont="1" applyAlignment="1" applyProtection="1">
      <alignment horizontal="left" wrapText="1"/>
    </xf>
    <xf numFmtId="164" fontId="2" fillId="0" borderId="0" xfId="1" applyNumberFormat="1" applyFont="1" applyAlignment="1" applyProtection="1">
      <alignment horizontal="right" wrapText="1"/>
    </xf>
    <xf numFmtId="164" fontId="2" fillId="0" borderId="0" xfId="0" applyNumberFormat="1" applyFont="1" applyAlignment="1" applyProtection="1">
      <alignment horizontal="left" wrapText="1"/>
    </xf>
    <xf numFmtId="0" fontId="2" fillId="0" borderId="11" xfId="0" applyFont="1" applyBorder="1" applyAlignment="1" applyProtection="1">
      <alignment horizontal="left" wrapText="1"/>
    </xf>
    <xf numFmtId="0" fontId="13" fillId="0" borderId="31" xfId="0" applyFont="1" applyBorder="1" applyAlignment="1" applyProtection="1">
      <alignment horizontal="left" wrapText="1"/>
    </xf>
    <xf numFmtId="0" fontId="11" fillId="0" borderId="26" xfId="0" applyFont="1" applyBorder="1" applyAlignment="1" applyProtection="1">
      <alignment horizontal="left" wrapText="1"/>
    </xf>
    <xf numFmtId="0" fontId="3" fillId="6" borderId="25" xfId="0" applyFont="1" applyFill="1" applyBorder="1" applyAlignment="1" applyProtection="1">
      <alignment horizontal="left" wrapText="1"/>
    </xf>
    <xf numFmtId="43" fontId="25" fillId="6" borderId="24" xfId="1" applyNumberFormat="1" applyFont="1" applyFill="1" applyBorder="1" applyAlignment="1" applyProtection="1">
      <alignment horizontal="right" wrapText="1"/>
    </xf>
    <xf numFmtId="164" fontId="2" fillId="6" borderId="24" xfId="0" applyNumberFormat="1" applyFont="1" applyFill="1" applyBorder="1" applyAlignment="1" applyProtection="1">
      <alignment horizontal="left" wrapText="1"/>
    </xf>
    <xf numFmtId="164" fontId="2" fillId="6" borderId="26" xfId="0" applyNumberFormat="1" applyFont="1" applyFill="1" applyBorder="1" applyAlignment="1" applyProtection="1">
      <alignment horizontal="left" wrapText="1"/>
    </xf>
    <xf numFmtId="0" fontId="13" fillId="0" borderId="23" xfId="0" applyFont="1" applyBorder="1" applyAlignment="1" applyProtection="1">
      <alignment horizontal="left" wrapText="1"/>
    </xf>
    <xf numFmtId="0" fontId="7" fillId="0" borderId="22" xfId="0" applyFont="1" applyBorder="1" applyAlignment="1" applyProtection="1">
      <alignment horizontal="left" wrapText="1"/>
    </xf>
    <xf numFmtId="0" fontId="3" fillId="6" borderId="16" xfId="0" applyFont="1" applyFill="1" applyBorder="1" applyAlignment="1" applyProtection="1">
      <alignment horizontal="left" wrapText="1"/>
    </xf>
    <xf numFmtId="43" fontId="25" fillId="6" borderId="23" xfId="1" applyNumberFormat="1" applyFont="1" applyFill="1" applyBorder="1" applyAlignment="1" applyProtection="1">
      <alignment horizontal="right" wrapText="1"/>
    </xf>
    <xf numFmtId="164" fontId="3" fillId="6" borderId="23" xfId="0" applyNumberFormat="1" applyFont="1" applyFill="1" applyBorder="1" applyAlignment="1" applyProtection="1">
      <alignment horizontal="left" wrapText="1"/>
    </xf>
    <xf numFmtId="164" fontId="3" fillId="6" borderId="22" xfId="0" applyNumberFormat="1" applyFont="1" applyFill="1" applyBorder="1" applyAlignment="1" applyProtection="1">
      <alignment horizontal="left" wrapText="1"/>
    </xf>
    <xf numFmtId="0" fontId="3" fillId="0" borderId="0" xfId="0" applyFont="1" applyAlignment="1" applyProtection="1">
      <alignment horizontal="left" wrapText="1"/>
    </xf>
    <xf numFmtId="0" fontId="16" fillId="4" borderId="11" xfId="0" applyFont="1" applyFill="1" applyBorder="1" applyAlignment="1" applyProtection="1">
      <alignment horizontal="left" wrapText="1"/>
    </xf>
    <xf numFmtId="0" fontId="14" fillId="0" borderId="5" xfId="0" applyFont="1" applyBorder="1" applyAlignment="1" applyProtection="1">
      <alignment horizontal="left" wrapText="1" indent="1"/>
    </xf>
    <xf numFmtId="43" fontId="8" fillId="4" borderId="0" xfId="1" applyNumberFormat="1" applyFont="1" applyFill="1" applyBorder="1" applyAlignment="1" applyProtection="1">
      <alignment horizontal="right" wrapText="1"/>
    </xf>
    <xf numFmtId="164" fontId="14" fillId="4" borderId="0" xfId="0" applyNumberFormat="1" applyFont="1" applyFill="1" applyBorder="1" applyAlignment="1" applyProtection="1">
      <alignment horizontal="left" wrapText="1"/>
    </xf>
    <xf numFmtId="164" fontId="14" fillId="0" borderId="0" xfId="0" applyNumberFormat="1" applyFont="1" applyBorder="1" applyAlignment="1" applyProtection="1">
      <alignment horizontal="left" wrapText="1"/>
    </xf>
    <xf numFmtId="0" fontId="17" fillId="0" borderId="4" xfId="0" applyFont="1" applyBorder="1" applyAlignment="1" applyProtection="1">
      <alignment horizontal="left" wrapText="1"/>
    </xf>
    <xf numFmtId="0" fontId="12" fillId="0" borderId="2" xfId="0" applyFont="1" applyBorder="1" applyAlignment="1" applyProtection="1">
      <alignment horizontal="left" wrapText="1"/>
    </xf>
    <xf numFmtId="43" fontId="25" fillId="4" borderId="3" xfId="1" applyNumberFormat="1" applyFont="1" applyFill="1" applyBorder="1" applyAlignment="1" applyProtection="1">
      <alignment horizontal="right" wrapText="1"/>
    </xf>
    <xf numFmtId="164" fontId="25" fillId="4" borderId="3" xfId="1" applyNumberFormat="1" applyFont="1" applyFill="1" applyBorder="1" applyAlignment="1" applyProtection="1">
      <alignment horizontal="right" wrapText="1"/>
    </xf>
    <xf numFmtId="164" fontId="25" fillId="4" borderId="4" xfId="1" applyNumberFormat="1" applyFont="1" applyFill="1" applyBorder="1" applyAlignment="1" applyProtection="1">
      <alignment horizontal="right" wrapText="1"/>
    </xf>
    <xf numFmtId="0" fontId="25" fillId="4" borderId="0" xfId="0" applyFont="1" applyFill="1" applyBorder="1" applyAlignment="1" applyProtection="1">
      <alignment horizontal="left" wrapText="1"/>
    </xf>
    <xf numFmtId="0" fontId="25" fillId="0" borderId="32" xfId="0" applyFont="1" applyBorder="1" applyAlignment="1" applyProtection="1">
      <alignment horizontal="left" wrapText="1"/>
    </xf>
    <xf numFmtId="0" fontId="25" fillId="0" borderId="0" xfId="0" applyFont="1" applyAlignment="1" applyProtection="1">
      <alignment horizontal="left" wrapText="1"/>
    </xf>
    <xf numFmtId="0" fontId="11" fillId="4" borderId="1" xfId="0" applyFont="1" applyFill="1" applyBorder="1" applyAlignment="1" applyProtection="1">
      <alignment horizontal="left" wrapText="1"/>
    </xf>
    <xf numFmtId="0" fontId="3" fillId="6" borderId="20" xfId="0" applyFont="1" applyFill="1" applyBorder="1" applyAlignment="1" applyProtection="1">
      <alignment horizontal="left" wrapText="1"/>
    </xf>
    <xf numFmtId="43" fontId="25" fillId="6" borderId="21" xfId="1" applyNumberFormat="1" applyFont="1" applyFill="1" applyBorder="1" applyAlignment="1" applyProtection="1">
      <alignment horizontal="right" wrapText="1"/>
    </xf>
    <xf numFmtId="164" fontId="3" fillId="6" borderId="21" xfId="0" applyNumberFormat="1" applyFont="1" applyFill="1" applyBorder="1" applyAlignment="1" applyProtection="1">
      <alignment horizontal="left" wrapText="1"/>
    </xf>
    <xf numFmtId="164" fontId="3" fillId="6" borderId="19" xfId="0" applyNumberFormat="1" applyFont="1" applyFill="1" applyBorder="1" applyAlignment="1" applyProtection="1">
      <alignment horizontal="left" wrapText="1"/>
    </xf>
    <xf numFmtId="164" fontId="2" fillId="4" borderId="0" xfId="0" applyNumberFormat="1" applyFont="1" applyFill="1" applyBorder="1" applyAlignment="1" applyProtection="1">
      <alignment horizontal="left" wrapText="1"/>
    </xf>
    <xf numFmtId="0" fontId="17" fillId="4" borderId="5" xfId="0" applyFont="1" applyFill="1" applyBorder="1" applyAlignment="1" applyProtection="1">
      <alignment horizontal="left" wrapText="1"/>
    </xf>
    <xf numFmtId="0" fontId="13" fillId="6" borderId="16" xfId="0" applyFont="1" applyFill="1" applyBorder="1" applyAlignment="1" applyProtection="1">
      <alignment horizontal="left" wrapText="1" indent="3"/>
    </xf>
    <xf numFmtId="43" fontId="10" fillId="6" borderId="23" xfId="1" applyNumberFormat="1" applyFont="1" applyFill="1" applyBorder="1" applyAlignment="1" applyProtection="1">
      <alignment horizontal="right" wrapText="1"/>
    </xf>
    <xf numFmtId="164" fontId="13" fillId="6" borderId="0" xfId="1" applyNumberFormat="1" applyFont="1" applyFill="1" applyBorder="1" applyAlignment="1" applyProtection="1">
      <alignment horizontal="right" wrapText="1"/>
    </xf>
    <xf numFmtId="164" fontId="13" fillId="6" borderId="22" xfId="1" applyNumberFormat="1" applyFont="1" applyFill="1" applyBorder="1" applyAlignment="1" applyProtection="1">
      <alignment horizontal="right" wrapText="1"/>
    </xf>
    <xf numFmtId="0" fontId="13" fillId="0" borderId="32" xfId="0" applyFont="1" applyBorder="1" applyAlignment="1" applyProtection="1">
      <alignment horizontal="left" vertical="top"/>
    </xf>
    <xf numFmtId="0" fontId="16" fillId="4" borderId="5" xfId="0" applyFont="1" applyFill="1" applyBorder="1" applyAlignment="1" applyProtection="1">
      <alignment horizontal="left" wrapText="1"/>
    </xf>
    <xf numFmtId="0" fontId="13" fillId="4" borderId="32" xfId="0" applyFont="1" applyFill="1" applyBorder="1" applyAlignment="1" applyProtection="1">
      <alignment horizontal="left" vertical="top"/>
    </xf>
    <xf numFmtId="0" fontId="13" fillId="4" borderId="0" xfId="0" applyFont="1" applyFill="1" applyAlignment="1" applyProtection="1">
      <alignment horizontal="left" wrapText="1"/>
    </xf>
    <xf numFmtId="0" fontId="9" fillId="0" borderId="5" xfId="0" applyFont="1" applyBorder="1" applyAlignment="1" applyProtection="1">
      <alignment horizontal="left" wrapText="1"/>
    </xf>
    <xf numFmtId="9" fontId="8" fillId="0" borderId="11" xfId="0" applyNumberFormat="1" applyFont="1" applyBorder="1" applyAlignment="1" applyProtection="1">
      <alignment horizontal="left" wrapText="1" indent="1"/>
    </xf>
    <xf numFmtId="164" fontId="8" fillId="0" borderId="0" xfId="1" applyNumberFormat="1" applyFont="1" applyBorder="1" applyAlignment="1" applyProtection="1">
      <alignment horizontal="right" wrapText="1"/>
    </xf>
    <xf numFmtId="9" fontId="8" fillId="0" borderId="0" xfId="0" applyNumberFormat="1" applyFont="1" applyBorder="1" applyAlignment="1" applyProtection="1">
      <alignment horizontal="left" wrapText="1" indent="1"/>
    </xf>
    <xf numFmtId="43" fontId="8" fillId="4" borderId="0" xfId="2" applyNumberFormat="1" applyFont="1" applyFill="1" applyBorder="1" applyAlignment="1" applyProtection="1">
      <alignment horizontal="right" wrapText="1"/>
    </xf>
    <xf numFmtId="9" fontId="8" fillId="0" borderId="0" xfId="0" applyNumberFormat="1" applyFont="1" applyBorder="1" applyAlignment="1" applyProtection="1">
      <alignment horizontal="right" wrapText="1"/>
    </xf>
    <xf numFmtId="43" fontId="14" fillId="0" borderId="0" xfId="0" applyNumberFormat="1" applyFont="1" applyBorder="1" applyAlignment="1" applyProtection="1">
      <alignment horizontal="right" wrapText="1"/>
    </xf>
    <xf numFmtId="164" fontId="14" fillId="0" borderId="0" xfId="0" applyNumberFormat="1" applyFont="1" applyBorder="1" applyAlignment="1" applyProtection="1">
      <alignment horizontal="right" wrapText="1"/>
    </xf>
    <xf numFmtId="0" fontId="13" fillId="6" borderId="5" xfId="0" applyFont="1" applyFill="1" applyBorder="1" applyAlignment="1" applyProtection="1">
      <alignment horizontal="left" wrapText="1" indent="3"/>
    </xf>
    <xf numFmtId="43" fontId="10" fillId="6" borderId="0" xfId="1" applyNumberFormat="1" applyFont="1" applyFill="1" applyBorder="1" applyAlignment="1" applyProtection="1">
      <alignment horizontal="right" wrapText="1"/>
    </xf>
    <xf numFmtId="0" fontId="27" fillId="0" borderId="32" xfId="0" applyFont="1" applyBorder="1" applyAlignment="1" applyProtection="1">
      <alignment horizontal="left" vertical="top"/>
    </xf>
    <xf numFmtId="0" fontId="11" fillId="4" borderId="11" xfId="0" applyFont="1" applyFill="1" applyBorder="1" applyAlignment="1" applyProtection="1">
      <alignment horizontal="left" wrapText="1"/>
    </xf>
    <xf numFmtId="0" fontId="3" fillId="6" borderId="5" xfId="0" applyFont="1" applyFill="1" applyBorder="1" applyAlignment="1" applyProtection="1">
      <alignment horizontal="left" wrapText="1"/>
    </xf>
    <xf numFmtId="43" fontId="25" fillId="6" borderId="0" xfId="1" applyNumberFormat="1" applyFont="1" applyFill="1" applyBorder="1" applyAlignment="1" applyProtection="1">
      <alignment horizontal="right" wrapText="1"/>
    </xf>
    <xf numFmtId="164" fontId="12" fillId="6" borderId="0" xfId="1" applyNumberFormat="1" applyFont="1" applyFill="1" applyBorder="1" applyAlignment="1" applyProtection="1">
      <alignment horizontal="right" wrapText="1"/>
    </xf>
    <xf numFmtId="164" fontId="12" fillId="6" borderId="11" xfId="1" applyNumberFormat="1" applyFont="1" applyFill="1" applyBorder="1" applyAlignment="1" applyProtection="1">
      <alignment horizontal="right" wrapText="1"/>
    </xf>
    <xf numFmtId="164" fontId="3" fillId="4" borderId="0" xfId="1" applyNumberFormat="1" applyFont="1" applyFill="1" applyBorder="1" applyAlignment="1" applyProtection="1">
      <alignment horizontal="right" wrapText="1"/>
    </xf>
    <xf numFmtId="164" fontId="3" fillId="0" borderId="0" xfId="1" applyNumberFormat="1" applyFont="1" applyAlignment="1" applyProtection="1">
      <alignment horizontal="right" wrapText="1"/>
    </xf>
    <xf numFmtId="0" fontId="9" fillId="0" borderId="5" xfId="0" applyFont="1" applyBorder="1" applyAlignment="1" applyProtection="1">
      <alignment horizontal="right" wrapText="1"/>
    </xf>
    <xf numFmtId="9" fontId="8" fillId="0" borderId="5" xfId="0" applyNumberFormat="1" applyFont="1" applyBorder="1" applyAlignment="1" applyProtection="1">
      <alignment horizontal="left" wrapText="1" indent="1"/>
    </xf>
    <xf numFmtId="43" fontId="8" fillId="0" borderId="0" xfId="0" applyNumberFormat="1" applyFont="1" applyBorder="1" applyAlignment="1" applyProtection="1">
      <alignment horizontal="right" wrapText="1"/>
    </xf>
    <xf numFmtId="0" fontId="8" fillId="0" borderId="0" xfId="0" applyFont="1" applyBorder="1" applyAlignment="1" applyProtection="1">
      <alignment horizontal="right" wrapText="1"/>
    </xf>
    <xf numFmtId="1" fontId="8" fillId="0" borderId="0" xfId="0" applyNumberFormat="1" applyFont="1" applyBorder="1" applyAlignment="1" applyProtection="1">
      <alignment horizontal="right" wrapText="1"/>
    </xf>
    <xf numFmtId="0" fontId="16" fillId="0" borderId="5" xfId="0" applyFont="1" applyBorder="1" applyAlignment="1" applyProtection="1">
      <alignment horizontal="right" wrapText="1"/>
    </xf>
    <xf numFmtId="43" fontId="8" fillId="4" borderId="30" xfId="1" applyNumberFormat="1" applyFont="1" applyFill="1" applyBorder="1" applyAlignment="1" applyProtection="1">
      <alignment horizontal="right" wrapText="1"/>
    </xf>
    <xf numFmtId="0" fontId="24" fillId="4" borderId="20" xfId="0" applyFont="1" applyFill="1" applyBorder="1" applyAlignment="1" applyProtection="1">
      <alignment horizontal="left" wrapText="1"/>
    </xf>
    <xf numFmtId="0" fontId="12" fillId="6" borderId="20" xfId="0" applyFont="1" applyFill="1" applyBorder="1" applyAlignment="1" applyProtection="1">
      <alignment horizontal="left" wrapText="1"/>
    </xf>
    <xf numFmtId="164" fontId="12" fillId="6" borderId="21" xfId="0" applyNumberFormat="1" applyFont="1" applyFill="1" applyBorder="1" applyAlignment="1" applyProtection="1">
      <alignment horizontal="left" wrapText="1"/>
    </xf>
    <xf numFmtId="164" fontId="12" fillId="6" borderId="19" xfId="0" applyNumberFormat="1" applyFont="1" applyFill="1" applyBorder="1" applyAlignment="1" applyProtection="1">
      <alignment horizontal="left" wrapText="1"/>
    </xf>
    <xf numFmtId="0" fontId="12" fillId="4" borderId="0" xfId="0" applyFont="1" applyFill="1" applyBorder="1" applyAlignment="1" applyProtection="1">
      <alignment horizontal="left" wrapText="1"/>
    </xf>
    <xf numFmtId="0" fontId="12" fillId="0" borderId="32" xfId="0" applyFont="1" applyBorder="1" applyAlignment="1" applyProtection="1">
      <alignment horizontal="left" wrapText="1"/>
    </xf>
    <xf numFmtId="0" fontId="12" fillId="0" borderId="0" xfId="0" applyFont="1" applyAlignment="1" applyProtection="1">
      <alignment horizontal="left" wrapText="1"/>
    </xf>
    <xf numFmtId="0" fontId="13" fillId="6" borderId="25" xfId="0" applyFont="1" applyFill="1" applyBorder="1" applyAlignment="1" applyProtection="1">
      <alignment horizontal="left" wrapText="1" indent="1"/>
    </xf>
    <xf numFmtId="164" fontId="12" fillId="6" borderId="24" xfId="0" applyNumberFormat="1" applyFont="1" applyFill="1" applyBorder="1" applyAlignment="1" applyProtection="1">
      <alignment horizontal="left" wrapText="1"/>
    </xf>
    <xf numFmtId="164" fontId="12" fillId="6" borderId="26" xfId="0" applyNumberFormat="1" applyFont="1" applyFill="1" applyBorder="1" applyAlignment="1" applyProtection="1">
      <alignment horizontal="left" wrapText="1"/>
    </xf>
    <xf numFmtId="0" fontId="17" fillId="0" borderId="5" xfId="0" applyFont="1" applyBorder="1" applyAlignment="1" applyProtection="1">
      <alignment horizontal="left" wrapText="1"/>
    </xf>
    <xf numFmtId="0" fontId="13" fillId="4" borderId="5" xfId="0" applyFont="1" applyFill="1" applyBorder="1" applyAlignment="1" applyProtection="1">
      <alignment horizontal="left" wrapText="1" indent="1"/>
    </xf>
    <xf numFmtId="43" fontId="10" fillId="4" borderId="0" xfId="1" applyNumberFormat="1" applyFont="1" applyFill="1" applyBorder="1" applyAlignment="1" applyProtection="1">
      <alignment horizontal="right" wrapText="1"/>
    </xf>
    <xf numFmtId="0" fontId="13" fillId="4" borderId="0" xfId="0" applyFont="1" applyFill="1" applyBorder="1" applyAlignment="1" applyProtection="1">
      <alignment horizontal="right" wrapText="1"/>
    </xf>
    <xf numFmtId="0" fontId="13" fillId="0" borderId="0" xfId="0" applyFont="1" applyAlignment="1" applyProtection="1">
      <alignment horizontal="right" wrapText="1"/>
    </xf>
    <xf numFmtId="164" fontId="13" fillId="4" borderId="22" xfId="1" applyNumberFormat="1" applyFont="1" applyFill="1" applyBorder="1" applyAlignment="1" applyProtection="1">
      <alignment horizontal="right" wrapText="1"/>
    </xf>
    <xf numFmtId="43" fontId="10" fillId="6" borderId="24" xfId="0" applyNumberFormat="1" applyFont="1" applyFill="1" applyBorder="1" applyAlignment="1" applyProtection="1">
      <alignment horizontal="right" wrapText="1"/>
    </xf>
    <xf numFmtId="164" fontId="10" fillId="6" borderId="24" xfId="0" applyNumberFormat="1" applyFont="1" applyFill="1" applyBorder="1" applyAlignment="1" applyProtection="1">
      <alignment horizontal="right" wrapText="1"/>
    </xf>
    <xf numFmtId="0" fontId="13" fillId="0" borderId="5" xfId="0" applyFont="1" applyBorder="1" applyAlignment="1" applyProtection="1">
      <alignment horizontal="left" wrapText="1" indent="3"/>
    </xf>
    <xf numFmtId="0" fontId="16" fillId="0" borderId="5" xfId="0" applyFont="1" applyBorder="1" applyAlignment="1" applyProtection="1">
      <alignment horizontal="left" wrapText="1"/>
    </xf>
    <xf numFmtId="0" fontId="17" fillId="0" borderId="16" xfId="0" applyFont="1" applyBorder="1" applyAlignment="1" applyProtection="1">
      <alignment horizontal="left" wrapText="1"/>
    </xf>
    <xf numFmtId="0" fontId="13" fillId="6" borderId="16" xfId="0" applyFont="1" applyFill="1" applyBorder="1" applyAlignment="1" applyProtection="1">
      <alignment horizontal="left" wrapText="1" indent="1"/>
    </xf>
    <xf numFmtId="164" fontId="13" fillId="6" borderId="11" xfId="1" applyNumberFormat="1" applyFont="1" applyFill="1" applyBorder="1" applyAlignment="1" applyProtection="1">
      <alignment horizontal="right" wrapText="1"/>
    </xf>
    <xf numFmtId="0" fontId="13" fillId="6" borderId="25" xfId="0" applyFont="1" applyFill="1" applyBorder="1" applyAlignment="1" applyProtection="1">
      <alignment horizontal="left" wrapText="1"/>
    </xf>
    <xf numFmtId="43" fontId="10" fillId="6" borderId="24" xfId="1" applyNumberFormat="1" applyFont="1" applyFill="1" applyBorder="1" applyAlignment="1" applyProtection="1">
      <alignment horizontal="right" wrapText="1"/>
    </xf>
    <xf numFmtId="164" fontId="13" fillId="6" borderId="24" xfId="0" applyNumberFormat="1" applyFont="1" applyFill="1" applyBorder="1" applyAlignment="1" applyProtection="1">
      <alignment horizontal="left" wrapText="1"/>
    </xf>
    <xf numFmtId="164" fontId="13" fillId="6" borderId="26" xfId="0" applyNumberFormat="1" applyFont="1" applyFill="1" applyBorder="1" applyAlignment="1" applyProtection="1">
      <alignment horizontal="left" wrapText="1"/>
    </xf>
    <xf numFmtId="0" fontId="14" fillId="4" borderId="5" xfId="0" applyFont="1" applyFill="1" applyBorder="1" applyAlignment="1" applyProtection="1">
      <alignment horizontal="left" wrapText="1" indent="3"/>
    </xf>
    <xf numFmtId="0" fontId="27" fillId="0" borderId="32" xfId="0" applyFont="1" applyBorder="1" applyAlignment="1" applyProtection="1">
      <alignment horizontal="left" wrapText="1"/>
    </xf>
    <xf numFmtId="0" fontId="14" fillId="0" borderId="5" xfId="0" applyFont="1" applyBorder="1" applyAlignment="1" applyProtection="1">
      <alignment horizontal="left" wrapText="1" indent="5"/>
    </xf>
    <xf numFmtId="164" fontId="14" fillId="0" borderId="0" xfId="1" applyNumberFormat="1" applyFont="1" applyFill="1" applyBorder="1" applyAlignment="1" applyProtection="1">
      <alignment horizontal="right" wrapText="1"/>
    </xf>
    <xf numFmtId="164" fontId="8" fillId="4" borderId="0" xfId="1" applyNumberFormat="1" applyFont="1" applyFill="1" applyBorder="1" applyAlignment="1" applyProtection="1">
      <alignment horizontal="right" wrapText="1"/>
    </xf>
    <xf numFmtId="0" fontId="24" fillId="0" borderId="4" xfId="0" applyFont="1" applyBorder="1" applyAlignment="1" applyProtection="1">
      <alignment horizontal="left" wrapText="1"/>
    </xf>
    <xf numFmtId="0" fontId="12" fillId="6" borderId="2" xfId="0" applyFont="1" applyFill="1" applyBorder="1" applyAlignment="1" applyProtection="1">
      <alignment horizontal="left" wrapText="1"/>
    </xf>
    <xf numFmtId="43" fontId="25" fillId="6" borderId="3" xfId="1" applyNumberFormat="1" applyFont="1" applyFill="1" applyBorder="1" applyAlignment="1" applyProtection="1">
      <alignment horizontal="right" wrapText="1"/>
    </xf>
    <xf numFmtId="164" fontId="12" fillId="6" borderId="3" xfId="0" applyNumberFormat="1" applyFont="1" applyFill="1" applyBorder="1" applyAlignment="1" applyProtection="1">
      <alignment horizontal="left" wrapText="1"/>
    </xf>
    <xf numFmtId="164" fontId="12" fillId="6" borderId="4" xfId="0" applyNumberFormat="1" applyFont="1" applyFill="1" applyBorder="1" applyAlignment="1" applyProtection="1">
      <alignment horizontal="left" wrapText="1"/>
    </xf>
    <xf numFmtId="164" fontId="12" fillId="4" borderId="0" xfId="0" applyNumberFormat="1" applyFont="1" applyFill="1" applyBorder="1" applyAlignment="1" applyProtection="1">
      <alignment horizontal="left" wrapText="1"/>
    </xf>
    <xf numFmtId="0" fontId="12" fillId="6" borderId="5" xfId="0" applyFont="1" applyFill="1" applyBorder="1" applyAlignment="1" applyProtection="1">
      <alignment horizontal="left" wrapText="1"/>
    </xf>
    <xf numFmtId="164" fontId="12" fillId="6" borderId="0" xfId="0" applyNumberFormat="1" applyFont="1" applyFill="1" applyBorder="1" applyAlignment="1" applyProtection="1">
      <alignment horizontal="left" wrapText="1"/>
    </xf>
    <xf numFmtId="164" fontId="12" fillId="6" borderId="40" xfId="0" applyNumberFormat="1" applyFont="1" applyFill="1" applyBorder="1" applyAlignment="1" applyProtection="1">
      <alignment horizontal="left" wrapText="1"/>
    </xf>
    <xf numFmtId="0" fontId="17" fillId="0" borderId="12" xfId="0" applyFont="1" applyBorder="1" applyAlignment="1" applyProtection="1">
      <alignment horizontal="left" wrapText="1"/>
    </xf>
    <xf numFmtId="43" fontId="25" fillId="4" borderId="9" xfId="1" applyNumberFormat="1" applyFont="1" applyFill="1" applyBorder="1" applyAlignment="1" applyProtection="1">
      <alignment horizontal="right" wrapText="1"/>
    </xf>
    <xf numFmtId="0" fontId="13" fillId="0" borderId="33" xfId="0" applyFont="1" applyBorder="1" applyAlignment="1" applyProtection="1">
      <alignment horizontal="left" wrapText="1"/>
    </xf>
    <xf numFmtId="164" fontId="10" fillId="4" borderId="0" xfId="1" applyNumberFormat="1" applyFont="1" applyFill="1" applyBorder="1" applyAlignment="1" applyProtection="1">
      <alignment horizontal="right" wrapText="1"/>
    </xf>
    <xf numFmtId="0" fontId="13" fillId="0" borderId="0" xfId="0" applyFont="1" applyBorder="1" applyAlignment="1" applyProtection="1">
      <alignment horizontal="left" wrapText="1"/>
    </xf>
    <xf numFmtId="0" fontId="13" fillId="0" borderId="28" xfId="0" applyFont="1" applyBorder="1" applyAlignment="1" applyProtection="1">
      <alignment horizontal="left" wrapText="1"/>
    </xf>
    <xf numFmtId="0" fontId="2" fillId="0" borderId="0" xfId="0" applyFont="1" applyBorder="1" applyAlignment="1" applyProtection="1">
      <alignment horizontal="left" wrapText="1"/>
    </xf>
    <xf numFmtId="164" fontId="2" fillId="0" borderId="0" xfId="0" applyNumberFormat="1" applyFont="1" applyBorder="1" applyAlignment="1" applyProtection="1">
      <alignment horizontal="left" wrapText="1"/>
    </xf>
    <xf numFmtId="0" fontId="13" fillId="0" borderId="29" xfId="0" applyFont="1" applyBorder="1" applyAlignment="1" applyProtection="1">
      <alignment horizontal="left" wrapText="1"/>
    </xf>
    <xf numFmtId="164" fontId="25" fillId="6" borderId="24" xfId="1" applyNumberFormat="1" applyFont="1" applyFill="1" applyBorder="1" applyAlignment="1" applyProtection="1">
      <alignment horizontal="right" wrapText="1"/>
    </xf>
    <xf numFmtId="164" fontId="3" fillId="6" borderId="24" xfId="1" applyNumberFormat="1" applyFont="1" applyFill="1" applyBorder="1" applyAlignment="1" applyProtection="1">
      <alignment horizontal="right" wrapText="1"/>
    </xf>
    <xf numFmtId="164" fontId="3" fillId="6" borderId="26" xfId="1" applyNumberFormat="1" applyFont="1" applyFill="1" applyBorder="1" applyAlignment="1" applyProtection="1">
      <alignment horizontal="right" wrapText="1"/>
    </xf>
    <xf numFmtId="0" fontId="3" fillId="4" borderId="0" xfId="0" applyFont="1" applyFill="1" applyBorder="1" applyAlignment="1" applyProtection="1">
      <alignment horizontal="right" wrapText="1"/>
    </xf>
    <xf numFmtId="0" fontId="12" fillId="0" borderId="31" xfId="0" applyFont="1" applyBorder="1" applyAlignment="1" applyProtection="1">
      <alignment horizontal="left" wrapText="1"/>
    </xf>
    <xf numFmtId="0" fontId="3" fillId="0" borderId="0" xfId="0" applyFont="1" applyAlignment="1" applyProtection="1">
      <alignment horizontal="right" wrapText="1"/>
    </xf>
    <xf numFmtId="0" fontId="17" fillId="0" borderId="22" xfId="0" applyFont="1" applyBorder="1" applyAlignment="1" applyProtection="1">
      <alignment horizontal="left" wrapText="1"/>
    </xf>
    <xf numFmtId="0" fontId="13" fillId="6" borderId="25" xfId="0" applyFont="1" applyFill="1" applyBorder="1" applyAlignment="1" applyProtection="1">
      <alignment horizontal="left" wrapText="1" indent="2"/>
    </xf>
    <xf numFmtId="164" fontId="10" fillId="6" borderId="24" xfId="1" applyNumberFormat="1" applyFont="1" applyFill="1" applyBorder="1" applyAlignment="1" applyProtection="1">
      <alignment horizontal="right" wrapText="1"/>
    </xf>
    <xf numFmtId="164" fontId="13" fillId="6" borderId="24" xfId="0" applyNumberFormat="1" applyFont="1" applyFill="1" applyBorder="1" applyAlignment="1" applyProtection="1">
      <alignment horizontal="right" wrapText="1"/>
    </xf>
    <xf numFmtId="164" fontId="13" fillId="6" borderId="26" xfId="0" applyNumberFormat="1" applyFont="1" applyFill="1" applyBorder="1" applyAlignment="1" applyProtection="1">
      <alignment horizontal="right" wrapText="1"/>
    </xf>
    <xf numFmtId="0" fontId="18" fillId="0" borderId="11" xfId="0" applyFont="1" applyBorder="1" applyAlignment="1" applyProtection="1">
      <alignment horizontal="left" wrapText="1"/>
    </xf>
    <xf numFmtId="9" fontId="14" fillId="4" borderId="5" xfId="0" applyNumberFormat="1" applyFont="1" applyFill="1" applyBorder="1" applyAlignment="1" applyProtection="1">
      <alignment horizontal="left" wrapText="1" indent="1"/>
    </xf>
    <xf numFmtId="0" fontId="19" fillId="0" borderId="0" xfId="0" applyFont="1" applyAlignment="1" applyProtection="1">
      <alignment horizontal="left" wrapText="1"/>
    </xf>
    <xf numFmtId="0" fontId="28" fillId="0" borderId="11" xfId="0" applyFont="1" applyBorder="1" applyAlignment="1" applyProtection="1">
      <alignment horizontal="left" wrapText="1"/>
    </xf>
    <xf numFmtId="9" fontId="10" fillId="0" borderId="0" xfId="2" applyFont="1" applyBorder="1" applyAlignment="1" applyProtection="1">
      <alignment horizontal="right" wrapText="1"/>
    </xf>
    <xf numFmtId="0" fontId="10" fillId="0" borderId="32" xfId="0" applyFont="1" applyBorder="1" applyAlignment="1" applyProtection="1">
      <alignment horizontal="left" wrapText="1"/>
    </xf>
    <xf numFmtId="0" fontId="10" fillId="0" borderId="0" xfId="0" applyFont="1" applyAlignment="1" applyProtection="1">
      <alignment horizontal="right" wrapText="1"/>
    </xf>
    <xf numFmtId="164" fontId="8" fillId="4" borderId="30" xfId="1" applyNumberFormat="1" applyFont="1" applyFill="1" applyBorder="1" applyAlignment="1" applyProtection="1">
      <alignment horizontal="right" wrapText="1"/>
    </xf>
    <xf numFmtId="164" fontId="8" fillId="4" borderId="17" xfId="1" applyNumberFormat="1" applyFont="1" applyFill="1" applyBorder="1" applyAlignment="1" applyProtection="1">
      <alignment horizontal="right" wrapText="1"/>
    </xf>
    <xf numFmtId="0" fontId="19" fillId="4" borderId="0" xfId="0" applyFont="1" applyFill="1" applyBorder="1" applyAlignment="1" applyProtection="1">
      <alignment horizontal="right" wrapText="1"/>
    </xf>
    <xf numFmtId="0" fontId="19" fillId="0" borderId="32" xfId="0" applyFont="1" applyBorder="1" applyAlignment="1" applyProtection="1">
      <alignment horizontal="left" wrapText="1"/>
    </xf>
    <xf numFmtId="0" fontId="19" fillId="0" borderId="0" xfId="0" applyFont="1" applyAlignment="1" applyProtection="1">
      <alignment horizontal="right" wrapText="1"/>
    </xf>
    <xf numFmtId="0" fontId="10" fillId="4" borderId="0" xfId="0" applyFont="1" applyFill="1" applyBorder="1" applyAlignment="1" applyProtection="1">
      <alignment horizontal="left" wrapText="1"/>
    </xf>
    <xf numFmtId="0" fontId="10" fillId="0" borderId="0" xfId="0" applyFont="1" applyAlignment="1" applyProtection="1">
      <alignment horizontal="left" wrapText="1"/>
    </xf>
    <xf numFmtId="0" fontId="9" fillId="0" borderId="11" xfId="0" applyFont="1" applyBorder="1" applyAlignment="1" applyProtection="1">
      <alignment horizontal="left" wrapText="1"/>
    </xf>
    <xf numFmtId="166" fontId="10" fillId="0" borderId="0" xfId="2" applyNumberFormat="1" applyFont="1" applyBorder="1" applyAlignment="1" applyProtection="1">
      <alignment horizontal="right" wrapText="1"/>
    </xf>
    <xf numFmtId="0" fontId="14" fillId="0" borderId="25" xfId="0" applyFont="1" applyBorder="1" applyAlignment="1" applyProtection="1">
      <alignment horizontal="left" wrapText="1" indent="3"/>
    </xf>
    <xf numFmtId="165" fontId="8" fillId="4" borderId="24" xfId="1" applyNumberFormat="1" applyFont="1" applyFill="1" applyBorder="1" applyAlignment="1" applyProtection="1">
      <alignment horizontal="right" wrapText="1"/>
    </xf>
    <xf numFmtId="165" fontId="14" fillId="4" borderId="24" xfId="1" applyNumberFormat="1" applyFont="1" applyFill="1" applyBorder="1" applyAlignment="1" applyProtection="1">
      <alignment horizontal="right" wrapText="1"/>
    </xf>
    <xf numFmtId="164" fontId="8" fillId="4" borderId="24" xfId="1" applyNumberFormat="1" applyFont="1" applyFill="1" applyBorder="1" applyAlignment="1" applyProtection="1">
      <alignment horizontal="right" wrapText="1"/>
    </xf>
    <xf numFmtId="164" fontId="13" fillId="0" borderId="24" xfId="0" applyNumberFormat="1" applyFont="1" applyBorder="1" applyAlignment="1" applyProtection="1">
      <alignment horizontal="right" wrapText="1"/>
    </xf>
    <xf numFmtId="164" fontId="13" fillId="4" borderId="23" xfId="1" applyNumberFormat="1" applyFont="1" applyFill="1" applyBorder="1" applyAlignment="1" applyProtection="1">
      <alignment horizontal="right" wrapText="1"/>
    </xf>
    <xf numFmtId="0" fontId="16" fillId="0" borderId="15" xfId="0" applyFont="1" applyBorder="1" applyAlignment="1" applyProtection="1">
      <alignment horizontal="left" wrapText="1"/>
    </xf>
    <xf numFmtId="0" fontId="14" fillId="0" borderId="15" xfId="0" applyFont="1" applyBorder="1" applyAlignment="1" applyProtection="1">
      <alignment horizontal="left" wrapText="1" indent="3"/>
    </xf>
    <xf numFmtId="164" fontId="13" fillId="0" borderId="17" xfId="0" applyNumberFormat="1" applyFont="1" applyBorder="1" applyAlignment="1" applyProtection="1">
      <alignment horizontal="right" wrapText="1"/>
    </xf>
    <xf numFmtId="0" fontId="13" fillId="6" borderId="25" xfId="0" applyFont="1" applyFill="1" applyBorder="1" applyAlignment="1" applyProtection="1">
      <alignment horizontal="left" wrapText="1" indent="3"/>
    </xf>
    <xf numFmtId="164" fontId="10" fillId="6" borderId="42" xfId="1" applyNumberFormat="1" applyFont="1" applyFill="1" applyBorder="1" applyAlignment="1" applyProtection="1">
      <alignment horizontal="right" wrapText="1"/>
    </xf>
    <xf numFmtId="164" fontId="13" fillId="6" borderId="24" xfId="1" applyNumberFormat="1" applyFont="1" applyFill="1" applyBorder="1" applyAlignment="1" applyProtection="1">
      <alignment horizontal="right" wrapText="1"/>
    </xf>
    <xf numFmtId="0" fontId="17" fillId="4" borderId="11" xfId="0" applyFont="1" applyFill="1" applyBorder="1" applyAlignment="1" applyProtection="1">
      <alignment horizontal="left" wrapText="1"/>
    </xf>
    <xf numFmtId="0" fontId="13" fillId="4" borderId="0" xfId="0" applyFont="1" applyFill="1" applyAlignment="1" applyProtection="1">
      <alignment horizontal="right" wrapText="1"/>
    </xf>
    <xf numFmtId="0" fontId="13" fillId="4" borderId="32" xfId="0" applyFont="1" applyFill="1" applyBorder="1" applyAlignment="1" applyProtection="1">
      <alignment horizontal="left" wrapText="1"/>
    </xf>
    <xf numFmtId="0" fontId="28" fillId="4" borderId="11" xfId="0" applyFont="1" applyFill="1" applyBorder="1" applyAlignment="1" applyProtection="1">
      <alignment horizontal="left" wrapText="1"/>
    </xf>
    <xf numFmtId="0" fontId="10" fillId="4" borderId="32" xfId="0" applyFont="1" applyFill="1" applyBorder="1" applyAlignment="1" applyProtection="1">
      <alignment horizontal="left" wrapText="1"/>
    </xf>
    <xf numFmtId="0" fontId="10" fillId="4" borderId="0" xfId="0" applyFont="1" applyFill="1" applyAlignment="1" applyProtection="1">
      <alignment horizontal="right" wrapText="1"/>
    </xf>
    <xf numFmtId="9" fontId="8" fillId="0" borderId="0" xfId="2" applyFont="1" applyBorder="1" applyAlignment="1" applyProtection="1">
      <alignment horizontal="right" wrapText="1"/>
    </xf>
    <xf numFmtId="0" fontId="14" fillId="5" borderId="5" xfId="0" applyFont="1" applyFill="1" applyBorder="1" applyAlignment="1" applyProtection="1">
      <alignment horizontal="left" wrapText="1" indent="1"/>
    </xf>
    <xf numFmtId="164" fontId="10" fillId="5" borderId="0" xfId="1" applyNumberFormat="1" applyFont="1" applyFill="1" applyBorder="1" applyAlignment="1" applyProtection="1">
      <alignment horizontal="right" wrapText="1"/>
    </xf>
    <xf numFmtId="164" fontId="14" fillId="5" borderId="0" xfId="1" applyNumberFormat="1" applyFont="1" applyFill="1" applyBorder="1" applyAlignment="1" applyProtection="1">
      <alignment horizontal="right" wrapText="1"/>
    </xf>
    <xf numFmtId="0" fontId="14" fillId="5" borderId="25" xfId="0" applyFont="1" applyFill="1" applyBorder="1" applyAlignment="1" applyProtection="1">
      <alignment horizontal="left" wrapText="1" indent="1"/>
    </xf>
    <xf numFmtId="164" fontId="10" fillId="5" borderId="24" xfId="1" applyNumberFormat="1" applyFont="1" applyFill="1" applyBorder="1" applyAlignment="1" applyProtection="1">
      <alignment horizontal="right" wrapText="1"/>
    </xf>
    <xf numFmtId="164" fontId="14" fillId="5" borderId="24" xfId="1" applyNumberFormat="1" applyFont="1" applyFill="1" applyBorder="1" applyAlignment="1" applyProtection="1">
      <alignment horizontal="right" wrapText="1"/>
    </xf>
    <xf numFmtId="0" fontId="11" fillId="0" borderId="19" xfId="0" applyFont="1" applyBorder="1" applyAlignment="1" applyProtection="1">
      <alignment horizontal="left" wrapText="1"/>
    </xf>
    <xf numFmtId="164" fontId="25" fillId="6" borderId="43" xfId="1" applyNumberFormat="1" applyFont="1" applyFill="1" applyBorder="1" applyAlignment="1" applyProtection="1">
      <alignment horizontal="right" wrapText="1"/>
    </xf>
    <xf numFmtId="164" fontId="12" fillId="6" borderId="21" xfId="0" applyNumberFormat="1" applyFont="1" applyFill="1" applyBorder="1" applyAlignment="1" applyProtection="1">
      <alignment horizontal="right" wrapText="1"/>
    </xf>
    <xf numFmtId="164" fontId="12" fillId="6" borderId="19" xfId="0" applyNumberFormat="1" applyFont="1" applyFill="1" applyBorder="1" applyAlignment="1" applyProtection="1">
      <alignment horizontal="right" wrapText="1"/>
    </xf>
    <xf numFmtId="165" fontId="9" fillId="4" borderId="11" xfId="1" applyNumberFormat="1" applyFont="1" applyFill="1" applyBorder="1" applyAlignment="1" applyProtection="1">
      <alignment horizontal="left" wrapText="1"/>
    </xf>
    <xf numFmtId="165" fontId="8" fillId="4" borderId="5" xfId="1" applyNumberFormat="1" applyFont="1" applyFill="1" applyBorder="1" applyAlignment="1" applyProtection="1">
      <alignment horizontal="left" wrapText="1" indent="1"/>
    </xf>
    <xf numFmtId="165" fontId="8" fillId="4" borderId="0" xfId="1" applyNumberFormat="1" applyFont="1" applyFill="1" applyBorder="1" applyAlignment="1" applyProtection="1">
      <alignment horizontal="right" wrapText="1"/>
    </xf>
    <xf numFmtId="0" fontId="13" fillId="5" borderId="25" xfId="0" applyFont="1" applyFill="1" applyBorder="1" applyAlignment="1" applyProtection="1">
      <alignment horizontal="left" wrapText="1"/>
    </xf>
    <xf numFmtId="164" fontId="10" fillId="5" borderId="17" xfId="1" applyNumberFormat="1" applyFont="1" applyFill="1" applyBorder="1" applyAlignment="1" applyProtection="1">
      <alignment horizontal="right" wrapText="1"/>
    </xf>
    <xf numFmtId="164" fontId="13" fillId="5" borderId="17" xfId="1" applyNumberFormat="1" applyFont="1" applyFill="1" applyBorder="1" applyAlignment="1" applyProtection="1">
      <alignment horizontal="right" wrapText="1"/>
    </xf>
    <xf numFmtId="165" fontId="14" fillId="4" borderId="0" xfId="1" applyNumberFormat="1" applyFont="1" applyFill="1" applyBorder="1" applyAlignment="1" applyProtection="1">
      <alignment horizontal="right" wrapText="1"/>
    </xf>
    <xf numFmtId="0" fontId="9" fillId="0" borderId="11" xfId="0" applyFont="1" applyBorder="1" applyAlignment="1" applyProtection="1">
      <alignment horizontal="right" wrapText="1"/>
    </xf>
    <xf numFmtId="166" fontId="8" fillId="0" borderId="0" xfId="0" applyNumberFormat="1" applyFont="1" applyBorder="1" applyAlignment="1" applyProtection="1">
      <alignment horizontal="right" wrapText="1"/>
    </xf>
    <xf numFmtId="164" fontId="13" fillId="5" borderId="24" xfId="1" applyNumberFormat="1" applyFont="1" applyFill="1" applyBorder="1" applyAlignment="1" applyProtection="1">
      <alignment horizontal="right" wrapText="1"/>
    </xf>
    <xf numFmtId="9" fontId="8" fillId="4" borderId="5" xfId="0" applyNumberFormat="1" applyFont="1" applyFill="1" applyBorder="1" applyAlignment="1" applyProtection="1">
      <alignment horizontal="left" wrapText="1" indent="1"/>
    </xf>
    <xf numFmtId="0" fontId="13" fillId="6" borderId="5" xfId="0" applyFont="1" applyFill="1" applyBorder="1" applyAlignment="1" applyProtection="1">
      <alignment horizontal="left" wrapText="1"/>
    </xf>
    <xf numFmtId="164" fontId="10" fillId="6" borderId="0" xfId="1" applyNumberFormat="1" applyFont="1" applyFill="1" applyBorder="1" applyAlignment="1" applyProtection="1">
      <alignment horizontal="right" wrapText="1"/>
    </xf>
    <xf numFmtId="0" fontId="9" fillId="4" borderId="11" xfId="0" applyFont="1" applyFill="1" applyBorder="1" applyAlignment="1" applyProtection="1">
      <alignment horizontal="left" wrapText="1"/>
    </xf>
    <xf numFmtId="9" fontId="8" fillId="0" borderId="0" xfId="2" applyNumberFormat="1" applyFont="1" applyBorder="1" applyAlignment="1" applyProtection="1">
      <alignment horizontal="right" wrapText="1"/>
    </xf>
    <xf numFmtId="164" fontId="25" fillId="6" borderId="21" xfId="1" applyNumberFormat="1" applyFont="1" applyFill="1" applyBorder="1" applyAlignment="1" applyProtection="1">
      <alignment horizontal="right" wrapText="1"/>
    </xf>
    <xf numFmtId="0" fontId="13" fillId="6" borderId="11" xfId="0" applyFont="1" applyFill="1" applyBorder="1" applyAlignment="1" applyProtection="1">
      <alignment horizontal="left" wrapText="1" indent="3"/>
    </xf>
    <xf numFmtId="0" fontId="11" fillId="0" borderId="11" xfId="0" applyFont="1" applyBorder="1" applyAlignment="1" applyProtection="1">
      <alignment horizontal="left" wrapText="1"/>
    </xf>
    <xf numFmtId="164" fontId="25" fillId="6" borderId="0" xfId="1" applyNumberFormat="1" applyFont="1" applyFill="1" applyBorder="1" applyAlignment="1" applyProtection="1">
      <alignment horizontal="right" wrapText="1"/>
    </xf>
    <xf numFmtId="0" fontId="12" fillId="0" borderId="0" xfId="0" applyFont="1" applyBorder="1" applyAlignment="1" applyProtection="1">
      <alignment horizontal="right" wrapText="1"/>
    </xf>
    <xf numFmtId="0" fontId="2" fillId="0" borderId="0" xfId="0" applyFont="1" applyAlignment="1" applyProtection="1">
      <alignment horizontal="right" wrapText="1"/>
    </xf>
    <xf numFmtId="0" fontId="11" fillId="0" borderId="12" xfId="0" applyFont="1" applyBorder="1" applyAlignment="1" applyProtection="1">
      <alignment horizontal="left" wrapText="1"/>
    </xf>
    <xf numFmtId="164" fontId="25" fillId="4" borderId="9" xfId="1" applyNumberFormat="1" applyFont="1" applyFill="1" applyBorder="1" applyAlignment="1" applyProtection="1">
      <alignment horizontal="right" wrapText="1"/>
    </xf>
    <xf numFmtId="164" fontId="12" fillId="0" borderId="9" xfId="0" applyNumberFormat="1" applyFont="1" applyBorder="1" applyAlignment="1" applyProtection="1">
      <alignment horizontal="right" wrapText="1"/>
    </xf>
    <xf numFmtId="164" fontId="12" fillId="6" borderId="0" xfId="0" applyNumberFormat="1" applyFont="1" applyFill="1" applyBorder="1" applyAlignment="1" applyProtection="1">
      <alignment horizontal="right" wrapText="1"/>
    </xf>
    <xf numFmtId="164" fontId="12" fillId="6" borderId="11" xfId="0" applyNumberFormat="1" applyFont="1" applyFill="1" applyBorder="1" applyAlignment="1" applyProtection="1">
      <alignment horizontal="right" wrapText="1"/>
    </xf>
    <xf numFmtId="0" fontId="2" fillId="6" borderId="7" xfId="0" applyFont="1" applyFill="1" applyBorder="1" applyAlignment="1" applyProtection="1">
      <alignment horizontal="left" wrapText="1"/>
    </xf>
    <xf numFmtId="164" fontId="10" fillId="6" borderId="7" xfId="1" applyNumberFormat="1" applyFont="1" applyFill="1" applyBorder="1" applyAlignment="1" applyProtection="1">
      <alignment horizontal="right" wrapText="1"/>
    </xf>
    <xf numFmtId="164" fontId="2" fillId="6" borderId="7" xfId="0" applyNumberFormat="1" applyFont="1" applyFill="1" applyBorder="1" applyAlignment="1" applyProtection="1">
      <alignment horizontal="left" wrapText="1"/>
    </xf>
    <xf numFmtId="164" fontId="2" fillId="6" borderId="7" xfId="2" applyNumberFormat="1" applyFont="1" applyFill="1" applyBorder="1" applyAlignment="1" applyProtection="1">
      <alignment horizontal="left" wrapText="1"/>
    </xf>
    <xf numFmtId="164" fontId="2" fillId="6" borderId="10" xfId="2" applyNumberFormat="1" applyFont="1" applyFill="1" applyBorder="1" applyAlignment="1" applyProtection="1">
      <alignment horizontal="left" wrapText="1"/>
    </xf>
    <xf numFmtId="0" fontId="8" fillId="0" borderId="0" xfId="0" applyFont="1" applyAlignment="1" applyProtection="1">
      <alignment horizontal="left" wrapText="1"/>
    </xf>
    <xf numFmtId="164" fontId="8" fillId="0" borderId="0" xfId="1" applyNumberFormat="1" applyFont="1" applyAlignment="1" applyProtection="1">
      <alignment horizontal="right" wrapText="1"/>
    </xf>
    <xf numFmtId="9" fontId="8" fillId="0" borderId="0" xfId="2" applyFont="1" applyAlignment="1" applyProtection="1">
      <alignment horizontal="right" wrapText="1"/>
    </xf>
    <xf numFmtId="0" fontId="13" fillId="6" borderId="7" xfId="0" applyFont="1" applyFill="1" applyBorder="1" applyAlignment="1" applyProtection="1">
      <alignment horizontal="left" wrapText="1"/>
    </xf>
    <xf numFmtId="10" fontId="8" fillId="0" borderId="0" xfId="2" applyNumberFormat="1" applyFont="1" applyAlignment="1" applyProtection="1">
      <alignment horizontal="right" wrapText="1"/>
    </xf>
    <xf numFmtId="9" fontId="8" fillId="0" borderId="0" xfId="0" applyNumberFormat="1" applyFont="1" applyAlignment="1" applyProtection="1">
      <alignment horizontal="right" wrapText="1"/>
    </xf>
    <xf numFmtId="0" fontId="2" fillId="0" borderId="27" xfId="0" applyFont="1" applyBorder="1" applyAlignment="1" applyProtection="1">
      <alignment horizontal="left" wrapText="1"/>
    </xf>
    <xf numFmtId="164" fontId="2" fillId="0" borderId="23" xfId="1" applyNumberFormat="1" applyFont="1" applyBorder="1" applyAlignment="1" applyProtection="1">
      <alignment horizontal="right" wrapText="1"/>
    </xf>
    <xf numFmtId="164" fontId="2" fillId="0" borderId="23" xfId="0" applyNumberFormat="1" applyFont="1" applyBorder="1" applyAlignment="1" applyProtection="1">
      <alignment horizontal="left" wrapText="1"/>
    </xf>
    <xf numFmtId="164" fontId="2" fillId="0" borderId="0" xfId="1" applyNumberFormat="1" applyFont="1" applyBorder="1" applyAlignment="1" applyProtection="1">
      <alignment horizontal="right" wrapText="1"/>
    </xf>
    <xf numFmtId="0" fontId="28" fillId="0" borderId="0" xfId="0" applyFont="1" applyAlignment="1" applyProtection="1">
      <alignment horizontal="left" wrapText="1"/>
    </xf>
    <xf numFmtId="0" fontId="10" fillId="0" borderId="30" xfId="0" applyFont="1" applyBorder="1" applyAlignment="1" applyProtection="1">
      <alignment horizontal="left" wrapText="1"/>
    </xf>
    <xf numFmtId="164" fontId="10" fillId="0" borderId="0" xfId="1" applyNumberFormat="1" applyFont="1" applyBorder="1" applyAlignment="1" applyProtection="1">
      <alignment horizontal="right" wrapText="1"/>
    </xf>
    <xf numFmtId="164" fontId="10" fillId="0" borderId="0" xfId="0" applyNumberFormat="1" applyFont="1" applyBorder="1" applyAlignment="1" applyProtection="1">
      <alignment horizontal="left" wrapText="1"/>
    </xf>
    <xf numFmtId="164" fontId="10" fillId="0" borderId="0" xfId="0" applyNumberFormat="1" applyFont="1" applyBorder="1" applyAlignment="1" applyProtection="1">
      <alignment horizontal="right" wrapText="1"/>
    </xf>
    <xf numFmtId="164" fontId="10" fillId="0" borderId="38" xfId="0" applyNumberFormat="1" applyFont="1" applyBorder="1" applyAlignment="1" applyProtection="1">
      <alignment horizontal="right" wrapText="1"/>
    </xf>
    <xf numFmtId="0" fontId="3" fillId="0" borderId="0" xfId="0" applyFont="1" applyBorder="1" applyAlignment="1" applyProtection="1">
      <alignment horizontal="left" wrapText="1"/>
    </xf>
    <xf numFmtId="0" fontId="7" fillId="0" borderId="1" xfId="0" applyFont="1" applyBorder="1" applyAlignment="1" applyProtection="1">
      <alignment horizontal="left" wrapText="1"/>
    </xf>
    <xf numFmtId="0" fontId="10" fillId="0" borderId="20" xfId="0" applyFont="1" applyBorder="1" applyAlignment="1" applyProtection="1">
      <alignment horizontal="left" wrapText="1"/>
    </xf>
    <xf numFmtId="164" fontId="2" fillId="0" borderId="21" xfId="1" applyNumberFormat="1" applyFont="1" applyBorder="1" applyAlignment="1" applyProtection="1">
      <alignment horizontal="right" wrapText="1"/>
    </xf>
    <xf numFmtId="0" fontId="2" fillId="0" borderId="21" xfId="0" applyFont="1" applyBorder="1" applyAlignment="1" applyProtection="1">
      <alignment horizontal="left"/>
    </xf>
    <xf numFmtId="0" fontId="2" fillId="0" borderId="21" xfId="0" applyFont="1" applyBorder="1" applyAlignment="1" applyProtection="1">
      <alignment horizontal="left" wrapText="1"/>
    </xf>
    <xf numFmtId="0" fontId="2" fillId="0" borderId="19" xfId="0" applyFont="1" applyBorder="1" applyAlignment="1" applyProtection="1">
      <alignment horizontal="left" wrapText="1"/>
    </xf>
    <xf numFmtId="0" fontId="7" fillId="0" borderId="5" xfId="0" applyFont="1" applyBorder="1" applyAlignment="1" applyProtection="1">
      <alignment horizontal="left" wrapText="1"/>
    </xf>
    <xf numFmtId="0" fontId="10" fillId="0" borderId="11" xfId="0" applyFont="1" applyBorder="1" applyAlignment="1" applyProtection="1">
      <alignment horizontal="left" wrapText="1"/>
    </xf>
    <xf numFmtId="0" fontId="2" fillId="0" borderId="0" xfId="0" applyFont="1" applyBorder="1" applyAlignment="1" applyProtection="1">
      <alignment horizontal="left"/>
    </xf>
    <xf numFmtId="0" fontId="10" fillId="0" borderId="11" xfId="0" applyFont="1" applyBorder="1" applyAlignment="1" applyProtection="1">
      <alignment horizontal="left" wrapText="1" indent="2"/>
    </xf>
    <xf numFmtId="0" fontId="10" fillId="0" borderId="15" xfId="0" applyFont="1" applyBorder="1" applyAlignment="1" applyProtection="1">
      <alignment horizontal="left" wrapText="1" indent="2"/>
    </xf>
    <xf numFmtId="164" fontId="2" fillId="0" borderId="17" xfId="1" applyNumberFormat="1" applyFont="1" applyBorder="1" applyAlignment="1" applyProtection="1">
      <alignment horizontal="right" wrapText="1"/>
    </xf>
    <xf numFmtId="0" fontId="2" fillId="0" borderId="17" xfId="0" applyFont="1" applyBorder="1" applyAlignment="1" applyProtection="1">
      <alignment horizontal="left"/>
    </xf>
    <xf numFmtId="0" fontId="2" fillId="0" borderId="17" xfId="0" applyFont="1" applyBorder="1" applyAlignment="1" applyProtection="1">
      <alignment horizontal="left" wrapText="1"/>
    </xf>
    <xf numFmtId="0" fontId="2" fillId="0" borderId="18" xfId="0" applyFont="1" applyBorder="1" applyAlignment="1" applyProtection="1">
      <alignment horizontal="left" wrapText="1"/>
    </xf>
    <xf numFmtId="0" fontId="10" fillId="0" borderId="0" xfId="0" applyFont="1" applyBorder="1" applyAlignment="1" applyProtection="1">
      <alignment horizontal="right" wrapText="1"/>
    </xf>
    <xf numFmtId="0" fontId="7" fillId="0" borderId="6" xfId="0" applyFont="1" applyBorder="1" applyAlignment="1" applyProtection="1">
      <alignment horizontal="left" wrapText="1"/>
    </xf>
    <xf numFmtId="0" fontId="2" fillId="0" borderId="40" xfId="0" applyFont="1" applyBorder="1" applyAlignment="1" applyProtection="1">
      <alignment horizontal="left" wrapText="1"/>
    </xf>
    <xf numFmtId="0" fontId="10" fillId="0" borderId="38" xfId="0" applyFont="1" applyBorder="1" applyAlignment="1" applyProtection="1">
      <alignment horizontal="right" wrapText="1"/>
    </xf>
    <xf numFmtId="0" fontId="2" fillId="0" borderId="38" xfId="0" applyFont="1" applyBorder="1" applyAlignment="1" applyProtection="1">
      <alignment horizontal="left" wrapText="1"/>
    </xf>
    <xf numFmtId="0" fontId="2" fillId="5" borderId="36" xfId="0" applyFont="1" applyFill="1" applyBorder="1" applyAlignment="1" applyProtection="1">
      <alignment horizontal="left" wrapText="1"/>
    </xf>
    <xf numFmtId="0" fontId="2" fillId="5" borderId="36" xfId="0" applyFont="1" applyFill="1" applyBorder="1" applyAlignment="1" applyProtection="1">
      <alignment horizontal="right" wrapText="1"/>
    </xf>
    <xf numFmtId="164" fontId="2" fillId="5" borderId="3" xfId="1" applyNumberFormat="1" applyFont="1" applyFill="1" applyBorder="1" applyAlignment="1" applyProtection="1">
      <alignment horizontal="right" wrapText="1"/>
    </xf>
    <xf numFmtId="164" fontId="2" fillId="5" borderId="4" xfId="1" applyNumberFormat="1" applyFont="1" applyFill="1" applyBorder="1" applyAlignment="1" applyProtection="1">
      <alignment horizontal="right" wrapText="1"/>
    </xf>
    <xf numFmtId="0" fontId="21" fillId="8" borderId="2" xfId="0" applyFont="1" applyFill="1" applyBorder="1" applyAlignment="1" applyProtection="1">
      <alignment horizontal="left" vertical="center"/>
    </xf>
    <xf numFmtId="0" fontId="2" fillId="9" borderId="36" xfId="0" applyFont="1" applyFill="1" applyBorder="1" applyAlignment="1" applyProtection="1">
      <alignment horizontal="left" wrapText="1"/>
    </xf>
    <xf numFmtId="164" fontId="2" fillId="9" borderId="3" xfId="1" applyNumberFormat="1" applyFont="1" applyFill="1" applyBorder="1" applyAlignment="1" applyProtection="1">
      <alignment horizontal="right" wrapText="1"/>
    </xf>
    <xf numFmtId="164" fontId="2" fillId="9" borderId="3" xfId="0" applyNumberFormat="1" applyFont="1" applyFill="1" applyBorder="1" applyAlignment="1" applyProtection="1">
      <alignment horizontal="left" wrapText="1"/>
    </xf>
    <xf numFmtId="164" fontId="2" fillId="9" borderId="3" xfId="0" applyNumberFormat="1" applyFont="1" applyFill="1" applyBorder="1" applyAlignment="1" applyProtection="1">
      <alignment horizontal="right" wrapText="1"/>
    </xf>
    <xf numFmtId="164" fontId="2" fillId="9" borderId="4" xfId="0" applyNumberFormat="1" applyFont="1" applyFill="1" applyBorder="1" applyAlignment="1" applyProtection="1">
      <alignment horizontal="right" wrapText="1"/>
    </xf>
    <xf numFmtId="0" fontId="2" fillId="10" borderId="36" xfId="0" applyFont="1" applyFill="1" applyBorder="1" applyAlignment="1" applyProtection="1">
      <alignment horizontal="left" wrapText="1"/>
    </xf>
    <xf numFmtId="0" fontId="2" fillId="10" borderId="36" xfId="0" applyFont="1" applyFill="1" applyBorder="1" applyAlignment="1" applyProtection="1">
      <alignment horizontal="right" wrapText="1"/>
    </xf>
    <xf numFmtId="164" fontId="2" fillId="10" borderId="3" xfId="1" applyNumberFormat="1" applyFont="1" applyFill="1" applyBorder="1" applyAlignment="1" applyProtection="1">
      <alignment horizontal="right" wrapText="1"/>
    </xf>
    <xf numFmtId="164" fontId="2" fillId="10" borderId="4" xfId="1" applyNumberFormat="1" applyFont="1" applyFill="1" applyBorder="1" applyAlignment="1" applyProtection="1">
      <alignment horizontal="right" wrapText="1"/>
    </xf>
    <xf numFmtId="0" fontId="35" fillId="5" borderId="0" xfId="0" applyFont="1" applyFill="1" applyAlignment="1">
      <alignment wrapText="1"/>
    </xf>
    <xf numFmtId="0" fontId="35" fillId="3" borderId="0" xfId="0" applyFont="1" applyFill="1" applyAlignment="1">
      <alignment wrapText="1"/>
    </xf>
    <xf numFmtId="0" fontId="39" fillId="3" borderId="0" xfId="0" applyFont="1" applyFill="1" applyBorder="1" applyAlignment="1">
      <alignment wrapText="1"/>
    </xf>
    <xf numFmtId="164" fontId="35" fillId="3" borderId="0" xfId="0" applyNumberFormat="1" applyFont="1" applyFill="1" applyBorder="1" applyAlignment="1">
      <alignment horizontal="center"/>
    </xf>
    <xf numFmtId="164" fontId="35" fillId="3" borderId="0" xfId="1" applyNumberFormat="1" applyFont="1" applyFill="1" applyAlignment="1">
      <alignment horizontal="right"/>
    </xf>
    <xf numFmtId="164" fontId="35" fillId="3" borderId="9" xfId="1" applyNumberFormat="1" applyFont="1" applyFill="1" applyBorder="1" applyAlignment="1">
      <alignment horizontal="right"/>
    </xf>
    <xf numFmtId="0" fontId="39" fillId="5" borderId="0" xfId="0" applyFont="1" applyFill="1" applyBorder="1" applyAlignment="1">
      <alignment wrapText="1"/>
    </xf>
    <xf numFmtId="164" fontId="35" fillId="5" borderId="0" xfId="1" applyNumberFormat="1" applyFont="1" applyFill="1" applyBorder="1" applyAlignment="1">
      <alignment horizontal="right"/>
    </xf>
    <xf numFmtId="164" fontId="35" fillId="5" borderId="0" xfId="1" applyNumberFormat="1" applyFont="1" applyFill="1" applyAlignment="1">
      <alignment horizontal="right"/>
    </xf>
    <xf numFmtId="164" fontId="35" fillId="5" borderId="9" xfId="1" applyNumberFormat="1" applyFont="1" applyFill="1" applyBorder="1" applyAlignment="1">
      <alignment horizontal="right"/>
    </xf>
    <xf numFmtId="0" fontId="39" fillId="3" borderId="43" xfId="0" applyFont="1" applyFill="1" applyBorder="1" applyAlignment="1">
      <alignment wrapText="1"/>
    </xf>
    <xf numFmtId="0" fontId="35" fillId="3" borderId="21" xfId="0" applyFont="1" applyFill="1" applyBorder="1" applyAlignment="1">
      <alignment horizontal="center"/>
    </xf>
    <xf numFmtId="0" fontId="35" fillId="3" borderId="19" xfId="0" applyFont="1" applyFill="1" applyBorder="1" applyAlignment="1">
      <alignment horizontal="center"/>
    </xf>
    <xf numFmtId="0" fontId="39" fillId="5" borderId="48" xfId="0" applyFont="1" applyFill="1" applyBorder="1" applyAlignment="1">
      <alignment wrapText="1"/>
    </xf>
    <xf numFmtId="164" fontId="35" fillId="5" borderId="48" xfId="1" applyNumberFormat="1" applyFont="1" applyFill="1" applyBorder="1" applyAlignment="1">
      <alignment horizontal="right"/>
    </xf>
    <xf numFmtId="164" fontId="35" fillId="5" borderId="49" xfId="1" applyNumberFormat="1" applyFont="1" applyFill="1" applyBorder="1" applyAlignment="1">
      <alignment horizontal="right"/>
    </xf>
    <xf numFmtId="43" fontId="37" fillId="0" borderId="11" xfId="0" applyNumberFormat="1" applyFont="1" applyBorder="1" applyAlignment="1">
      <alignment horizontal="center"/>
    </xf>
    <xf numFmtId="0" fontId="39" fillId="5" borderId="27" xfId="0" applyFont="1" applyFill="1" applyBorder="1" applyAlignment="1">
      <alignment wrapText="1"/>
    </xf>
    <xf numFmtId="164" fontId="35" fillId="5" borderId="23" xfId="1" applyNumberFormat="1" applyFont="1" applyFill="1" applyBorder="1" applyAlignment="1">
      <alignment horizontal="right"/>
    </xf>
    <xf numFmtId="0" fontId="39" fillId="2" borderId="0" xfId="0" applyFont="1" applyFill="1" applyBorder="1" applyAlignment="1">
      <alignment wrapText="1"/>
    </xf>
    <xf numFmtId="164" fontId="35" fillId="2" borderId="0" xfId="0" applyNumberFormat="1" applyFont="1" applyFill="1" applyBorder="1" applyAlignment="1">
      <alignment horizontal="center"/>
    </xf>
    <xf numFmtId="0" fontId="41" fillId="0" borderId="4" xfId="0" applyFont="1" applyBorder="1" applyAlignment="1">
      <alignment horizontal="center"/>
    </xf>
    <xf numFmtId="0" fontId="41" fillId="0" borderId="11" xfId="0" applyFont="1" applyBorder="1" applyAlignment="1">
      <alignment horizontal="center"/>
    </xf>
    <xf numFmtId="0" fontId="37" fillId="0" borderId="11" xfId="0" applyFont="1" applyBorder="1" applyAlignment="1">
      <alignment horizontal="center"/>
    </xf>
    <xf numFmtId="164" fontId="37" fillId="0" borderId="40" xfId="0" applyNumberFormat="1" applyFont="1" applyBorder="1" applyAlignment="1">
      <alignment horizontal="center"/>
    </xf>
    <xf numFmtId="164" fontId="35" fillId="2" borderId="11" xfId="0" applyNumberFormat="1" applyFont="1" applyFill="1" applyBorder="1" applyAlignment="1">
      <alignment horizontal="center"/>
    </xf>
    <xf numFmtId="164" fontId="35" fillId="3" borderId="11" xfId="0" applyNumberFormat="1" applyFont="1" applyFill="1" applyBorder="1" applyAlignment="1">
      <alignment horizontal="center"/>
    </xf>
    <xf numFmtId="164" fontId="35" fillId="3" borderId="11" xfId="1" applyNumberFormat="1" applyFont="1" applyFill="1" applyBorder="1" applyAlignment="1">
      <alignment horizontal="right"/>
    </xf>
    <xf numFmtId="164" fontId="35" fillId="3" borderId="12" xfId="1" applyNumberFormat="1" applyFont="1" applyFill="1" applyBorder="1" applyAlignment="1">
      <alignment horizontal="right"/>
    </xf>
    <xf numFmtId="164" fontId="35" fillId="5" borderId="11" xfId="1" applyNumberFormat="1" applyFont="1" applyFill="1" applyBorder="1" applyAlignment="1">
      <alignment horizontal="right"/>
    </xf>
    <xf numFmtId="164" fontId="35" fillId="5" borderId="22" xfId="1" applyNumberFormat="1" applyFont="1" applyFill="1" applyBorder="1" applyAlignment="1">
      <alignment horizontal="right"/>
    </xf>
    <xf numFmtId="164" fontId="35" fillId="5" borderId="12" xfId="1" applyNumberFormat="1" applyFont="1" applyFill="1" applyBorder="1" applyAlignment="1">
      <alignment horizontal="right"/>
    </xf>
    <xf numFmtId="164" fontId="35" fillId="0" borderId="50" xfId="0" applyNumberFormat="1" applyFont="1" applyBorder="1"/>
    <xf numFmtId="14" fontId="0" fillId="0" borderId="0" xfId="0" applyNumberFormat="1"/>
    <xf numFmtId="0" fontId="0" fillId="0" borderId="0" xfId="0" applyAlignment="1">
      <alignment horizontal="left"/>
    </xf>
    <xf numFmtId="9" fontId="0" fillId="0" borderId="0" xfId="2" applyNumberFormat="1" applyFont="1"/>
    <xf numFmtId="0" fontId="0" fillId="0" borderId="0" xfId="0" applyAlignment="1">
      <alignment horizontal="center" vertical="center" wrapText="1"/>
    </xf>
    <xf numFmtId="164" fontId="25" fillId="6" borderId="23" xfId="1" applyNumberFormat="1" applyFont="1" applyFill="1" applyBorder="1" applyAlignment="1" applyProtection="1">
      <alignment horizontal="right" wrapText="1"/>
    </xf>
    <xf numFmtId="164" fontId="10" fillId="6" borderId="23" xfId="1" applyNumberFormat="1" applyFont="1" applyFill="1" applyBorder="1" applyAlignment="1" applyProtection="1">
      <alignment horizontal="right" wrapText="1"/>
    </xf>
    <xf numFmtId="164" fontId="25" fillId="6" borderId="3" xfId="1" applyNumberFormat="1" applyFont="1" applyFill="1" applyBorder="1" applyAlignment="1" applyProtection="1">
      <alignment horizontal="right" wrapText="1"/>
    </xf>
    <xf numFmtId="164" fontId="2" fillId="0" borderId="0" xfId="0" applyNumberFormat="1" applyFont="1" applyBorder="1" applyAlignment="1" applyProtection="1">
      <alignment horizontal="right" wrapText="1"/>
    </xf>
    <xf numFmtId="164" fontId="2" fillId="5" borderId="36" xfId="0" applyNumberFormat="1" applyFont="1" applyFill="1" applyBorder="1" applyAlignment="1" applyProtection="1">
      <alignment horizontal="right" wrapText="1"/>
    </xf>
    <xf numFmtId="164" fontId="2" fillId="10" borderId="36" xfId="0" applyNumberFormat="1" applyFont="1" applyFill="1" applyBorder="1" applyAlignment="1" applyProtection="1">
      <alignment horizontal="right" wrapText="1"/>
    </xf>
    <xf numFmtId="0" fontId="40" fillId="0" borderId="0" xfId="0" applyFont="1" applyAlignment="1">
      <alignment wrapText="1"/>
    </xf>
    <xf numFmtId="0" fontId="0" fillId="0" borderId="0" xfId="2" applyNumberFormat="1" applyFont="1"/>
    <xf numFmtId="43" fontId="0" fillId="0" borderId="0" xfId="1" applyFont="1"/>
    <xf numFmtId="9" fontId="0" fillId="0" borderId="0" xfId="2" applyNumberFormat="1" applyFont="1" applyFill="1"/>
    <xf numFmtId="0" fontId="0" fillId="0" borderId="0" xfId="0" applyFill="1"/>
    <xf numFmtId="0" fontId="0" fillId="0" borderId="0" xfId="0" applyFill="1" applyAlignment="1">
      <alignment horizontal="left"/>
    </xf>
    <xf numFmtId="164" fontId="0" fillId="0" borderId="0" xfId="1" applyNumberFormat="1" applyFont="1" applyFill="1"/>
    <xf numFmtId="0" fontId="0" fillId="0" borderId="0" xfId="0" applyAlignment="1"/>
    <xf numFmtId="164" fontId="2" fillId="0" borderId="0" xfId="0" applyNumberFormat="1" applyFont="1" applyAlignment="1" applyProtection="1">
      <alignment horizontal="left" wrapText="1"/>
      <protection locked="0"/>
    </xf>
    <xf numFmtId="164" fontId="3" fillId="3" borderId="3" xfId="0" applyNumberFormat="1" applyFont="1" applyFill="1" applyBorder="1" applyAlignment="1" applyProtection="1">
      <alignment horizontal="center" wrapText="1"/>
      <protection locked="0"/>
    </xf>
    <xf numFmtId="164" fontId="2" fillId="3" borderId="3" xfId="0" applyNumberFormat="1" applyFont="1" applyFill="1" applyBorder="1" applyAlignment="1" applyProtection="1">
      <alignment horizontal="center" wrapText="1"/>
      <protection locked="0"/>
    </xf>
    <xf numFmtId="164" fontId="2" fillId="0" borderId="21" xfId="0" applyNumberFormat="1" applyFont="1" applyBorder="1" applyAlignment="1" applyProtection="1">
      <alignment horizontal="left"/>
    </xf>
    <xf numFmtId="164" fontId="2" fillId="0" borderId="0" xfId="0" applyNumberFormat="1" applyFont="1" applyBorder="1" applyAlignment="1" applyProtection="1">
      <alignment horizontal="left"/>
    </xf>
    <xf numFmtId="164" fontId="2" fillId="0" borderId="17" xfId="0" applyNumberFormat="1" applyFont="1" applyBorder="1" applyAlignment="1" applyProtection="1">
      <alignment horizontal="left"/>
    </xf>
    <xf numFmtId="164" fontId="2" fillId="0" borderId="38" xfId="0" applyNumberFormat="1" applyFont="1" applyBorder="1" applyAlignment="1" applyProtection="1">
      <alignment horizontal="left" wrapText="1"/>
    </xf>
    <xf numFmtId="43" fontId="13" fillId="0" borderId="0" xfId="0" applyNumberFormat="1" applyFont="1" applyBorder="1" applyAlignment="1" applyProtection="1">
      <alignment horizontal="right" wrapText="1"/>
    </xf>
    <xf numFmtId="0" fontId="13" fillId="4" borderId="5" xfId="0" applyFont="1" applyFill="1" applyBorder="1" applyAlignment="1" applyProtection="1">
      <alignment horizontal="left" wrapText="1" indent="3"/>
    </xf>
    <xf numFmtId="0" fontId="13" fillId="0" borderId="5" xfId="0" applyFont="1" applyBorder="1" applyAlignment="1" applyProtection="1">
      <alignment horizontal="left" wrapText="1" indent="5"/>
    </xf>
    <xf numFmtId="164" fontId="13" fillId="0" borderId="0" xfId="1" applyNumberFormat="1" applyFont="1" applyFill="1" applyBorder="1" applyAlignment="1" applyProtection="1">
      <alignment horizontal="right" wrapText="1"/>
    </xf>
    <xf numFmtId="164" fontId="13" fillId="0" borderId="11" xfId="1" applyNumberFormat="1" applyFont="1" applyFill="1" applyBorder="1" applyAlignment="1" applyProtection="1">
      <alignment horizontal="right" wrapText="1"/>
    </xf>
    <xf numFmtId="0" fontId="13" fillId="5" borderId="5" xfId="0" applyFont="1" applyFill="1" applyBorder="1" applyAlignment="1" applyProtection="1">
      <alignment horizontal="left" wrapText="1" indent="1"/>
    </xf>
    <xf numFmtId="164" fontId="13" fillId="5" borderId="0" xfId="1" applyNumberFormat="1" applyFont="1" applyFill="1" applyBorder="1" applyAlignment="1" applyProtection="1">
      <alignment horizontal="right" wrapText="1"/>
    </xf>
    <xf numFmtId="164" fontId="13" fillId="5" borderId="11" xfId="1" applyNumberFormat="1" applyFont="1" applyFill="1" applyBorder="1" applyAlignment="1" applyProtection="1">
      <alignment horizontal="right" wrapText="1"/>
    </xf>
    <xf numFmtId="164" fontId="27" fillId="0" borderId="32" xfId="0" applyNumberFormat="1" applyFont="1" applyBorder="1" applyAlignment="1" applyProtection="1">
      <alignment horizontal="left" wrapText="1"/>
    </xf>
    <xf numFmtId="0" fontId="10" fillId="4" borderId="0" xfId="0" applyFont="1" applyFill="1" applyAlignment="1" applyProtection="1">
      <alignment horizontal="left" wrapText="1"/>
    </xf>
    <xf numFmtId="0" fontId="19" fillId="4" borderId="32" xfId="0" applyFont="1" applyFill="1" applyBorder="1" applyAlignment="1" applyProtection="1">
      <alignment horizontal="left" wrapText="1"/>
    </xf>
    <xf numFmtId="0" fontId="19" fillId="4" borderId="0" xfId="0" applyFont="1" applyFill="1" applyAlignment="1" applyProtection="1">
      <alignment horizontal="right" wrapText="1"/>
    </xf>
    <xf numFmtId="164" fontId="0" fillId="5" borderId="2" xfId="0" applyNumberFormat="1" applyFont="1" applyFill="1" applyBorder="1" applyAlignment="1" applyProtection="1">
      <alignment horizontal="left"/>
    </xf>
    <xf numFmtId="164" fontId="0" fillId="9" borderId="2" xfId="0" applyNumberFormat="1" applyFont="1" applyFill="1" applyBorder="1" applyAlignment="1" applyProtection="1">
      <alignment horizontal="left"/>
    </xf>
    <xf numFmtId="164" fontId="0" fillId="9" borderId="2" xfId="0" applyNumberFormat="1" applyFont="1" applyFill="1" applyBorder="1" applyAlignment="1" applyProtection="1">
      <alignment horizontal="left"/>
      <protection locked="0"/>
    </xf>
    <xf numFmtId="0" fontId="0" fillId="0" borderId="2" xfId="0" applyFont="1" applyBorder="1"/>
    <xf numFmtId="164" fontId="2" fillId="3" borderId="2" xfId="1" applyNumberFormat="1" applyFont="1" applyFill="1" applyBorder="1" applyAlignment="1">
      <alignment horizontal="right" wrapText="1"/>
    </xf>
    <xf numFmtId="0" fontId="2" fillId="3" borderId="2" xfId="0" applyFont="1" applyFill="1" applyBorder="1" applyAlignment="1">
      <alignment horizontal="center" wrapText="1"/>
    </xf>
    <xf numFmtId="14" fontId="2" fillId="3" borderId="2" xfId="1" applyNumberFormat="1" applyFont="1" applyFill="1" applyBorder="1" applyAlignment="1">
      <alignment horizontal="right" wrapText="1"/>
    </xf>
    <xf numFmtId="164" fontId="2" fillId="6" borderId="2" xfId="0" applyNumberFormat="1" applyFont="1" applyFill="1" applyBorder="1" applyAlignment="1">
      <alignment horizontal="left" wrapText="1"/>
    </xf>
    <xf numFmtId="164" fontId="13" fillId="4" borderId="2" xfId="0" applyNumberFormat="1" applyFont="1" applyFill="1" applyBorder="1" applyAlignment="1">
      <alignment horizontal="right" wrapText="1"/>
    </xf>
    <xf numFmtId="164" fontId="13" fillId="4" borderId="2" xfId="0" applyNumberFormat="1" applyFont="1" applyFill="1" applyBorder="1" applyAlignment="1">
      <alignment horizontal="left" wrapText="1"/>
    </xf>
    <xf numFmtId="164" fontId="13" fillId="0" borderId="2" xfId="0" applyNumberFormat="1" applyFont="1" applyBorder="1" applyAlignment="1">
      <alignment horizontal="left" wrapText="1"/>
    </xf>
    <xf numFmtId="164" fontId="0" fillId="13" borderId="37" xfId="1" applyNumberFormat="1" applyFont="1" applyFill="1" applyBorder="1" applyAlignment="1">
      <alignment horizontal="right"/>
    </xf>
    <xf numFmtId="164" fontId="0" fillId="0" borderId="51" xfId="1" applyNumberFormat="1" applyFont="1" applyBorder="1" applyAlignment="1">
      <alignment horizontal="right"/>
    </xf>
    <xf numFmtId="164" fontId="0" fillId="13" borderId="51" xfId="1" applyNumberFormat="1" applyFont="1" applyFill="1" applyBorder="1" applyAlignment="1">
      <alignment horizontal="right"/>
    </xf>
    <xf numFmtId="0" fontId="0" fillId="0" borderId="36" xfId="0" applyFont="1" applyBorder="1" applyAlignment="1">
      <alignment horizontal="right"/>
    </xf>
    <xf numFmtId="0" fontId="40" fillId="0" borderId="0" xfId="0" applyFont="1" applyAlignment="1">
      <alignment horizontal="right"/>
    </xf>
    <xf numFmtId="0" fontId="0" fillId="0" borderId="0" xfId="0" applyAlignment="1">
      <alignment horizontal="right"/>
    </xf>
    <xf numFmtId="164" fontId="10" fillId="6" borderId="2" xfId="1" applyNumberFormat="1" applyFont="1" applyFill="1" applyBorder="1" applyAlignment="1">
      <alignment horizontal="right" wrapText="1"/>
    </xf>
    <xf numFmtId="164" fontId="13" fillId="0" borderId="2" xfId="0" applyNumberFormat="1" applyFont="1" applyBorder="1" applyAlignment="1">
      <alignment horizontal="left" wrapText="1" indent="1"/>
    </xf>
    <xf numFmtId="164" fontId="10" fillId="4" borderId="2" xfId="1" applyNumberFormat="1" applyFont="1" applyFill="1" applyBorder="1" applyAlignment="1">
      <alignment horizontal="right" wrapText="1"/>
    </xf>
    <xf numFmtId="0" fontId="43" fillId="0" borderId="2" xfId="0" applyFont="1" applyBorder="1" applyAlignment="1" applyProtection="1">
      <alignment horizontal="left" wrapText="1"/>
      <protection locked="0"/>
    </xf>
    <xf numFmtId="164" fontId="44" fillId="3" borderId="2" xfId="0" applyNumberFormat="1" applyFont="1" applyFill="1" applyBorder="1" applyAlignment="1" applyProtection="1">
      <alignment horizontal="left"/>
      <protection locked="0"/>
    </xf>
    <xf numFmtId="0" fontId="10" fillId="0" borderId="0" xfId="0" applyFont="1" applyFill="1" applyBorder="1" applyAlignment="1" applyProtection="1">
      <alignment horizontal="left" wrapText="1"/>
    </xf>
    <xf numFmtId="0" fontId="13" fillId="0" borderId="32" xfId="0" applyFont="1" applyFill="1" applyBorder="1" applyAlignment="1" applyProtection="1">
      <alignment horizontal="left" wrapText="1"/>
    </xf>
    <xf numFmtId="0" fontId="10" fillId="0" borderId="0" xfId="0" applyFont="1" applyFill="1" applyAlignment="1" applyProtection="1">
      <alignment horizontal="left" wrapText="1"/>
    </xf>
    <xf numFmtId="164" fontId="10" fillId="0" borderId="0" xfId="1" applyNumberFormat="1" applyFont="1" applyFill="1" applyBorder="1" applyAlignment="1" applyProtection="1">
      <alignment horizontal="right" wrapText="1"/>
    </xf>
    <xf numFmtId="164" fontId="13" fillId="0" borderId="0" xfId="0" applyNumberFormat="1" applyFont="1" applyFill="1" applyBorder="1" applyAlignment="1" applyProtection="1">
      <alignment horizontal="right" wrapText="1"/>
    </xf>
    <xf numFmtId="164" fontId="13" fillId="0" borderId="11" xfId="0" applyNumberFormat="1" applyFont="1" applyFill="1" applyBorder="1" applyAlignment="1" applyProtection="1">
      <alignment horizontal="right" wrapText="1"/>
    </xf>
    <xf numFmtId="164" fontId="10" fillId="0" borderId="38" xfId="1" applyNumberFormat="1" applyFont="1" applyFill="1" applyBorder="1" applyAlignment="1" applyProtection="1">
      <alignment horizontal="right" wrapText="1"/>
    </xf>
    <xf numFmtId="164" fontId="13" fillId="0" borderId="38" xfId="0" applyNumberFormat="1" applyFont="1" applyFill="1" applyBorder="1" applyAlignment="1" applyProtection="1">
      <alignment horizontal="right" wrapText="1"/>
    </xf>
    <xf numFmtId="164" fontId="13" fillId="0" borderId="40" xfId="0" applyNumberFormat="1" applyFont="1" applyFill="1" applyBorder="1" applyAlignment="1" applyProtection="1">
      <alignment horizontal="right" wrapText="1"/>
    </xf>
    <xf numFmtId="164" fontId="2" fillId="0" borderId="7" xfId="1" applyNumberFormat="1" applyFont="1" applyFill="1" applyBorder="1" applyAlignment="1" applyProtection="1">
      <alignment horizontal="right" wrapText="1"/>
    </xf>
    <xf numFmtId="164" fontId="2" fillId="0" borderId="0" xfId="1" applyNumberFormat="1" applyFont="1" applyFill="1" applyBorder="1" applyAlignment="1" applyProtection="1">
      <alignment horizontal="right" wrapText="1"/>
    </xf>
    <xf numFmtId="164" fontId="12" fillId="0" borderId="9" xfId="1" applyNumberFormat="1" applyFont="1" applyFill="1" applyBorder="1" applyAlignment="1" applyProtection="1">
      <alignment horizontal="right" wrapText="1"/>
    </xf>
    <xf numFmtId="164" fontId="13" fillId="0" borderId="0" xfId="2" applyNumberFormat="1" applyFont="1" applyFill="1" applyBorder="1" applyAlignment="1" applyProtection="1">
      <alignment horizontal="right" wrapText="1"/>
    </xf>
    <xf numFmtId="164" fontId="3" fillId="0" borderId="9" xfId="1" applyNumberFormat="1" applyFont="1" applyFill="1" applyBorder="1" applyAlignment="1" applyProtection="1">
      <alignment horizontal="right" wrapText="1"/>
    </xf>
    <xf numFmtId="164" fontId="23" fillId="0" borderId="0" xfId="1" applyNumberFormat="1" applyFont="1" applyFill="1" applyAlignment="1" applyProtection="1">
      <alignment horizontal="right" wrapText="1"/>
    </xf>
    <xf numFmtId="164" fontId="2" fillId="0" borderId="0" xfId="1" applyNumberFormat="1" applyFont="1" applyFill="1" applyAlignment="1" applyProtection="1">
      <alignment horizontal="right" wrapText="1"/>
    </xf>
    <xf numFmtId="164" fontId="25" fillId="0" borderId="7" xfId="1" applyNumberFormat="1" applyFont="1" applyFill="1" applyBorder="1" applyAlignment="1" applyProtection="1">
      <alignment horizontal="right" wrapText="1"/>
    </xf>
    <xf numFmtId="164" fontId="10" fillId="0" borderId="0" xfId="2" applyNumberFormat="1" applyFont="1" applyFill="1" applyBorder="1" applyAlignment="1" applyProtection="1">
      <alignment horizontal="right" wrapText="1"/>
    </xf>
    <xf numFmtId="164" fontId="10" fillId="0" borderId="17" xfId="1" applyNumberFormat="1" applyFont="1" applyFill="1" applyBorder="1" applyAlignment="1" applyProtection="1">
      <alignment horizontal="right" wrapText="1"/>
    </xf>
    <xf numFmtId="164" fontId="10" fillId="0" borderId="30" xfId="1" applyNumberFormat="1" applyFont="1" applyFill="1" applyBorder="1" applyAlignment="1" applyProtection="1">
      <alignment horizontal="right" wrapText="1"/>
    </xf>
    <xf numFmtId="164" fontId="25" fillId="0" borderId="9" xfId="1" applyNumberFormat="1" applyFont="1" applyFill="1" applyBorder="1" applyAlignment="1" applyProtection="1">
      <alignment horizontal="right" wrapText="1"/>
    </xf>
    <xf numFmtId="164" fontId="10" fillId="0" borderId="41" xfId="1" applyNumberFormat="1" applyFont="1" applyFill="1" applyBorder="1" applyAlignment="1" applyProtection="1">
      <alignment horizontal="right" wrapText="1"/>
    </xf>
    <xf numFmtId="164" fontId="10" fillId="0" borderId="14" xfId="1" applyNumberFormat="1" applyFont="1" applyFill="1" applyBorder="1" applyAlignment="1" applyProtection="1">
      <alignment horizontal="right" wrapText="1"/>
    </xf>
    <xf numFmtId="164" fontId="2" fillId="0" borderId="0" xfId="2" applyNumberFormat="1" applyFont="1" applyFill="1" applyAlignment="1" applyProtection="1">
      <alignment horizontal="right" wrapText="1"/>
    </xf>
    <xf numFmtId="164" fontId="10" fillId="0" borderId="0" xfId="1" applyNumberFormat="1" applyFont="1" applyFill="1" applyAlignment="1" applyProtection="1">
      <alignment horizontal="right" wrapText="1"/>
    </xf>
    <xf numFmtId="164" fontId="13" fillId="0" borderId="0" xfId="1" applyNumberFormat="1" applyFont="1" applyFill="1" applyAlignment="1" applyProtection="1">
      <alignment horizontal="right" wrapText="1"/>
    </xf>
    <xf numFmtId="164" fontId="10" fillId="0" borderId="0" xfId="2" applyNumberFormat="1" applyFont="1" applyFill="1" applyAlignment="1" applyProtection="1">
      <alignment horizontal="right" wrapText="1"/>
    </xf>
    <xf numFmtId="164" fontId="2" fillId="0" borderId="9" xfId="1" applyNumberFormat="1" applyFont="1" applyFill="1" applyBorder="1" applyAlignment="1" applyProtection="1">
      <alignment horizontal="right" wrapText="1"/>
    </xf>
    <xf numFmtId="164" fontId="2" fillId="0" borderId="23" xfId="1" applyNumberFormat="1" applyFont="1" applyFill="1" applyBorder="1" applyAlignment="1" applyProtection="1">
      <alignment horizontal="right" wrapText="1"/>
    </xf>
    <xf numFmtId="164" fontId="13" fillId="0" borderId="9" xfId="1" applyNumberFormat="1" applyFont="1" applyFill="1" applyBorder="1" applyAlignment="1" applyProtection="1">
      <alignment horizontal="right" wrapText="1"/>
    </xf>
    <xf numFmtId="164" fontId="10" fillId="0" borderId="0" xfId="0" applyNumberFormat="1" applyFont="1" applyFill="1" applyBorder="1" applyAlignment="1" applyProtection="1">
      <alignment horizontal="right" wrapText="1"/>
    </xf>
    <xf numFmtId="164" fontId="10" fillId="0" borderId="38" xfId="0" applyNumberFormat="1" applyFont="1" applyFill="1" applyBorder="1" applyAlignment="1" applyProtection="1">
      <alignment horizontal="right" wrapText="1"/>
    </xf>
    <xf numFmtId="0" fontId="13" fillId="6" borderId="15" xfId="0" applyFont="1" applyFill="1" applyBorder="1" applyAlignment="1" applyProtection="1">
      <alignment horizontal="left" wrapText="1" indent="3"/>
    </xf>
    <xf numFmtId="164" fontId="10" fillId="6" borderId="41" xfId="1" applyNumberFormat="1" applyFont="1" applyFill="1" applyBorder="1" applyAlignment="1" applyProtection="1">
      <alignment horizontal="right" wrapText="1"/>
    </xf>
    <xf numFmtId="164" fontId="13" fillId="6" borderId="17" xfId="1" applyNumberFormat="1" applyFont="1" applyFill="1" applyBorder="1" applyAlignment="1" applyProtection="1">
      <alignment horizontal="right" wrapText="1"/>
    </xf>
    <xf numFmtId="164" fontId="13" fillId="6" borderId="18" xfId="1" applyNumberFormat="1" applyFont="1" applyFill="1" applyBorder="1" applyAlignment="1" applyProtection="1">
      <alignment horizontal="right" wrapText="1"/>
    </xf>
    <xf numFmtId="0" fontId="13" fillId="0" borderId="0" xfId="0" applyFont="1" applyFill="1" applyAlignment="1" applyProtection="1">
      <alignment horizontal="left" wrapText="1"/>
    </xf>
    <xf numFmtId="0" fontId="17" fillId="0" borderId="11" xfId="0" applyFont="1" applyFill="1" applyBorder="1" applyAlignment="1" applyProtection="1">
      <alignment horizontal="left" wrapText="1"/>
    </xf>
    <xf numFmtId="0" fontId="13" fillId="0" borderId="5" xfId="0" applyFont="1" applyFill="1" applyBorder="1" applyAlignment="1" applyProtection="1">
      <alignment horizontal="left" wrapText="1" indent="1"/>
    </xf>
    <xf numFmtId="0" fontId="13" fillId="0" borderId="0" xfId="0" applyFont="1" applyFill="1" applyBorder="1" applyAlignment="1" applyProtection="1">
      <alignment horizontal="left" wrapText="1"/>
    </xf>
    <xf numFmtId="164" fontId="13" fillId="0" borderId="0" xfId="0" applyNumberFormat="1" applyFont="1" applyFill="1" applyBorder="1" applyAlignment="1" applyProtection="1">
      <alignment horizontal="left" wrapText="1"/>
    </xf>
    <xf numFmtId="164" fontId="13" fillId="0" borderId="11" xfId="0" applyNumberFormat="1" applyFont="1" applyFill="1" applyBorder="1" applyAlignment="1" applyProtection="1">
      <alignment horizontal="left" wrapText="1"/>
    </xf>
    <xf numFmtId="43" fontId="13" fillId="0" borderId="0" xfId="0" applyNumberFormat="1" applyFont="1" applyFill="1" applyBorder="1" applyAlignment="1" applyProtection="1">
      <alignment horizontal="left" wrapText="1"/>
    </xf>
    <xf numFmtId="0" fontId="2" fillId="0" borderId="0" xfId="0" applyFont="1" applyFill="1" applyAlignment="1" applyProtection="1">
      <alignment horizontal="left" wrapText="1"/>
    </xf>
    <xf numFmtId="0" fontId="7" fillId="0" borderId="10" xfId="0" applyFont="1" applyFill="1" applyBorder="1" applyAlignment="1" applyProtection="1">
      <alignment horizontal="left" wrapText="1"/>
    </xf>
    <xf numFmtId="0" fontId="4" fillId="0" borderId="1" xfId="0" applyFont="1" applyFill="1" applyBorder="1" applyAlignment="1" applyProtection="1">
      <alignment horizontal="left" wrapText="1"/>
    </xf>
    <xf numFmtId="164" fontId="2" fillId="0" borderId="7" xfId="0" applyNumberFormat="1" applyFont="1" applyFill="1" applyBorder="1" applyAlignment="1" applyProtection="1">
      <alignment horizontal="left" wrapText="1"/>
    </xf>
    <xf numFmtId="0" fontId="2" fillId="0" borderId="7" xfId="0" applyFont="1" applyFill="1" applyBorder="1" applyAlignment="1" applyProtection="1">
      <alignment horizontal="left" wrapText="1"/>
    </xf>
    <xf numFmtId="0" fontId="2" fillId="0" borderId="10" xfId="0" applyFont="1" applyFill="1" applyBorder="1" applyAlignment="1" applyProtection="1">
      <alignment horizontal="left" wrapText="1"/>
    </xf>
    <xf numFmtId="0" fontId="2" fillId="0" borderId="0" xfId="0" applyFont="1" applyFill="1" applyBorder="1" applyAlignment="1" applyProtection="1">
      <alignment horizontal="left" wrapText="1"/>
    </xf>
    <xf numFmtId="0" fontId="13" fillId="0" borderId="5" xfId="0" applyFont="1" applyFill="1" applyBorder="1" applyAlignment="1" applyProtection="1">
      <alignment horizontal="left" wrapText="1" indent="3"/>
    </xf>
    <xf numFmtId="0" fontId="12" fillId="0" borderId="8" xfId="0" applyFont="1" applyFill="1" applyBorder="1" applyAlignment="1" applyProtection="1">
      <alignment horizontal="left" wrapText="1"/>
    </xf>
    <xf numFmtId="164" fontId="12" fillId="0" borderId="12" xfId="1" applyNumberFormat="1" applyFont="1" applyFill="1" applyBorder="1" applyAlignment="1" applyProtection="1">
      <alignment horizontal="right" wrapText="1"/>
    </xf>
    <xf numFmtId="0" fontId="13" fillId="0" borderId="11" xfId="0" applyFont="1" applyFill="1" applyBorder="1" applyAlignment="1" applyProtection="1">
      <alignment horizontal="left" wrapText="1"/>
    </xf>
    <xf numFmtId="0" fontId="7" fillId="0" borderId="0" xfId="0" applyFont="1" applyFill="1" applyBorder="1" applyAlignment="1" applyProtection="1">
      <alignment horizontal="left" wrapText="1"/>
    </xf>
    <xf numFmtId="168" fontId="23" fillId="0" borderId="0" xfId="0" applyNumberFormat="1" applyFont="1" applyFill="1" applyBorder="1" applyAlignment="1" applyProtection="1">
      <alignment horizontal="left" wrapText="1"/>
    </xf>
    <xf numFmtId="164" fontId="23" fillId="0" borderId="11" xfId="1" applyNumberFormat="1" applyFont="1" applyFill="1" applyBorder="1" applyAlignment="1" applyProtection="1">
      <alignment horizontal="right" wrapText="1"/>
    </xf>
    <xf numFmtId="0" fontId="7" fillId="0" borderId="0" xfId="0" applyFont="1" applyFill="1" applyAlignment="1" applyProtection="1">
      <alignment horizontal="left" wrapText="1"/>
    </xf>
    <xf numFmtId="164" fontId="2" fillId="0" borderId="14" xfId="0" applyNumberFormat="1" applyFont="1" applyFill="1" applyBorder="1" applyAlignment="1" applyProtection="1">
      <alignment horizontal="left" wrapText="1"/>
    </xf>
    <xf numFmtId="164" fontId="2" fillId="0" borderId="0" xfId="0" applyNumberFormat="1" applyFont="1" applyFill="1" applyAlignment="1" applyProtection="1">
      <alignment horizontal="left" wrapText="1"/>
    </xf>
    <xf numFmtId="164" fontId="2" fillId="0" borderId="0" xfId="2" applyNumberFormat="1" applyFont="1" applyFill="1" applyAlignment="1" applyProtection="1">
      <alignment horizontal="left" wrapText="1"/>
    </xf>
    <xf numFmtId="0" fontId="2" fillId="0" borderId="11" xfId="0" applyFont="1" applyFill="1" applyBorder="1" applyAlignment="1" applyProtection="1">
      <alignment horizontal="left" wrapText="1"/>
    </xf>
    <xf numFmtId="0" fontId="17" fillId="0" borderId="5" xfId="0" applyFont="1" applyFill="1" applyBorder="1" applyAlignment="1" applyProtection="1">
      <alignment horizontal="left" wrapText="1"/>
    </xf>
    <xf numFmtId="0" fontId="28" fillId="0" borderId="5" xfId="0" applyFont="1" applyFill="1" applyBorder="1" applyAlignment="1" applyProtection="1">
      <alignment horizontal="left" wrapText="1"/>
    </xf>
    <xf numFmtId="9" fontId="10" fillId="0" borderId="11" xfId="0" applyNumberFormat="1" applyFont="1" applyFill="1" applyBorder="1" applyAlignment="1" applyProtection="1">
      <alignment horizontal="left" wrapText="1" indent="1"/>
    </xf>
    <xf numFmtId="164" fontId="10" fillId="0" borderId="11" xfId="1" applyNumberFormat="1" applyFont="1" applyFill="1" applyBorder="1" applyAlignment="1" applyProtection="1">
      <alignment horizontal="right" wrapText="1"/>
    </xf>
    <xf numFmtId="0" fontId="10" fillId="0" borderId="0" xfId="0" applyFont="1" applyFill="1" applyBorder="1" applyAlignment="1" applyProtection="1">
      <alignment horizontal="right" wrapText="1"/>
    </xf>
    <xf numFmtId="9" fontId="10" fillId="0" borderId="0" xfId="0" applyNumberFormat="1" applyFont="1" applyFill="1" applyBorder="1" applyAlignment="1" applyProtection="1">
      <alignment horizontal="left" wrapText="1" indent="1"/>
    </xf>
    <xf numFmtId="10" fontId="10" fillId="0" borderId="0" xfId="2" applyNumberFormat="1" applyFont="1" applyFill="1" applyBorder="1" applyAlignment="1" applyProtection="1">
      <alignment horizontal="right" wrapText="1"/>
    </xf>
    <xf numFmtId="10" fontId="10" fillId="0" borderId="11" xfId="2" applyNumberFormat="1" applyFont="1" applyFill="1" applyBorder="1" applyAlignment="1" applyProtection="1">
      <alignment horizontal="right" wrapText="1"/>
    </xf>
    <xf numFmtId="9" fontId="10" fillId="0" borderId="0" xfId="0" applyNumberFormat="1" applyFont="1" applyFill="1" applyBorder="1" applyAlignment="1" applyProtection="1">
      <alignment horizontal="right" wrapText="1"/>
    </xf>
    <xf numFmtId="43" fontId="13" fillId="0" borderId="0" xfId="0" applyNumberFormat="1" applyFont="1" applyFill="1" applyBorder="1" applyAlignment="1" applyProtection="1">
      <alignment horizontal="right" wrapText="1"/>
    </xf>
    <xf numFmtId="0" fontId="13" fillId="0" borderId="0" xfId="0" applyFont="1" applyFill="1" applyBorder="1" applyAlignment="1" applyProtection="1">
      <alignment horizontal="right" wrapText="1"/>
    </xf>
    <xf numFmtId="0" fontId="13" fillId="0" borderId="15" xfId="0" applyFont="1" applyFill="1" applyBorder="1" applyAlignment="1" applyProtection="1">
      <alignment horizontal="left" wrapText="1" indent="1"/>
    </xf>
    <xf numFmtId="164" fontId="13" fillId="0" borderId="17" xfId="0" applyNumberFormat="1" applyFont="1" applyFill="1" applyBorder="1" applyAlignment="1" applyProtection="1">
      <alignment horizontal="right" wrapText="1"/>
    </xf>
    <xf numFmtId="164" fontId="13" fillId="0" borderId="18" xfId="0" applyNumberFormat="1" applyFont="1" applyFill="1" applyBorder="1" applyAlignment="1" applyProtection="1">
      <alignment horizontal="right" wrapText="1"/>
    </xf>
    <xf numFmtId="0" fontId="10" fillId="0" borderId="0" xfId="0" applyFont="1" applyFill="1" applyAlignment="1" applyProtection="1">
      <alignment horizontal="right" wrapText="1"/>
    </xf>
    <xf numFmtId="0" fontId="13" fillId="0" borderId="0" xfId="0" applyFont="1" applyFill="1" applyAlignment="1" applyProtection="1">
      <alignment horizontal="right" wrapText="1"/>
    </xf>
    <xf numFmtId="0" fontId="17" fillId="0" borderId="40" xfId="0" applyFont="1" applyFill="1" applyBorder="1" applyAlignment="1" applyProtection="1">
      <alignment horizontal="left" wrapText="1"/>
    </xf>
    <xf numFmtId="0" fontId="13" fillId="0" borderId="6" xfId="0" applyFont="1" applyFill="1" applyBorder="1" applyAlignment="1" applyProtection="1">
      <alignment horizontal="left" wrapText="1" indent="1"/>
    </xf>
    <xf numFmtId="9" fontId="13" fillId="0" borderId="5" xfId="0" applyNumberFormat="1" applyFont="1" applyFill="1" applyBorder="1" applyAlignment="1" applyProtection="1">
      <alignment horizontal="left" wrapText="1" indent="1"/>
    </xf>
    <xf numFmtId="0" fontId="28" fillId="0" borderId="5" xfId="0" applyFont="1" applyFill="1" applyBorder="1" applyAlignment="1" applyProtection="1">
      <alignment horizontal="right" wrapText="1"/>
    </xf>
    <xf numFmtId="9" fontId="10" fillId="0" borderId="5" xfId="0" applyNumberFormat="1" applyFont="1" applyFill="1" applyBorder="1" applyAlignment="1" applyProtection="1">
      <alignment horizontal="left" wrapText="1" indent="1"/>
    </xf>
    <xf numFmtId="43" fontId="10" fillId="0" borderId="0" xfId="0" applyNumberFormat="1" applyFont="1" applyFill="1" applyBorder="1" applyAlignment="1" applyProtection="1">
      <alignment horizontal="right" wrapText="1"/>
    </xf>
    <xf numFmtId="43" fontId="10" fillId="0" borderId="11" xfId="0" applyNumberFormat="1" applyFont="1" applyFill="1" applyBorder="1" applyAlignment="1" applyProtection="1">
      <alignment horizontal="right" wrapText="1"/>
    </xf>
    <xf numFmtId="1" fontId="10" fillId="0" borderId="0" xfId="0" applyNumberFormat="1" applyFont="1" applyFill="1" applyBorder="1" applyAlignment="1" applyProtection="1">
      <alignment horizontal="right" wrapText="1"/>
    </xf>
    <xf numFmtId="0" fontId="10" fillId="0" borderId="11" xfId="0" applyFont="1" applyFill="1" applyBorder="1" applyAlignment="1" applyProtection="1">
      <alignment horizontal="right" wrapText="1"/>
    </xf>
    <xf numFmtId="0" fontId="17" fillId="0" borderId="5" xfId="0" applyFont="1" applyFill="1" applyBorder="1" applyAlignment="1" applyProtection="1">
      <alignment horizontal="right" wrapText="1"/>
    </xf>
    <xf numFmtId="164" fontId="13" fillId="0" borderId="14" xfId="0" applyNumberFormat="1" applyFont="1" applyFill="1" applyBorder="1" applyAlignment="1" applyProtection="1">
      <alignment horizontal="right" wrapText="1"/>
    </xf>
    <xf numFmtId="0" fontId="17" fillId="0" borderId="18" xfId="0" applyFont="1" applyFill="1" applyBorder="1" applyAlignment="1" applyProtection="1">
      <alignment horizontal="left" wrapText="1"/>
    </xf>
    <xf numFmtId="43" fontId="13" fillId="0" borderId="0" xfId="1" applyFont="1" applyFill="1" applyBorder="1" applyAlignment="1" applyProtection="1">
      <alignment horizontal="right" wrapText="1"/>
    </xf>
    <xf numFmtId="0" fontId="17" fillId="0" borderId="12" xfId="0" applyFont="1" applyFill="1" applyBorder="1" applyAlignment="1" applyProtection="1">
      <alignment horizontal="left" wrapText="1"/>
    </xf>
    <xf numFmtId="164" fontId="13" fillId="0" borderId="5" xfId="0" applyNumberFormat="1" applyFont="1" applyFill="1" applyBorder="1" applyAlignment="1" applyProtection="1">
      <alignment horizontal="left" wrapText="1"/>
    </xf>
    <xf numFmtId="0" fontId="7" fillId="0" borderId="11" xfId="0" applyFont="1" applyFill="1" applyBorder="1" applyAlignment="1" applyProtection="1">
      <alignment horizontal="left" wrapText="1"/>
    </xf>
    <xf numFmtId="0" fontId="4" fillId="0" borderId="5" xfId="0" applyFont="1" applyFill="1" applyBorder="1" applyAlignment="1" applyProtection="1">
      <alignment horizontal="left" wrapText="1"/>
    </xf>
    <xf numFmtId="164" fontId="2" fillId="0" borderId="0" xfId="0" applyNumberFormat="1" applyFont="1" applyFill="1" applyBorder="1" applyAlignment="1" applyProtection="1">
      <alignment horizontal="left" wrapText="1"/>
    </xf>
    <xf numFmtId="0" fontId="20" fillId="0" borderId="11" xfId="0" applyFont="1" applyFill="1" applyBorder="1" applyAlignment="1" applyProtection="1">
      <alignment horizontal="left" wrapText="1"/>
    </xf>
    <xf numFmtId="0" fontId="19" fillId="0" borderId="0" xfId="0" applyFont="1" applyFill="1" applyBorder="1" applyAlignment="1" applyProtection="1">
      <alignment horizontal="left" wrapText="1"/>
    </xf>
    <xf numFmtId="0" fontId="28" fillId="0" borderId="11" xfId="0" applyFont="1" applyFill="1" applyBorder="1" applyAlignment="1" applyProtection="1">
      <alignment horizontal="left" wrapText="1"/>
    </xf>
    <xf numFmtId="43" fontId="13" fillId="0" borderId="11" xfId="0" applyNumberFormat="1" applyFont="1" applyFill="1" applyBorder="1" applyAlignment="1" applyProtection="1">
      <alignment horizontal="right" wrapText="1"/>
    </xf>
    <xf numFmtId="0" fontId="19" fillId="0" borderId="0" xfId="0" applyFont="1" applyFill="1" applyBorder="1" applyAlignment="1" applyProtection="1">
      <alignment horizontal="right" wrapText="1"/>
    </xf>
    <xf numFmtId="0" fontId="19" fillId="0" borderId="0" xfId="0" applyFont="1" applyFill="1" applyAlignment="1" applyProtection="1">
      <alignment horizontal="left" wrapText="1"/>
    </xf>
    <xf numFmtId="0" fontId="19" fillId="0" borderId="0" xfId="0" applyFont="1" applyFill="1" applyAlignment="1" applyProtection="1">
      <alignment horizontal="right" wrapText="1"/>
    </xf>
    <xf numFmtId="0" fontId="20" fillId="0" borderId="13" xfId="0" applyFont="1" applyFill="1" applyBorder="1" applyAlignment="1" applyProtection="1">
      <alignment horizontal="left" wrapText="1"/>
    </xf>
    <xf numFmtId="43" fontId="10" fillId="0" borderId="0" xfId="1" applyNumberFormat="1" applyFont="1" applyFill="1" applyBorder="1" applyAlignment="1" applyProtection="1">
      <alignment horizontal="right" wrapText="1"/>
    </xf>
    <xf numFmtId="43" fontId="10" fillId="0" borderId="11" xfId="1" applyNumberFormat="1" applyFont="1" applyFill="1" applyBorder="1" applyAlignment="1" applyProtection="1">
      <alignment horizontal="right" wrapText="1"/>
    </xf>
    <xf numFmtId="43" fontId="10" fillId="0" borderId="0" xfId="2" applyNumberFormat="1" applyFont="1" applyFill="1" applyBorder="1" applyAlignment="1" applyProtection="1">
      <alignment horizontal="right" wrapText="1"/>
    </xf>
    <xf numFmtId="0" fontId="7" fillId="0" borderId="13" xfId="0" applyFont="1" applyFill="1" applyBorder="1" applyAlignment="1" applyProtection="1">
      <alignment horizontal="left" wrapText="1"/>
    </xf>
    <xf numFmtId="0" fontId="13" fillId="0" borderId="6" xfId="0" applyFont="1" applyFill="1" applyBorder="1" applyAlignment="1" applyProtection="1">
      <alignment horizontal="left" wrapText="1" indent="3"/>
    </xf>
    <xf numFmtId="0" fontId="13" fillId="0" borderId="14" xfId="0" applyFont="1" applyFill="1" applyBorder="1" applyAlignment="1" applyProtection="1">
      <alignment horizontal="right" wrapText="1"/>
    </xf>
    <xf numFmtId="0" fontId="13" fillId="0" borderId="40" xfId="0" applyFont="1" applyFill="1" applyBorder="1" applyAlignment="1" applyProtection="1">
      <alignment horizontal="right" wrapText="1"/>
    </xf>
    <xf numFmtId="0" fontId="2" fillId="0" borderId="0" xfId="0" applyFont="1" applyFill="1" applyBorder="1" applyAlignment="1" applyProtection="1">
      <alignment horizontal="right" wrapText="1"/>
    </xf>
    <xf numFmtId="0" fontId="11" fillId="0" borderId="12" xfId="0" applyFont="1" applyFill="1" applyBorder="1" applyAlignment="1" applyProtection="1">
      <alignment horizontal="left" wrapText="1"/>
    </xf>
    <xf numFmtId="164" fontId="12" fillId="0" borderId="9" xfId="0" applyNumberFormat="1" applyFont="1" applyFill="1" applyBorder="1" applyAlignment="1" applyProtection="1">
      <alignment horizontal="right" wrapText="1"/>
    </xf>
    <xf numFmtId="164" fontId="12" fillId="0" borderId="12" xfId="0" applyNumberFormat="1" applyFont="1" applyFill="1" applyBorder="1" applyAlignment="1" applyProtection="1">
      <alignment horizontal="right" wrapText="1"/>
    </xf>
    <xf numFmtId="0" fontId="3" fillId="0" borderId="0" xfId="0" applyFont="1" applyFill="1" applyBorder="1" applyAlignment="1" applyProtection="1">
      <alignment horizontal="right" wrapText="1"/>
    </xf>
    <xf numFmtId="0" fontId="2" fillId="0" borderId="0" xfId="0" applyFont="1" applyFill="1" applyAlignment="1" applyProtection="1">
      <alignment horizontal="right" wrapText="1"/>
    </xf>
    <xf numFmtId="0" fontId="3" fillId="0" borderId="0" xfId="0" applyFont="1" applyFill="1" applyAlignment="1" applyProtection="1">
      <alignment horizontal="right" wrapText="1"/>
    </xf>
    <xf numFmtId="0" fontId="13" fillId="0" borderId="15" xfId="0" applyFont="1" applyFill="1" applyBorder="1" applyAlignment="1" applyProtection="1">
      <alignment horizontal="left" wrapText="1" indent="3"/>
    </xf>
    <xf numFmtId="0" fontId="3" fillId="0" borderId="0" xfId="0" applyFont="1" applyFill="1" applyAlignment="1" applyProtection="1">
      <alignment horizontal="left" wrapText="1"/>
    </xf>
    <xf numFmtId="10" fontId="2" fillId="0" borderId="0" xfId="2" applyNumberFormat="1" applyFont="1" applyFill="1" applyAlignment="1" applyProtection="1">
      <alignment horizontal="left" wrapText="1"/>
    </xf>
    <xf numFmtId="10" fontId="10" fillId="0" borderId="0" xfId="2" applyNumberFormat="1" applyFont="1" applyFill="1" applyAlignment="1" applyProtection="1">
      <alignment horizontal="right" wrapText="1"/>
    </xf>
    <xf numFmtId="164" fontId="13" fillId="0" borderId="0" xfId="0" applyNumberFormat="1" applyFont="1" applyFill="1" applyAlignment="1" applyProtection="1">
      <alignment horizontal="left" wrapText="1"/>
    </xf>
    <xf numFmtId="164" fontId="13" fillId="0" borderId="40" xfId="0" applyNumberFormat="1" applyFont="1" applyFill="1" applyBorder="1" applyAlignment="1" applyProtection="1">
      <alignment horizontal="left" wrapText="1"/>
    </xf>
    <xf numFmtId="0" fontId="7" fillId="0" borderId="12" xfId="0" applyFont="1" applyFill="1" applyBorder="1" applyAlignment="1" applyProtection="1">
      <alignment horizontal="left" wrapText="1"/>
    </xf>
    <xf numFmtId="0" fontId="12" fillId="0" borderId="9" xfId="0" applyFont="1" applyFill="1" applyBorder="1" applyAlignment="1" applyProtection="1">
      <alignment horizontal="left" wrapText="1"/>
    </xf>
    <xf numFmtId="164" fontId="2" fillId="0" borderId="9" xfId="0" applyNumberFormat="1" applyFont="1" applyFill="1" applyBorder="1" applyAlignment="1" applyProtection="1">
      <alignment horizontal="left" wrapText="1"/>
    </xf>
    <xf numFmtId="164" fontId="2" fillId="0" borderId="12" xfId="0" applyNumberFormat="1" applyFont="1" applyFill="1" applyBorder="1" applyAlignment="1" applyProtection="1">
      <alignment horizontal="left" wrapText="1"/>
    </xf>
    <xf numFmtId="0" fontId="2" fillId="0" borderId="27" xfId="0" applyFont="1" applyFill="1" applyBorder="1" applyAlignment="1" applyProtection="1">
      <alignment horizontal="left" wrapText="1"/>
    </xf>
    <xf numFmtId="164" fontId="2" fillId="0" borderId="23" xfId="0" applyNumberFormat="1" applyFont="1" applyFill="1" applyBorder="1" applyAlignment="1" applyProtection="1">
      <alignment horizontal="left" wrapText="1"/>
    </xf>
    <xf numFmtId="164" fontId="2" fillId="0" borderId="22" xfId="0" applyNumberFormat="1" applyFont="1" applyFill="1" applyBorder="1" applyAlignment="1" applyProtection="1">
      <alignment horizontal="left" wrapText="1"/>
    </xf>
    <xf numFmtId="0" fontId="7" fillId="0" borderId="9" xfId="0" applyFont="1" applyFill="1" applyBorder="1" applyAlignment="1" applyProtection="1">
      <alignment horizontal="left" wrapText="1"/>
    </xf>
    <xf numFmtId="0" fontId="2" fillId="0" borderId="44" xfId="0" applyFont="1" applyFill="1" applyBorder="1" applyAlignment="1" applyProtection="1">
      <alignment horizontal="left" wrapText="1"/>
    </xf>
    <xf numFmtId="43" fontId="2" fillId="0" borderId="9" xfId="0" applyNumberFormat="1" applyFont="1" applyFill="1" applyBorder="1" applyAlignment="1" applyProtection="1">
      <alignment horizontal="left" wrapText="1"/>
    </xf>
    <xf numFmtId="43" fontId="2" fillId="0" borderId="0" xfId="0" applyNumberFormat="1" applyFont="1" applyFill="1" applyBorder="1" applyAlignment="1" applyProtection="1">
      <alignment horizontal="left" wrapText="1"/>
    </xf>
    <xf numFmtId="0" fontId="3" fillId="0" borderId="37" xfId="0" applyFont="1" applyFill="1" applyBorder="1" applyAlignment="1" applyProtection="1">
      <alignment horizontal="left" wrapText="1"/>
    </xf>
    <xf numFmtId="43" fontId="2" fillId="0" borderId="7" xfId="0" applyNumberFormat="1" applyFont="1" applyFill="1" applyBorder="1" applyAlignment="1" applyProtection="1">
      <alignment horizontal="left" wrapText="1"/>
    </xf>
    <xf numFmtId="164" fontId="2" fillId="0" borderId="10" xfId="0" applyNumberFormat="1" applyFont="1" applyFill="1" applyBorder="1" applyAlignment="1" applyProtection="1">
      <alignment horizontal="left" wrapText="1"/>
    </xf>
    <xf numFmtId="0" fontId="28" fillId="0" borderId="0" xfId="0" applyFont="1" applyFill="1" applyAlignment="1" applyProtection="1">
      <alignment horizontal="left" wrapText="1"/>
    </xf>
    <xf numFmtId="0" fontId="10" fillId="0" borderId="30" xfId="0" applyFont="1" applyFill="1" applyBorder="1" applyAlignment="1" applyProtection="1">
      <alignment horizontal="left" wrapText="1"/>
    </xf>
    <xf numFmtId="164" fontId="10" fillId="0" borderId="0" xfId="0" applyNumberFormat="1" applyFont="1" applyFill="1" applyBorder="1" applyAlignment="1" applyProtection="1">
      <alignment horizontal="left" wrapText="1"/>
    </xf>
    <xf numFmtId="164" fontId="10" fillId="0" borderId="11" xfId="0" applyNumberFormat="1" applyFont="1" applyFill="1" applyBorder="1" applyAlignment="1" applyProtection="1">
      <alignment horizontal="left" wrapText="1"/>
    </xf>
    <xf numFmtId="164" fontId="10" fillId="0" borderId="0" xfId="0" applyNumberFormat="1" applyFont="1" applyFill="1" applyAlignment="1" applyProtection="1">
      <alignment horizontal="left" wrapText="1"/>
    </xf>
    <xf numFmtId="164" fontId="10" fillId="0" borderId="11" xfId="0" applyNumberFormat="1" applyFont="1" applyFill="1" applyBorder="1" applyAlignment="1" applyProtection="1">
      <alignment horizontal="right" wrapText="1"/>
    </xf>
    <xf numFmtId="0" fontId="10" fillId="0" borderId="39" xfId="0" applyFont="1" applyFill="1" applyBorder="1" applyAlignment="1" applyProtection="1">
      <alignment horizontal="left" wrapText="1"/>
    </xf>
    <xf numFmtId="164" fontId="10" fillId="0" borderId="40" xfId="0" applyNumberFormat="1" applyFont="1" applyFill="1" applyBorder="1" applyAlignment="1" applyProtection="1">
      <alignment horizontal="right" wrapText="1"/>
    </xf>
    <xf numFmtId="0" fontId="17" fillId="0" borderId="9" xfId="0" applyFont="1" applyFill="1" applyBorder="1" applyAlignment="1" applyProtection="1">
      <alignment horizontal="left" wrapText="1"/>
    </xf>
    <xf numFmtId="0" fontId="13" fillId="0" borderId="9" xfId="0" applyFont="1" applyFill="1" applyBorder="1" applyAlignment="1" applyProtection="1">
      <alignment horizontal="left" wrapText="1"/>
    </xf>
    <xf numFmtId="164" fontId="13" fillId="0" borderId="9" xfId="0" applyNumberFormat="1" applyFont="1" applyFill="1" applyBorder="1" applyAlignment="1" applyProtection="1">
      <alignment horizontal="right" wrapText="1"/>
    </xf>
    <xf numFmtId="164" fontId="13" fillId="0" borderId="12" xfId="0" applyNumberFormat="1" applyFont="1" applyFill="1" applyBorder="1" applyAlignment="1" applyProtection="1">
      <alignment horizontal="right" wrapText="1"/>
    </xf>
    <xf numFmtId="164" fontId="2" fillId="0" borderId="11" xfId="1" applyNumberFormat="1" applyFont="1" applyFill="1" applyBorder="1" applyAlignment="1" applyProtection="1">
      <alignment horizontal="right" wrapText="1"/>
    </xf>
    <xf numFmtId="164" fontId="2" fillId="0" borderId="40" xfId="1" applyNumberFormat="1" applyFont="1" applyFill="1" applyBorder="1" applyAlignment="1" applyProtection="1">
      <alignment horizontal="right" wrapText="1"/>
    </xf>
    <xf numFmtId="164" fontId="3" fillId="0" borderId="12" xfId="1" applyNumberFormat="1" applyFont="1" applyFill="1" applyBorder="1" applyAlignment="1" applyProtection="1">
      <alignment horizontal="right" wrapText="1"/>
    </xf>
    <xf numFmtId="0" fontId="4" fillId="0" borderId="1" xfId="0" applyFont="1" applyFill="1" applyBorder="1" applyAlignment="1" applyProtection="1">
      <alignment vertical="center" wrapText="1"/>
    </xf>
    <xf numFmtId="0" fontId="2" fillId="0" borderId="5" xfId="0" applyFont="1" applyFill="1" applyBorder="1" applyAlignment="1" applyProtection="1">
      <alignment vertical="center" wrapText="1"/>
    </xf>
    <xf numFmtId="0" fontId="13" fillId="0" borderId="5" xfId="0" applyFont="1" applyFill="1" applyBorder="1" applyAlignment="1" applyProtection="1">
      <alignment vertical="center" wrapText="1"/>
    </xf>
    <xf numFmtId="0" fontId="12" fillId="0" borderId="8" xfId="0" applyFont="1" applyFill="1" applyBorder="1" applyAlignment="1" applyProtection="1">
      <alignment vertical="center" wrapText="1"/>
    </xf>
    <xf numFmtId="0" fontId="26" fillId="0" borderId="5" xfId="0" applyFont="1" applyFill="1" applyBorder="1" applyAlignment="1" applyProtection="1">
      <alignment vertical="center" wrapText="1"/>
    </xf>
    <xf numFmtId="0" fontId="3" fillId="0" borderId="5" xfId="0" applyFont="1" applyFill="1" applyBorder="1" applyAlignment="1" applyProtection="1">
      <alignment vertical="center" wrapText="1"/>
    </xf>
    <xf numFmtId="0" fontId="3" fillId="0" borderId="8" xfId="0" applyFont="1" applyFill="1" applyBorder="1" applyAlignment="1" applyProtection="1">
      <alignment vertical="center" wrapText="1"/>
    </xf>
    <xf numFmtId="164" fontId="0" fillId="0" borderId="0" xfId="0" applyNumberFormat="1" applyAlignment="1"/>
    <xf numFmtId="14" fontId="35" fillId="0" borderId="0" xfId="1" applyNumberFormat="1" applyFont="1"/>
    <xf numFmtId="0" fontId="40" fillId="0" borderId="0" xfId="0" applyFont="1" applyAlignment="1"/>
    <xf numFmtId="14" fontId="43" fillId="0" borderId="2" xfId="0" applyNumberFormat="1" applyFont="1" applyBorder="1" applyAlignment="1" applyProtection="1">
      <alignment horizontal="left"/>
      <protection locked="0"/>
    </xf>
    <xf numFmtId="3" fontId="0" fillId="0" borderId="0" xfId="0" applyNumberFormat="1" applyAlignment="1"/>
    <xf numFmtId="43" fontId="0" fillId="0" borderId="0" xfId="0" applyNumberFormat="1" applyAlignment="1"/>
    <xf numFmtId="164" fontId="0" fillId="13" borderId="0" xfId="1" applyNumberFormat="1" applyFont="1" applyFill="1" applyBorder="1" applyAlignment="1"/>
    <xf numFmtId="0" fontId="0" fillId="0" borderId="0" xfId="0" applyAlignment="1">
      <alignment horizontal="right" wrapText="1"/>
    </xf>
    <xf numFmtId="0" fontId="40" fillId="0" borderId="0" xfId="0" applyFont="1" applyAlignment="1">
      <alignment horizontal="right" wrapText="1"/>
    </xf>
    <xf numFmtId="164" fontId="0" fillId="0" borderId="0" xfId="1" applyNumberFormat="1" applyFont="1" applyAlignment="1"/>
    <xf numFmtId="43" fontId="37" fillId="0" borderId="0" xfId="1" applyFont="1"/>
    <xf numFmtId="0" fontId="45" fillId="0" borderId="0" xfId="0" applyFont="1" applyAlignment="1"/>
    <xf numFmtId="164" fontId="45" fillId="13" borderId="51" xfId="1" applyNumberFormat="1" applyFont="1" applyFill="1" applyBorder="1" applyAlignment="1">
      <alignment horizontal="right"/>
    </xf>
    <xf numFmtId="164" fontId="45" fillId="0" borderId="51" xfId="1" applyNumberFormat="1" applyFont="1" applyBorder="1" applyAlignment="1">
      <alignment horizontal="right"/>
    </xf>
    <xf numFmtId="164" fontId="45" fillId="13" borderId="0" xfId="1" applyNumberFormat="1" applyFont="1" applyFill="1" applyBorder="1" applyAlignment="1">
      <alignment horizontal="right"/>
    </xf>
    <xf numFmtId="164" fontId="45" fillId="13" borderId="0" xfId="1" applyNumberFormat="1" applyFont="1" applyFill="1" applyBorder="1" applyAlignment="1">
      <alignment wrapText="1"/>
    </xf>
    <xf numFmtId="164" fontId="45" fillId="13" borderId="0" xfId="1" applyNumberFormat="1" applyFont="1" applyFill="1" applyBorder="1" applyAlignment="1"/>
    <xf numFmtId="164" fontId="0" fillId="0" borderId="0" xfId="1" applyNumberFormat="1" applyFont="1" applyBorder="1" applyAlignment="1">
      <alignment horizontal="right"/>
    </xf>
    <xf numFmtId="164" fontId="0" fillId="0" borderId="0" xfId="1" applyNumberFormat="1" applyFont="1" applyBorder="1" applyAlignment="1">
      <alignment wrapText="1"/>
    </xf>
    <xf numFmtId="164" fontId="0" fillId="0" borderId="0" xfId="1" applyNumberFormat="1" applyFont="1" applyBorder="1" applyAlignment="1"/>
    <xf numFmtId="165" fontId="0" fillId="13" borderId="0" xfId="1" applyNumberFormat="1" applyFont="1" applyFill="1" applyBorder="1" applyAlignment="1">
      <alignment horizontal="right"/>
    </xf>
    <xf numFmtId="164" fontId="0" fillId="13" borderId="0" xfId="1" applyNumberFormat="1" applyFont="1" applyFill="1" applyBorder="1" applyAlignment="1">
      <alignment wrapText="1"/>
    </xf>
    <xf numFmtId="9" fontId="0" fillId="13" borderId="0" xfId="2" applyFont="1" applyFill="1" applyBorder="1" applyAlignment="1">
      <alignment wrapText="1"/>
    </xf>
    <xf numFmtId="165" fontId="0" fillId="0" borderId="0" xfId="1" applyNumberFormat="1" applyFont="1" applyBorder="1" applyAlignment="1">
      <alignment horizontal="right"/>
    </xf>
    <xf numFmtId="9" fontId="0" fillId="0" borderId="0" xfId="2" applyFont="1" applyBorder="1" applyAlignment="1">
      <alignment wrapText="1"/>
    </xf>
    <xf numFmtId="164" fontId="0" fillId="13" borderId="0" xfId="1" applyNumberFormat="1" applyFont="1" applyFill="1" applyBorder="1" applyAlignment="1">
      <alignment horizontal="right"/>
    </xf>
    <xf numFmtId="166" fontId="0" fillId="0" borderId="0" xfId="2" applyNumberFormat="1" applyFont="1" applyBorder="1" applyAlignment="1">
      <alignment wrapText="1"/>
    </xf>
    <xf numFmtId="166" fontId="0" fillId="13" borderId="0" xfId="2" applyNumberFormat="1" applyFont="1" applyFill="1" applyBorder="1" applyAlignment="1">
      <alignment wrapText="1"/>
    </xf>
    <xf numFmtId="164" fontId="45" fillId="0" borderId="0" xfId="1" applyNumberFormat="1" applyFont="1" applyBorder="1" applyAlignment="1">
      <alignment horizontal="right"/>
    </xf>
    <xf numFmtId="164" fontId="45" fillId="0" borderId="0" xfId="1" applyNumberFormat="1" applyFont="1" applyBorder="1" applyAlignment="1">
      <alignment wrapText="1"/>
    </xf>
    <xf numFmtId="164" fontId="45" fillId="0" borderId="0" xfId="1" applyNumberFormat="1" applyFont="1" applyBorder="1" applyAlignment="1"/>
    <xf numFmtId="166" fontId="45" fillId="0" borderId="0" xfId="2" applyNumberFormat="1" applyFont="1" applyBorder="1" applyAlignment="1">
      <alignment wrapText="1"/>
    </xf>
    <xf numFmtId="166" fontId="45" fillId="13" borderId="0" xfId="2" applyNumberFormat="1" applyFont="1" applyFill="1" applyBorder="1" applyAlignment="1">
      <alignment wrapText="1"/>
    </xf>
    <xf numFmtId="164" fontId="45" fillId="13" borderId="52" xfId="1" applyNumberFormat="1" applyFont="1" applyFill="1" applyBorder="1" applyAlignment="1">
      <alignment horizontal="right" wrapText="1"/>
    </xf>
    <xf numFmtId="164" fontId="45" fillId="13" borderId="53" xfId="1" applyNumberFormat="1" applyFont="1" applyFill="1" applyBorder="1" applyAlignment="1"/>
    <xf numFmtId="164" fontId="0" fillId="0" borderId="52" xfId="1" applyNumberFormat="1" applyFont="1" applyBorder="1" applyAlignment="1">
      <alignment horizontal="right" wrapText="1"/>
    </xf>
    <xf numFmtId="164" fontId="0" fillId="0" borderId="53" xfId="1" applyNumberFormat="1" applyFont="1" applyBorder="1" applyAlignment="1"/>
    <xf numFmtId="164" fontId="0" fillId="13" borderId="52" xfId="1" applyNumberFormat="1" applyFont="1" applyFill="1" applyBorder="1" applyAlignment="1">
      <alignment horizontal="right" wrapText="1"/>
    </xf>
    <xf numFmtId="164" fontId="0" fillId="13" borderId="53" xfId="1" applyNumberFormat="1" applyFont="1" applyFill="1" applyBorder="1" applyAlignment="1"/>
    <xf numFmtId="164" fontId="45" fillId="0" borderId="52" xfId="1" applyNumberFormat="1" applyFont="1" applyBorder="1" applyAlignment="1">
      <alignment horizontal="right" wrapText="1"/>
    </xf>
    <xf numFmtId="164" fontId="45" fillId="0" borderId="53" xfId="1" applyNumberFormat="1" applyFont="1" applyBorder="1" applyAlignment="1"/>
    <xf numFmtId="0" fontId="0" fillId="0" borderId="54" xfId="0" applyFont="1" applyBorder="1" applyAlignment="1">
      <alignment horizontal="right" wrapText="1"/>
    </xf>
    <xf numFmtId="0" fontId="0" fillId="0" borderId="55" xfId="0" applyFont="1" applyBorder="1" applyAlignment="1">
      <alignment horizontal="right"/>
    </xf>
    <xf numFmtId="0" fontId="0" fillId="0" borderId="55" xfId="0" applyFont="1" applyBorder="1" applyAlignment="1">
      <alignment wrapText="1"/>
    </xf>
    <xf numFmtId="0" fontId="0" fillId="0" borderId="55" xfId="0" applyFont="1" applyBorder="1" applyAlignment="1"/>
    <xf numFmtId="164" fontId="0" fillId="0" borderId="56" xfId="1" applyNumberFormat="1" applyFont="1" applyBorder="1" applyAlignment="1"/>
    <xf numFmtId="164" fontId="45" fillId="13" borderId="30" xfId="1" applyNumberFormat="1" applyFont="1" applyFill="1" applyBorder="1" applyAlignment="1">
      <alignment horizontal="right"/>
    </xf>
    <xf numFmtId="164" fontId="12" fillId="12" borderId="57" xfId="1" applyNumberFormat="1" applyFont="1" applyFill="1" applyBorder="1" applyAlignment="1">
      <alignment horizontal="right" vertical="center" wrapText="1"/>
    </xf>
    <xf numFmtId="164" fontId="12" fillId="12" borderId="58" xfId="1" applyNumberFormat="1" applyFont="1" applyFill="1" applyBorder="1" applyAlignment="1">
      <alignment horizontal="right" vertical="center" wrapText="1"/>
    </xf>
    <xf numFmtId="164" fontId="12" fillId="12" borderId="58" xfId="1" applyNumberFormat="1" applyFont="1" applyFill="1" applyBorder="1" applyAlignment="1">
      <alignment horizontal="center" vertical="center" wrapText="1"/>
    </xf>
    <xf numFmtId="166" fontId="12" fillId="12" borderId="58" xfId="2" applyNumberFormat="1" applyFont="1" applyFill="1" applyBorder="1" applyAlignment="1">
      <alignment horizontal="center" vertical="center" wrapText="1"/>
    </xf>
    <xf numFmtId="164" fontId="12" fillId="12" borderId="59" xfId="1" applyNumberFormat="1" applyFont="1" applyFill="1" applyBorder="1" applyAlignment="1">
      <alignment horizontal="center" vertical="center" wrapText="1"/>
    </xf>
    <xf numFmtId="164" fontId="0" fillId="0" borderId="30" xfId="1" applyNumberFormat="1" applyFont="1" applyBorder="1" applyAlignment="1">
      <alignment horizontal="right"/>
    </xf>
    <xf numFmtId="164" fontId="40" fillId="13" borderId="57" xfId="1" applyNumberFormat="1" applyFont="1" applyFill="1" applyBorder="1" applyAlignment="1">
      <alignment horizontal="right"/>
    </xf>
    <xf numFmtId="164" fontId="40" fillId="13" borderId="57" xfId="1" applyNumberFormat="1" applyFont="1" applyFill="1" applyBorder="1" applyAlignment="1">
      <alignment horizontal="right" wrapText="1"/>
    </xf>
    <xf numFmtId="164" fontId="40" fillId="13" borderId="58" xfId="1" applyNumberFormat="1" applyFont="1" applyFill="1" applyBorder="1" applyAlignment="1">
      <alignment horizontal="right"/>
    </xf>
    <xf numFmtId="164" fontId="40" fillId="13" borderId="58" xfId="1" applyNumberFormat="1" applyFont="1" applyFill="1" applyBorder="1" applyAlignment="1">
      <alignment wrapText="1"/>
    </xf>
    <xf numFmtId="164" fontId="40" fillId="13" borderId="58" xfId="1" applyNumberFormat="1" applyFont="1" applyFill="1" applyBorder="1" applyAlignment="1"/>
    <xf numFmtId="164" fontId="40" fillId="13" borderId="59" xfId="1" applyNumberFormat="1" applyFont="1" applyFill="1" applyBorder="1" applyAlignment="1"/>
    <xf numFmtId="0" fontId="0" fillId="0" borderId="56" xfId="0" applyFont="1" applyBorder="1" applyAlignment="1"/>
    <xf numFmtId="164" fontId="12" fillId="12" borderId="57" xfId="1" applyNumberFormat="1" applyFont="1" applyFill="1" applyBorder="1" applyAlignment="1">
      <alignment horizontal="center" vertical="center" wrapText="1"/>
    </xf>
    <xf numFmtId="164" fontId="45" fillId="13" borderId="52" xfId="1" applyNumberFormat="1" applyFont="1" applyFill="1" applyBorder="1" applyAlignment="1"/>
    <xf numFmtId="164" fontId="0" fillId="0" borderId="52" xfId="1" applyNumberFormat="1" applyFont="1" applyBorder="1" applyAlignment="1"/>
    <xf numFmtId="164" fontId="0" fillId="13" borderId="52" xfId="1" applyNumberFormat="1" applyFont="1" applyFill="1" applyBorder="1" applyAlignment="1"/>
    <xf numFmtId="164" fontId="40" fillId="13" borderId="57" xfId="1" applyNumberFormat="1" applyFont="1" applyFill="1" applyBorder="1" applyAlignment="1"/>
    <xf numFmtId="164" fontId="45" fillId="0" borderId="52" xfId="1" applyNumberFormat="1" applyFont="1" applyBorder="1" applyAlignment="1"/>
    <xf numFmtId="0" fontId="0" fillId="0" borderId="54" xfId="0" applyFont="1" applyBorder="1" applyAlignment="1"/>
    <xf numFmtId="166" fontId="0" fillId="0" borderId="0" xfId="2" applyNumberFormat="1" applyFont="1"/>
    <xf numFmtId="166" fontId="0" fillId="0" borderId="0" xfId="0" applyNumberFormat="1"/>
    <xf numFmtId="166" fontId="0" fillId="0" borderId="0" xfId="0" applyNumberFormat="1" applyFill="1"/>
    <xf numFmtId="10" fontId="0" fillId="0" borderId="0" xfId="2" applyNumberFormat="1" applyFont="1" applyBorder="1" applyAlignment="1">
      <alignment wrapText="1"/>
    </xf>
    <xf numFmtId="10" fontId="0" fillId="13" borderId="0" xfId="2" applyNumberFormat="1" applyFont="1" applyFill="1" applyBorder="1" applyAlignment="1">
      <alignment wrapText="1"/>
    </xf>
    <xf numFmtId="10" fontId="45" fillId="0" borderId="0" xfId="2" applyNumberFormat="1" applyFont="1" applyBorder="1" applyAlignment="1">
      <alignment wrapText="1"/>
    </xf>
    <xf numFmtId="10" fontId="45" fillId="13" borderId="0" xfId="2" applyNumberFormat="1" applyFont="1" applyFill="1" applyBorder="1" applyAlignment="1">
      <alignment wrapText="1"/>
    </xf>
    <xf numFmtId="10" fontId="40" fillId="13" borderId="58" xfId="1" applyNumberFormat="1" applyFont="1" applyFill="1" applyBorder="1" applyAlignment="1">
      <alignment wrapText="1"/>
    </xf>
    <xf numFmtId="170" fontId="0" fillId="0" borderId="0" xfId="0" applyNumberFormat="1"/>
    <xf numFmtId="0" fontId="47" fillId="0" borderId="0" xfId="0" applyFont="1"/>
    <xf numFmtId="166" fontId="47" fillId="0" borderId="0" xfId="2" applyNumberFormat="1" applyFont="1"/>
    <xf numFmtId="43" fontId="47" fillId="0" borderId="0" xfId="1" applyFont="1"/>
    <xf numFmtId="43" fontId="47" fillId="0" borderId="0" xfId="0" applyNumberFormat="1" applyFont="1"/>
    <xf numFmtId="0" fontId="46" fillId="0" borderId="0" xfId="0" applyFont="1"/>
    <xf numFmtId="0" fontId="46" fillId="0" borderId="61" xfId="0" applyFont="1" applyFill="1" applyBorder="1" applyAlignment="1">
      <alignment vertical="center" wrapText="1"/>
    </xf>
    <xf numFmtId="0" fontId="47" fillId="0" borderId="0" xfId="0" applyFont="1" applyAlignment="1">
      <alignment wrapText="1"/>
    </xf>
    <xf numFmtId="0" fontId="49" fillId="0" borderId="0" xfId="0" applyFont="1"/>
    <xf numFmtId="0" fontId="50" fillId="14" borderId="60" xfId="0" applyFont="1" applyFill="1" applyBorder="1" applyAlignment="1">
      <alignment horizontal="center" vertical="center" wrapText="1"/>
    </xf>
    <xf numFmtId="0" fontId="51" fillId="0" borderId="0" xfId="0" applyFont="1" applyAlignment="1"/>
    <xf numFmtId="0" fontId="46" fillId="0" borderId="47" xfId="0" applyFont="1" applyBorder="1" applyAlignment="1">
      <alignment horizontal="left" vertical="center" wrapText="1"/>
    </xf>
    <xf numFmtId="43" fontId="47" fillId="0" borderId="2" xfId="1" applyFont="1" applyBorder="1" applyAlignment="1">
      <alignment vertical="center" wrapText="1"/>
    </xf>
    <xf numFmtId="165" fontId="47" fillId="0" borderId="2" xfId="1" applyNumberFormat="1" applyFont="1" applyBorder="1" applyAlignment="1">
      <alignment vertical="center" wrapText="1"/>
    </xf>
    <xf numFmtId="165" fontId="47" fillId="0" borderId="2" xfId="1" applyNumberFormat="1" applyFont="1" applyBorder="1"/>
    <xf numFmtId="165" fontId="47" fillId="0" borderId="1" xfId="1" applyNumberFormat="1" applyFont="1" applyBorder="1" applyAlignment="1">
      <alignment wrapText="1"/>
    </xf>
    <xf numFmtId="166" fontId="50" fillId="14" borderId="60" xfId="2" applyNumberFormat="1" applyFont="1" applyFill="1" applyBorder="1" applyAlignment="1">
      <alignment horizontal="center" vertical="center" wrapText="1"/>
    </xf>
    <xf numFmtId="166" fontId="47" fillId="0" borderId="2" xfId="2" applyNumberFormat="1" applyFont="1" applyBorder="1" applyAlignment="1">
      <alignment vertical="center" wrapText="1"/>
    </xf>
    <xf numFmtId="166" fontId="47" fillId="0" borderId="2" xfId="2" applyNumberFormat="1" applyFont="1" applyBorder="1"/>
    <xf numFmtId="166" fontId="47" fillId="0" borderId="1" xfId="2" applyNumberFormat="1" applyFont="1" applyBorder="1" applyAlignment="1">
      <alignment wrapText="1"/>
    </xf>
    <xf numFmtId="166" fontId="46" fillId="0" borderId="61" xfId="2" applyNumberFormat="1" applyFont="1" applyFill="1" applyBorder="1" applyAlignment="1">
      <alignment vertical="center" wrapText="1"/>
    </xf>
    <xf numFmtId="165" fontId="46" fillId="0" borderId="61" xfId="0" applyNumberFormat="1" applyFont="1" applyFill="1" applyBorder="1" applyAlignment="1">
      <alignment vertical="center" wrapText="1"/>
    </xf>
    <xf numFmtId="43" fontId="47" fillId="0" borderId="1" xfId="1" applyFont="1" applyBorder="1" applyAlignment="1">
      <alignment vertical="center" wrapText="1"/>
    </xf>
    <xf numFmtId="165" fontId="0" fillId="0" borderId="0" xfId="1" applyNumberFormat="1" applyFont="1"/>
    <xf numFmtId="171" fontId="0" fillId="0" borderId="0" xfId="2" applyNumberFormat="1" applyFont="1" applyAlignment="1"/>
    <xf numFmtId="172" fontId="35" fillId="0" borderId="0" xfId="0" applyNumberFormat="1" applyFont="1"/>
    <xf numFmtId="43" fontId="47" fillId="0" borderId="0" xfId="1" applyNumberFormat="1" applyFont="1"/>
    <xf numFmtId="173" fontId="0" fillId="0" borderId="0" xfId="0" applyNumberFormat="1"/>
    <xf numFmtId="0" fontId="47" fillId="0" borderId="0" xfId="0" applyFont="1" applyAlignment="1"/>
    <xf numFmtId="0" fontId="50" fillId="14" borderId="60" xfId="0" applyFont="1" applyFill="1" applyBorder="1" applyAlignment="1">
      <alignment horizontal="center" vertical="center"/>
    </xf>
    <xf numFmtId="0" fontId="47" fillId="0" borderId="2" xfId="0" applyFont="1" applyBorder="1" applyAlignment="1">
      <alignment vertical="center"/>
    </xf>
    <xf numFmtId="0" fontId="47" fillId="0" borderId="2" xfId="0" applyFont="1" applyBorder="1" applyAlignment="1"/>
    <xf numFmtId="0" fontId="47" fillId="0" borderId="1" xfId="0" applyFont="1" applyBorder="1" applyAlignment="1"/>
    <xf numFmtId="0" fontId="46" fillId="0" borderId="61" xfId="0" applyFont="1" applyFill="1" applyBorder="1" applyAlignment="1">
      <alignment vertical="center"/>
    </xf>
    <xf numFmtId="43" fontId="47" fillId="0" borderId="0" xfId="0" applyNumberFormat="1" applyFont="1" applyAlignment="1"/>
    <xf numFmtId="43" fontId="47" fillId="0" borderId="0" xfId="1" applyFont="1" applyAlignment="1"/>
    <xf numFmtId="43" fontId="46" fillId="0" borderId="47" xfId="0" applyNumberFormat="1" applyFont="1" applyBorder="1" applyAlignment="1">
      <alignment horizontal="left" vertical="center" wrapText="1"/>
    </xf>
    <xf numFmtId="0" fontId="47" fillId="0" borderId="1" xfId="0" applyFont="1" applyBorder="1" applyAlignment="1">
      <alignment vertical="center"/>
    </xf>
    <xf numFmtId="165" fontId="47" fillId="0" borderId="1" xfId="1" applyNumberFormat="1" applyFont="1" applyBorder="1" applyAlignment="1">
      <alignment vertical="center" wrapText="1"/>
    </xf>
    <xf numFmtId="166" fontId="47" fillId="0" borderId="1" xfId="2" applyNumberFormat="1" applyFont="1" applyBorder="1" applyAlignment="1">
      <alignment vertical="center" wrapText="1"/>
    </xf>
    <xf numFmtId="165" fontId="12" fillId="0" borderId="58" xfId="1" applyNumberFormat="1" applyFont="1" applyFill="1" applyBorder="1" applyAlignment="1">
      <alignment horizontal="right" vertical="center" wrapText="1"/>
    </xf>
    <xf numFmtId="164" fontId="12" fillId="0" borderId="58" xfId="1" applyNumberFormat="1" applyFont="1" applyFill="1" applyBorder="1" applyAlignment="1">
      <alignment horizontal="center" vertical="center" wrapText="1"/>
    </xf>
    <xf numFmtId="164" fontId="12" fillId="0" borderId="0" xfId="1" applyNumberFormat="1" applyFont="1" applyFill="1" applyBorder="1" applyAlignment="1">
      <alignment horizontal="center" vertical="center" wrapText="1"/>
    </xf>
    <xf numFmtId="165" fontId="45" fillId="0" borderId="0" xfId="1" applyNumberFormat="1" applyFont="1" applyFill="1" applyBorder="1" applyAlignment="1">
      <alignment horizontal="right"/>
    </xf>
    <xf numFmtId="164" fontId="45" fillId="0" borderId="0" xfId="1" applyNumberFormat="1" applyFont="1" applyFill="1" applyBorder="1" applyAlignment="1">
      <alignment wrapText="1"/>
    </xf>
    <xf numFmtId="0" fontId="40" fillId="0" borderId="2" xfId="0" applyFont="1" applyBorder="1"/>
    <xf numFmtId="164" fontId="40" fillId="0" borderId="2" xfId="1" applyNumberFormat="1" applyFont="1" applyBorder="1"/>
    <xf numFmtId="165" fontId="0" fillId="0" borderId="0" xfId="1" applyNumberFormat="1" applyFont="1" applyFill="1" applyBorder="1" applyAlignment="1">
      <alignment horizontal="right"/>
    </xf>
    <xf numFmtId="164" fontId="0" fillId="0" borderId="0" xfId="1" applyNumberFormat="1" applyFont="1" applyFill="1" applyBorder="1" applyAlignment="1">
      <alignment wrapText="1"/>
    </xf>
    <xf numFmtId="0" fontId="0" fillId="0" borderId="2" xfId="0" applyBorder="1"/>
    <xf numFmtId="164" fontId="0" fillId="0" borderId="2" xfId="1" applyNumberFormat="1" applyFont="1" applyBorder="1"/>
    <xf numFmtId="165" fontId="40" fillId="0" borderId="58" xfId="1" applyNumberFormat="1" applyFont="1" applyFill="1" applyBorder="1" applyAlignment="1">
      <alignment horizontal="right"/>
    </xf>
    <xf numFmtId="164" fontId="40" fillId="0" borderId="58" xfId="1" applyNumberFormat="1" applyFont="1" applyFill="1" applyBorder="1" applyAlignment="1">
      <alignment wrapText="1"/>
    </xf>
    <xf numFmtId="165" fontId="40" fillId="0" borderId="0" xfId="1" applyNumberFormat="1" applyFont="1" applyFill="1" applyBorder="1" applyAlignment="1">
      <alignment horizontal="right"/>
    </xf>
    <xf numFmtId="164" fontId="40" fillId="0" borderId="0" xfId="1" applyNumberFormat="1" applyFont="1" applyFill="1" applyBorder="1" applyAlignment="1">
      <alignment wrapText="1"/>
    </xf>
    <xf numFmtId="166" fontId="0" fillId="0" borderId="2" xfId="2" applyNumberFormat="1" applyFont="1" applyBorder="1" applyAlignment="1">
      <alignment horizontal="center"/>
    </xf>
    <xf numFmtId="165" fontId="0" fillId="0" borderId="55" xfId="1" applyNumberFormat="1" applyFont="1" applyFill="1" applyBorder="1" applyAlignment="1">
      <alignment horizontal="right"/>
    </xf>
    <xf numFmtId="0" fontId="0" fillId="0" borderId="55" xfId="0" applyFont="1" applyFill="1" applyBorder="1" applyAlignment="1">
      <alignment wrapText="1"/>
    </xf>
    <xf numFmtId="165" fontId="40" fillId="0" borderId="0" xfId="1" applyNumberFormat="1" applyFont="1" applyFill="1" applyAlignment="1">
      <alignment horizontal="right"/>
    </xf>
    <xf numFmtId="0" fontId="40" fillId="0" borderId="0" xfId="0" applyFont="1" applyFill="1" applyAlignment="1">
      <alignment wrapText="1"/>
    </xf>
    <xf numFmtId="165" fontId="0" fillId="0" borderId="0" xfId="1" applyNumberFormat="1" applyFont="1" applyFill="1" applyAlignment="1">
      <alignment horizontal="right"/>
    </xf>
    <xf numFmtId="0" fontId="0" fillId="0" borderId="0" xfId="0" applyFill="1" applyAlignment="1">
      <alignment wrapText="1"/>
    </xf>
    <xf numFmtId="164" fontId="0" fillId="0" borderId="0" xfId="0" applyNumberFormat="1"/>
    <xf numFmtId="0" fontId="55" fillId="0" borderId="0" xfId="0" applyFont="1" applyAlignment="1" applyProtection="1">
      <alignment vertical="center"/>
    </xf>
    <xf numFmtId="0" fontId="53" fillId="0" borderId="2" xfId="0" applyFont="1" applyBorder="1" applyAlignment="1" applyProtection="1">
      <alignment vertical="center"/>
    </xf>
    <xf numFmtId="0" fontId="54" fillId="0" borderId="2" xfId="0" applyFont="1" applyBorder="1" applyAlignment="1" applyProtection="1">
      <alignment horizontal="center" vertical="center"/>
    </xf>
    <xf numFmtId="0" fontId="54" fillId="2" borderId="2" xfId="0" applyFont="1" applyFill="1" applyBorder="1" applyAlignment="1" applyProtection="1">
      <alignment vertical="center"/>
    </xf>
    <xf numFmtId="0" fontId="54" fillId="2" borderId="2" xfId="0" applyFont="1" applyFill="1" applyBorder="1" applyAlignment="1" applyProtection="1">
      <alignment vertical="center" wrapText="1"/>
    </xf>
    <xf numFmtId="14" fontId="53" fillId="2" borderId="2" xfId="0" applyNumberFormat="1" applyFont="1" applyFill="1" applyBorder="1" applyAlignment="1" applyProtection="1">
      <alignment horizontal="center" vertical="center"/>
    </xf>
    <xf numFmtId="175" fontId="53" fillId="2" borderId="2" xfId="0" applyNumberFormat="1" applyFont="1" applyFill="1" applyBorder="1" applyAlignment="1" applyProtection="1">
      <alignment horizontal="center" vertical="center"/>
    </xf>
    <xf numFmtId="0" fontId="54" fillId="0" borderId="2" xfId="0" applyFont="1" applyBorder="1" applyAlignment="1" applyProtection="1">
      <alignment vertical="center" wrapText="1"/>
    </xf>
    <xf numFmtId="175" fontId="54" fillId="0" borderId="2" xfId="0" applyNumberFormat="1" applyFont="1" applyBorder="1" applyAlignment="1" applyProtection="1">
      <alignment horizontal="center" vertical="center"/>
    </xf>
    <xf numFmtId="0" fontId="53" fillId="15" borderId="2" xfId="0" applyFont="1" applyFill="1" applyBorder="1" applyAlignment="1" applyProtection="1">
      <alignment vertical="center"/>
    </xf>
    <xf numFmtId="175" fontId="53" fillId="15" borderId="2" xfId="0" applyNumberFormat="1" applyFont="1" applyFill="1" applyBorder="1" applyAlignment="1" applyProtection="1">
      <alignment horizontal="center" vertical="center"/>
    </xf>
    <xf numFmtId="0" fontId="56" fillId="0" borderId="2" xfId="0" applyFont="1" applyBorder="1" applyAlignment="1" applyProtection="1">
      <alignment vertical="center" wrapText="1"/>
    </xf>
    <xf numFmtId="0" fontId="57" fillId="0" borderId="2" xfId="0" applyFont="1" applyBorder="1" applyAlignment="1" applyProtection="1">
      <alignment vertical="center" wrapText="1"/>
    </xf>
    <xf numFmtId="175" fontId="57" fillId="0" borderId="2" xfId="0" applyNumberFormat="1" applyFont="1" applyBorder="1" applyAlignment="1" applyProtection="1">
      <alignment horizontal="center" vertical="center"/>
    </xf>
    <xf numFmtId="0" fontId="54" fillId="15" borderId="2" xfId="0" applyFont="1" applyFill="1" applyBorder="1" applyAlignment="1" applyProtection="1">
      <alignment vertical="center"/>
    </xf>
    <xf numFmtId="0" fontId="54" fillId="16" borderId="2" xfId="0" applyFont="1" applyFill="1" applyBorder="1" applyAlignment="1" applyProtection="1">
      <alignment vertical="center" wrapText="1"/>
    </xf>
    <xf numFmtId="175" fontId="54" fillId="16" borderId="2" xfId="0" applyNumberFormat="1" applyFont="1" applyFill="1" applyBorder="1" applyAlignment="1" applyProtection="1">
      <alignment horizontal="center" vertical="center"/>
    </xf>
    <xf numFmtId="0" fontId="53" fillId="0" borderId="0" xfId="0" applyFont="1" applyBorder="1" applyAlignment="1" applyProtection="1">
      <alignment vertical="center"/>
    </xf>
    <xf numFmtId="0" fontId="53" fillId="0" borderId="0" xfId="0" applyFont="1" applyAlignment="1" applyProtection="1">
      <alignment vertical="center"/>
    </xf>
    <xf numFmtId="0" fontId="58" fillId="0" borderId="2" xfId="0" applyFont="1" applyBorder="1" applyAlignment="1" applyProtection="1">
      <alignment horizontal="center" vertical="center"/>
    </xf>
    <xf numFmtId="175" fontId="57" fillId="4" borderId="2" xfId="0" applyNumberFormat="1" applyFont="1" applyFill="1" applyBorder="1" applyAlignment="1" applyProtection="1">
      <alignment horizontal="center" vertical="center"/>
    </xf>
    <xf numFmtId="0" fontId="53" fillId="15" borderId="2" xfId="0" applyFont="1" applyFill="1" applyBorder="1" applyAlignment="1" applyProtection="1">
      <alignment vertical="center" wrapText="1"/>
    </xf>
    <xf numFmtId="175" fontId="54" fillId="2" borderId="2" xfId="0" applyNumberFormat="1" applyFont="1" applyFill="1" applyBorder="1" applyAlignment="1" applyProtection="1">
      <alignment horizontal="center" vertical="center"/>
    </xf>
    <xf numFmtId="0" fontId="59" fillId="0" borderId="2" xfId="0" applyFont="1" applyBorder="1" applyAlignment="1" applyProtection="1">
      <alignment vertical="center" wrapText="1"/>
    </xf>
    <xf numFmtId="175" fontId="54" fillId="4" borderId="2" xfId="0" applyNumberFormat="1" applyFont="1" applyFill="1" applyBorder="1" applyAlignment="1" applyProtection="1">
      <alignment horizontal="center" vertical="center"/>
    </xf>
    <xf numFmtId="0" fontId="54" fillId="0" borderId="0" xfId="0" applyFont="1" applyBorder="1" applyAlignment="1" applyProtection="1">
      <alignment vertical="center" wrapText="1"/>
    </xf>
    <xf numFmtId="0" fontId="54" fillId="0" borderId="2" xfId="0" applyFont="1" applyBorder="1" applyAlignment="1" applyProtection="1">
      <alignment horizontal="center" vertical="center" wrapText="1"/>
    </xf>
    <xf numFmtId="0" fontId="53" fillId="0" borderId="0" xfId="0" applyFont="1" applyProtection="1"/>
    <xf numFmtId="0" fontId="60" fillId="0" borderId="0" xfId="0" applyFont="1" applyAlignment="1" applyProtection="1">
      <alignment vertical="center"/>
    </xf>
    <xf numFmtId="164" fontId="57" fillId="4" borderId="2" xfId="1" applyNumberFormat="1" applyFont="1" applyFill="1" applyBorder="1" applyAlignment="1" applyProtection="1">
      <alignment horizontal="center" vertical="center"/>
    </xf>
    <xf numFmtId="0" fontId="54" fillId="0" borderId="0" xfId="0" applyFont="1" applyAlignment="1" applyProtection="1">
      <alignment vertical="center"/>
    </xf>
    <xf numFmtId="164" fontId="54" fillId="16" borderId="2" xfId="1" applyNumberFormat="1" applyFont="1" applyFill="1" applyBorder="1" applyAlignment="1" applyProtection="1">
      <alignment horizontal="center" vertical="center"/>
    </xf>
    <xf numFmtId="0" fontId="39" fillId="0" borderId="2" xfId="0" applyFont="1" applyBorder="1"/>
    <xf numFmtId="0" fontId="0" fillId="0" borderId="0" xfId="0" applyFill="1" applyAlignment="1" applyProtection="1">
      <alignment horizontal="left"/>
      <protection locked="0"/>
    </xf>
    <xf numFmtId="0" fontId="0" fillId="0" borderId="0" xfId="0" applyFill="1" applyAlignment="1" applyProtection="1">
      <alignment horizontal="left"/>
    </xf>
    <xf numFmtId="174" fontId="0" fillId="0" borderId="0" xfId="2" applyNumberFormat="1" applyFont="1" applyFill="1" applyAlignment="1" applyProtection="1">
      <alignment horizontal="left"/>
      <protection locked="0"/>
    </xf>
    <xf numFmtId="166" fontId="0" fillId="0" borderId="0" xfId="2" applyNumberFormat="1" applyFont="1" applyFill="1"/>
    <xf numFmtId="43" fontId="0" fillId="0" borderId="0" xfId="1" applyFont="1" applyFill="1"/>
    <xf numFmtId="0" fontId="54" fillId="0" borderId="0" xfId="0" applyNumberFormat="1" applyFont="1" applyBorder="1" applyAlignment="1" applyProtection="1">
      <alignment horizontal="center" vertical="center"/>
    </xf>
    <xf numFmtId="0" fontId="55" fillId="0" borderId="2" xfId="0" applyFont="1" applyBorder="1" applyAlignment="1" applyProtection="1">
      <alignment vertical="center"/>
    </xf>
    <xf numFmtId="164" fontId="54" fillId="4" borderId="2" xfId="1" applyNumberFormat="1" applyFont="1" applyFill="1" applyBorder="1" applyAlignment="1" applyProtection="1">
      <alignment horizontal="center" vertical="center"/>
    </xf>
    <xf numFmtId="0" fontId="55" fillId="0" borderId="2" xfId="0" applyFont="1" applyBorder="1" applyAlignment="1" applyProtection="1">
      <alignment horizontal="left" vertical="center" wrapText="1"/>
    </xf>
    <xf numFmtId="0" fontId="62" fillId="0" borderId="2" xfId="0" applyFont="1" applyBorder="1" applyAlignment="1" applyProtection="1">
      <alignment vertical="center"/>
    </xf>
    <xf numFmtId="0" fontId="39" fillId="0" borderId="2" xfId="0" applyFont="1" applyBorder="1" applyAlignment="1" applyProtection="1">
      <alignment vertical="center" wrapText="1"/>
    </xf>
    <xf numFmtId="43" fontId="39" fillId="0" borderId="2" xfId="1" applyFont="1" applyBorder="1"/>
    <xf numFmtId="0" fontId="63" fillId="0" borderId="2" xfId="0" applyFont="1" applyBorder="1" applyAlignment="1" applyProtection="1">
      <alignment vertical="center" wrapText="1"/>
    </xf>
    <xf numFmtId="0" fontId="39" fillId="16" borderId="2" xfId="0" applyFont="1" applyFill="1" applyBorder="1" applyAlignment="1" applyProtection="1">
      <alignment vertical="center" wrapText="1"/>
    </xf>
    <xf numFmtId="43" fontId="39" fillId="16" borderId="2" xfId="1" applyFont="1" applyFill="1" applyBorder="1"/>
    <xf numFmtId="0" fontId="54" fillId="18" borderId="2" xfId="0" applyFont="1" applyFill="1" applyBorder="1" applyAlignment="1" applyProtection="1">
      <alignment vertical="center" wrapText="1"/>
    </xf>
    <xf numFmtId="164" fontId="54" fillId="18" borderId="2" xfId="1" applyNumberFormat="1" applyFont="1" applyFill="1" applyBorder="1" applyAlignment="1" applyProtection="1">
      <alignment horizontal="center" vertical="center"/>
    </xf>
    <xf numFmtId="167" fontId="0" fillId="0" borderId="0" xfId="0" applyNumberFormat="1" applyAlignment="1">
      <alignment horizontal="left"/>
    </xf>
    <xf numFmtId="165" fontId="0" fillId="0" borderId="0" xfId="1" applyNumberFormat="1" applyFont="1" applyFill="1"/>
    <xf numFmtId="14" fontId="0" fillId="0" borderId="0" xfId="0" applyNumberFormat="1" applyFill="1"/>
    <xf numFmtId="43" fontId="0" fillId="0" borderId="0" xfId="1" applyNumberFormat="1" applyFont="1" applyFill="1"/>
    <xf numFmtId="2" fontId="0" fillId="0" borderId="0" xfId="1" applyNumberFormat="1" applyFont="1" applyAlignment="1">
      <alignment horizontal="center"/>
    </xf>
    <xf numFmtId="166" fontId="0" fillId="11" borderId="2" xfId="2" applyNumberFormat="1" applyFont="1" applyFill="1" applyBorder="1" applyAlignment="1">
      <alignment horizontal="center"/>
    </xf>
    <xf numFmtId="2" fontId="0" fillId="11" borderId="2" xfId="1" applyNumberFormat="1" applyFont="1" applyFill="1" applyBorder="1" applyAlignment="1">
      <alignment horizontal="center"/>
    </xf>
    <xf numFmtId="10" fontId="0" fillId="11" borderId="2" xfId="0" applyNumberFormat="1" applyFill="1" applyBorder="1" applyAlignment="1">
      <alignment horizontal="center"/>
    </xf>
    <xf numFmtId="10" fontId="40" fillId="14" borderId="2" xfId="0" applyNumberFormat="1" applyFont="1" applyFill="1" applyBorder="1" applyAlignment="1">
      <alignment horizontal="center" vertical="center"/>
    </xf>
    <xf numFmtId="10" fontId="0" fillId="0" borderId="0" xfId="0" applyNumberFormat="1"/>
    <xf numFmtId="2" fontId="0" fillId="0" borderId="2" xfId="1" applyNumberFormat="1" applyFont="1" applyBorder="1" applyAlignment="1">
      <alignment horizontal="center"/>
    </xf>
    <xf numFmtId="10" fontId="0" fillId="0" borderId="2" xfId="0" applyNumberFormat="1" applyBorder="1" applyAlignment="1">
      <alignment horizontal="center"/>
    </xf>
    <xf numFmtId="10" fontId="65" fillId="0" borderId="2" xfId="2" applyNumberFormat="1" applyFont="1" applyBorder="1" applyAlignment="1">
      <alignment horizontal="center"/>
    </xf>
    <xf numFmtId="10" fontId="40" fillId="14" borderId="36" xfId="0" applyNumberFormat="1" applyFont="1" applyFill="1" applyBorder="1" applyAlignment="1">
      <alignment horizontal="center" vertical="center"/>
    </xf>
    <xf numFmtId="10" fontId="40" fillId="14" borderId="62" xfId="2" applyNumberFormat="1" applyFont="1" applyFill="1" applyBorder="1" applyAlignment="1">
      <alignment horizontal="center" vertical="center"/>
    </xf>
    <xf numFmtId="10" fontId="65" fillId="11" borderId="2" xfId="2" applyNumberFormat="1" applyFont="1" applyFill="1" applyBorder="1" applyAlignment="1">
      <alignment horizontal="center"/>
    </xf>
    <xf numFmtId="2" fontId="65" fillId="0" borderId="1" xfId="1" applyNumberFormat="1" applyFont="1" applyBorder="1" applyAlignment="1">
      <alignment horizontal="center" vertical="center"/>
    </xf>
    <xf numFmtId="164" fontId="44" fillId="17" borderId="2" xfId="0" applyNumberFormat="1" applyFont="1" applyFill="1" applyBorder="1" applyAlignment="1" applyProtection="1">
      <alignment horizontal="center"/>
      <protection locked="0"/>
    </xf>
    <xf numFmtId="14" fontId="43" fillId="0" borderId="2" xfId="0" applyNumberFormat="1" applyFont="1" applyBorder="1" applyAlignment="1" applyProtection="1">
      <alignment horizontal="center"/>
      <protection locked="0"/>
    </xf>
    <xf numFmtId="14" fontId="0" fillId="0" borderId="0" xfId="0" applyNumberFormat="1" applyAlignment="1"/>
    <xf numFmtId="3" fontId="66" fillId="20" borderId="2" xfId="1" applyNumberFormat="1" applyFont="1" applyFill="1" applyBorder="1" applyAlignment="1">
      <alignment horizontal="center"/>
    </xf>
    <xf numFmtId="3" fontId="66" fillId="0" borderId="2" xfId="1" applyNumberFormat="1" applyFont="1" applyFill="1" applyBorder="1" applyAlignment="1">
      <alignment horizontal="center"/>
    </xf>
    <xf numFmtId="164" fontId="12" fillId="12" borderId="63" xfId="1" applyNumberFormat="1" applyFont="1" applyFill="1" applyBorder="1" applyAlignment="1">
      <alignment horizontal="right" vertical="center" wrapText="1"/>
    </xf>
    <xf numFmtId="164" fontId="12" fillId="12" borderId="64" xfId="1" applyNumberFormat="1" applyFont="1" applyFill="1" applyBorder="1" applyAlignment="1">
      <alignment horizontal="center" vertical="center" wrapText="1"/>
    </xf>
    <xf numFmtId="166" fontId="12" fillId="12" borderId="64" xfId="2" applyNumberFormat="1" applyFont="1" applyFill="1" applyBorder="1" applyAlignment="1">
      <alignment horizontal="center" vertical="center" wrapText="1"/>
    </xf>
    <xf numFmtId="164" fontId="12" fillId="12" borderId="65" xfId="1" applyNumberFormat="1" applyFont="1" applyFill="1" applyBorder="1" applyAlignment="1">
      <alignment horizontal="center" vertical="center" wrapText="1"/>
    </xf>
    <xf numFmtId="164" fontId="45" fillId="13" borderId="11" xfId="1" applyNumberFormat="1" applyFont="1" applyFill="1" applyBorder="1" applyAlignment="1"/>
    <xf numFmtId="164" fontId="0" fillId="0" borderId="11" xfId="1" applyNumberFormat="1" applyFont="1" applyBorder="1" applyAlignment="1"/>
    <xf numFmtId="165" fontId="0" fillId="13" borderId="30" xfId="1" applyNumberFormat="1" applyFont="1" applyFill="1" applyBorder="1" applyAlignment="1">
      <alignment horizontal="right"/>
    </xf>
    <xf numFmtId="164" fontId="0" fillId="13" borderId="11" xfId="1" applyNumberFormat="1" applyFont="1" applyFill="1" applyBorder="1" applyAlignment="1"/>
    <xf numFmtId="165" fontId="0" fillId="0" borderId="30" xfId="1" applyNumberFormat="1" applyFont="1" applyBorder="1" applyAlignment="1">
      <alignment horizontal="right"/>
    </xf>
    <xf numFmtId="164" fontId="0" fillId="13" borderId="30" xfId="1" applyNumberFormat="1" applyFont="1" applyFill="1" applyBorder="1" applyAlignment="1">
      <alignment horizontal="right"/>
    </xf>
    <xf numFmtId="164" fontId="40" fillId="13" borderId="66" xfId="1" applyNumberFormat="1" applyFont="1" applyFill="1" applyBorder="1" applyAlignment="1">
      <alignment horizontal="right"/>
    </xf>
    <xf numFmtId="164" fontId="40" fillId="13" borderId="67" xfId="1" applyNumberFormat="1" applyFont="1" applyFill="1" applyBorder="1" applyAlignment="1"/>
    <xf numFmtId="164" fontId="45" fillId="0" borderId="30" xfId="1" applyNumberFormat="1" applyFont="1" applyBorder="1" applyAlignment="1">
      <alignment horizontal="right"/>
    </xf>
    <xf numFmtId="164" fontId="45" fillId="0" borderId="11" xfId="1" applyNumberFormat="1" applyFont="1" applyBorder="1" applyAlignment="1"/>
    <xf numFmtId="0" fontId="67" fillId="0" borderId="0" xfId="0" applyFont="1"/>
    <xf numFmtId="0" fontId="0" fillId="0" borderId="39" xfId="0" applyFont="1" applyBorder="1" applyAlignment="1">
      <alignment horizontal="right"/>
    </xf>
    <xf numFmtId="0" fontId="0" fillId="0" borderId="38" xfId="0" applyFont="1" applyBorder="1" applyAlignment="1">
      <alignment wrapText="1"/>
    </xf>
    <xf numFmtId="0" fontId="0" fillId="0" borderId="38" xfId="0" applyFont="1" applyBorder="1" applyAlignment="1"/>
    <xf numFmtId="0" fontId="0" fillId="0" borderId="40" xfId="0" applyFont="1" applyBorder="1" applyAlignment="1"/>
    <xf numFmtId="176" fontId="0" fillId="0" borderId="0" xfId="2" applyNumberFormat="1" applyFont="1" applyFill="1" applyAlignment="1" applyProtection="1">
      <alignment horizontal="left"/>
      <protection locked="0"/>
    </xf>
    <xf numFmtId="167" fontId="0" fillId="0" borderId="0" xfId="2" applyNumberFormat="1" applyFont="1" applyFill="1" applyAlignment="1" applyProtection="1">
      <alignment horizontal="left"/>
      <protection locked="0"/>
    </xf>
    <xf numFmtId="168" fontId="0" fillId="0" borderId="0" xfId="1" applyNumberFormat="1" applyFont="1" applyFill="1"/>
    <xf numFmtId="0" fontId="0" fillId="0" borderId="0" xfId="0" applyFill="1" applyAlignment="1"/>
    <xf numFmtId="174" fontId="0" fillId="0" borderId="0" xfId="0" applyNumberFormat="1" applyFill="1" applyAlignment="1"/>
    <xf numFmtId="164" fontId="0" fillId="0" borderId="0" xfId="0" applyNumberFormat="1" applyFill="1" applyAlignment="1"/>
    <xf numFmtId="164" fontId="0" fillId="0" borderId="0" xfId="1" applyNumberFormat="1" applyFont="1" applyFill="1" applyBorder="1" applyAlignment="1"/>
    <xf numFmtId="43" fontId="0" fillId="0" borderId="0" xfId="0" applyNumberFormat="1" applyFill="1" applyAlignment="1">
      <alignment wrapText="1"/>
    </xf>
    <xf numFmtId="0" fontId="40" fillId="0" borderId="0" xfId="0" applyFont="1" applyFill="1" applyAlignment="1"/>
    <xf numFmtId="0" fontId="0" fillId="17" borderId="0" xfId="0" applyFill="1"/>
    <xf numFmtId="14" fontId="0" fillId="17" borderId="0" xfId="0" applyNumberFormat="1" applyFill="1"/>
    <xf numFmtId="165" fontId="0" fillId="17" borderId="0" xfId="1" applyNumberFormat="1" applyFont="1" applyFill="1"/>
    <xf numFmtId="0" fontId="0" fillId="0" borderId="30" xfId="1" applyNumberFormat="1" applyFont="1" applyBorder="1" applyAlignment="1">
      <alignment horizontal="right"/>
    </xf>
    <xf numFmtId="3" fontId="0" fillId="0" borderId="0" xfId="0" applyNumberFormat="1"/>
    <xf numFmtId="43" fontId="68" fillId="0" borderId="0" xfId="1" applyNumberFormat="1" applyFont="1" applyAlignment="1">
      <alignment horizontal="right" vertical="center"/>
    </xf>
    <xf numFmtId="9" fontId="0" fillId="13" borderId="0" xfId="2" applyNumberFormat="1" applyFont="1" applyFill="1" applyBorder="1" applyAlignment="1">
      <alignment wrapText="1"/>
    </xf>
    <xf numFmtId="0" fontId="69" fillId="0" borderId="0" xfId="10"/>
    <xf numFmtId="165" fontId="0" fillId="0" borderId="0" xfId="1" applyNumberFormat="1" applyFont="1" applyFill="1" applyAlignment="1" applyProtection="1">
      <alignment horizontal="left"/>
    </xf>
    <xf numFmtId="174" fontId="0" fillId="0" borderId="0" xfId="1" applyNumberFormat="1" applyFont="1" applyFill="1" applyAlignment="1" applyProtection="1">
      <alignment horizontal="left"/>
      <protection locked="0"/>
    </xf>
    <xf numFmtId="43" fontId="0" fillId="0" borderId="0" xfId="1" applyNumberFormat="1" applyFont="1" applyFill="1" applyAlignment="1" applyProtection="1">
      <alignment horizontal="left"/>
      <protection locked="0"/>
    </xf>
    <xf numFmtId="166" fontId="0" fillId="0" borderId="0" xfId="2" applyNumberFormat="1" applyFont="1" applyFill="1" applyAlignment="1" applyProtection="1">
      <alignment horizontal="left"/>
    </xf>
    <xf numFmtId="9" fontId="0" fillId="0" borderId="0" xfId="2" applyNumberFormat="1" applyFont="1" applyFill="1" applyAlignment="1" applyProtection="1">
      <alignment horizontal="left"/>
    </xf>
    <xf numFmtId="176" fontId="0" fillId="0" borderId="0" xfId="0" applyNumberFormat="1"/>
    <xf numFmtId="10" fontId="0" fillId="0" borderId="0" xfId="2" applyNumberFormat="1" applyFont="1"/>
    <xf numFmtId="166" fontId="0" fillId="0" borderId="0" xfId="2" applyNumberFormat="1" applyFont="1" applyFill="1" applyAlignment="1" applyProtection="1">
      <alignment horizontal="left"/>
      <protection locked="0"/>
    </xf>
    <xf numFmtId="170" fontId="0" fillId="0" borderId="0" xfId="2" applyNumberFormat="1" applyFont="1" applyFill="1" applyAlignment="1" applyProtection="1">
      <alignment horizontal="left"/>
      <protection locked="0"/>
    </xf>
    <xf numFmtId="0" fontId="0" fillId="0" borderId="0" xfId="0" applyFill="1" applyBorder="1" applyAlignment="1" applyProtection="1">
      <alignment horizontal="left"/>
      <protection locked="0"/>
    </xf>
    <xf numFmtId="166" fontId="0" fillId="0" borderId="0" xfId="2" applyNumberFormat="1" applyFont="1" applyFill="1" applyBorder="1" applyAlignment="1" applyProtection="1">
      <alignment horizontal="left"/>
    </xf>
    <xf numFmtId="165" fontId="0" fillId="0" borderId="0" xfId="1" applyNumberFormat="1" applyFont="1" applyFill="1" applyBorder="1" applyAlignment="1" applyProtection="1">
      <alignment horizontal="left"/>
    </xf>
    <xf numFmtId="9" fontId="0" fillId="0" borderId="0" xfId="2" applyNumberFormat="1" applyFont="1" applyFill="1" applyBorder="1" applyAlignment="1" applyProtection="1">
      <alignment horizontal="left"/>
    </xf>
    <xf numFmtId="0" fontId="0" fillId="0" borderId="0" xfId="0" applyFill="1" applyBorder="1" applyAlignment="1" applyProtection="1">
      <alignment horizontal="left"/>
    </xf>
    <xf numFmtId="14" fontId="0" fillId="0" borderId="0" xfId="1" applyNumberFormat="1" applyFont="1" applyFill="1"/>
    <xf numFmtId="10" fontId="0" fillId="0" borderId="0" xfId="2" applyNumberFormat="1" applyFont="1" applyFill="1"/>
    <xf numFmtId="10" fontId="0" fillId="0" borderId="0" xfId="0" applyNumberFormat="1" applyFill="1"/>
    <xf numFmtId="43" fontId="0" fillId="0" borderId="0" xfId="0" applyNumberFormat="1" applyFill="1"/>
    <xf numFmtId="174" fontId="0" fillId="0" borderId="0" xfId="0" applyNumberFormat="1" applyFill="1"/>
    <xf numFmtId="172" fontId="0" fillId="0" borderId="0" xfId="1" applyNumberFormat="1" applyFont="1" applyFill="1"/>
    <xf numFmtId="10" fontId="0" fillId="0" borderId="0" xfId="2" applyNumberFormat="1" applyFont="1" applyFill="1" applyAlignment="1"/>
    <xf numFmtId="10" fontId="0" fillId="0" borderId="0" xfId="2" applyNumberFormat="1" applyFont="1" applyFill="1" applyAlignment="1">
      <alignment wrapText="1"/>
    </xf>
    <xf numFmtId="0" fontId="40" fillId="0" borderId="0" xfId="0" applyFont="1"/>
    <xf numFmtId="177" fontId="0" fillId="0" borderId="0" xfId="2" applyNumberFormat="1" applyFont="1" applyFill="1"/>
    <xf numFmtId="14" fontId="0" fillId="0" borderId="0" xfId="0" applyNumberFormat="1" applyAlignment="1">
      <alignment wrapText="1"/>
    </xf>
    <xf numFmtId="164" fontId="12" fillId="12" borderId="63" xfId="1" applyNumberFormat="1" applyFont="1" applyFill="1" applyBorder="1" applyAlignment="1">
      <alignment horizontal="center" vertical="center"/>
    </xf>
    <xf numFmtId="164" fontId="12" fillId="12" borderId="68" xfId="1" applyNumberFormat="1" applyFont="1" applyFill="1" applyBorder="1" applyAlignment="1">
      <alignment horizontal="center" vertical="center" wrapText="1"/>
    </xf>
    <xf numFmtId="164" fontId="45" fillId="13" borderId="30" xfId="1" applyNumberFormat="1" applyFont="1" applyFill="1" applyBorder="1" applyAlignment="1"/>
    <xf numFmtId="164" fontId="0" fillId="0" borderId="30" xfId="1" applyNumberFormat="1" applyFont="1" applyBorder="1" applyAlignment="1"/>
    <xf numFmtId="164" fontId="0" fillId="13" borderId="30" xfId="1" applyNumberFormat="1" applyFont="1" applyFill="1" applyBorder="1" applyAlignment="1"/>
    <xf numFmtId="164" fontId="40" fillId="13" borderId="66" xfId="1" applyNumberFormat="1" applyFont="1" applyFill="1" applyBorder="1" applyAlignment="1"/>
    <xf numFmtId="164" fontId="45" fillId="0" borderId="30" xfId="1" applyNumberFormat="1" applyFont="1" applyBorder="1" applyAlignment="1"/>
    <xf numFmtId="0" fontId="0" fillId="0" borderId="39" xfId="0" applyFont="1" applyBorder="1" applyAlignment="1"/>
    <xf numFmtId="0" fontId="0" fillId="0" borderId="69" xfId="0" applyFont="1" applyBorder="1" applyAlignment="1"/>
    <xf numFmtId="164" fontId="0" fillId="0" borderId="40" xfId="1" applyNumberFormat="1" applyFont="1" applyBorder="1" applyAlignment="1"/>
    <xf numFmtId="10" fontId="0" fillId="0" borderId="0" xfId="2" applyNumberFormat="1" applyFont="1" applyAlignment="1"/>
    <xf numFmtId="14" fontId="0" fillId="0" borderId="2" xfId="1" applyNumberFormat="1" applyFont="1" applyBorder="1"/>
    <xf numFmtId="10" fontId="0" fillId="0" borderId="2" xfId="2" applyNumberFormat="1" applyFont="1" applyBorder="1"/>
    <xf numFmtId="164" fontId="0" fillId="0" borderId="2" xfId="0" applyNumberFormat="1" applyBorder="1"/>
    <xf numFmtId="0" fontId="40" fillId="0" borderId="2" xfId="0" applyFont="1" applyBorder="1" applyAlignment="1">
      <alignment wrapText="1"/>
    </xf>
    <xf numFmtId="43" fontId="0" fillId="0" borderId="2" xfId="1" applyFont="1" applyBorder="1"/>
    <xf numFmtId="0" fontId="0" fillId="0" borderId="2" xfId="0" applyBorder="1" applyAlignment="1">
      <alignment wrapText="1"/>
    </xf>
    <xf numFmtId="0" fontId="70" fillId="0" borderId="0" xfId="0" applyFont="1" applyAlignment="1"/>
    <xf numFmtId="43" fontId="0" fillId="0" borderId="0" xfId="1" applyFont="1" applyAlignment="1">
      <alignment wrapText="1"/>
    </xf>
    <xf numFmtId="0" fontId="45" fillId="0" borderId="0" xfId="0" applyFont="1" applyBorder="1" applyAlignment="1"/>
    <xf numFmtId="0" fontId="64" fillId="19" borderId="2" xfId="0" applyFont="1" applyFill="1" applyBorder="1" applyAlignment="1">
      <alignment horizontal="center" vertical="center"/>
    </xf>
    <xf numFmtId="0" fontId="64" fillId="19" borderId="2" xfId="0" applyFont="1" applyFill="1" applyBorder="1" applyAlignment="1">
      <alignment horizontal="center" vertical="center" wrapText="1"/>
    </xf>
    <xf numFmtId="2" fontId="64" fillId="19" borderId="2" xfId="1" applyNumberFormat="1" applyFont="1" applyFill="1" applyBorder="1" applyAlignment="1">
      <alignment horizontal="center" vertical="center" wrapText="1"/>
    </xf>
    <xf numFmtId="0" fontId="0" fillId="11" borderId="2" xfId="0" applyFill="1" applyBorder="1" applyAlignment="1">
      <alignment horizontal="center" vertical="center"/>
    </xf>
    <xf numFmtId="0" fontId="0" fillId="0" borderId="2" xfId="0" applyBorder="1" applyAlignment="1">
      <alignment horizontal="center" vertical="center"/>
    </xf>
    <xf numFmtId="10" fontId="40" fillId="14" borderId="2" xfId="2" applyNumberFormat="1" applyFont="1" applyFill="1" applyBorder="1" applyAlignment="1">
      <alignment horizontal="center" vertical="center"/>
    </xf>
    <xf numFmtId="165" fontId="53" fillId="4" borderId="0" xfId="1" applyNumberFormat="1" applyFont="1" applyFill="1" applyProtection="1"/>
    <xf numFmtId="14" fontId="53" fillId="4" borderId="0" xfId="0" applyNumberFormat="1" applyFont="1" applyFill="1" applyProtection="1"/>
    <xf numFmtId="0" fontId="53" fillId="4" borderId="0" xfId="0" applyFont="1" applyFill="1" applyProtection="1"/>
    <xf numFmtId="0" fontId="61" fillId="12" borderId="0" xfId="0" applyNumberFormat="1" applyFont="1" applyFill="1" applyProtection="1"/>
    <xf numFmtId="0" fontId="53" fillId="0" borderId="2" xfId="0" applyFont="1" applyBorder="1" applyAlignment="1" applyProtection="1">
      <alignment horizontal="left" vertical="center" wrapText="1" indent="1"/>
    </xf>
    <xf numFmtId="175" fontId="53" fillId="3" borderId="2" xfId="0" applyNumberFormat="1" applyFont="1" applyFill="1" applyBorder="1" applyAlignment="1" applyProtection="1">
      <alignment horizontal="center" vertical="center"/>
    </xf>
    <xf numFmtId="175" fontId="53" fillId="4" borderId="0" xfId="0" applyNumberFormat="1" applyFont="1" applyFill="1" applyProtection="1"/>
    <xf numFmtId="0" fontId="46" fillId="0" borderId="47" xfId="0" applyFont="1" applyBorder="1" applyAlignment="1">
      <alignment vertical="center" wrapText="1"/>
    </xf>
    <xf numFmtId="0" fontId="0" fillId="0" borderId="2" xfId="0" applyBorder="1" applyAlignment="1">
      <alignment horizontal="center" vertical="top" wrapText="1"/>
    </xf>
    <xf numFmtId="0" fontId="0" fillId="0" borderId="0" xfId="0" applyAlignment="1">
      <alignment vertical="top"/>
    </xf>
    <xf numFmtId="0" fontId="0" fillId="0" borderId="0" xfId="0" applyAlignment="1">
      <alignment vertical="center"/>
    </xf>
    <xf numFmtId="0" fontId="0" fillId="0" borderId="5" xfId="0" applyBorder="1" applyAlignment="1">
      <alignment vertical="top" wrapText="1"/>
    </xf>
    <xf numFmtId="0" fontId="0" fillId="0" borderId="6" xfId="0" applyBorder="1" applyAlignment="1">
      <alignment vertical="top" wrapText="1"/>
    </xf>
    <xf numFmtId="0" fontId="0" fillId="0" borderId="0" xfId="0" applyAlignment="1">
      <alignment vertical="top" wrapText="1"/>
    </xf>
    <xf numFmtId="0" fontId="0" fillId="0" borderId="2" xfId="0" applyBorder="1" applyAlignment="1">
      <alignment vertical="top" wrapText="1"/>
    </xf>
    <xf numFmtId="0" fontId="0" fillId="0" borderId="2" xfId="0" applyBorder="1" applyAlignment="1">
      <alignment vertical="top"/>
    </xf>
    <xf numFmtId="0" fontId="0" fillId="0" borderId="0" xfId="0" applyFont="1" applyFill="1" applyBorder="1" applyAlignment="1"/>
    <xf numFmtId="0" fontId="67" fillId="0" borderId="0" xfId="0" applyFont="1" applyAlignment="1"/>
    <xf numFmtId="43" fontId="0" fillId="0" borderId="0" xfId="1" applyFont="1" applyAlignment="1"/>
    <xf numFmtId="165" fontId="0" fillId="0" borderId="0" xfId="0" applyNumberFormat="1"/>
    <xf numFmtId="166" fontId="0" fillId="0" borderId="0" xfId="2" applyNumberFormat="1" applyFont="1" applyAlignment="1">
      <alignment wrapText="1"/>
    </xf>
    <xf numFmtId="10" fontId="43" fillId="0" borderId="2" xfId="2" applyNumberFormat="1" applyFont="1" applyBorder="1" applyAlignment="1" applyProtection="1">
      <alignment horizontal="center" wrapText="1"/>
      <protection locked="0"/>
    </xf>
    <xf numFmtId="43" fontId="0" fillId="13" borderId="0" xfId="1" applyNumberFormat="1" applyFont="1" applyFill="1" applyBorder="1" applyAlignment="1"/>
    <xf numFmtId="164" fontId="0" fillId="17" borderId="0" xfId="1" applyNumberFormat="1" applyFont="1" applyFill="1"/>
    <xf numFmtId="164" fontId="0" fillId="17" borderId="0" xfId="0" applyNumberFormat="1" applyFill="1"/>
    <xf numFmtId="174" fontId="0" fillId="0" borderId="0" xfId="1" applyNumberFormat="1" applyFont="1"/>
    <xf numFmtId="164" fontId="0" fillId="0" borderId="38" xfId="1" applyNumberFormat="1" applyFont="1" applyBorder="1" applyAlignment="1"/>
    <xf numFmtId="10" fontId="0" fillId="0" borderId="38" xfId="2" applyNumberFormat="1" applyFont="1" applyBorder="1" applyAlignment="1">
      <alignment wrapText="1"/>
    </xf>
    <xf numFmtId="166" fontId="0" fillId="0" borderId="38" xfId="2" applyNumberFormat="1" applyFont="1" applyBorder="1" applyAlignment="1">
      <alignment wrapText="1"/>
    </xf>
    <xf numFmtId="173" fontId="0" fillId="0" borderId="0" xfId="0" applyNumberFormat="1" applyFill="1"/>
    <xf numFmtId="0" fontId="0" fillId="0" borderId="0" xfId="0" applyNumberFormat="1" applyFill="1" applyAlignment="1"/>
    <xf numFmtId="2" fontId="65" fillId="0" borderId="2" xfId="1" applyNumberFormat="1" applyFont="1" applyBorder="1" applyAlignment="1">
      <alignment horizontal="center" vertical="center"/>
    </xf>
    <xf numFmtId="14" fontId="0" fillId="0" borderId="2" xfId="0" applyNumberFormat="1" applyBorder="1" applyAlignment="1">
      <alignment horizontal="left"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xf>
    <xf numFmtId="14" fontId="0" fillId="0" borderId="2" xfId="0" applyNumberFormat="1" applyBorder="1" applyAlignment="1">
      <alignment horizontal="left"/>
    </xf>
    <xf numFmtId="0" fontId="0" fillId="0" borderId="2" xfId="0" applyFont="1" applyBorder="1" applyAlignment="1">
      <alignment horizontal="left" wrapText="1"/>
    </xf>
    <xf numFmtId="0" fontId="65" fillId="0" borderId="0" xfId="0" applyFont="1"/>
    <xf numFmtId="0" fontId="65" fillId="0" borderId="0" xfId="10" applyFont="1"/>
    <xf numFmtId="0" fontId="0" fillId="0" borderId="38" xfId="0" applyBorder="1" applyAlignment="1">
      <alignment horizontal="left"/>
    </xf>
    <xf numFmtId="175" fontId="54" fillId="0" borderId="36" xfId="0" applyNumberFormat="1" applyFont="1" applyBorder="1" applyAlignment="1" applyProtection="1">
      <alignment horizontal="center" vertical="center"/>
    </xf>
    <xf numFmtId="175" fontId="54" fillId="0" borderId="3" xfId="0" applyNumberFormat="1" applyFont="1" applyBorder="1" applyAlignment="1" applyProtection="1">
      <alignment horizontal="center" vertical="center"/>
    </xf>
    <xf numFmtId="175" fontId="54" fillId="0" borderId="4" xfId="0" applyNumberFormat="1" applyFont="1" applyBorder="1" applyAlignment="1" applyProtection="1">
      <alignment horizontal="center" vertical="center"/>
    </xf>
    <xf numFmtId="175" fontId="54" fillId="16" borderId="36" xfId="0" applyNumberFormat="1" applyFont="1" applyFill="1" applyBorder="1" applyAlignment="1" applyProtection="1">
      <alignment horizontal="center" vertical="center"/>
    </xf>
    <xf numFmtId="175" fontId="54" fillId="16" borderId="3" xfId="0" applyNumberFormat="1" applyFont="1" applyFill="1" applyBorder="1" applyAlignment="1" applyProtection="1">
      <alignment horizontal="center" vertical="center"/>
    </xf>
    <xf numFmtId="175" fontId="54" fillId="16" borderId="4" xfId="0" applyNumberFormat="1" applyFont="1" applyFill="1" applyBorder="1" applyAlignment="1" applyProtection="1">
      <alignment horizontal="center" vertical="center"/>
    </xf>
    <xf numFmtId="0" fontId="54" fillId="0" borderId="36" xfId="0" applyFont="1" applyBorder="1" applyAlignment="1" applyProtection="1">
      <alignment horizontal="center" vertical="center" wrapText="1"/>
    </xf>
    <xf numFmtId="0" fontId="54" fillId="0" borderId="4" xfId="0" applyFont="1" applyBorder="1" applyAlignment="1" applyProtection="1">
      <alignment horizontal="center" vertical="center" wrapText="1"/>
    </xf>
    <xf numFmtId="0" fontId="7" fillId="3" borderId="1" xfId="0" applyFont="1" applyFill="1" applyBorder="1" applyAlignment="1" applyProtection="1">
      <alignment horizontal="center" wrapText="1"/>
      <protection locked="0"/>
    </xf>
    <xf numFmtId="0" fontId="7" fillId="3" borderId="6" xfId="0" applyFont="1" applyFill="1" applyBorder="1" applyAlignment="1" applyProtection="1">
      <alignment horizontal="center" wrapText="1"/>
      <protection locked="0"/>
    </xf>
    <xf numFmtId="0" fontId="3" fillId="3" borderId="1" xfId="0" applyFont="1" applyFill="1" applyBorder="1" applyAlignment="1" applyProtection="1">
      <alignment horizontal="center" wrapText="1"/>
      <protection locked="0"/>
    </xf>
    <xf numFmtId="0" fontId="3" fillId="3" borderId="6" xfId="0" applyFont="1" applyFill="1" applyBorder="1" applyAlignment="1" applyProtection="1">
      <alignment horizontal="center" wrapText="1"/>
      <protection locked="0"/>
    </xf>
    <xf numFmtId="0" fontId="12" fillId="3" borderId="31" xfId="0" applyFont="1" applyFill="1" applyBorder="1" applyAlignment="1" applyProtection="1">
      <alignment horizontal="center" wrapText="1"/>
      <protection locked="0"/>
    </xf>
    <xf numFmtId="0" fontId="12" fillId="3" borderId="34" xfId="0" applyFont="1" applyFill="1" applyBorder="1" applyAlignment="1" applyProtection="1">
      <alignment horizontal="center" wrapText="1"/>
      <protection locked="0"/>
    </xf>
  </cellXfs>
  <cellStyles count="11">
    <cellStyle name="Comma" xfId="1" builtinId="3"/>
    <cellStyle name="Comma 2" xfId="5"/>
    <cellStyle name="Comma 3" xfId="7"/>
    <cellStyle name="Comma 4" xfId="9"/>
    <cellStyle name="Hyperlink" xfId="10" builtinId="8"/>
    <cellStyle name="Normal" xfId="0" builtinId="0"/>
    <cellStyle name="Normal 2" xfId="4"/>
    <cellStyle name="Normal 3" xfId="6"/>
    <cellStyle name="Normal 4" xfId="3"/>
    <cellStyle name="Normal 5" xfId="8"/>
    <cellStyle name="Percent" xfId="2" builtinId="5"/>
  </cellStyles>
  <dxfs count="1">
    <dxf>
      <fill>
        <patternFill>
          <bgColor rgb="FF92D050"/>
        </patternFill>
      </fill>
    </dxf>
  </dxfs>
  <tableStyles count="0" defaultTableStyle="TableStyleMedium2" defaultPivotStyle="PivotStyleLight16"/>
  <colors>
    <mruColors>
      <color rgb="FFDAEEF3"/>
      <color rgb="FFFFFFCC"/>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1800" b="1" i="0" u="none" strike="noStrike" kern="1200" baseline="0">
                <a:solidFill>
                  <a:srgbClr val="000000"/>
                </a:solidFill>
                <a:latin typeface="+mn-lt"/>
                <a:ea typeface="+mn-ea"/>
                <a:cs typeface="+mn-cs"/>
              </a:defRPr>
            </a:pPr>
            <a:r>
              <a:rPr lang="zh-CN" altLang="en-US" sz="1800" b="1" i="0" u="none" strike="noStrike" kern="1200" baseline="0">
                <a:solidFill>
                  <a:srgbClr val="000000"/>
                </a:solidFill>
                <a:effectLst/>
                <a:latin typeface="+mn-lt"/>
                <a:ea typeface="+mn-ea"/>
                <a:cs typeface="+mn-cs"/>
              </a:rPr>
              <a:t>基于</a:t>
            </a:r>
            <a:r>
              <a:rPr lang="en-US" altLang="zh-CN" sz="1800" b="1" i="0" u="none" strike="noStrike" kern="1200" baseline="0">
                <a:solidFill>
                  <a:srgbClr val="000000"/>
                </a:solidFill>
                <a:effectLst/>
                <a:latin typeface="+mn-lt"/>
                <a:ea typeface="+mn-ea"/>
                <a:cs typeface="+mn-cs"/>
              </a:rPr>
              <a:t>03/16</a:t>
            </a:r>
            <a:r>
              <a:rPr lang="zh-CN" altLang="en-US" sz="1800" b="1" i="0" u="none" strike="noStrike" kern="1200" baseline="0">
                <a:solidFill>
                  <a:srgbClr val="000000"/>
                </a:solidFill>
                <a:effectLst/>
                <a:latin typeface="+mn-lt"/>
                <a:ea typeface="+mn-ea"/>
                <a:cs typeface="+mn-cs"/>
              </a:rPr>
              <a:t>预测</a:t>
            </a:r>
            <a:r>
              <a:rPr lang="en-US" sz="1800" b="1" i="0" u="none" strike="noStrike" kern="1200" baseline="0">
                <a:solidFill>
                  <a:srgbClr val="000000"/>
                </a:solidFill>
                <a:effectLst/>
                <a:latin typeface="+mn-lt"/>
                <a:ea typeface="+mn-ea"/>
                <a:cs typeface="+mn-cs"/>
              </a:rPr>
              <a:t>Buffer </a:t>
            </a:r>
            <a:endParaRPr lang="en-US" altLang="en-US" sz="1800" b="1" i="0" u="none" strike="noStrike" kern="1200" baseline="0">
              <a:solidFill>
                <a:srgbClr val="000000"/>
              </a:solidFill>
              <a:effectLst/>
              <a:latin typeface="+mn-lt"/>
              <a:ea typeface="+mn-ea"/>
              <a:cs typeface="+mn-cs"/>
            </a:endParaRPr>
          </a:p>
          <a:p>
            <a:pPr algn="ctr" rtl="0">
              <a:defRPr sz="1800" b="1" i="0" u="none" strike="noStrike" kern="1200" baseline="0">
                <a:solidFill>
                  <a:srgbClr val="000000"/>
                </a:solidFill>
                <a:latin typeface="+mn-lt"/>
                <a:ea typeface="+mn-ea"/>
                <a:cs typeface="+mn-cs"/>
              </a:defRPr>
            </a:pPr>
            <a:r>
              <a:rPr lang="en-US" altLang="en-US"/>
              <a:t>(Percentile</a:t>
            </a:r>
            <a:r>
              <a:rPr lang="en-US" altLang="en-US" baseline="0"/>
              <a:t> vs Buffer</a:t>
            </a:r>
            <a:r>
              <a:rPr lang="zh-CN" altLang="en-US" baseline="0"/>
              <a:t>盈余</a:t>
            </a:r>
            <a:r>
              <a:rPr lang="en-US" altLang="zh-CN" baseline="0"/>
              <a:t>MM USD</a:t>
            </a:r>
            <a:r>
              <a:rPr lang="en-US" altLang="en-US"/>
              <a:t>)</a:t>
            </a:r>
            <a:endParaRPr lang="en-US"/>
          </a:p>
        </c:rich>
      </c:tx>
      <c:overlay val="0"/>
    </c:title>
    <c:autoTitleDeleted val="0"/>
    <c:plotArea>
      <c:layout/>
      <c:scatterChart>
        <c:scatterStyle val="smoothMarker"/>
        <c:varyColors val="0"/>
        <c:ser>
          <c:idx val="0"/>
          <c:order val="0"/>
          <c:tx>
            <c:strRef>
              <c:f>VOLA!$O$7</c:f>
              <c:strCache>
                <c:ptCount val="1"/>
                <c:pt idx="0">
                  <c:v>基于12/31预测Buffer</c:v>
                </c:pt>
              </c:strCache>
            </c:strRef>
          </c:tx>
          <c:dLbls>
            <c:dLblPos val="l"/>
            <c:showLegendKey val="0"/>
            <c:showVal val="1"/>
            <c:showCatName val="1"/>
            <c:showSerName val="0"/>
            <c:showPercent val="0"/>
            <c:showBubbleSize val="0"/>
            <c:showLeaderLines val="0"/>
          </c:dLbls>
          <c:xVal>
            <c:numRef>
              <c:f>VOLA!$K$8:$K$18</c:f>
              <c:numCache>
                <c:formatCode>0.0%</c:formatCode>
                <c:ptCount val="11"/>
                <c:pt idx="0">
                  <c:v>5.0000000000000001E-3</c:v>
                </c:pt>
                <c:pt idx="1">
                  <c:v>0.01</c:v>
                </c:pt>
                <c:pt idx="2">
                  <c:v>0.02</c:v>
                </c:pt>
                <c:pt idx="3">
                  <c:v>0.03</c:v>
                </c:pt>
                <c:pt idx="4">
                  <c:v>0.04</c:v>
                </c:pt>
                <c:pt idx="5">
                  <c:v>0.05</c:v>
                </c:pt>
                <c:pt idx="6">
                  <c:v>0.08</c:v>
                </c:pt>
                <c:pt idx="7">
                  <c:v>0.1</c:v>
                </c:pt>
                <c:pt idx="8">
                  <c:v>0.15</c:v>
                </c:pt>
                <c:pt idx="9">
                  <c:v>0.2</c:v>
                </c:pt>
                <c:pt idx="10">
                  <c:v>0.3</c:v>
                </c:pt>
              </c:numCache>
            </c:numRef>
          </c:xVal>
          <c:yVal>
            <c:numRef>
              <c:f>VOLA!$O$8:$O$18</c:f>
              <c:numCache>
                <c:formatCode>_(* #,##0_);_(* \(#,##0\);_(* "-"??_);_(@_)</c:formatCode>
                <c:ptCount val="11"/>
                <c:pt idx="0">
                  <c:v>3192.5873992881079</c:v>
                </c:pt>
                <c:pt idx="1">
                  <c:v>3359.2361924600682</c:v>
                </c:pt>
                <c:pt idx="2">
                  <c:v>4064.7535483526171</c:v>
                </c:pt>
                <c:pt idx="3">
                  <c:v>4336.2082073605543</c:v>
                </c:pt>
                <c:pt idx="4">
                  <c:v>4779.3315204227274</c:v>
                </c:pt>
                <c:pt idx="5">
                  <c:v>5083.4496413256948</c:v>
                </c:pt>
                <c:pt idx="6">
                  <c:v>6025.1066266788239</c:v>
                </c:pt>
                <c:pt idx="7">
                  <c:v>6509.396928793607</c:v>
                </c:pt>
                <c:pt idx="8">
                  <c:v>7416.9704541070005</c:v>
                </c:pt>
                <c:pt idx="9">
                  <c:v>8049.3901539505296</c:v>
                </c:pt>
                <c:pt idx="10">
                  <c:v>9213.3318811905065</c:v>
                </c:pt>
              </c:numCache>
            </c:numRef>
          </c:yVal>
          <c:smooth val="1"/>
        </c:ser>
        <c:dLbls>
          <c:showLegendKey val="0"/>
          <c:showVal val="0"/>
          <c:showCatName val="0"/>
          <c:showSerName val="0"/>
          <c:showPercent val="0"/>
          <c:showBubbleSize val="0"/>
        </c:dLbls>
        <c:axId val="150428288"/>
        <c:axId val="150446464"/>
      </c:scatterChart>
      <c:valAx>
        <c:axId val="150428288"/>
        <c:scaling>
          <c:logBase val="2"/>
          <c:orientation val="minMax"/>
        </c:scaling>
        <c:delete val="0"/>
        <c:axPos val="b"/>
        <c:numFmt formatCode="0.0%" sourceLinked="1"/>
        <c:majorTickMark val="out"/>
        <c:minorTickMark val="none"/>
        <c:tickLblPos val="nextTo"/>
        <c:crossAx val="150446464"/>
        <c:crosses val="autoZero"/>
        <c:crossBetween val="midCat"/>
      </c:valAx>
      <c:valAx>
        <c:axId val="150446464"/>
        <c:scaling>
          <c:orientation val="minMax"/>
        </c:scaling>
        <c:delete val="0"/>
        <c:axPos val="l"/>
        <c:majorGridlines/>
        <c:numFmt formatCode="_(* #,##0_);_(* \(#,##0\);_(* &quot;-&quot;??_);_(@_)" sourceLinked="1"/>
        <c:majorTickMark val="out"/>
        <c:minorTickMark val="none"/>
        <c:tickLblPos val="nextTo"/>
        <c:crossAx val="15042828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1562100</xdr:colOff>
      <xdr:row>1</xdr:row>
      <xdr:rowOff>142875</xdr:rowOff>
    </xdr:from>
    <xdr:to>
      <xdr:col>7</xdr:col>
      <xdr:colOff>323850</xdr:colOff>
      <xdr:row>8</xdr:row>
      <xdr:rowOff>9525</xdr:rowOff>
    </xdr:to>
    <xdr:grpSp>
      <xdr:nvGrpSpPr>
        <xdr:cNvPr id="2" name="Group 1"/>
        <xdr:cNvGrpSpPr/>
      </xdr:nvGrpSpPr>
      <xdr:grpSpPr>
        <a:xfrm>
          <a:off x="8562975" y="323850"/>
          <a:ext cx="4352925" cy="6505575"/>
          <a:chOff x="7648575" y="438150"/>
          <a:chExt cx="4352925" cy="5857875"/>
        </a:xfrm>
      </xdr:grpSpPr>
      <xdr:grpSp>
        <xdr:nvGrpSpPr>
          <xdr:cNvPr id="3" name="Group 2"/>
          <xdr:cNvGrpSpPr/>
        </xdr:nvGrpSpPr>
        <xdr:grpSpPr>
          <a:xfrm>
            <a:off x="7648575" y="438150"/>
            <a:ext cx="4352925" cy="2114550"/>
            <a:chOff x="7648575" y="438150"/>
            <a:chExt cx="4352925" cy="2114550"/>
          </a:xfrm>
        </xdr:grpSpPr>
        <xdr:sp macro="" textlink="">
          <xdr:nvSpPr>
            <xdr:cNvPr id="13" name="Rectangle 12"/>
            <xdr:cNvSpPr/>
          </xdr:nvSpPr>
          <xdr:spPr bwMode="ltGray">
            <a:xfrm>
              <a:off x="7648575" y="438150"/>
              <a:ext cx="4352925" cy="2114550"/>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dirty="0" err="1" smtClean="0">
                  <a:solidFill>
                    <a:sysClr val="windowText" lastClr="000000"/>
                  </a:solidFill>
                  <a:latin typeface="Georgia" pitchFamily="18" charset="0"/>
                </a:rPr>
                <a:t>Source:</a:t>
              </a:r>
            </a:p>
          </xdr:txBody>
        </xdr:sp>
        <xdr:sp macro="" textlink="">
          <xdr:nvSpPr>
            <xdr:cNvPr id="14" name="Rectangle 13"/>
            <xdr:cNvSpPr/>
          </xdr:nvSpPr>
          <xdr:spPr bwMode="ltGray">
            <a:xfrm>
              <a:off x="8020051" y="742950"/>
              <a:ext cx="1600200" cy="581025"/>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dirty="0" err="1" smtClean="0">
                  <a:solidFill>
                    <a:sysClr val="windowText" lastClr="000000"/>
                  </a:solidFill>
                  <a:latin typeface="Georgia" pitchFamily="18" charset="0"/>
                </a:rPr>
                <a:t>Data</a:t>
              </a:r>
              <a:r>
                <a:rPr lang="en-US" sz="1400" baseline="0" dirty="0" err="1" smtClean="0">
                  <a:solidFill>
                    <a:sysClr val="windowText" lastClr="000000"/>
                  </a:solidFill>
                  <a:latin typeface="Georgia" pitchFamily="18" charset="0"/>
                </a:rPr>
                <a:t> Interface</a:t>
              </a:r>
              <a:endParaRPr lang="en-US" sz="1400" dirty="0" err="1" smtClean="0">
                <a:solidFill>
                  <a:sysClr val="windowText" lastClr="000000"/>
                </a:solidFill>
                <a:latin typeface="Georgia" pitchFamily="18" charset="0"/>
              </a:endParaRPr>
            </a:p>
          </xdr:txBody>
        </xdr:sp>
        <xdr:sp macro="" textlink="">
          <xdr:nvSpPr>
            <xdr:cNvPr id="15" name="Rectangle 14"/>
            <xdr:cNvSpPr/>
          </xdr:nvSpPr>
          <xdr:spPr bwMode="ltGray">
            <a:xfrm>
              <a:off x="9886951" y="733425"/>
              <a:ext cx="1600200" cy="581025"/>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dirty="0" err="1" smtClean="0">
                  <a:solidFill>
                    <a:sysClr val="windowText" lastClr="000000"/>
                  </a:solidFill>
                  <a:latin typeface="Georgia" pitchFamily="18" charset="0"/>
                </a:rPr>
                <a:t>Assumptions</a:t>
              </a:r>
            </a:p>
          </xdr:txBody>
        </xdr:sp>
      </xdr:grpSp>
      <xdr:sp macro="" textlink="">
        <xdr:nvSpPr>
          <xdr:cNvPr id="4" name="Rectangle 3"/>
          <xdr:cNvSpPr/>
        </xdr:nvSpPr>
        <xdr:spPr bwMode="ltGray">
          <a:xfrm>
            <a:off x="7648575" y="2562225"/>
            <a:ext cx="4352925" cy="1619250"/>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dirty="0" err="1" smtClean="0">
                <a:solidFill>
                  <a:sysClr val="windowText" lastClr="000000"/>
                </a:solidFill>
                <a:latin typeface="Georgia" pitchFamily="18" charset="0"/>
              </a:rPr>
              <a:t>Calculation:</a:t>
            </a:r>
          </a:p>
        </xdr:txBody>
      </xdr:sp>
      <xdr:sp macro="" textlink="">
        <xdr:nvSpPr>
          <xdr:cNvPr id="5" name="Rectangle 4"/>
          <xdr:cNvSpPr/>
        </xdr:nvSpPr>
        <xdr:spPr bwMode="ltGray">
          <a:xfrm>
            <a:off x="9001126" y="2809875"/>
            <a:ext cx="1600200" cy="581025"/>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dirty="0" err="1" smtClean="0">
                <a:solidFill>
                  <a:sysClr val="windowText" lastClr="000000"/>
                </a:solidFill>
                <a:latin typeface="Georgia" pitchFamily="18" charset="0"/>
              </a:rPr>
              <a:t>Data Processing</a:t>
            </a:r>
          </a:p>
        </xdr:txBody>
      </xdr:sp>
      <xdr:sp macro="" textlink="">
        <xdr:nvSpPr>
          <xdr:cNvPr id="6" name="Rectangle 5"/>
          <xdr:cNvSpPr/>
        </xdr:nvSpPr>
        <xdr:spPr bwMode="ltGray">
          <a:xfrm>
            <a:off x="7648575" y="4181475"/>
            <a:ext cx="4352925" cy="2114550"/>
          </a:xfrm>
          <a:prstGeom prst="rect">
            <a:avLst/>
          </a:prstGeom>
          <a:solidFill>
            <a:schemeClr val="bg1"/>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dirty="0" err="1" smtClean="0">
                <a:solidFill>
                  <a:sysClr val="windowText" lastClr="000000"/>
                </a:solidFill>
                <a:latin typeface="Georgia" pitchFamily="18" charset="0"/>
              </a:rPr>
              <a:t>Output</a:t>
            </a:r>
            <a:r>
              <a:rPr lang="en-US" sz="1100" baseline="0" dirty="0" err="1" smtClean="0">
                <a:solidFill>
                  <a:sysClr val="windowText" lastClr="000000"/>
                </a:solidFill>
                <a:latin typeface="Georgia" pitchFamily="18" charset="0"/>
              </a:rPr>
              <a:t> Report:</a:t>
            </a:r>
            <a:endParaRPr lang="en-US" sz="1100" dirty="0" err="1" smtClean="0">
              <a:solidFill>
                <a:sysClr val="windowText" lastClr="000000"/>
              </a:solidFill>
              <a:latin typeface="Georgia" pitchFamily="18" charset="0"/>
            </a:endParaRPr>
          </a:p>
        </xdr:txBody>
      </xdr:sp>
      <xdr:sp macro="" textlink="">
        <xdr:nvSpPr>
          <xdr:cNvPr id="7" name="Rectangle 6"/>
          <xdr:cNvSpPr/>
        </xdr:nvSpPr>
        <xdr:spPr bwMode="ltGray">
          <a:xfrm>
            <a:off x="7810501" y="4629150"/>
            <a:ext cx="1600200" cy="581025"/>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dirty="0" err="1" smtClean="0">
                <a:solidFill>
                  <a:sysClr val="windowText" lastClr="000000"/>
                </a:solidFill>
                <a:latin typeface="Georgia" pitchFamily="18" charset="0"/>
              </a:rPr>
              <a:t>Daily Cashflow</a:t>
            </a:r>
          </a:p>
          <a:p>
            <a:pPr algn="ctr"/>
            <a:r>
              <a:rPr lang="en-US" sz="1400" dirty="0" err="1" smtClean="0">
                <a:solidFill>
                  <a:sysClr val="windowText" lastClr="000000"/>
                </a:solidFill>
                <a:latin typeface="Georgia" pitchFamily="18" charset="0"/>
              </a:rPr>
              <a:t>(Official Result)</a:t>
            </a:r>
          </a:p>
        </xdr:txBody>
      </xdr:sp>
      <xdr:sp macro="" textlink="">
        <xdr:nvSpPr>
          <xdr:cNvPr id="8" name="Rectangle 7"/>
          <xdr:cNvSpPr/>
        </xdr:nvSpPr>
        <xdr:spPr bwMode="ltGray">
          <a:xfrm>
            <a:off x="9925051" y="4629150"/>
            <a:ext cx="1743074" cy="581025"/>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dirty="0" err="1" smtClean="0">
                <a:solidFill>
                  <a:sysClr val="windowText" lastClr="000000"/>
                </a:solidFill>
                <a:latin typeface="Georgia" pitchFamily="18" charset="0"/>
              </a:rPr>
              <a:t>Daily CF 3</a:t>
            </a:r>
            <a:r>
              <a:rPr lang="en-US" sz="1400" baseline="0" dirty="0" err="1" smtClean="0">
                <a:solidFill>
                  <a:sysClr val="windowText" lastClr="000000"/>
                </a:solidFill>
                <a:latin typeface="Georgia" pitchFamily="18" charset="0"/>
              </a:rPr>
              <a:t> </a:t>
            </a:r>
            <a:r>
              <a:rPr lang="en-US" sz="1400" dirty="0" err="1" smtClean="0">
                <a:solidFill>
                  <a:sysClr val="windowText" lastClr="000000"/>
                </a:solidFill>
                <a:latin typeface="Georgia" pitchFamily="18" charset="0"/>
              </a:rPr>
              <a:t>Scenario</a:t>
            </a:r>
          </a:p>
          <a:p>
            <a:pPr algn="ctr"/>
            <a:r>
              <a:rPr lang="en-US" sz="1400" dirty="0" err="1" smtClean="0">
                <a:solidFill>
                  <a:sysClr val="windowText" lastClr="000000"/>
                </a:solidFill>
                <a:latin typeface="Georgia" pitchFamily="18" charset="0"/>
              </a:rPr>
              <a:t>(Result Summary)</a:t>
            </a:r>
          </a:p>
        </xdr:txBody>
      </xdr:sp>
      <xdr:sp macro="" textlink="">
        <xdr:nvSpPr>
          <xdr:cNvPr id="9" name="Rectangle 8"/>
          <xdr:cNvSpPr/>
        </xdr:nvSpPr>
        <xdr:spPr bwMode="ltGray">
          <a:xfrm>
            <a:off x="7820026" y="5486400"/>
            <a:ext cx="1600200" cy="581025"/>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dirty="0" err="1" smtClean="0">
                <a:solidFill>
                  <a:sysClr val="windowText" lastClr="000000"/>
                </a:solidFill>
                <a:latin typeface="Georgia" pitchFamily="18" charset="0"/>
              </a:rPr>
              <a:t>Model Report Formatized</a:t>
            </a:r>
          </a:p>
        </xdr:txBody>
      </xdr:sp>
      <xdr:sp macro="" textlink="">
        <xdr:nvSpPr>
          <xdr:cNvPr id="10" name="Rectangle 9"/>
          <xdr:cNvSpPr/>
        </xdr:nvSpPr>
        <xdr:spPr bwMode="ltGray">
          <a:xfrm>
            <a:off x="9915526" y="5486400"/>
            <a:ext cx="1762124" cy="581025"/>
          </a:xfrm>
          <a:prstGeom prst="rect">
            <a:avLst/>
          </a:prstGeom>
          <a:solidFill>
            <a:schemeClr val="accent1">
              <a:lumMod val="20000"/>
              <a:lumOff val="80000"/>
            </a:schemeClr>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dirty="0" err="1" smtClean="0">
                <a:solidFill>
                  <a:sysClr val="windowText" lastClr="000000"/>
                </a:solidFill>
                <a:latin typeface="Georgia" pitchFamily="18" charset="0"/>
              </a:rPr>
              <a:t>Other Reports</a:t>
            </a:r>
          </a:p>
        </xdr:txBody>
      </xdr:sp>
      <xdr:sp macro="" textlink="">
        <xdr:nvSpPr>
          <xdr:cNvPr id="11" name="Down Arrow 10"/>
          <xdr:cNvSpPr/>
        </xdr:nvSpPr>
        <xdr:spPr bwMode="ltGray">
          <a:xfrm>
            <a:off x="9048751" y="1638299"/>
            <a:ext cx="1352550" cy="666751"/>
          </a:xfrm>
          <a:prstGeom prst="downArrow">
            <a:avLst/>
          </a:prstGeom>
          <a:solidFill>
            <a:schemeClr val="tx2"/>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dirty="0" err="1" smtClean="0">
              <a:solidFill>
                <a:schemeClr val="bg1"/>
              </a:solidFill>
              <a:latin typeface="Georgia" pitchFamily="18" charset="0"/>
            </a:endParaRPr>
          </a:p>
        </xdr:txBody>
      </xdr:sp>
      <xdr:sp macro="" textlink="">
        <xdr:nvSpPr>
          <xdr:cNvPr id="12" name="Down Arrow 11"/>
          <xdr:cNvSpPr/>
        </xdr:nvSpPr>
        <xdr:spPr bwMode="ltGray">
          <a:xfrm>
            <a:off x="9134475" y="3667125"/>
            <a:ext cx="1257300" cy="666750"/>
          </a:xfrm>
          <a:prstGeom prst="downArrow">
            <a:avLst/>
          </a:prstGeom>
          <a:solidFill>
            <a:schemeClr val="tx2"/>
          </a:solid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dirty="0" err="1" smtClean="0">
              <a:solidFill>
                <a:schemeClr val="bg1"/>
              </a:solidFill>
              <a:latin typeface="Georgia" pitchFamily="18"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891516</xdr:colOff>
      <xdr:row>24</xdr:row>
      <xdr:rowOff>56028</xdr:rowOff>
    </xdr:from>
    <xdr:to>
      <xdr:col>13</xdr:col>
      <xdr:colOff>1501588</xdr:colOff>
      <xdr:row>54</xdr:row>
      <xdr:rowOff>118220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1438275</xdr:colOff>
          <xdr:row>2</xdr:row>
          <xdr:rowOff>66675</xdr:rowOff>
        </xdr:from>
        <xdr:to>
          <xdr:col>3</xdr:col>
          <xdr:colOff>47625</xdr:colOff>
          <xdr:row>3</xdr:row>
          <xdr:rowOff>238125</xdr:rowOff>
        </xdr:to>
        <xdr:sp macro="" textlink="">
          <xdr:nvSpPr>
            <xdr:cNvPr id="50177" name="Button 1" hidden="1">
              <a:extLst>
                <a:ext uri="{63B3BB69-23CF-44E3-9099-C40C66FF867C}">
                  <a14:compatExt spid="_x0000_s501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866775</xdr:colOff>
          <xdr:row>0</xdr:row>
          <xdr:rowOff>66675</xdr:rowOff>
        </xdr:from>
        <xdr:to>
          <xdr:col>4</xdr:col>
          <xdr:colOff>733425</xdr:colOff>
          <xdr:row>3</xdr:row>
          <xdr:rowOff>57150</xdr:rowOff>
        </xdr:to>
        <xdr:sp macro="" textlink="">
          <xdr:nvSpPr>
            <xdr:cNvPr id="47105" name="Button 1" hidden="1">
              <a:extLst>
                <a:ext uri="{63B3BB69-23CF-44E3-9099-C40C66FF867C}">
                  <a14:compatExt spid="_x0000_s471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52</xdr:row>
      <xdr:rowOff>85725</xdr:rowOff>
    </xdr:from>
    <xdr:to>
      <xdr:col>12</xdr:col>
      <xdr:colOff>209550</xdr:colOff>
      <xdr:row>52</xdr:row>
      <xdr:rowOff>85725</xdr:rowOff>
    </xdr:to>
    <xdr:cxnSp macro="">
      <xdr:nvCxnSpPr>
        <xdr:cNvPr id="3" name="Straight Connector 2"/>
        <xdr:cNvCxnSpPr/>
      </xdr:nvCxnSpPr>
      <xdr:spPr>
        <a:xfrm>
          <a:off x="209550" y="10163175"/>
          <a:ext cx="10477500"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5</xdr:col>
          <xdr:colOff>361950</xdr:colOff>
          <xdr:row>13</xdr:row>
          <xdr:rowOff>85725</xdr:rowOff>
        </xdr:from>
        <xdr:to>
          <xdr:col>6</xdr:col>
          <xdr:colOff>304800</xdr:colOff>
          <xdr:row>17</xdr:row>
          <xdr:rowOff>85725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5</xdr:col>
          <xdr:colOff>0</xdr:colOff>
          <xdr:row>2</xdr:row>
          <xdr:rowOff>0</xdr:rowOff>
        </xdr:to>
        <xdr:sp macro="" textlink="">
          <xdr:nvSpPr>
            <xdr:cNvPr id="82948" name="Button 4" hidden="1">
              <a:extLst>
                <a:ext uri="{63B3BB69-23CF-44E3-9099-C40C66FF867C}">
                  <a14:compatExt spid="_x0000_s829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82949" name="Button 5" hidden="1">
              <a:extLst>
                <a:ext uri="{63B3BB69-23CF-44E3-9099-C40C66FF867C}">
                  <a14:compatExt spid="_x0000_s829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0</xdr:rowOff>
        </xdr:from>
        <xdr:to>
          <xdr:col>5</xdr:col>
          <xdr:colOff>0</xdr:colOff>
          <xdr:row>4</xdr:row>
          <xdr:rowOff>190500</xdr:rowOff>
        </xdr:to>
        <xdr:sp macro="" textlink="">
          <xdr:nvSpPr>
            <xdr:cNvPr id="82950" name="Button 6" hidden="1">
              <a:extLst>
                <a:ext uri="{63B3BB69-23CF-44E3-9099-C40C66FF867C}">
                  <a14:compatExt spid="_x0000_s829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xdr:row>
          <xdr:rowOff>0</xdr:rowOff>
        </xdr:from>
        <xdr:to>
          <xdr:col>5</xdr:col>
          <xdr:colOff>0</xdr:colOff>
          <xdr:row>6</xdr:row>
          <xdr:rowOff>0</xdr:rowOff>
        </xdr:to>
        <xdr:sp macro="" textlink="">
          <xdr:nvSpPr>
            <xdr:cNvPr id="82951" name="Button 7" hidden="1">
              <a:extLst>
                <a:ext uri="{63B3BB69-23CF-44E3-9099-C40C66FF867C}">
                  <a14:compatExt spid="_x0000_s829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Unprotect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COMMON\FS2001\Consoju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roker"/>
      <sheetName val="Client"/>
      <sheetName val="JNL"/>
      <sheetName val="JNL_posting"/>
      <sheetName val="PJNL"/>
      <sheetName val="BYco_2k"/>
      <sheetName val="BYmth_2K"/>
      <sheetName val="PL (2)"/>
      <sheetName val="EXP_rec"/>
      <sheetName val="TAX"/>
      <sheetName val="ex res "/>
      <sheetName val="GRPBAL"/>
      <sheetName val="cover"/>
      <sheetName val="exrate"/>
      <sheetName val="88_FIRM"/>
      <sheetName val="PL"/>
      <sheetName val="EXP"/>
      <sheetName val="alcoflas"/>
      <sheetName val="report 2.2"/>
    </sheetNames>
    <sheetDataSet>
      <sheetData sheetId="0"/>
      <sheetData sheetId="1"/>
      <sheetData sheetId="2"/>
      <sheetData sheetId="3"/>
      <sheetData sheetId="4"/>
      <sheetData sheetId="5" refreshError="1">
        <row r="125">
          <cell r="C125" t="str">
            <v>YEAR ENDED 31 DEC 00</v>
          </cell>
          <cell r="D125" t="str">
            <v>HSBC BROKING SERVICES (ASIA) LTD</v>
          </cell>
          <cell r="E125" t="str">
            <v>HSBC BROKING SECURITIES (ASIA) LTD</v>
          </cell>
          <cell r="F125" t="str">
            <v>HSBC BROKING SERVICES (SINAGPORE) PTE LTD</v>
          </cell>
          <cell r="G125" t="str">
            <v>HSBC BROKING FUTURES (ASIA) LTD</v>
          </cell>
          <cell r="H125" t="str">
            <v>HSBC BROKING FOREX (ASIA) LTD</v>
          </cell>
        </row>
        <row r="126">
          <cell r="B126" t="str">
            <v>REVENUE</v>
          </cell>
          <cell r="C126" t="str">
            <v>(HK$)</v>
          </cell>
          <cell r="D126" t="str">
            <v>(HK$)</v>
          </cell>
          <cell r="E126" t="str">
            <v>(HK$)</v>
          </cell>
          <cell r="F126" t="str">
            <v>(HK$)</v>
          </cell>
          <cell r="G126" t="str">
            <v>(HK$)</v>
          </cell>
          <cell r="H126" t="str">
            <v>(HK$)</v>
          </cell>
        </row>
        <row r="127">
          <cell r="B127" t="str">
            <v>Futures</v>
          </cell>
        </row>
        <row r="128">
          <cell r="B128" t="str">
            <v xml:space="preserve">  Commission Income - Hong Kong</v>
          </cell>
          <cell r="C128">
            <v>23761451</v>
          </cell>
          <cell r="D128">
            <v>0</v>
          </cell>
          <cell r="E128">
            <v>0</v>
          </cell>
          <cell r="F128">
            <v>0</v>
          </cell>
          <cell r="G128">
            <v>10013259</v>
          </cell>
          <cell r="H128">
            <v>0</v>
          </cell>
        </row>
        <row r="129">
          <cell r="B129" t="str">
            <v xml:space="preserve">                  - Overseas</v>
          </cell>
          <cell r="C129">
            <v>12584210</v>
          </cell>
          <cell r="D129">
            <v>0</v>
          </cell>
          <cell r="E129">
            <v>0</v>
          </cell>
          <cell r="F129">
            <v>0</v>
          </cell>
          <cell r="G129">
            <v>18789307</v>
          </cell>
          <cell r="H129">
            <v>0</v>
          </cell>
        </row>
        <row r="130">
          <cell r="B130" t="str">
            <v xml:space="preserve">  AE Commission expenses </v>
          </cell>
          <cell r="C130">
            <v>-8778639</v>
          </cell>
          <cell r="D130">
            <v>0</v>
          </cell>
          <cell r="E130">
            <v>0</v>
          </cell>
          <cell r="F130">
            <v>0</v>
          </cell>
          <cell r="G130">
            <v>-9306301</v>
          </cell>
          <cell r="H130">
            <v>0</v>
          </cell>
        </row>
        <row r="131">
          <cell r="B131" t="str">
            <v xml:space="preserve">  Brokers Cost</v>
          </cell>
          <cell r="C131">
            <v>-5947902</v>
          </cell>
          <cell r="D131">
            <v>0</v>
          </cell>
          <cell r="E131">
            <v>0</v>
          </cell>
          <cell r="F131">
            <v>0</v>
          </cell>
          <cell r="G131">
            <v>-16561289</v>
          </cell>
          <cell r="H131">
            <v>0</v>
          </cell>
        </row>
        <row r="132">
          <cell r="B132" t="str">
            <v xml:space="preserve">  Errors</v>
          </cell>
          <cell r="C132">
            <v>-295636</v>
          </cell>
          <cell r="D132">
            <v>0</v>
          </cell>
          <cell r="E132">
            <v>0</v>
          </cell>
          <cell r="F132">
            <v>0</v>
          </cell>
          <cell r="G132">
            <v>-47903</v>
          </cell>
          <cell r="H132">
            <v>0</v>
          </cell>
        </row>
        <row r="133">
          <cell r="B133" t="str">
            <v xml:space="preserve">  Dealing P/L on futures &amp; opt trdg</v>
          </cell>
          <cell r="C133">
            <v>911948</v>
          </cell>
          <cell r="D133">
            <v>0</v>
          </cell>
          <cell r="E133">
            <v>0</v>
          </cell>
          <cell r="F133">
            <v>0</v>
          </cell>
          <cell r="G133">
            <v>0</v>
          </cell>
          <cell r="H133">
            <v>0</v>
          </cell>
        </row>
        <row r="134">
          <cell r="C134">
            <v>22235432</v>
          </cell>
          <cell r="D134">
            <v>0</v>
          </cell>
          <cell r="E134">
            <v>0</v>
          </cell>
          <cell r="F134">
            <v>0</v>
          </cell>
          <cell r="G134">
            <v>2887073</v>
          </cell>
          <cell r="H134">
            <v>0</v>
          </cell>
        </row>
        <row r="135">
          <cell r="B135" t="str">
            <v>Gold Trading</v>
          </cell>
        </row>
        <row r="136">
          <cell r="B136" t="str">
            <v xml:space="preserve">  Dealing P/L on bullion </v>
          </cell>
          <cell r="C136">
            <v>73033</v>
          </cell>
          <cell r="D136">
            <v>190831</v>
          </cell>
          <cell r="E136">
            <v>0</v>
          </cell>
          <cell r="F136">
            <v>0</v>
          </cell>
          <cell r="G136">
            <v>0</v>
          </cell>
          <cell r="H136">
            <v>0</v>
          </cell>
        </row>
        <row r="137">
          <cell r="B137" t="str">
            <v xml:space="preserve">  Commission Income</v>
          </cell>
          <cell r="C137">
            <v>7651</v>
          </cell>
          <cell r="D137">
            <v>200</v>
          </cell>
          <cell r="E137">
            <v>0</v>
          </cell>
          <cell r="F137">
            <v>0</v>
          </cell>
          <cell r="G137">
            <v>0</v>
          </cell>
          <cell r="H137">
            <v>0</v>
          </cell>
        </row>
        <row r="138">
          <cell r="B138" t="str">
            <v xml:space="preserve">  AE Commission expenses</v>
          </cell>
          <cell r="C138">
            <v>-50243</v>
          </cell>
          <cell r="D138">
            <v>-59837</v>
          </cell>
          <cell r="E138">
            <v>0</v>
          </cell>
          <cell r="F138">
            <v>0</v>
          </cell>
          <cell r="G138">
            <v>0</v>
          </cell>
          <cell r="H138">
            <v>0</v>
          </cell>
        </row>
        <row r="139">
          <cell r="B139" t="str">
            <v xml:space="preserve">  Brokers Cost</v>
          </cell>
          <cell r="C139">
            <v>32149</v>
          </cell>
          <cell r="D139">
            <v>-7954</v>
          </cell>
          <cell r="E139">
            <v>0</v>
          </cell>
          <cell r="F139">
            <v>0</v>
          </cell>
          <cell r="G139">
            <v>0</v>
          </cell>
          <cell r="H139">
            <v>0</v>
          </cell>
        </row>
        <row r="140">
          <cell r="B140" t="str">
            <v xml:space="preserve">  Errors</v>
          </cell>
          <cell r="C140">
            <v>0</v>
          </cell>
          <cell r="D140">
            <v>0</v>
          </cell>
          <cell r="E140">
            <v>0</v>
          </cell>
          <cell r="F140">
            <v>0</v>
          </cell>
          <cell r="G140">
            <v>0</v>
          </cell>
          <cell r="H140">
            <v>0</v>
          </cell>
        </row>
        <row r="141">
          <cell r="C141">
            <v>62590</v>
          </cell>
          <cell r="D141">
            <v>123240</v>
          </cell>
          <cell r="E141">
            <v>0</v>
          </cell>
          <cell r="F141">
            <v>0</v>
          </cell>
          <cell r="G141">
            <v>0</v>
          </cell>
          <cell r="H141">
            <v>0</v>
          </cell>
        </row>
        <row r="142">
          <cell r="B142" t="str">
            <v>Currency Dealing</v>
          </cell>
        </row>
        <row r="143">
          <cell r="B143" t="str">
            <v xml:space="preserve">  Dealing P/L on currency</v>
          </cell>
          <cell r="C143">
            <v>19973414</v>
          </cell>
          <cell r="D143">
            <v>0</v>
          </cell>
          <cell r="E143">
            <v>0</v>
          </cell>
          <cell r="F143">
            <v>0</v>
          </cell>
          <cell r="G143">
            <v>0</v>
          </cell>
          <cell r="H143">
            <v>10067379</v>
          </cell>
        </row>
        <row r="144">
          <cell r="B144" t="str">
            <v xml:space="preserve">  Commission Income</v>
          </cell>
          <cell r="C144">
            <v>2520940</v>
          </cell>
          <cell r="D144">
            <v>0</v>
          </cell>
          <cell r="E144">
            <v>0</v>
          </cell>
          <cell r="F144">
            <v>0</v>
          </cell>
          <cell r="G144">
            <v>0</v>
          </cell>
          <cell r="H144">
            <v>1851164</v>
          </cell>
        </row>
        <row r="145">
          <cell r="B145" t="str">
            <v xml:space="preserve">  AE Commission expenses</v>
          </cell>
          <cell r="C145">
            <v>-3676688</v>
          </cell>
          <cell r="D145">
            <v>0</v>
          </cell>
          <cell r="E145">
            <v>0</v>
          </cell>
          <cell r="F145">
            <v>0</v>
          </cell>
          <cell r="G145">
            <v>0</v>
          </cell>
          <cell r="H145">
            <v>-2224529</v>
          </cell>
        </row>
        <row r="146">
          <cell r="B146" t="str">
            <v xml:space="preserve">  Brokers Cost</v>
          </cell>
          <cell r="C146">
            <v>0</v>
          </cell>
          <cell r="D146">
            <v>0</v>
          </cell>
          <cell r="E146">
            <v>0</v>
          </cell>
          <cell r="F146">
            <v>0</v>
          </cell>
          <cell r="G146">
            <v>0</v>
          </cell>
          <cell r="H146">
            <v>0</v>
          </cell>
        </row>
        <row r="147">
          <cell r="B147" t="str">
            <v xml:space="preserve">  Errors</v>
          </cell>
          <cell r="C147">
            <v>0</v>
          </cell>
          <cell r="D147">
            <v>0</v>
          </cell>
          <cell r="E147">
            <v>0</v>
          </cell>
          <cell r="F147">
            <v>0</v>
          </cell>
          <cell r="G147">
            <v>0</v>
          </cell>
          <cell r="H147">
            <v>0</v>
          </cell>
        </row>
        <row r="148">
          <cell r="C148">
            <v>18817666</v>
          </cell>
          <cell r="D148">
            <v>0</v>
          </cell>
          <cell r="E148">
            <v>0</v>
          </cell>
          <cell r="F148">
            <v>0</v>
          </cell>
          <cell r="G148">
            <v>0</v>
          </cell>
          <cell r="H148">
            <v>9694014</v>
          </cell>
        </row>
        <row r="149">
          <cell r="B149" t="str">
            <v>Securities</v>
          </cell>
        </row>
        <row r="150">
          <cell r="B150" t="str">
            <v xml:space="preserve">  Commission Income - Hong Kong</v>
          </cell>
          <cell r="C150">
            <v>275438070</v>
          </cell>
          <cell r="D150">
            <v>0</v>
          </cell>
          <cell r="E150">
            <v>72867340</v>
          </cell>
          <cell r="F150">
            <v>0</v>
          </cell>
          <cell r="G150">
            <v>0</v>
          </cell>
          <cell r="H150">
            <v>0</v>
          </cell>
        </row>
        <row r="151">
          <cell r="B151" t="str">
            <v xml:space="preserve">  Commission Income - Overseas</v>
          </cell>
          <cell r="C151">
            <v>45288109</v>
          </cell>
          <cell r="D151">
            <v>0</v>
          </cell>
          <cell r="E151">
            <v>13851998</v>
          </cell>
          <cell r="F151">
            <v>0</v>
          </cell>
          <cell r="G151">
            <v>0</v>
          </cell>
          <cell r="H151">
            <v>0</v>
          </cell>
        </row>
        <row r="152">
          <cell r="B152" t="str">
            <v xml:space="preserve">  New issue commission income</v>
          </cell>
          <cell r="C152">
            <v>22300216</v>
          </cell>
          <cell r="D152">
            <v>0</v>
          </cell>
          <cell r="E152">
            <v>559017</v>
          </cell>
          <cell r="F152">
            <v>0</v>
          </cell>
          <cell r="G152">
            <v>0</v>
          </cell>
          <cell r="H152">
            <v>0</v>
          </cell>
        </row>
        <row r="153">
          <cell r="B153" t="str">
            <v xml:space="preserve">  Underwriting/Placement fee income</v>
          </cell>
          <cell r="C153">
            <v>65376945</v>
          </cell>
          <cell r="D153">
            <v>0</v>
          </cell>
          <cell r="E153">
            <v>1039076</v>
          </cell>
          <cell r="F153">
            <v>0</v>
          </cell>
          <cell r="G153">
            <v>0</v>
          </cell>
          <cell r="H153">
            <v>0</v>
          </cell>
        </row>
        <row r="154">
          <cell r="B154" t="str">
            <v xml:space="preserve">  AE Commission expenses</v>
          </cell>
          <cell r="C154">
            <v>-79078565</v>
          </cell>
          <cell r="D154">
            <v>0</v>
          </cell>
          <cell r="E154">
            <v>-17458225</v>
          </cell>
          <cell r="F154">
            <v>0</v>
          </cell>
          <cell r="G154">
            <v>0</v>
          </cell>
          <cell r="H154">
            <v>0</v>
          </cell>
        </row>
        <row r="155">
          <cell r="B155" t="str">
            <v xml:space="preserve">  Brokers Cost</v>
          </cell>
          <cell r="C155">
            <v>-44851724</v>
          </cell>
          <cell r="D155">
            <v>0</v>
          </cell>
          <cell r="E155">
            <v>-125985252</v>
          </cell>
          <cell r="F155">
            <v>0</v>
          </cell>
          <cell r="G155">
            <v>0</v>
          </cell>
          <cell r="H155">
            <v>0</v>
          </cell>
        </row>
        <row r="156">
          <cell r="B156" t="str">
            <v xml:space="preserve">  Dealing income on equities</v>
          </cell>
          <cell r="C156">
            <v>4997749</v>
          </cell>
          <cell r="D156">
            <v>226263</v>
          </cell>
          <cell r="E156">
            <v>2898290</v>
          </cell>
          <cell r="F156">
            <v>0</v>
          </cell>
          <cell r="G156">
            <v>0</v>
          </cell>
          <cell r="H156">
            <v>0</v>
          </cell>
        </row>
        <row r="157">
          <cell r="B157" t="str">
            <v xml:space="preserve">  Errors</v>
          </cell>
          <cell r="C157">
            <v>-535301</v>
          </cell>
          <cell r="D157">
            <v>0</v>
          </cell>
          <cell r="E157">
            <v>-1266949</v>
          </cell>
          <cell r="F157">
            <v>0</v>
          </cell>
          <cell r="G157">
            <v>0</v>
          </cell>
          <cell r="H157">
            <v>0</v>
          </cell>
        </row>
        <row r="158">
          <cell r="C158">
            <v>288935499</v>
          </cell>
          <cell r="D158">
            <v>226263</v>
          </cell>
          <cell r="E158">
            <v>-53494705</v>
          </cell>
          <cell r="F158">
            <v>0</v>
          </cell>
          <cell r="G158">
            <v>0</v>
          </cell>
          <cell r="H158">
            <v>0</v>
          </cell>
        </row>
        <row r="159">
          <cell r="B159" t="str">
            <v>Quoted investment</v>
          </cell>
        </row>
        <row r="160">
          <cell r="B160" t="str">
            <v xml:space="preserve">  P/L on sale/ revaluation</v>
          </cell>
          <cell r="C160">
            <v>137301201</v>
          </cell>
          <cell r="D160">
            <v>0</v>
          </cell>
          <cell r="E160">
            <v>0</v>
          </cell>
          <cell r="F160">
            <v>2608425</v>
          </cell>
          <cell r="G160">
            <v>0</v>
          </cell>
          <cell r="H160">
            <v>0</v>
          </cell>
        </row>
        <row r="161">
          <cell r="B161" t="str">
            <v xml:space="preserve">  Provision  for diminution in value of Inv</v>
          </cell>
          <cell r="C161">
            <v>0</v>
          </cell>
          <cell r="D161">
            <v>0</v>
          </cell>
          <cell r="E161">
            <v>0</v>
          </cell>
          <cell r="F161">
            <v>0</v>
          </cell>
          <cell r="G161">
            <v>0</v>
          </cell>
          <cell r="H161">
            <v>0</v>
          </cell>
        </row>
        <row r="162">
          <cell r="B162" t="str">
            <v xml:space="preserve">  Dividend income</v>
          </cell>
          <cell r="C162">
            <v>6813030</v>
          </cell>
          <cell r="D162">
            <v>2081695</v>
          </cell>
          <cell r="E162">
            <v>0</v>
          </cell>
          <cell r="F162">
            <v>0</v>
          </cell>
          <cell r="G162">
            <v>0</v>
          </cell>
          <cell r="H162">
            <v>0</v>
          </cell>
        </row>
        <row r="163">
          <cell r="B163" t="str">
            <v xml:space="preserve">  Others</v>
          </cell>
          <cell r="C163">
            <v>0</v>
          </cell>
          <cell r="D163">
            <v>0</v>
          </cell>
          <cell r="E163">
            <v>0</v>
          </cell>
          <cell r="F163">
            <v>0</v>
          </cell>
          <cell r="G163">
            <v>0</v>
          </cell>
          <cell r="H163">
            <v>0</v>
          </cell>
        </row>
        <row r="164">
          <cell r="C164">
            <v>144114231</v>
          </cell>
          <cell r="D164">
            <v>2081695</v>
          </cell>
          <cell r="E164">
            <v>0</v>
          </cell>
          <cell r="F164">
            <v>2608425</v>
          </cell>
          <cell r="G164">
            <v>0</v>
          </cell>
          <cell r="H164">
            <v>0</v>
          </cell>
        </row>
        <row r="165">
          <cell r="B165" t="str">
            <v>Interest</v>
          </cell>
        </row>
        <row r="166">
          <cell r="B166" t="str">
            <v xml:space="preserve">   Interest income - bank</v>
          </cell>
          <cell r="C166">
            <v>169487591</v>
          </cell>
          <cell r="D166">
            <v>517895</v>
          </cell>
          <cell r="E166">
            <v>40631321</v>
          </cell>
          <cell r="F166">
            <v>0</v>
          </cell>
          <cell r="G166">
            <v>10210706</v>
          </cell>
          <cell r="H166">
            <v>8869694</v>
          </cell>
        </row>
        <row r="167">
          <cell r="B167" t="str">
            <v xml:space="preserve">   Interest income - clients</v>
          </cell>
          <cell r="C167">
            <v>65160167</v>
          </cell>
          <cell r="D167">
            <v>4009</v>
          </cell>
          <cell r="E167">
            <v>18212977</v>
          </cell>
          <cell r="F167">
            <v>0</v>
          </cell>
          <cell r="G167">
            <v>564916</v>
          </cell>
          <cell r="H167">
            <v>276102</v>
          </cell>
        </row>
        <row r="168">
          <cell r="B168" t="str">
            <v xml:space="preserve">   Interest income - others</v>
          </cell>
          <cell r="C168">
            <v>83800568</v>
          </cell>
          <cell r="D168">
            <v>272219</v>
          </cell>
          <cell r="E168">
            <v>162886</v>
          </cell>
          <cell r="F168">
            <v>0</v>
          </cell>
          <cell r="G168">
            <v>1227283</v>
          </cell>
          <cell r="H168">
            <v>29436618</v>
          </cell>
        </row>
        <row r="169">
          <cell r="B169" t="str">
            <v xml:space="preserve">   Interest expenses - bank</v>
          </cell>
          <cell r="C169">
            <v>-49026188</v>
          </cell>
          <cell r="D169">
            <v>-14706040</v>
          </cell>
          <cell r="E169">
            <v>-651591</v>
          </cell>
          <cell r="F169">
            <v>0</v>
          </cell>
          <cell r="G169">
            <v>-15357</v>
          </cell>
          <cell r="H169">
            <v>-14377</v>
          </cell>
        </row>
        <row r="170">
          <cell r="B170" t="str">
            <v xml:space="preserve">   Interest expenses - clients</v>
          </cell>
          <cell r="C170">
            <v>-128945714</v>
          </cell>
          <cell r="D170">
            <v>-424717</v>
          </cell>
          <cell r="E170">
            <v>-30694566</v>
          </cell>
          <cell r="F170">
            <v>0</v>
          </cell>
          <cell r="G170">
            <v>-7763886</v>
          </cell>
          <cell r="H170">
            <v>-7183535</v>
          </cell>
        </row>
        <row r="171">
          <cell r="B171" t="str">
            <v xml:space="preserve">   Interest expenses - others</v>
          </cell>
          <cell r="C171">
            <v>-40634811</v>
          </cell>
          <cell r="D171">
            <v>-1438533</v>
          </cell>
          <cell r="E171">
            <v>-75309</v>
          </cell>
          <cell r="F171">
            <v>0</v>
          </cell>
          <cell r="G171">
            <v>0</v>
          </cell>
          <cell r="H171">
            <v>-15578720</v>
          </cell>
        </row>
        <row r="172">
          <cell r="B172" t="str">
            <v xml:space="preserve">   Net interest - interco</v>
          </cell>
          <cell r="C172">
            <v>0</v>
          </cell>
          <cell r="D172">
            <v>8186398</v>
          </cell>
          <cell r="E172">
            <v>-7094826</v>
          </cell>
          <cell r="F172">
            <v>0</v>
          </cell>
          <cell r="G172">
            <v>3304356</v>
          </cell>
          <cell r="H172">
            <v>-850660</v>
          </cell>
        </row>
        <row r="173">
          <cell r="C173">
            <v>99841613</v>
          </cell>
          <cell r="D173">
            <v>-7588769</v>
          </cell>
          <cell r="E173">
            <v>20490892</v>
          </cell>
          <cell r="F173">
            <v>0</v>
          </cell>
          <cell r="G173">
            <v>7528018</v>
          </cell>
          <cell r="H173">
            <v>14955122</v>
          </cell>
        </row>
        <row r="174">
          <cell r="B174" t="str">
            <v>Subscriptions income</v>
          </cell>
          <cell r="C174">
            <v>8068264</v>
          </cell>
          <cell r="D174">
            <v>0</v>
          </cell>
          <cell r="E174">
            <v>0</v>
          </cell>
          <cell r="F174">
            <v>0</v>
          </cell>
          <cell r="G174">
            <v>0</v>
          </cell>
          <cell r="H174">
            <v>0</v>
          </cell>
        </row>
        <row r="175">
          <cell r="B175" t="str">
            <v>Management fee income</v>
          </cell>
          <cell r="C175">
            <v>0</v>
          </cell>
          <cell r="D175">
            <v>0</v>
          </cell>
          <cell r="E175">
            <v>71847573</v>
          </cell>
          <cell r="F175">
            <v>0</v>
          </cell>
          <cell r="G175">
            <v>12933661</v>
          </cell>
          <cell r="H175">
            <v>0</v>
          </cell>
        </row>
        <row r="176">
          <cell r="B176" t="str">
            <v>Foreign exchange</v>
          </cell>
          <cell r="C176">
            <v>573725</v>
          </cell>
          <cell r="D176">
            <v>-13753</v>
          </cell>
          <cell r="E176">
            <v>-190480</v>
          </cell>
          <cell r="F176">
            <v>0</v>
          </cell>
          <cell r="G176">
            <v>-25181</v>
          </cell>
          <cell r="H176">
            <v>36092</v>
          </cell>
        </row>
        <row r="177">
          <cell r="B177" t="str">
            <v>Miscellaneous income</v>
          </cell>
          <cell r="C177">
            <v>12584999</v>
          </cell>
          <cell r="D177">
            <v>3624209</v>
          </cell>
          <cell r="E177">
            <v>3361882</v>
          </cell>
          <cell r="F177">
            <v>17801</v>
          </cell>
          <cell r="G177">
            <v>7976</v>
          </cell>
          <cell r="H177">
            <v>9136</v>
          </cell>
        </row>
        <row r="178">
          <cell r="B178" t="str">
            <v>P/L on disposal of fixed assets</v>
          </cell>
          <cell r="C178">
            <v>96801</v>
          </cell>
          <cell r="D178">
            <v>5002</v>
          </cell>
          <cell r="E178">
            <v>0</v>
          </cell>
          <cell r="F178">
            <v>0</v>
          </cell>
          <cell r="G178">
            <v>0</v>
          </cell>
          <cell r="H178">
            <v>0</v>
          </cell>
        </row>
        <row r="179">
          <cell r="B179" t="str">
            <v>Dividend income</v>
          </cell>
          <cell r="C179">
            <v>0</v>
          </cell>
          <cell r="D179">
            <v>0</v>
          </cell>
          <cell r="E179">
            <v>0</v>
          </cell>
          <cell r="F179">
            <v>0</v>
          </cell>
          <cell r="G179">
            <v>0</v>
          </cell>
          <cell r="H179">
            <v>0</v>
          </cell>
        </row>
        <row r="180">
          <cell r="B180" t="str">
            <v xml:space="preserve">      TOTAL REVENUE</v>
          </cell>
          <cell r="C180">
            <v>595330820</v>
          </cell>
          <cell r="D180">
            <v>-1542113</v>
          </cell>
          <cell r="E180">
            <v>42015162</v>
          </cell>
          <cell r="F180">
            <v>2626226</v>
          </cell>
          <cell r="G180">
            <v>23331547</v>
          </cell>
          <cell r="H180">
            <v>24694364</v>
          </cell>
        </row>
        <row r="181">
          <cell r="B181" t="str">
            <v>EXPENDITURE</v>
          </cell>
        </row>
        <row r="182">
          <cell r="B182" t="str">
            <v>Total Employment</v>
          </cell>
          <cell r="C182">
            <v>-108350867</v>
          </cell>
          <cell r="D182">
            <v>-23763248</v>
          </cell>
          <cell r="E182">
            <v>-13856316</v>
          </cell>
          <cell r="F182">
            <v>2857</v>
          </cell>
          <cell r="G182">
            <v>-2345807</v>
          </cell>
          <cell r="H182">
            <v>-1284734</v>
          </cell>
        </row>
        <row r="183">
          <cell r="B183" t="str">
            <v>Total Other Direct Expenses</v>
          </cell>
          <cell r="C183">
            <v>-65853366</v>
          </cell>
          <cell r="D183">
            <v>-10863899</v>
          </cell>
          <cell r="E183">
            <v>-9544623</v>
          </cell>
          <cell r="F183">
            <v>46776</v>
          </cell>
          <cell r="G183">
            <v>-1945606</v>
          </cell>
          <cell r="H183">
            <v>-2564878</v>
          </cell>
        </row>
        <row r="184">
          <cell r="B184" t="str">
            <v>Settlement Charges</v>
          </cell>
          <cell r="C184">
            <v>0</v>
          </cell>
          <cell r="D184">
            <v>368403</v>
          </cell>
          <cell r="E184">
            <v>219093</v>
          </cell>
          <cell r="F184">
            <v>0</v>
          </cell>
          <cell r="G184">
            <v>-103177</v>
          </cell>
          <cell r="H184">
            <v>-484319</v>
          </cell>
        </row>
        <row r="185">
          <cell r="B185" t="str">
            <v>Central Mgt Exp / Recovery</v>
          </cell>
          <cell r="C185">
            <v>0</v>
          </cell>
          <cell r="D185">
            <v>24665056</v>
          </cell>
          <cell r="E185">
            <v>-13597564</v>
          </cell>
          <cell r="F185">
            <v>0</v>
          </cell>
          <cell r="G185">
            <v>-6117898</v>
          </cell>
          <cell r="H185">
            <v>-4949594</v>
          </cell>
        </row>
        <row r="186">
          <cell r="B186" t="str">
            <v>Provision for contingency</v>
          </cell>
          <cell r="C186">
            <v>1200000</v>
          </cell>
          <cell r="D186">
            <v>0</v>
          </cell>
          <cell r="E186">
            <v>-300000</v>
          </cell>
          <cell r="F186">
            <v>0</v>
          </cell>
          <cell r="G186">
            <v>-150000</v>
          </cell>
          <cell r="H186">
            <v>-150000</v>
          </cell>
        </row>
        <row r="187">
          <cell r="B187" t="str">
            <v>Provision for bad debts</v>
          </cell>
          <cell r="C187">
            <v>38995</v>
          </cell>
          <cell r="D187">
            <v>0</v>
          </cell>
          <cell r="E187">
            <v>0</v>
          </cell>
          <cell r="F187">
            <v>0</v>
          </cell>
          <cell r="G187">
            <v>0</v>
          </cell>
          <cell r="H187">
            <v>0</v>
          </cell>
        </row>
        <row r="188">
          <cell r="B188" t="str">
            <v>Profit-Related Remunerations</v>
          </cell>
          <cell r="C188">
            <v>-55319506</v>
          </cell>
          <cell r="D188">
            <v>-1721000</v>
          </cell>
          <cell r="E188">
            <v>-4398000</v>
          </cell>
          <cell r="F188">
            <v>0</v>
          </cell>
          <cell r="G188">
            <v>-1215000</v>
          </cell>
          <cell r="H188">
            <v>-1366000</v>
          </cell>
        </row>
        <row r="189">
          <cell r="B189" t="str">
            <v xml:space="preserve">     TOTAL EXPENDITURE</v>
          </cell>
          <cell r="C189">
            <v>-228284744</v>
          </cell>
          <cell r="D189">
            <v>-11314688</v>
          </cell>
          <cell r="E189">
            <v>-41477410</v>
          </cell>
          <cell r="F189">
            <v>49633</v>
          </cell>
          <cell r="G189">
            <v>-11877488</v>
          </cell>
          <cell r="H189">
            <v>-10799525</v>
          </cell>
        </row>
        <row r="190">
          <cell r="B190" t="str">
            <v>Operating profit</v>
          </cell>
          <cell r="C190">
            <v>367046076</v>
          </cell>
          <cell r="D190">
            <v>-12856801</v>
          </cell>
          <cell r="E190">
            <v>537752</v>
          </cell>
          <cell r="F190">
            <v>2675859</v>
          </cell>
          <cell r="G190">
            <v>11454059</v>
          </cell>
          <cell r="H190">
            <v>13894839</v>
          </cell>
        </row>
        <row r="191">
          <cell r="B191" t="str">
            <v>Provision  for diminution in sub</v>
          </cell>
          <cell r="C191">
            <v>0</v>
          </cell>
          <cell r="D191">
            <v>0</v>
          </cell>
          <cell r="E191">
            <v>0</v>
          </cell>
          <cell r="F191">
            <v>0</v>
          </cell>
          <cell r="G191">
            <v>0</v>
          </cell>
          <cell r="H191">
            <v>0</v>
          </cell>
        </row>
        <row r="192">
          <cell r="B192" t="str">
            <v>Profit/(loss) before Tax</v>
          </cell>
          <cell r="C192">
            <v>367046076</v>
          </cell>
          <cell r="D192">
            <v>-12856801</v>
          </cell>
          <cell r="E192">
            <v>537752</v>
          </cell>
          <cell r="F192">
            <v>2675859</v>
          </cell>
          <cell r="G192">
            <v>11454059</v>
          </cell>
          <cell r="H192">
            <v>13894839</v>
          </cell>
        </row>
        <row r="193">
          <cell r="B193" t="str">
            <v>Less : Taxation</v>
          </cell>
          <cell r="C193">
            <v>-31619617</v>
          </cell>
          <cell r="D193">
            <v>0</v>
          </cell>
          <cell r="E193">
            <v>0</v>
          </cell>
          <cell r="F193">
            <v>0</v>
          </cell>
          <cell r="G193">
            <v>0</v>
          </cell>
          <cell r="H193">
            <v>-1775000</v>
          </cell>
        </row>
        <row r="194">
          <cell r="B194" t="str">
            <v>Profit/(Loss) After Tax</v>
          </cell>
          <cell r="C194">
            <v>335426459</v>
          </cell>
          <cell r="D194">
            <v>-12856801</v>
          </cell>
          <cell r="E194">
            <v>537752</v>
          </cell>
          <cell r="F194">
            <v>2675859</v>
          </cell>
          <cell r="G194">
            <v>11454059</v>
          </cell>
          <cell r="H194">
            <v>12119839</v>
          </cell>
        </row>
        <row r="195">
          <cell r="B195" t="str">
            <v>Dividend Paid</v>
          </cell>
          <cell r="C195">
            <v>-327000000</v>
          </cell>
          <cell r="D195">
            <v>0</v>
          </cell>
          <cell r="E195">
            <v>0</v>
          </cell>
          <cell r="F195">
            <v>0</v>
          </cell>
          <cell r="G195">
            <v>0</v>
          </cell>
          <cell r="H195">
            <v>0</v>
          </cell>
        </row>
        <row r="196">
          <cell r="B196" t="str">
            <v>Transfer to Special Reserves</v>
          </cell>
          <cell r="C196">
            <v>13208180</v>
          </cell>
          <cell r="D196">
            <v>0</v>
          </cell>
          <cell r="E196">
            <v>0</v>
          </cell>
          <cell r="F196">
            <v>0</v>
          </cell>
          <cell r="G196">
            <v>0</v>
          </cell>
          <cell r="H196">
            <v>0</v>
          </cell>
        </row>
        <row r="197">
          <cell r="B197" t="str">
            <v>Sub-Total</v>
          </cell>
          <cell r="C197">
            <v>21634639</v>
          </cell>
          <cell r="D197">
            <v>-12856801</v>
          </cell>
          <cell r="E197">
            <v>537752</v>
          </cell>
          <cell r="F197">
            <v>2675859</v>
          </cell>
          <cell r="G197">
            <v>11454059</v>
          </cell>
          <cell r="H197">
            <v>12119839</v>
          </cell>
        </row>
        <row r="198">
          <cell r="B198" t="str">
            <v>Retained profits b/f</v>
          </cell>
          <cell r="C198">
            <v>227627262</v>
          </cell>
          <cell r="D198">
            <v>76457794</v>
          </cell>
          <cell r="E198">
            <v>10808022</v>
          </cell>
          <cell r="F198">
            <v>-61080</v>
          </cell>
          <cell r="G198">
            <v>14156981</v>
          </cell>
          <cell r="H198">
            <v>35698251</v>
          </cell>
        </row>
        <row r="199">
          <cell r="B199" t="str">
            <v>Retained profits c/f</v>
          </cell>
          <cell r="C199">
            <v>249261901</v>
          </cell>
          <cell r="D199">
            <v>63600993</v>
          </cell>
          <cell r="E199">
            <v>11345774</v>
          </cell>
          <cell r="F199">
            <v>2614779</v>
          </cell>
          <cell r="G199">
            <v>25611040</v>
          </cell>
          <cell r="H199">
            <v>47818090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PwC">
  <a:themeElements>
    <a:clrScheme name="PwC Orange">
      <a:dk1>
        <a:srgbClr val="000000"/>
      </a:dk1>
      <a:lt1>
        <a:srgbClr val="FFFFFF"/>
      </a:lt1>
      <a:dk2>
        <a:srgbClr val="DC6900"/>
      </a:dk2>
      <a:lt2>
        <a:srgbClr val="FFFFFF"/>
      </a:lt2>
      <a:accent1>
        <a:srgbClr val="DC6900"/>
      </a:accent1>
      <a:accent2>
        <a:srgbClr val="FFB600"/>
      </a:accent2>
      <a:accent3>
        <a:srgbClr val="602320"/>
      </a:accent3>
      <a:accent4>
        <a:srgbClr val="E27588"/>
      </a:accent4>
      <a:accent5>
        <a:srgbClr val="A32020"/>
      </a:accent5>
      <a:accent6>
        <a:srgbClr val="E0301E"/>
      </a:accent6>
      <a:hlink>
        <a:srgbClr val="0000FF"/>
      </a:hlink>
      <a:folHlink>
        <a:srgbClr val="0000FF"/>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4.bin"/><Relationship Id="rId4" Type="http://schemas.openxmlformats.org/officeDocument/2006/relationships/ctrlProp" Target="../ctrlProps/ctrlProp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hyperlink" Target="mailto:sylu@bocusa.com"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7.xml"/><Relationship Id="rId2" Type="http://schemas.openxmlformats.org/officeDocument/2006/relationships/drawing" Target="../drawings/drawing6.xml"/><Relationship Id="rId1" Type="http://schemas.openxmlformats.org/officeDocument/2006/relationships/printerSettings" Target="../printerSettings/printerSettings17.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
  <sheetViews>
    <sheetView workbookViewId="0">
      <selection sqref="A1:B1"/>
    </sheetView>
  </sheetViews>
  <sheetFormatPr defaultRowHeight="14.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25"/>
  <sheetViews>
    <sheetView topLeftCell="A16" zoomScaleNormal="100" workbookViewId="0">
      <selection activeCell="B21" sqref="B21"/>
    </sheetView>
  </sheetViews>
  <sheetFormatPr defaultRowHeight="14.25"/>
  <cols>
    <col min="1" max="1" width="30.375" style="955" customWidth="1"/>
    <col min="2" max="2" width="61.5" style="955" customWidth="1"/>
    <col min="3" max="3" width="37.375" style="951" customWidth="1"/>
  </cols>
  <sheetData>
    <row r="1" spans="1:3" s="952" customFormat="1">
      <c r="A1" s="950" t="s">
        <v>1020</v>
      </c>
      <c r="B1" s="950" t="s">
        <v>1130</v>
      </c>
      <c r="C1" s="951"/>
    </row>
    <row r="2" spans="1:3" ht="51" customHeight="1">
      <c r="A2" s="953" t="s">
        <v>1132</v>
      </c>
      <c r="B2" s="953" t="s">
        <v>1678</v>
      </c>
    </row>
    <row r="3" spans="1:3" ht="36.75" customHeight="1">
      <c r="A3" s="953" t="s">
        <v>1691</v>
      </c>
      <c r="B3" s="953" t="s">
        <v>1679</v>
      </c>
    </row>
    <row r="4" spans="1:3" ht="30.75" customHeight="1">
      <c r="A4" s="953" t="s">
        <v>1131</v>
      </c>
      <c r="B4" s="953" t="s">
        <v>1680</v>
      </c>
    </row>
    <row r="5" spans="1:3" ht="94.5" customHeight="1">
      <c r="A5" s="953" t="s">
        <v>1133</v>
      </c>
      <c r="B5" s="953" t="s">
        <v>1692</v>
      </c>
    </row>
    <row r="6" spans="1:3" ht="216.75" customHeight="1">
      <c r="A6" s="953" t="s">
        <v>1682</v>
      </c>
      <c r="B6" s="953" t="s">
        <v>1693</v>
      </c>
    </row>
    <row r="7" spans="1:3" ht="38.25" customHeight="1">
      <c r="A7" s="953" t="s">
        <v>1694</v>
      </c>
      <c r="B7" s="953" t="s">
        <v>1695</v>
      </c>
    </row>
    <row r="8" spans="1:3" ht="54.75" customHeight="1">
      <c r="A8" s="953" t="s">
        <v>1696</v>
      </c>
      <c r="B8" s="953" t="s">
        <v>1697</v>
      </c>
    </row>
    <row r="9" spans="1:3" ht="42.75">
      <c r="A9" s="954" t="s">
        <v>1133</v>
      </c>
      <c r="B9" s="954" t="s">
        <v>1681</v>
      </c>
    </row>
    <row r="12" spans="1:3">
      <c r="A12" s="955" t="s">
        <v>1698</v>
      </c>
    </row>
    <row r="13" spans="1:3">
      <c r="A13" s="956" t="s">
        <v>1699</v>
      </c>
      <c r="B13" s="956" t="s">
        <v>1700</v>
      </c>
      <c r="C13" s="956" t="s">
        <v>1701</v>
      </c>
    </row>
    <row r="14" spans="1:3">
      <c r="A14" s="956" t="s">
        <v>1702</v>
      </c>
      <c r="B14" s="956" t="s">
        <v>1703</v>
      </c>
      <c r="C14" s="956"/>
    </row>
    <row r="15" spans="1:3" ht="28.5">
      <c r="A15" s="956" t="s">
        <v>1704</v>
      </c>
      <c r="B15" s="956" t="s">
        <v>1705</v>
      </c>
      <c r="C15" s="956"/>
    </row>
    <row r="16" spans="1:3" ht="71.25">
      <c r="A16" s="956" t="s">
        <v>1706</v>
      </c>
      <c r="B16" s="956" t="s">
        <v>1707</v>
      </c>
      <c r="C16" s="956" t="s">
        <v>1708</v>
      </c>
    </row>
    <row r="17" spans="1:3" ht="28.5">
      <c r="A17" s="956" t="s">
        <v>1709</v>
      </c>
      <c r="B17" s="956" t="s">
        <v>1710</v>
      </c>
      <c r="C17" s="956" t="s">
        <v>1711</v>
      </c>
    </row>
    <row r="18" spans="1:3" ht="28.5">
      <c r="A18" s="956" t="s">
        <v>1712</v>
      </c>
      <c r="B18" s="956" t="s">
        <v>1713</v>
      </c>
      <c r="C18" s="956"/>
    </row>
    <row r="19" spans="1:3" ht="28.5">
      <c r="A19" s="956" t="s">
        <v>1714</v>
      </c>
      <c r="B19" s="956" t="s">
        <v>1715</v>
      </c>
      <c r="C19" s="956" t="s">
        <v>1716</v>
      </c>
    </row>
    <row r="20" spans="1:3">
      <c r="A20" s="956" t="s">
        <v>1717</v>
      </c>
      <c r="B20" s="956" t="s">
        <v>1718</v>
      </c>
      <c r="C20" s="956"/>
    </row>
    <row r="21" spans="1:3" ht="28.5">
      <c r="A21" s="956" t="s">
        <v>1719</v>
      </c>
      <c r="B21" s="956" t="s">
        <v>1720</v>
      </c>
      <c r="C21" s="956" t="s">
        <v>1721</v>
      </c>
    </row>
    <row r="22" spans="1:3" ht="28.5">
      <c r="A22" s="956" t="s">
        <v>1586</v>
      </c>
      <c r="B22" s="956" t="s">
        <v>1722</v>
      </c>
      <c r="C22" s="957"/>
    </row>
    <row r="23" spans="1:3" ht="28.5">
      <c r="A23" s="956" t="s">
        <v>1723</v>
      </c>
      <c r="B23" s="956" t="s">
        <v>1724</v>
      </c>
      <c r="C23" s="956"/>
    </row>
    <row r="24" spans="1:3" ht="28.5">
      <c r="A24" s="956" t="s">
        <v>1725</v>
      </c>
      <c r="B24" s="956" t="s">
        <v>1726</v>
      </c>
      <c r="C24" s="957"/>
    </row>
    <row r="25" spans="1:3">
      <c r="A25" s="956" t="s">
        <v>1727</v>
      </c>
      <c r="B25" s="956" t="s">
        <v>1728</v>
      </c>
      <c r="C25" s="957"/>
    </row>
  </sheetData>
  <dataConsolidate/>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D16"/>
  <sheetViews>
    <sheetView workbookViewId="0">
      <selection activeCell="B39" sqref="B39"/>
    </sheetView>
  </sheetViews>
  <sheetFormatPr defaultRowHeight="14.25"/>
  <cols>
    <col min="1" max="1" width="23.5" style="2" customWidth="1"/>
    <col min="2" max="2" width="15.25" bestFit="1" customWidth="1"/>
    <col min="3" max="3" width="12.5" customWidth="1"/>
    <col min="4" max="4" width="32.625" customWidth="1"/>
  </cols>
  <sheetData>
    <row r="1" spans="1:4" ht="30.75" customHeight="1">
      <c r="A1" s="933" t="s">
        <v>1653</v>
      </c>
    </row>
    <row r="2" spans="1:4" ht="15">
      <c r="A2" s="930" t="s">
        <v>1652</v>
      </c>
      <c r="B2" s="765" t="s">
        <v>1651</v>
      </c>
      <c r="C2" s="765" t="s">
        <v>1648</v>
      </c>
      <c r="D2" s="765" t="s">
        <v>1647</v>
      </c>
    </row>
    <row r="3" spans="1:4" ht="45">
      <c r="A3" s="930" t="s">
        <v>1645</v>
      </c>
      <c r="B3" s="931">
        <f ca="1">'Data Processing'!AC3-'Data Processing'!O3-SUM('Data Processing'!AS5:BF78)</f>
        <v>4.3655745685100555E-11</v>
      </c>
      <c r="C3" s="931" t="str">
        <f ca="1">IF(ABS(ControlCheck!B3)&lt;0.0001,"Pass","Not Pass")</f>
        <v>Pass</v>
      </c>
      <c r="D3" s="769" t="s">
        <v>1649</v>
      </c>
    </row>
    <row r="4" spans="1:4" ht="30">
      <c r="A4" s="930" t="s">
        <v>1646</v>
      </c>
      <c r="B4" s="931">
        <f>'Model Report Formatized'!E24-'Model Report Formatized'!E75</f>
        <v>1.5000841813161969E-7</v>
      </c>
      <c r="C4" s="931" t="str">
        <f>IF(ABS(ControlCheck!B4)&lt;0.0001,"Pass","Not Pass")</f>
        <v>Pass</v>
      </c>
      <c r="D4" s="769" t="s">
        <v>1650</v>
      </c>
    </row>
    <row r="5" spans="1:4">
      <c r="A5" s="932"/>
      <c r="B5" s="769"/>
      <c r="C5" s="769"/>
      <c r="D5" s="769"/>
    </row>
    <row r="6" spans="1:4">
      <c r="A6" s="932"/>
      <c r="B6" s="769"/>
      <c r="C6" s="769"/>
      <c r="D6" s="769"/>
    </row>
    <row r="7" spans="1:4">
      <c r="A7" s="932"/>
      <c r="B7" s="769"/>
      <c r="C7" s="769"/>
      <c r="D7" s="769"/>
    </row>
    <row r="8" spans="1:4">
      <c r="A8" s="932"/>
      <c r="B8" s="769"/>
      <c r="C8" s="769"/>
      <c r="D8" s="769"/>
    </row>
    <row r="9" spans="1:4">
      <c r="A9" s="932"/>
      <c r="B9" s="769"/>
      <c r="C9" s="769"/>
      <c r="D9" s="769"/>
    </row>
    <row r="10" spans="1:4">
      <c r="A10" s="932"/>
      <c r="B10" s="769"/>
      <c r="C10" s="769"/>
      <c r="D10" s="769"/>
    </row>
    <row r="11" spans="1:4">
      <c r="A11" s="932"/>
      <c r="B11" s="769"/>
      <c r="C11" s="769"/>
      <c r="D11" s="769"/>
    </row>
    <row r="12" spans="1:4">
      <c r="A12" s="932"/>
      <c r="B12" s="769"/>
      <c r="C12" s="769"/>
      <c r="D12" s="769"/>
    </row>
    <row r="13" spans="1:4">
      <c r="A13" s="932"/>
      <c r="B13" s="769"/>
      <c r="C13" s="769"/>
      <c r="D13" s="769"/>
    </row>
    <row r="14" spans="1:4">
      <c r="A14" s="932"/>
      <c r="B14" s="769"/>
      <c r="C14" s="769"/>
      <c r="D14" s="769"/>
    </row>
    <row r="15" spans="1:4">
      <c r="A15" s="932"/>
      <c r="B15" s="769"/>
      <c r="C15" s="769"/>
      <c r="D15" s="769"/>
    </row>
    <row r="16" spans="1:4">
      <c r="A16" s="932"/>
      <c r="B16" s="769"/>
      <c r="C16" s="769"/>
      <c r="D16" s="769"/>
    </row>
  </sheetData>
  <conditionalFormatting sqref="C3:C16">
    <cfRule type="cellIs" dxfId="0" priority="1" operator="equal">
      <formula>"Pass"</formula>
    </cfRule>
  </conditionalFormatting>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pageSetUpPr fitToPage="1"/>
  </sheetPr>
  <dimension ref="A1:AA120"/>
  <sheetViews>
    <sheetView zoomScale="85" zoomScaleNormal="85" workbookViewId="0">
      <selection activeCell="A8" sqref="A8"/>
    </sheetView>
  </sheetViews>
  <sheetFormatPr defaultRowHeight="14.25"/>
  <cols>
    <col min="1" max="1" width="10.75" style="780" bestFit="1" customWidth="1"/>
    <col min="2" max="2" width="62.875" style="781" bestFit="1" customWidth="1"/>
    <col min="3" max="4" width="15.125" style="781" customWidth="1"/>
    <col min="7" max="8" width="18" bestFit="1" customWidth="1"/>
    <col min="9" max="9" width="16.125" style="35" bestFit="1" customWidth="1"/>
    <col min="10" max="10" width="16.125" bestFit="1" customWidth="1"/>
    <col min="11" max="11" width="24.75" style="2" customWidth="1"/>
    <col min="12" max="12" width="14.125" bestFit="1" customWidth="1"/>
    <col min="13" max="13" width="14.625" bestFit="1" customWidth="1"/>
    <col min="14" max="14" width="19.875" bestFit="1" customWidth="1"/>
    <col min="15" max="15" width="18" bestFit="1" customWidth="1"/>
    <col min="18" max="18" width="18.375" bestFit="1" customWidth="1"/>
    <col min="19" max="20" width="11.875" bestFit="1" customWidth="1"/>
    <col min="21" max="21" width="7.625" bestFit="1" customWidth="1"/>
    <col min="22" max="22" width="18" bestFit="1" customWidth="1"/>
  </cols>
  <sheetData>
    <row r="1" spans="1:27">
      <c r="Z1" t="s">
        <v>1573</v>
      </c>
    </row>
    <row r="2" spans="1:27" ht="15">
      <c r="A2" s="760"/>
      <c r="B2" s="761" t="s">
        <v>1212</v>
      </c>
      <c r="C2" s="761" t="s">
        <v>1424</v>
      </c>
      <c r="D2" s="761" t="s">
        <v>1425</v>
      </c>
      <c r="H2" s="762" t="str">
        <f>TEXT('Model Report Formatized'!$E$2,"yyyy mm")&amp;"结果"</f>
        <v>2018 12结果</v>
      </c>
      <c r="L2" t="s">
        <v>1570</v>
      </c>
      <c r="M2" s="35"/>
      <c r="Z2" s="426">
        <v>42034</v>
      </c>
      <c r="AA2" s="35">
        <v>44707.241685280002</v>
      </c>
    </row>
    <row r="3" spans="1:27" ht="15.75">
      <c r="A3" s="763" t="s">
        <v>1470</v>
      </c>
      <c r="B3" s="764" t="str">
        <f>INDEX('Model Report Formatized'!D:D,MATCH($A3,'Model Report Formatized'!$C:$C,0))</f>
        <v>Unrestricted Fed Balance and other HQLA securites</v>
      </c>
      <c r="C3" s="764">
        <f>SUMIFS('Model Report Formatized'!N:N,'Model Report Formatized'!$C:$C,$A3)</f>
        <v>32995.072847883108</v>
      </c>
      <c r="D3" s="764">
        <f ca="1">SUMIFS('Model Report Formatized'!O:O,'Model Report Formatized'!$C:$C,$A3)</f>
        <v>10310.937339481861</v>
      </c>
      <c r="H3" s="765" t="s">
        <v>1426</v>
      </c>
      <c r="I3" s="766">
        <f ca="1">SUM(D4:D20)+SUM(C75:C77)-SUM(D75:D77)+150</f>
        <v>29733.526190673543</v>
      </c>
      <c r="L3" t="s">
        <v>1571</v>
      </c>
      <c r="M3" s="35" t="s">
        <v>1439</v>
      </c>
      <c r="N3" t="s">
        <v>1572</v>
      </c>
      <c r="R3" t="s">
        <v>2758</v>
      </c>
      <c r="Z3" s="426">
        <v>42062</v>
      </c>
      <c r="AA3" s="35">
        <v>42916.499848650012</v>
      </c>
    </row>
    <row r="4" spans="1:27">
      <c r="A4" s="767">
        <v>2.1</v>
      </c>
      <c r="B4" s="768" t="str">
        <f>INDEX('Model Report Formatized'!D:D,MATCH($A4,'Model Report Formatized'!$C:$C,0))</f>
        <v>FRB Reserve</v>
      </c>
      <c r="C4" s="768">
        <f>SUMIFS('Model Report Formatized'!N:N,'Model Report Formatized'!$C:$C,$A4)</f>
        <v>424.33800000000002</v>
      </c>
      <c r="D4" s="768">
        <f>SUMIFS('Model Report Formatized'!O:O,'Model Report Formatized'!$C:$C,$A4)</f>
        <v>424.33800000000002</v>
      </c>
      <c r="H4" s="769" t="s">
        <v>1427</v>
      </c>
      <c r="I4" s="770"/>
      <c r="L4" s="35">
        <f>SUM(C49:C73)</f>
        <v>21898.966583960009</v>
      </c>
      <c r="M4" s="35">
        <f ca="1">SUM(D49:D73)</f>
        <v>16195.125839824932</v>
      </c>
      <c r="N4" s="712">
        <f ca="1">1-M4/L4</f>
        <v>0.26046163969732161</v>
      </c>
      <c r="R4">
        <v>17354.465354171174</v>
      </c>
      <c r="Z4" s="426">
        <v>42094</v>
      </c>
      <c r="AA4" s="35">
        <v>38572.942040090005</v>
      </c>
    </row>
    <row r="5" spans="1:27">
      <c r="A5" s="767">
        <v>3.1</v>
      </c>
      <c r="B5" s="768" t="str">
        <f>INDEX('Model Report Formatized'!D:D,MATCH($A5,'Model Report Formatized'!$C:$C,0))</f>
        <v>Due From Banks (IB / Affiliates)</v>
      </c>
      <c r="C5" s="768">
        <f>SUMIFS('Model Report Formatized'!N:N,'Model Report Formatized'!$C:$C,$A5)</f>
        <v>1476.8092643599998</v>
      </c>
      <c r="D5" s="768">
        <f ca="1">SUMIFS('Model Report Formatized'!O:O,'Model Report Formatized'!$C:$C,$A5)</f>
        <v>1311.9046321799999</v>
      </c>
      <c r="H5" s="769" t="s">
        <v>1428</v>
      </c>
      <c r="I5" s="770">
        <f>D4</f>
        <v>424.33800000000002</v>
      </c>
      <c r="M5" s="35"/>
      <c r="Z5" s="426">
        <v>42124</v>
      </c>
      <c r="AA5" s="35">
        <v>33920.286593800003</v>
      </c>
    </row>
    <row r="6" spans="1:27">
      <c r="A6" s="767">
        <v>3.2</v>
      </c>
      <c r="B6" s="768" t="str">
        <f>INDEX('Model Report Formatized'!D:D,MATCH($A6,'Model Report Formatized'!$C:$C,0))</f>
        <v>Due From Banks (3rd Party FI)</v>
      </c>
      <c r="C6" s="768">
        <f>SUMIFS('Model Report Formatized'!N:N,'Model Report Formatized'!$C:$C,$A6)</f>
        <v>2.440110439999847</v>
      </c>
      <c r="D6" s="768">
        <f ca="1">SUMIFS('Model Report Formatized'!O:O,'Model Report Formatized'!$C:$C,$A6)</f>
        <v>0</v>
      </c>
      <c r="H6" s="769" t="s">
        <v>1429</v>
      </c>
      <c r="I6" s="770">
        <f>D7</f>
        <v>3561.1634352277601</v>
      </c>
      <c r="K6" s="443" t="s">
        <v>2754</v>
      </c>
      <c r="M6" s="35"/>
      <c r="Z6" s="426">
        <v>42153</v>
      </c>
      <c r="AA6" s="35">
        <v>31871.279622039994</v>
      </c>
    </row>
    <row r="7" spans="1:27">
      <c r="A7" s="767">
        <v>4</v>
      </c>
      <c r="B7" s="768" t="str">
        <f>INDEX('Model Report Formatized'!D:D,MATCH($A7,'Model Report Formatized'!$C:$C,0))</f>
        <v>Non-Buffer Securities</v>
      </c>
      <c r="C7" s="768">
        <f>SUMIFS('Model Report Formatized'!N:N,'Model Report Formatized'!$C:$C,$A7)</f>
        <v>3561.1634352277601</v>
      </c>
      <c r="D7" s="768">
        <f>SUMIFS('Model Report Formatized'!O:O,'Model Report Formatized'!$C:$C,$A7)</f>
        <v>3561.1634352277601</v>
      </c>
      <c r="H7" s="769" t="s">
        <v>1430</v>
      </c>
      <c r="I7" s="770">
        <f ca="1">SUM(D5:D6)</f>
        <v>1311.9046321799999</v>
      </c>
      <c r="K7" s="2" t="s">
        <v>2757</v>
      </c>
      <c r="L7" s="35"/>
      <c r="M7" s="35"/>
      <c r="O7" t="str">
        <f>"基于"&amp;TEXT('Stress testing Buffer'!C2,"mm/dd")&amp;"预测Buffer"</f>
        <v>基于12/31预测Buffer</v>
      </c>
      <c r="R7" t="s">
        <v>2759</v>
      </c>
      <c r="S7" t="s">
        <v>1634</v>
      </c>
      <c r="T7" t="s">
        <v>1190</v>
      </c>
      <c r="U7" t="s">
        <v>1342</v>
      </c>
      <c r="V7" t="str">
        <f>O7</f>
        <v>基于12/31预测Buffer</v>
      </c>
      <c r="Z7" s="426">
        <v>42185</v>
      </c>
      <c r="AA7" s="35">
        <v>47707.209609029996</v>
      </c>
    </row>
    <row r="8" spans="1:27">
      <c r="A8" s="767">
        <v>4.0999999999999996</v>
      </c>
      <c r="B8" s="768" t="str">
        <f>INDEX('Model Report Formatized'!D:D,MATCH($A8,'Model Report Formatized'!$C:$C,0))</f>
        <v>Unpledged HQLA Securities Haircut</v>
      </c>
      <c r="C8" s="768">
        <f>SUMIFS('Model Report Formatized'!N:N,'Model Report Formatized'!$C:$C,$A8)</f>
        <v>71.375344239133028</v>
      </c>
      <c r="D8" s="768">
        <f>SUMIFS('Model Report Formatized'!O:O,'Model Report Formatized'!$C:$C,$A8)</f>
        <v>71.375344239133028</v>
      </c>
      <c r="H8" s="769" t="s">
        <v>1431</v>
      </c>
      <c r="I8" s="770">
        <f ca="1">SUM(D9:D14)</f>
        <v>18108.817518235002</v>
      </c>
      <c r="K8" s="962">
        <v>5.0000000000000001E-3</v>
      </c>
      <c r="L8" s="743">
        <v>13795.317996028349</v>
      </c>
      <c r="M8" s="35">
        <f t="shared" ref="M8:M18" ca="1" si="0">L8*(1-$N$4)</f>
        <v>10202.166850636837</v>
      </c>
      <c r="N8" s="713">
        <f t="shared" ref="N8:N18" ca="1" si="1">$N$4</f>
        <v>0.26046163969732161</v>
      </c>
      <c r="O8" s="782">
        <f t="shared" ref="O8:O18" ca="1" si="2">$I$19+M8-M$4</f>
        <v>3192.5873992881079</v>
      </c>
      <c r="R8">
        <v>5.0000000000000001E-3</v>
      </c>
      <c r="S8">
        <v>0.68707062549736553</v>
      </c>
      <c r="T8">
        <f t="shared" ref="T8:T18" si="3">$R$4*S8</f>
        <v>11923.743366062748</v>
      </c>
      <c r="U8" s="35">
        <f t="shared" ref="U8:U18" ca="1" si="4">T8*(1-$N$4)</f>
        <v>8818.0656176079847</v>
      </c>
      <c r="V8" s="782">
        <f t="shared" ref="V8:V18" ca="1" si="5">$I$19+U8-M$4</f>
        <v>1808.4861662592539</v>
      </c>
      <c r="Z8" s="426">
        <v>42216</v>
      </c>
      <c r="AA8" s="35">
        <v>42315.255544040003</v>
      </c>
    </row>
    <row r="9" spans="1:27" ht="14.25" customHeight="1">
      <c r="A9" s="767" t="s">
        <v>1059</v>
      </c>
      <c r="B9" s="768" t="str">
        <f>INDEX('Model Report Formatized'!D:D,MATCH($A9,'Model Report Formatized'!$C:$C,0))</f>
        <v xml:space="preserve"> Syndications - U.S. customers  (170)</v>
      </c>
      <c r="C9" s="768">
        <f>SUMIFS('Model Report Formatized'!N:N,'Model Report Formatized'!$C:$C,$A9)</f>
        <v>5631.5663244500001</v>
      </c>
      <c r="D9" s="768">
        <f ca="1">SUMIFS('Model Report Formatized'!O:O,'Model Report Formatized'!$C:$C,$A9)</f>
        <v>5601.5663244449997</v>
      </c>
      <c r="H9" s="769" t="s">
        <v>1432</v>
      </c>
      <c r="I9" s="770">
        <f ca="1">SUM(D15:D17)</f>
        <v>4247.2069381000001</v>
      </c>
      <c r="K9" s="962">
        <v>0.01</v>
      </c>
      <c r="L9" s="743">
        <v>14020.659644436899</v>
      </c>
      <c r="M9" s="35">
        <f t="shared" ca="1" si="0"/>
        <v>10368.815643808797</v>
      </c>
      <c r="N9" s="713">
        <f t="shared" ca="1" si="1"/>
        <v>0.26046163969732161</v>
      </c>
      <c r="O9" s="782">
        <f t="shared" ca="1" si="2"/>
        <v>3359.2361924600682</v>
      </c>
      <c r="R9">
        <v>0.01</v>
      </c>
      <c r="S9">
        <v>0.74231954590870719</v>
      </c>
      <c r="T9">
        <f t="shared" si="3"/>
        <v>12882.558841196736</v>
      </c>
      <c r="U9" s="35">
        <f t="shared" ca="1" si="4"/>
        <v>9527.1464419214062</v>
      </c>
      <c r="V9" s="782">
        <f t="shared" ca="1" si="5"/>
        <v>2517.5669905726772</v>
      </c>
      <c r="Z9" s="426">
        <v>42247</v>
      </c>
      <c r="AA9" s="35">
        <v>64497.691873560005</v>
      </c>
    </row>
    <row r="10" spans="1:27">
      <c r="A10" s="767" t="s">
        <v>1060</v>
      </c>
      <c r="B10" s="768" t="str">
        <f>INDEX('Model Report Formatized'!D:D,MATCH($A10,'Model Report Formatized'!$C:$C,0))</f>
        <v xml:space="preserve"> Syndications - Non U.S. customers (240)</v>
      </c>
      <c r="C10" s="768">
        <f>SUMIFS('Model Report Formatized'!N:N,'Model Report Formatized'!$C:$C,$A10)</f>
        <v>1355.7736293799999</v>
      </c>
      <c r="D10" s="768">
        <f ca="1">SUMIFS('Model Report Formatized'!O:O,'Model Report Formatized'!$C:$C,$A10)</f>
        <v>1355.7736293799999</v>
      </c>
      <c r="H10" s="769" t="s">
        <v>1220</v>
      </c>
      <c r="I10" s="770">
        <f ca="1">SUM(C75:C77)-SUM(D75:D77)</f>
        <v>1763.0111379716509</v>
      </c>
      <c r="K10" s="962">
        <v>0.02</v>
      </c>
      <c r="L10" s="743">
        <v>14974.6566157418</v>
      </c>
      <c r="M10" s="35">
        <f t="shared" ca="1" si="0"/>
        <v>11074.332999701346</v>
      </c>
      <c r="N10" s="713">
        <f t="shared" ca="1" si="1"/>
        <v>0.26046163969732161</v>
      </c>
      <c r="O10" s="782">
        <f t="shared" ca="1" si="2"/>
        <v>4064.7535483526171</v>
      </c>
      <c r="R10">
        <v>0.02</v>
      </c>
      <c r="S10">
        <v>0.76447262517029346</v>
      </c>
      <c r="T10">
        <f t="shared" si="3"/>
        <v>13267.013687730145</v>
      </c>
      <c r="U10" s="35">
        <f t="shared" ca="1" si="4"/>
        <v>9811.4655487371419</v>
      </c>
      <c r="V10" s="782">
        <f t="shared" ca="1" si="5"/>
        <v>2801.886097388413</v>
      </c>
      <c r="Z10" s="426">
        <v>42277</v>
      </c>
      <c r="AA10" s="35">
        <v>46686.925808800006</v>
      </c>
    </row>
    <row r="11" spans="1:27">
      <c r="A11" s="767" t="s">
        <v>1061</v>
      </c>
      <c r="B11" s="768" t="str">
        <f>INDEX('Model Report Formatized'!D:D,MATCH($A11,'Model Report Formatized'!$C:$C,0))</f>
        <v>Time -Secured Non U.S. (380)</v>
      </c>
      <c r="C11" s="768">
        <f>SUMIFS('Model Report Formatized'!N:N,'Model Report Formatized'!$C:$C,$A11)</f>
        <v>2136.7882296600001</v>
      </c>
      <c r="D11" s="768">
        <f ca="1">SUMIFS('Model Report Formatized'!O:O,'Model Report Formatized'!$C:$C,$A11)</f>
        <v>2106.7882296600001</v>
      </c>
      <c r="H11" s="769" t="s">
        <v>1406</v>
      </c>
      <c r="I11" s="770">
        <v>150</v>
      </c>
      <c r="K11" s="962">
        <v>0.03</v>
      </c>
      <c r="L11" s="743">
        <v>15341.7162215435</v>
      </c>
      <c r="M11" s="35">
        <f t="shared" ca="1" si="0"/>
        <v>11345.787658709283</v>
      </c>
      <c r="N11" s="713">
        <f t="shared" ca="1" si="1"/>
        <v>0.26046163969732161</v>
      </c>
      <c r="O11" s="782">
        <f t="shared" ca="1" si="2"/>
        <v>4336.2082073605543</v>
      </c>
      <c r="R11">
        <v>0.03</v>
      </c>
      <c r="S11">
        <v>0.77867887948383485</v>
      </c>
      <c r="T11">
        <f t="shared" si="3"/>
        <v>13513.555636027044</v>
      </c>
      <c r="U11" s="35">
        <f t="shared" ca="1" si="4"/>
        <v>9993.7927769264588</v>
      </c>
      <c r="V11" s="782">
        <f t="shared" ca="1" si="5"/>
        <v>2984.2133255777317</v>
      </c>
      <c r="Z11" s="426">
        <v>42307</v>
      </c>
      <c r="AA11" s="35">
        <v>45571.887367070005</v>
      </c>
    </row>
    <row r="12" spans="1:27">
      <c r="A12" s="767" t="s">
        <v>1063</v>
      </c>
      <c r="B12" s="768" t="str">
        <f>INDEX('Model Report Formatized'!D:D,MATCH($A12,'Model Report Formatized'!$C:$C,0))</f>
        <v>Time - unsecured U.S. (270)</v>
      </c>
      <c r="C12" s="768">
        <f>SUMIFS('Model Report Formatized'!N:N,'Model Report Formatized'!$C:$C,$A12)</f>
        <v>929.72933477999993</v>
      </c>
      <c r="D12" s="768">
        <f ca="1">SUMIFS('Model Report Formatized'!O:O,'Model Report Formatized'!$C:$C,$A12)</f>
        <v>929.72902574999989</v>
      </c>
      <c r="H12" s="769" t="s">
        <v>1433</v>
      </c>
      <c r="I12" s="770">
        <f ca="1">SUM(D18:D20)</f>
        <v>95.709184719999968</v>
      </c>
      <c r="K12" s="962">
        <v>0.04</v>
      </c>
      <c r="L12" s="743">
        <v>15940.905306043202</v>
      </c>
      <c r="M12" s="35">
        <f t="shared" ca="1" si="0"/>
        <v>11788.910971771455</v>
      </c>
      <c r="N12" s="713">
        <f t="shared" ca="1" si="1"/>
        <v>0.26046163969732161</v>
      </c>
      <c r="O12" s="782">
        <f t="shared" ca="1" si="2"/>
        <v>4779.3315204227274</v>
      </c>
      <c r="R12">
        <v>0.04</v>
      </c>
      <c r="S12">
        <v>0.8060454703290757</v>
      </c>
      <c r="T12">
        <f t="shared" si="3"/>
        <v>13988.488188712554</v>
      </c>
      <c r="U12" s="35">
        <f ca="1">T12*(1-$N$4)</f>
        <v>10345.023618193865</v>
      </c>
      <c r="V12" s="782">
        <f t="shared" ca="1" si="5"/>
        <v>3335.4441668451345</v>
      </c>
      <c r="Z12" s="426">
        <v>42338</v>
      </c>
      <c r="AA12" s="35">
        <v>52181.541044940001</v>
      </c>
    </row>
    <row r="13" spans="1:27">
      <c r="A13" s="767" t="s">
        <v>1064</v>
      </c>
      <c r="B13" s="768" t="str">
        <f>INDEX('Model Report Formatized'!D:D,MATCH($A13,'Model Report Formatized'!$C:$C,0))</f>
        <v>Time - secured U.S. (310)</v>
      </c>
      <c r="C13" s="768">
        <f>SUMIFS('Model Report Formatized'!N:N,'Model Report Formatized'!$C:$C,$A13)</f>
        <v>1872.3040158399999</v>
      </c>
      <c r="D13" s="768">
        <f ca="1">SUMIFS('Model Report Formatized'!O:O,'Model Report Formatized'!$C:$C,$A13)</f>
        <v>1872.3040158399999</v>
      </c>
      <c r="H13" s="769"/>
      <c r="I13" s="770"/>
      <c r="K13" s="962">
        <v>0.05</v>
      </c>
      <c r="L13" s="743">
        <v>16352.132278473</v>
      </c>
      <c r="M13" s="35">
        <f t="shared" ca="1" si="0"/>
        <v>12093.029092674422</v>
      </c>
      <c r="N13" s="713">
        <f t="shared" ca="1" si="1"/>
        <v>0.26046163969732161</v>
      </c>
      <c r="O13" s="782">
        <f t="shared" ca="1" si="2"/>
        <v>5083.4496413256948</v>
      </c>
      <c r="R13">
        <v>0.05</v>
      </c>
      <c r="S13">
        <v>0.81726041196089971</v>
      </c>
      <c r="T13">
        <f t="shared" si="3"/>
        <v>14183.117504711096</v>
      </c>
      <c r="U13" s="35">
        <f t="shared" ca="1" si="4"/>
        <v>10488.95946341426</v>
      </c>
      <c r="V13" s="782">
        <f t="shared" ca="1" si="5"/>
        <v>3479.3800120655305</v>
      </c>
      <c r="Z13" s="426">
        <v>42369</v>
      </c>
      <c r="AA13" s="35">
        <v>59680.198327079997</v>
      </c>
    </row>
    <row r="14" spans="1:27" ht="15">
      <c r="A14" s="767">
        <v>5.3</v>
      </c>
      <c r="B14" s="768" t="str">
        <f>INDEX('Model Report Formatized'!D:D,MATCH($A14,'Model Report Formatized'!$C:$C,0))</f>
        <v>Mortgage (Commercial and Retail)</v>
      </c>
      <c r="C14" s="768">
        <f>SUMIFS('Model Report Formatized'!N:N,'Model Report Formatized'!$C:$C,$A14)</f>
        <v>6249.8529878100026</v>
      </c>
      <c r="D14" s="768">
        <f ca="1">SUMIFS('Model Report Formatized'!O:O,'Model Report Formatized'!$C:$C,$A14)</f>
        <v>6242.6562931600029</v>
      </c>
      <c r="H14" s="765" t="s">
        <v>1434</v>
      </c>
      <c r="I14" s="766">
        <f ca="1">SUM(D24:D73)</f>
        <v>38919.072579149746</v>
      </c>
      <c r="K14" s="962">
        <v>0.08</v>
      </c>
      <c r="L14" s="961">
        <v>17625.436052691999</v>
      </c>
      <c r="M14" s="35">
        <f t="shared" ca="1" si="0"/>
        <v>13034.686078027553</v>
      </c>
      <c r="N14" s="713">
        <f t="shared" ca="1" si="1"/>
        <v>0.26046163969732161</v>
      </c>
      <c r="O14" s="782">
        <f t="shared" ca="1" si="2"/>
        <v>6025.1066266788239</v>
      </c>
      <c r="R14">
        <v>0.08</v>
      </c>
      <c r="S14">
        <v>0.83567159415624803</v>
      </c>
      <c r="T14">
        <f t="shared" si="3"/>
        <v>14502.633728249601</v>
      </c>
      <c r="U14" s="35">
        <f t="shared" ca="1" si="4"/>
        <v>10725.253967460028</v>
      </c>
      <c r="V14" s="782">
        <f t="shared" ca="1" si="5"/>
        <v>3715.6745161113013</v>
      </c>
      <c r="Z14" s="426">
        <v>42398</v>
      </c>
      <c r="AA14" s="35">
        <v>51439.93906466</v>
      </c>
    </row>
    <row r="15" spans="1:27">
      <c r="A15" s="767" t="s">
        <v>1066</v>
      </c>
      <c r="B15" s="768" t="str">
        <f>INDEX('Model Report Formatized'!D:D,MATCH($A15,'Model Report Formatized'!$C:$C,0))</f>
        <v>Trade Finance - IB &amp; Affiliates</v>
      </c>
      <c r="C15" s="768">
        <f>SUMIFS('Model Report Formatized'!N:N,'Model Report Formatized'!$C:$C,$A15)</f>
        <v>191.75120747000003</v>
      </c>
      <c r="D15" s="768">
        <f ca="1">SUMIFS('Model Report Formatized'!O:O,'Model Report Formatized'!$C:$C,$A15)</f>
        <v>161.84738332500001</v>
      </c>
      <c r="H15" s="769" t="s">
        <v>1427</v>
      </c>
      <c r="I15" s="770"/>
      <c r="K15" s="962">
        <v>0.1</v>
      </c>
      <c r="L15" s="961">
        <v>18280.290929883999</v>
      </c>
      <c r="M15" s="35">
        <f t="shared" ca="1" si="0"/>
        <v>13518.976380142336</v>
      </c>
      <c r="N15" s="713">
        <f t="shared" ca="1" si="1"/>
        <v>0.26046163969732161</v>
      </c>
      <c r="O15" s="782">
        <f t="shared" ca="1" si="2"/>
        <v>6509.396928793607</v>
      </c>
      <c r="R15">
        <v>0.1</v>
      </c>
      <c r="S15">
        <v>0.843103387537952</v>
      </c>
      <c r="T15">
        <f t="shared" si="3"/>
        <v>14631.608529011741</v>
      </c>
      <c r="U15" s="35">
        <f t="shared" ca="1" si="4"/>
        <v>10820.635780136026</v>
      </c>
      <c r="V15" s="782">
        <f t="shared" ca="1" si="5"/>
        <v>3811.0563287872956</v>
      </c>
      <c r="Z15" s="426">
        <v>42429</v>
      </c>
      <c r="AA15" s="35">
        <v>47016.262957440005</v>
      </c>
    </row>
    <row r="16" spans="1:27">
      <c r="A16" s="767" t="s">
        <v>1067</v>
      </c>
      <c r="B16" s="768" t="str">
        <f>INDEX('Model Report Formatized'!D:D,MATCH($A16,'Model Report Formatized'!$C:$C,0))</f>
        <v>Trade Finance - 3rd Parties</v>
      </c>
      <c r="C16" s="768">
        <f>SUMIFS('Model Report Formatized'!N:N,'Model Report Formatized'!$C:$C,$A16)</f>
        <v>2643.1710078999999</v>
      </c>
      <c r="D16" s="768">
        <f ca="1">SUMIFS('Model Report Formatized'!O:O,'Model Report Formatized'!$C:$C,$A16)</f>
        <v>2574.3165363849998</v>
      </c>
      <c r="H16" s="769" t="s">
        <v>1435</v>
      </c>
      <c r="I16" s="770">
        <f ca="1">SUM(D49:D73)</f>
        <v>16195.125839824932</v>
      </c>
      <c r="K16" s="962">
        <v>0.15</v>
      </c>
      <c r="L16" s="961">
        <v>19507.507223223998</v>
      </c>
      <c r="M16" s="35">
        <f t="shared" ca="1" si="0"/>
        <v>14426.549905455729</v>
      </c>
      <c r="N16" s="713">
        <f t="shared" ca="1" si="1"/>
        <v>0.26046163969732161</v>
      </c>
      <c r="O16" s="782">
        <f t="shared" ca="1" si="2"/>
        <v>7416.9704541070005</v>
      </c>
      <c r="R16">
        <v>0.15</v>
      </c>
      <c r="S16">
        <v>0.87675979951036409</v>
      </c>
      <c r="T16">
        <f t="shared" si="3"/>
        <v>15215.697564532678</v>
      </c>
      <c r="U16" s="35">
        <f t="shared" ca="1" si="4"/>
        <v>11252.592027735955</v>
      </c>
      <c r="V16" s="782">
        <f t="shared" ca="1" si="5"/>
        <v>4243.0125763872256</v>
      </c>
      <c r="Z16" s="426">
        <v>42460</v>
      </c>
      <c r="AA16" s="35">
        <v>43166.184081610001</v>
      </c>
    </row>
    <row r="17" spans="1:27">
      <c r="A17" s="767" t="s">
        <v>1156</v>
      </c>
      <c r="B17" s="768" t="str">
        <f>INDEX('Model Report Formatized'!D:D,MATCH($A17,'Model Report Formatized'!$C:$C,0))</f>
        <v xml:space="preserve">Trade Finance - Non FI </v>
      </c>
      <c r="C17" s="768">
        <f>SUMIFS('Model Report Formatized'!N:N,'Model Report Formatized'!$C:$C,$A17)</f>
        <v>1550.08623592</v>
      </c>
      <c r="D17" s="768">
        <f ca="1">SUMIFS('Model Report Formatized'!O:O,'Model Report Formatized'!$C:$C,$A17)</f>
        <v>1511.04301839</v>
      </c>
      <c r="H17" s="769" t="s">
        <v>1436</v>
      </c>
      <c r="I17" s="770">
        <f ca="1">SUM(D24:D46)</f>
        <v>22723.946739324809</v>
      </c>
      <c r="K17" s="962">
        <v>0.2</v>
      </c>
      <c r="L17" s="961">
        <v>20362.661916734003</v>
      </c>
      <c r="M17" s="35">
        <f t="shared" ca="1" si="0"/>
        <v>15058.969605299259</v>
      </c>
      <c r="N17" s="713">
        <f t="shared" ca="1" si="1"/>
        <v>0.26046163969732161</v>
      </c>
      <c r="O17" s="782">
        <f t="shared" ca="1" si="2"/>
        <v>8049.3901539505296</v>
      </c>
      <c r="R17">
        <v>0.2</v>
      </c>
      <c r="S17">
        <v>0.89611788559453343</v>
      </c>
      <c r="T17">
        <f t="shared" si="3"/>
        <v>15551.646798803458</v>
      </c>
      <c r="U17" s="35">
        <f t="shared" ca="1" si="4"/>
        <v>11501.039373593507</v>
      </c>
      <c r="V17" s="782">
        <f t="shared" ca="1" si="5"/>
        <v>4491.4599222447778</v>
      </c>
      <c r="Z17" s="426">
        <v>42489</v>
      </c>
      <c r="AA17" s="35">
        <v>36708.014272149994</v>
      </c>
    </row>
    <row r="18" spans="1:27">
      <c r="A18" s="767">
        <v>6</v>
      </c>
      <c r="B18" s="768" t="str">
        <f>INDEX('Model Report Formatized'!D:D,MATCH($A18,'Model Report Formatized'!$C:$C,0))</f>
        <v>BOLI</v>
      </c>
      <c r="C18" s="768">
        <f>SUMIFS('Model Report Formatized'!N:N,'Model Report Formatized'!$C:$C,$A18)</f>
        <v>177.33069579000002</v>
      </c>
      <c r="D18" s="768">
        <f>SUMIFS('Model Report Formatized'!O:O,'Model Report Formatized'!$C:$C,$A18)</f>
        <v>177.33069579000002</v>
      </c>
      <c r="H18" s="769"/>
      <c r="I18" s="770"/>
      <c r="K18" s="962">
        <v>0.3</v>
      </c>
      <c r="L18" s="961">
        <v>21936.537985534</v>
      </c>
      <c r="M18" s="35">
        <f t="shared" ca="1" si="0"/>
        <v>16222.911332539234</v>
      </c>
      <c r="N18" s="713">
        <f t="shared" ca="1" si="1"/>
        <v>0.26046163969732161</v>
      </c>
      <c r="O18" s="782">
        <f t="shared" ca="1" si="2"/>
        <v>9213.3318811905065</v>
      </c>
      <c r="R18">
        <v>0.3</v>
      </c>
      <c r="S18">
        <v>0.93919272773777385</v>
      </c>
      <c r="T18">
        <f t="shared" si="3"/>
        <v>16299.187654414716</v>
      </c>
      <c r="U18" s="35">
        <f t="shared" ca="1" si="4"/>
        <v>12053.874512211518</v>
      </c>
      <c r="V18" s="782">
        <f t="shared" ca="1" si="5"/>
        <v>5044.2950608627889</v>
      </c>
      <c r="Z18" s="426">
        <v>42521</v>
      </c>
      <c r="AA18" s="35">
        <v>34316.160981149995</v>
      </c>
    </row>
    <row r="19" spans="1:27">
      <c r="A19" s="767">
        <v>98</v>
      </c>
      <c r="B19" s="768" t="str">
        <f>INDEX('Model Report Formatized'!D:D,MATCH($A19,'Model Report Formatized'!$C:$C,0))</f>
        <v>REPO Assets</v>
      </c>
      <c r="C19" s="768">
        <f>SUMIFS('Model Report Formatized'!N:N,'Model Report Formatized'!$C:$C,$A19)</f>
        <v>0</v>
      </c>
      <c r="D19" s="768">
        <f ca="1">SUMIFS('Model Report Formatized'!O:O,'Model Report Formatized'!$C:$C,$A19)</f>
        <v>0</v>
      </c>
      <c r="H19" s="769" t="s">
        <v>1437</v>
      </c>
      <c r="I19" s="770">
        <f ca="1">I14-I3</f>
        <v>9185.546388476203</v>
      </c>
      <c r="Z19" s="426">
        <v>42551</v>
      </c>
      <c r="AA19" s="35">
        <v>35521.699592279998</v>
      </c>
    </row>
    <row r="20" spans="1:27">
      <c r="A20" s="767">
        <v>7</v>
      </c>
      <c r="B20" s="768" t="str">
        <f>INDEX('Model Report Formatized'!D:D,MATCH($A20,'Model Report Formatized'!$C:$C,0))</f>
        <v>Other Assets</v>
      </c>
      <c r="C20" s="768">
        <f>SUMIFS('Model Report Formatized'!N:N,'Model Report Formatized'!$C:$C,$A20)</f>
        <v>-81.621511070000054</v>
      </c>
      <c r="D20" s="768">
        <f>SUMIFS('Model Report Formatized'!O:O,'Model Report Formatized'!$C:$C,$A20)</f>
        <v>-81.621511070000054</v>
      </c>
      <c r="Z20" s="426">
        <v>42580</v>
      </c>
      <c r="AA20" s="35">
        <v>37228.821772679992</v>
      </c>
    </row>
    <row r="21" spans="1:27" ht="15">
      <c r="A21" s="771"/>
      <c r="B21" s="772" t="s">
        <v>22</v>
      </c>
      <c r="C21" s="772">
        <f>SUM(C3:C20)</f>
        <v>61187.931160080007</v>
      </c>
      <c r="D21" s="772">
        <f ca="1">SUM(D3:D20)</f>
        <v>38131.452392183761</v>
      </c>
      <c r="Z21" s="426">
        <v>42613</v>
      </c>
      <c r="AA21" s="35">
        <v>39389.731642890009</v>
      </c>
    </row>
    <row r="22" spans="1:27" ht="15">
      <c r="A22" s="773"/>
      <c r="B22" s="774"/>
      <c r="C22" s="774"/>
      <c r="D22" s="774"/>
      <c r="I22"/>
      <c r="Z22" s="426">
        <v>42643</v>
      </c>
      <c r="AA22" s="35">
        <v>31408.325403029998</v>
      </c>
    </row>
    <row r="23" spans="1:27" ht="15">
      <c r="A23" s="773"/>
      <c r="B23" s="774" t="s">
        <v>1438</v>
      </c>
      <c r="C23" s="774"/>
      <c r="D23" s="774"/>
      <c r="I23"/>
      <c r="Z23" s="426">
        <v>42674</v>
      </c>
      <c r="AA23" s="35">
        <v>44397.129801060008</v>
      </c>
    </row>
    <row r="24" spans="1:27">
      <c r="A24" s="767" t="s">
        <v>996</v>
      </c>
      <c r="B24" s="768" t="str">
        <f>INDEX('Model Report Formatized'!D:D,MATCH($A24,'Model Report Formatized'!$C:$C,0))</f>
        <v>Due to Interbranch - Call Loans (Exclude HO)</v>
      </c>
      <c r="C24" s="768">
        <f>SUMIFS('Model Report Formatized'!N:N,'Model Report Formatized'!$C:$C,$A24)</f>
        <v>460.84183000000002</v>
      </c>
      <c r="D24" s="768">
        <f ca="1">SUMIFS('Model Report Formatized'!O:O,'Model Report Formatized'!$C:$C,$A24)</f>
        <v>460.84183000000002</v>
      </c>
      <c r="E24" t="s">
        <v>1340</v>
      </c>
      <c r="I24"/>
      <c r="Z24" s="426">
        <v>42704</v>
      </c>
      <c r="AA24" s="35">
        <v>34559.342422919995</v>
      </c>
    </row>
    <row r="25" spans="1:27">
      <c r="A25" s="767" t="s">
        <v>1230</v>
      </c>
      <c r="B25" s="768" t="str">
        <f>INDEX('Model Report Formatized'!D:D,MATCH($A25,'Model Report Formatized'!$C:$C,0))</f>
        <v>Due to Interbranch - Call Loans (H.O.)</v>
      </c>
      <c r="C25" s="768">
        <f>SUMIFS('Model Report Formatized'!N:N,'Model Report Formatized'!$C:$C,$A25)</f>
        <v>19377</v>
      </c>
      <c r="D25" s="768">
        <f ca="1">SUMIFS('Model Report Formatized'!O:O,'Model Report Formatized'!$C:$C,$A25)</f>
        <v>5137</v>
      </c>
      <c r="E25" t="s">
        <v>1340</v>
      </c>
      <c r="I25"/>
      <c r="Z25" s="426">
        <v>42734</v>
      </c>
      <c r="AA25" s="35">
        <v>31906.288956830002</v>
      </c>
    </row>
    <row r="26" spans="1:27">
      <c r="A26" s="767" t="s">
        <v>1287</v>
      </c>
      <c r="B26" s="768" t="str">
        <f>INDEX('Model Report Formatized'!D:D,MATCH($A26,'Model Report Formatized'!$C:$C,0))</f>
        <v>Due to Interbranch - Trade Finance</v>
      </c>
      <c r="C26" s="768">
        <f>SUMIFS('Model Report Formatized'!N:N,'Model Report Formatized'!$C:$C,$A26)</f>
        <v>0</v>
      </c>
      <c r="D26" s="768">
        <f ca="1">SUMIFS('Model Report Formatized'!O:O,'Model Report Formatized'!$C:$C,$A26)</f>
        <v>0</v>
      </c>
      <c r="E26" t="s">
        <v>1340</v>
      </c>
      <c r="I26"/>
      <c r="Z26" s="426">
        <v>42766</v>
      </c>
      <c r="AA26" s="35">
        <v>31096.684081690008</v>
      </c>
    </row>
    <row r="27" spans="1:27">
      <c r="A27" s="767" t="s">
        <v>1164</v>
      </c>
      <c r="B27" s="768" t="str">
        <f>INDEX('Model Report Formatized'!D:D,MATCH($A27,'Model Report Formatized'!$C:$C,0))</f>
        <v>Due to Affiliate - Draft</v>
      </c>
      <c r="C27" s="768">
        <f>SUMIFS('Model Report Formatized'!N:N,'Model Report Formatized'!$C:$C,$A27)</f>
        <v>0</v>
      </c>
      <c r="D27" s="768">
        <f ca="1">SUMIFS('Model Report Formatized'!O:O,'Model Report Formatized'!$C:$C,$A27)</f>
        <v>0</v>
      </c>
      <c r="E27" t="s">
        <v>1340</v>
      </c>
      <c r="Z27" s="426">
        <v>42794</v>
      </c>
      <c r="AA27" s="35">
        <v>29760.56987263</v>
      </c>
    </row>
    <row r="28" spans="1:27">
      <c r="A28" s="767" t="s">
        <v>1165</v>
      </c>
      <c r="B28" s="768" t="str">
        <f>INDEX('Model Report Formatized'!D:D,MATCH($A28,'Model Report Formatized'!$C:$C,0))</f>
        <v>Due to Affiliate - Call Loans</v>
      </c>
      <c r="C28" s="768">
        <f>SUMIFS('Model Report Formatized'!N:N,'Model Report Formatized'!$C:$C,$A28)</f>
        <v>0</v>
      </c>
      <c r="D28" s="768">
        <f ca="1">SUMIFS('Model Report Formatized'!O:O,'Model Report Formatized'!$C:$C,$A28)</f>
        <v>0</v>
      </c>
      <c r="E28" t="s">
        <v>1340</v>
      </c>
      <c r="Z28" s="426">
        <v>42825</v>
      </c>
      <c r="AA28" s="35">
        <v>27336.945170579998</v>
      </c>
    </row>
    <row r="29" spans="1:27">
      <c r="A29" s="767" t="s">
        <v>1300</v>
      </c>
      <c r="B29" s="768" t="str">
        <f>INDEX('Model Report Formatized'!D:D,MATCH($A29,'Model Report Formatized'!$C:$C,0))</f>
        <v>Due to Banks - Call Loans</v>
      </c>
      <c r="C29" s="768">
        <f>SUMIFS('Model Report Formatized'!N:N,'Model Report Formatized'!$C:$C,$A29)</f>
        <v>0</v>
      </c>
      <c r="D29" s="768">
        <f ca="1">SUMIFS('Model Report Formatized'!O:O,'Model Report Formatized'!$C:$C,$A29)</f>
        <v>0</v>
      </c>
      <c r="E29" t="s">
        <v>1340</v>
      </c>
      <c r="Z29" s="426">
        <v>42853</v>
      </c>
      <c r="AA29" s="35">
        <v>23663.060827100002</v>
      </c>
    </row>
    <row r="30" spans="1:27">
      <c r="A30" s="767" t="s">
        <v>1301</v>
      </c>
      <c r="B30" s="768" t="str">
        <f>INDEX('Model Report Formatized'!D:D,MATCH($A30,'Model Report Formatized'!$C:$C,0))</f>
        <v>Blocked Account</v>
      </c>
      <c r="C30" s="768">
        <f>SUMIFS('Model Report Formatized'!N:N,'Model Report Formatized'!$C:$C,$A30)</f>
        <v>1.4091577800000004</v>
      </c>
      <c r="D30" s="768">
        <f ca="1">SUMIFS('Model Report Formatized'!O:O,'Model Report Formatized'!$C:$C,$A30)</f>
        <v>1.1498727484800002</v>
      </c>
      <c r="E30" t="s">
        <v>1340</v>
      </c>
      <c r="Z30" s="426">
        <v>42886</v>
      </c>
      <c r="AA30" s="35">
        <v>22597.142306199992</v>
      </c>
    </row>
    <row r="31" spans="1:27">
      <c r="A31" s="767" t="s">
        <v>1232</v>
      </c>
      <c r="B31" s="768" t="str">
        <f>INDEX('Model Report Formatized'!D:D,MATCH($A31,'Model Report Formatized'!$C:$C,0))</f>
        <v>Due to Banks - Time Deposit</v>
      </c>
      <c r="C31" s="768">
        <f>SUMIFS('Model Report Formatized'!N:N,'Model Report Formatized'!$C:$C,$A31)</f>
        <v>0</v>
      </c>
      <c r="D31" s="768">
        <f ca="1">SUMIFS('Model Report Formatized'!O:O,'Model Report Formatized'!$C:$C,$A31)</f>
        <v>0</v>
      </c>
      <c r="E31" t="s">
        <v>1340</v>
      </c>
      <c r="Z31" s="426">
        <v>42916</v>
      </c>
      <c r="AA31" s="35">
        <v>24597.332329000001</v>
      </c>
    </row>
    <row r="32" spans="1:27">
      <c r="A32" s="767" t="s">
        <v>1313</v>
      </c>
      <c r="B32" s="768" t="str">
        <f>INDEX('Model Report Formatized'!D:D,MATCH($A32,'Model Report Formatized'!$C:$C,0))</f>
        <v>Eurofund Borrowed</v>
      </c>
      <c r="C32" s="768">
        <f>SUMIFS('Model Report Formatized'!N:N,'Model Report Formatized'!$C:$C,$A32)</f>
        <v>0</v>
      </c>
      <c r="D32" s="768">
        <f ca="1">SUMIFS('Model Report Formatized'!O:O,'Model Report Formatized'!$C:$C,$A32)</f>
        <v>0</v>
      </c>
      <c r="E32" t="s">
        <v>1340</v>
      </c>
      <c r="Z32" s="426">
        <v>42947</v>
      </c>
      <c r="AA32" s="35">
        <v>23216.455300410002</v>
      </c>
    </row>
    <row r="33" spans="1:27">
      <c r="A33" s="767" t="s">
        <v>1315</v>
      </c>
      <c r="B33" s="768" t="str">
        <f>INDEX('Model Report Formatized'!D:D,MATCH($A33,'Model Report Formatized'!$C:$C,0))</f>
        <v>Federal Fund Purchased</v>
      </c>
      <c r="C33" s="768">
        <f>SUMIFS('Model Report Formatized'!N:N,'Model Report Formatized'!$C:$C,$A33)</f>
        <v>0</v>
      </c>
      <c r="D33" s="768">
        <f ca="1">SUMIFS('Model Report Formatized'!O:O,'Model Report Formatized'!$C:$C,$A33)</f>
        <v>0</v>
      </c>
      <c r="E33" t="s">
        <v>1340</v>
      </c>
      <c r="Z33" s="426">
        <v>42978</v>
      </c>
      <c r="AA33" s="35">
        <v>26572.052629850001</v>
      </c>
    </row>
    <row r="34" spans="1:27">
      <c r="A34" s="767">
        <v>9.1</v>
      </c>
      <c r="B34" s="768" t="str">
        <f>INDEX('Model Report Formatized'!D:D,MATCH($A34,'Model Report Formatized'!$C:$C,0))</f>
        <v>Demand,MM &amp; Savings - Retail</v>
      </c>
      <c r="C34" s="768">
        <f>SUMIFS('Model Report Formatized'!N:N,'Model Report Formatized'!$C:$C,$A34)</f>
        <v>116.28780820000011</v>
      </c>
      <c r="D34" s="768">
        <f ca="1">SUMIFS('Model Report Formatized'!O:O,'Model Report Formatized'!$C:$C,$A34)</f>
        <v>109.31053970800011</v>
      </c>
      <c r="E34" t="s">
        <v>1340</v>
      </c>
      <c r="Z34" s="426">
        <v>43007</v>
      </c>
      <c r="AA34" s="35">
        <v>26106.946205550001</v>
      </c>
    </row>
    <row r="35" spans="1:27">
      <c r="A35" s="767">
        <v>9.3000000000000007</v>
      </c>
      <c r="B35" s="768" t="str">
        <f>INDEX('Model Report Formatized'!D:D,MATCH($A35,'Model Report Formatized'!$C:$C,0))</f>
        <v>Time Deposits - Retail</v>
      </c>
      <c r="C35" s="768">
        <f>SUMIFS('Model Report Formatized'!N:N,'Model Report Formatized'!$C:$C,$A35)</f>
        <v>174.09592567000021</v>
      </c>
      <c r="D35" s="768">
        <f ca="1">SUMIFS('Model Report Formatized'!O:O,'Model Report Formatized'!$C:$C,$A35)</f>
        <v>168.1857003990923</v>
      </c>
      <c r="E35" t="s">
        <v>1340</v>
      </c>
      <c r="Z35" s="426">
        <v>43039</v>
      </c>
      <c r="AA35" s="35">
        <v>31072.210927700005</v>
      </c>
    </row>
    <row r="36" spans="1:27">
      <c r="A36" s="767">
        <v>9.4</v>
      </c>
      <c r="B36" s="768" t="str">
        <f>INDEX('Model Report Formatized'!D:D,MATCH($A36,'Model Report Formatized'!$C:$C,0))</f>
        <v>Time Deposits - Corporates</v>
      </c>
      <c r="C36" s="768">
        <f>SUMIFS('Model Report Formatized'!N:N,'Model Report Formatized'!$C:$C,$A36)</f>
        <v>2649.5570429800018</v>
      </c>
      <c r="D36" s="768">
        <f ca="1">SUMIFS('Model Report Formatized'!O:O,'Model Report Formatized'!$C:$C,$A36)</f>
        <v>2177.0035808830398</v>
      </c>
      <c r="E36" t="s">
        <v>1340</v>
      </c>
      <c r="Z36" s="426">
        <v>43069</v>
      </c>
      <c r="AA36" s="35">
        <v>24588.261817909995</v>
      </c>
    </row>
    <row r="37" spans="1:27">
      <c r="A37" s="767" t="s">
        <v>1227</v>
      </c>
      <c r="B37" s="768" t="str">
        <f>INDEX('Model Report Formatized'!D:D,MATCH($A37,'Model Report Formatized'!$C:$C,0))</f>
        <v>FDIC Sweep Deposits - Retail - Custodial IND</v>
      </c>
      <c r="C37" s="768">
        <f>SUMIFS('Model Report Formatized'!N:N,'Model Report Formatized'!$C:$C,$A37)</f>
        <v>2989.0659873999998</v>
      </c>
      <c r="D37" s="768">
        <f ca="1">SUMIFS('Model Report Formatized'!O:O,'Model Report Formatized'!$C:$C,$A37)</f>
        <v>2809.7220281559999</v>
      </c>
      <c r="E37" t="s">
        <v>1340</v>
      </c>
      <c r="Z37" s="426">
        <v>43098</v>
      </c>
      <c r="AA37" s="35">
        <v>21692.871114490001</v>
      </c>
    </row>
    <row r="38" spans="1:27">
      <c r="A38" s="767" t="s">
        <v>1228</v>
      </c>
      <c r="B38" s="768" t="str">
        <f>INDEX('Model Report Formatized'!D:D,MATCH($A38,'Model Report Formatized'!$C:$C,0))</f>
        <v>FDIC Sweep Deposits - Retail - ICS/CEDARS</v>
      </c>
      <c r="C38" s="768">
        <f>SUMIFS('Model Report Formatized'!N:N,'Model Report Formatized'!$C:$C,$A38)</f>
        <v>1327.2317001799997</v>
      </c>
      <c r="D38" s="768">
        <f ca="1">SUMIFS('Model Report Formatized'!O:O,'Model Report Formatized'!$C:$C,$A38)</f>
        <v>1247.5977981691997</v>
      </c>
      <c r="E38" t="s">
        <v>1340</v>
      </c>
      <c r="Z38" s="426">
        <v>43131</v>
      </c>
      <c r="AA38" s="35">
        <v>26779.272638139999</v>
      </c>
    </row>
    <row r="39" spans="1:27">
      <c r="A39" s="767" t="s">
        <v>1286</v>
      </c>
      <c r="B39" s="768" t="str">
        <f>INDEX('Model Report Formatized'!D:D,MATCH($A39,'Model Report Formatized'!$C:$C,0))</f>
        <v>FDIC Sweep Deposits - Retail - MMDA</v>
      </c>
      <c r="C39" s="768">
        <f>SUMIFS('Model Report Formatized'!N:N,'Model Report Formatized'!$C:$C,$A39)</f>
        <v>70.697602650000007</v>
      </c>
      <c r="D39" s="768">
        <f ca="1">SUMIFS('Model Report Formatized'!O:O,'Model Report Formatized'!$C:$C,$A39)</f>
        <v>66.455746491000014</v>
      </c>
      <c r="E39" t="s">
        <v>1340</v>
      </c>
      <c r="Z39" s="426">
        <v>43159</v>
      </c>
      <c r="AA39" s="35">
        <v>20416.364379629995</v>
      </c>
    </row>
    <row r="40" spans="1:27">
      <c r="A40" s="767" t="s">
        <v>1285</v>
      </c>
      <c r="B40" s="768" t="str">
        <f>INDEX('Model Report Formatized'!D:D,MATCH($A40,'Model Report Formatized'!$C:$C,0))</f>
        <v>FDIC Sweep Deposits - Non-Retail</v>
      </c>
      <c r="C40" s="768">
        <f>SUMIFS('Model Report Formatized'!N:N,'Model Report Formatized'!$C:$C,$A40)</f>
        <v>0</v>
      </c>
      <c r="D40" s="768">
        <f ca="1">SUMIFS('Model Report Formatized'!O:O,'Model Report Formatized'!$C:$C,$A40)</f>
        <v>0</v>
      </c>
      <c r="E40" t="s">
        <v>1340</v>
      </c>
    </row>
    <row r="41" spans="1:27">
      <c r="A41" s="767">
        <v>10.199999999999999</v>
      </c>
      <c r="B41" s="768" t="str">
        <f>INDEX('Model Report Formatized'!D:D,MATCH($A41,'Model Report Formatized'!$C:$C,0))</f>
        <v>Brokered CDs</v>
      </c>
      <c r="C41" s="768">
        <f>SUMIFS('Model Report Formatized'!N:N,'Model Report Formatized'!$C:$C,$A41)</f>
        <v>9604.8459999999995</v>
      </c>
      <c r="D41" s="768">
        <f ca="1">SUMIFS('Model Report Formatized'!O:O,'Model Report Formatized'!$C:$C,$A41)</f>
        <v>9508.7975399999996</v>
      </c>
      <c r="E41" t="s">
        <v>1340</v>
      </c>
    </row>
    <row r="42" spans="1:27">
      <c r="A42" s="767">
        <v>10.3</v>
      </c>
      <c r="B42" s="768" t="str">
        <f>INDEX('Model Report Formatized'!D:D,MATCH($A42,'Model Report Formatized'!$C:$C,0))</f>
        <v>Yankee CDs</v>
      </c>
      <c r="C42" s="768">
        <f>SUMIFS('Model Report Formatized'!N:N,'Model Report Formatized'!$C:$C,$A42)</f>
        <v>0</v>
      </c>
      <c r="D42" s="768">
        <f ca="1">SUMIFS('Model Report Formatized'!O:O,'Model Report Formatized'!$C:$C,$A42)</f>
        <v>0</v>
      </c>
      <c r="E42" t="s">
        <v>1340</v>
      </c>
    </row>
    <row r="43" spans="1:27">
      <c r="A43" s="767">
        <v>11</v>
      </c>
      <c r="B43" s="768" t="str">
        <f>INDEX('Model Report Formatized'!D:D,MATCH($A43,'Model Report Formatized'!$C:$C,0))</f>
        <v>Bond Issuance</v>
      </c>
      <c r="C43" s="768">
        <f>SUMIFS('Model Report Formatized'!N:N,'Model Report Formatized'!$C:$C,$A43)</f>
        <v>0</v>
      </c>
      <c r="D43" s="768">
        <f ca="1">SUMIFS('Model Report Formatized'!O:O,'Model Report Formatized'!$C:$C,$A43)</f>
        <v>0</v>
      </c>
      <c r="E43" t="s">
        <v>1340</v>
      </c>
    </row>
    <row r="44" spans="1:27">
      <c r="A44" s="767">
        <v>99</v>
      </c>
      <c r="B44" s="768" t="str">
        <f>INDEX('Model Report Formatized'!D:D,MATCH($A44,'Model Report Formatized'!$C:$C,0))</f>
        <v>REPO Liabilities</v>
      </c>
      <c r="C44" s="768">
        <f>SUMIFS('Model Report Formatized'!N:N,'Model Report Formatized'!$C:$C,$A44)</f>
        <v>0</v>
      </c>
      <c r="D44" s="768">
        <f ca="1">SUMIFS('Model Report Formatized'!O:O,'Model Report Formatized'!$C:$C,$A44)</f>
        <v>0</v>
      </c>
      <c r="E44" t="s">
        <v>1340</v>
      </c>
      <c r="I44"/>
    </row>
    <row r="45" spans="1:27">
      <c r="A45" s="767">
        <v>13</v>
      </c>
      <c r="B45" s="768" t="str">
        <f>INDEX('Model Report Formatized'!D:D,MATCH($A45,'Model Report Formatized'!$C:$C,0))</f>
        <v>Other Liabilities</v>
      </c>
      <c r="C45" s="768">
        <f>SUMIFS('Model Report Formatized'!N:N,'Model Report Formatized'!$C:$C,$A45)</f>
        <v>411.85919435999989</v>
      </c>
      <c r="D45" s="768">
        <f>SUMIFS('Model Report Formatized'!O:O,'Model Report Formatized'!$C:$C,$A45)</f>
        <v>411.85919435999989</v>
      </c>
      <c r="E45" t="s">
        <v>1340</v>
      </c>
      <c r="I45"/>
    </row>
    <row r="46" spans="1:27">
      <c r="A46" s="767">
        <v>14</v>
      </c>
      <c r="B46" s="768" t="str">
        <f>INDEX('Model Report Formatized'!D:D,MATCH($A46,'Model Report Formatized'!$C:$C,0))</f>
        <v>Equity</v>
      </c>
      <c r="C46" s="768">
        <f>SUMIFS('Model Report Formatized'!N:N,'Model Report Formatized'!$C:$C,$A46)</f>
        <v>626.0229084099991</v>
      </c>
      <c r="D46" s="768">
        <f>SUMIFS('Model Report Formatized'!O:O,'Model Report Formatized'!$C:$C,$A46)</f>
        <v>626.0229084099991</v>
      </c>
      <c r="E46" t="s">
        <v>1340</v>
      </c>
      <c r="I46"/>
    </row>
    <row r="47" spans="1:27">
      <c r="A47" s="767"/>
      <c r="B47" s="768"/>
      <c r="C47" s="768"/>
      <c r="D47" s="768"/>
      <c r="I47"/>
    </row>
    <row r="48" spans="1:27">
      <c r="A48" s="767"/>
      <c r="B48" s="768" t="s">
        <v>1440</v>
      </c>
      <c r="C48" s="768"/>
      <c r="D48" s="768"/>
      <c r="I48"/>
    </row>
    <row r="49" spans="1:9">
      <c r="A49" s="767" t="s">
        <v>994</v>
      </c>
      <c r="B49" s="768" t="str">
        <f>INDEX('Model Report Formatized'!D:D,MATCH($A49,'Model Report Formatized'!$C:$C,0))</f>
        <v>Due to Interbranch - Demand</v>
      </c>
      <c r="C49" s="768">
        <f>SUMIFS('Model Report Formatized'!N:N,'Model Report Formatized'!$C:$C,$A49)</f>
        <v>19.421565280000003</v>
      </c>
      <c r="D49" s="768">
        <f ca="1">SUMIFS('Model Report Formatized'!O:O,'Model Report Formatized'!$C:$C,$A49)</f>
        <v>17.557095013120005</v>
      </c>
      <c r="E49" s="712">
        <f ca="1">1-D49/C49</f>
        <v>9.5999999999999863E-2</v>
      </c>
      <c r="I49"/>
    </row>
    <row r="50" spans="1:9">
      <c r="A50" s="767" t="s">
        <v>995</v>
      </c>
      <c r="B50" s="768" t="str">
        <f>INDEX('Model Report Formatized'!D:D,MATCH($A50,'Model Report Formatized'!$C:$C,0))</f>
        <v>Due to Interbranch - Investment (Exclude Large IB)</v>
      </c>
      <c r="C50" s="768">
        <f>SUMIFS('Model Report Formatized'!N:N,'Model Report Formatized'!$C:$C,$A50)</f>
        <v>2158.1261872099999</v>
      </c>
      <c r="D50" s="768">
        <f ca="1">SUMIFS('Model Report Formatized'!O:O,'Model Report Formatized'!$C:$C,$A50)</f>
        <v>1950.9460732378398</v>
      </c>
      <c r="E50" s="712">
        <f t="shared" ref="E50:E68" ca="1" si="6">1-D50/C50</f>
        <v>9.6000000000000085E-2</v>
      </c>
      <c r="I50"/>
    </row>
    <row r="51" spans="1:9" ht="15.75">
      <c r="A51" s="763" t="s">
        <v>1288</v>
      </c>
      <c r="B51" s="764" t="str">
        <f>INDEX('Model Report Formatized'!D:D,MATCH($A51,'Model Report Formatized'!$C:$C,0))</f>
        <v>Due to Interbranch - Investment (H.O.)</v>
      </c>
      <c r="C51" s="764">
        <f>SUMIFS('Model Report Formatized'!N:N,'Model Report Formatized'!$C:$C,$A51)</f>
        <v>2019.1058597900001</v>
      </c>
      <c r="D51" s="764">
        <f ca="1">SUMIFS('Model Report Formatized'!O:O,'Model Report Formatized'!$C:$C,$A51)</f>
        <v>1703.0367500447674</v>
      </c>
      <c r="E51" s="712">
        <f t="shared" ca="1" si="6"/>
        <v>0.15653914737194907</v>
      </c>
      <c r="I51"/>
    </row>
    <row r="52" spans="1:9" ht="15.75">
      <c r="A52" s="763" t="s">
        <v>1409</v>
      </c>
      <c r="B52" s="764" t="str">
        <f>INDEX('Model Report Formatized'!D:D,MATCH($A52,'Model Report Formatized'!$C:$C,0))</f>
        <v>Due to Interbranch - Investment (MACAU)</v>
      </c>
      <c r="C52" s="764">
        <f>SUMIFS('Model Report Formatized'!N:N,'Model Report Formatized'!$C:$C,$A52)</f>
        <v>460.71168785000003</v>
      </c>
      <c r="D52" s="764">
        <f ca="1">SUMIFS('Model Report Formatized'!O:O,'Model Report Formatized'!$C:$C,$A52)</f>
        <v>416.48336581640001</v>
      </c>
      <c r="E52" s="712">
        <f t="shared" ca="1" si="6"/>
        <v>9.6000000000000085E-2</v>
      </c>
      <c r="I52"/>
    </row>
    <row r="53" spans="1:9" ht="15.75">
      <c r="A53" s="763" t="s">
        <v>1419</v>
      </c>
      <c r="B53" s="764" t="str">
        <f>INDEX('Model Report Formatized'!D:D,MATCH($A53,'Model Report Formatized'!$C:$C,0))</f>
        <v>Due to Interbranch - Investment (LUXEMBOURG)</v>
      </c>
      <c r="C53" s="764">
        <f>SUMIFS('Model Report Formatized'!N:N,'Model Report Formatized'!$C:$C,$A53)</f>
        <v>170.26193140000001</v>
      </c>
      <c r="D53" s="764">
        <f ca="1">SUMIFS('Model Report Formatized'!O:O,'Model Report Formatized'!$C:$C,$A53)</f>
        <v>153.9167859856</v>
      </c>
      <c r="E53" s="712">
        <f t="shared" ca="1" si="6"/>
        <v>9.6000000000000085E-2</v>
      </c>
      <c r="I53"/>
    </row>
    <row r="54" spans="1:9">
      <c r="A54" s="767" t="s">
        <v>1161</v>
      </c>
      <c r="B54" s="768" t="str">
        <f>INDEX('Model Report Formatized'!D:D,MATCH($A54,'Model Report Formatized'!$C:$C,0))</f>
        <v>Due to Affiliate - Demand - US</v>
      </c>
      <c r="C54" s="768">
        <f>SUMIFS('Model Report Formatized'!N:N,'Model Report Formatized'!$C:$C,$A54)</f>
        <v>8.3589006299999991</v>
      </c>
      <c r="D54" s="768">
        <f ca="1">SUMIFS('Model Report Formatized'!O:O,'Model Report Formatized'!$C:$C,$A54)</f>
        <v>7.3558325543999992</v>
      </c>
      <c r="E54" s="712">
        <f t="shared" ca="1" si="6"/>
        <v>0.12</v>
      </c>
      <c r="I54"/>
    </row>
    <row r="55" spans="1:9">
      <c r="A55" s="767" t="s">
        <v>1162</v>
      </c>
      <c r="B55" s="768" t="str">
        <f>INDEX('Model Report Formatized'!D:D,MATCH($A55,'Model Report Formatized'!$C:$C,0))</f>
        <v>Due to Affiliate - Demand - Non-US</v>
      </c>
      <c r="C55" s="768">
        <f>SUMIFS('Model Report Formatized'!N:N,'Model Report Formatized'!$C:$C,$A55)</f>
        <v>9.7052584900000003</v>
      </c>
      <c r="D55" s="768">
        <f ca="1">SUMIFS('Model Report Formatized'!O:O,'Model Report Formatized'!$C:$C,$A55)</f>
        <v>8.5406274712000005</v>
      </c>
      <c r="E55" s="712">
        <f t="shared" ca="1" si="6"/>
        <v>0.12</v>
      </c>
      <c r="I55"/>
    </row>
    <row r="56" spans="1:9">
      <c r="A56" s="767" t="s">
        <v>1163</v>
      </c>
      <c r="B56" s="768" t="str">
        <f>INDEX('Model Report Formatized'!D:D,MATCH($A56,'Model Report Formatized'!$C:$C,0))</f>
        <v>Due to Affiliate - Investment - US</v>
      </c>
      <c r="C56" s="768">
        <f>SUMIFS('Model Report Formatized'!N:N,'Model Report Formatized'!$C:$C,$A56)</f>
        <v>1.3937934699999999</v>
      </c>
      <c r="D56" s="768">
        <f ca="1">SUMIFS('Model Report Formatized'!O:O,'Model Report Formatized'!$C:$C,$A56)</f>
        <v>1.2265382535999998</v>
      </c>
      <c r="E56" s="712"/>
      <c r="I56"/>
    </row>
    <row r="57" spans="1:9">
      <c r="A57" s="767" t="s">
        <v>997</v>
      </c>
      <c r="B57" s="768" t="str">
        <f>INDEX('Model Report Formatized'!D:D,MATCH($A57,'Model Report Formatized'!$C:$C,0))</f>
        <v>Due to Affiliate - Investment - Non-US</v>
      </c>
      <c r="C57" s="768">
        <f>SUMIFS('Model Report Formatized'!N:N,'Model Report Formatized'!$C:$C,$A57)</f>
        <v>316.77946496999999</v>
      </c>
      <c r="D57" s="768">
        <f ca="1">SUMIFS('Model Report Formatized'!O:O,'Model Report Formatized'!$C:$C,$A57)</f>
        <v>278.7659291736</v>
      </c>
      <c r="E57" s="712">
        <f t="shared" ca="1" si="6"/>
        <v>0.12</v>
      </c>
      <c r="I57"/>
    </row>
    <row r="58" spans="1:9" ht="15.75">
      <c r="A58" s="763" t="s">
        <v>1351</v>
      </c>
      <c r="B58" s="764" t="str">
        <f>INDEX('Model Report Formatized'!D:D,MATCH($A58,'Model Report Formatized'!$C:$C,0))</f>
        <v>Due to Affiliate - Investment - BOC HK LTD</v>
      </c>
      <c r="C58" s="764">
        <f>SUMIFS('Model Report Formatized'!N:N,'Model Report Formatized'!$C:$C,$A58)</f>
        <v>8.2450289999999996E-2</v>
      </c>
      <c r="D58" s="764">
        <f ca="1">SUMIFS('Model Report Formatized'!O:O,'Model Report Formatized'!$C:$C,$A58)</f>
        <v>7.2556255200000003E-2</v>
      </c>
      <c r="E58" s="712">
        <f t="shared" ca="1" si="6"/>
        <v>0.11999999999999988</v>
      </c>
      <c r="I58"/>
    </row>
    <row r="59" spans="1:9">
      <c r="A59" s="767" t="s">
        <v>1299</v>
      </c>
      <c r="B59" s="768" t="str">
        <f>INDEX('Model Report Formatized'!D:D,MATCH($A59,'Model Report Formatized'!$C:$C,0))</f>
        <v>Due to Banks - Demand</v>
      </c>
      <c r="C59" s="768">
        <f>SUMIFS('Model Report Formatized'!N:N,'Model Report Formatized'!$C:$C,$A59)</f>
        <v>174.70603417999999</v>
      </c>
      <c r="D59" s="768">
        <f ca="1">SUMIFS('Model Report Formatized'!O:O,'Model Report Formatized'!$C:$C,$A59)</f>
        <v>142.56012389087999</v>
      </c>
      <c r="E59" s="712">
        <f t="shared" ca="1" si="6"/>
        <v>0.18399999999999994</v>
      </c>
      <c r="I59"/>
    </row>
    <row r="60" spans="1:9">
      <c r="A60" s="767" t="s">
        <v>1302</v>
      </c>
      <c r="B60" s="768" t="str">
        <f>INDEX('Model Report Formatized'!D:D,MATCH($A60,'Model Report Formatized'!$C:$C,0))</f>
        <v>Due to Non-Bank FI (Exclude Large FI)</v>
      </c>
      <c r="C60" s="768">
        <f>SUMIFS('Model Report Formatized'!N:N,'Model Report Formatized'!$C:$C,$A60)</f>
        <v>366.42940659000016</v>
      </c>
      <c r="D60" s="768">
        <f ca="1">SUMIFS('Model Report Formatized'!O:O,'Model Report Formatized'!$C:$C,$A60)</f>
        <v>299.0063957774401</v>
      </c>
      <c r="E60" s="712">
        <f t="shared" ca="1" si="6"/>
        <v>0.18400000000000005</v>
      </c>
      <c r="I60"/>
    </row>
    <row r="61" spans="1:9" ht="15.75">
      <c r="A61" s="763" t="s">
        <v>1269</v>
      </c>
      <c r="B61" s="764" t="str">
        <f>INDEX('Model Report Formatized'!D:D,MATCH($A61,'Model Report Formatized'!$C:$C,0))</f>
        <v>Due to Non-Bank Large FI - Best Investment</v>
      </c>
      <c r="C61" s="764">
        <f>SUMIFS('Model Report Formatized'!N:N,'Model Report Formatized'!$C:$C,$A61)</f>
        <v>5.7349952499999999</v>
      </c>
      <c r="D61" s="764">
        <f ca="1">SUMIFS('Model Report Formatized'!O:O,'Model Report Formatized'!$C:$C,$A61)</f>
        <v>4.6797561239999999</v>
      </c>
      <c r="E61" s="712">
        <f t="shared" ca="1" si="6"/>
        <v>0.18400000000000005</v>
      </c>
      <c r="I61"/>
    </row>
    <row r="62" spans="1:9" ht="15.75">
      <c r="A62" s="763" t="s">
        <v>1316</v>
      </c>
      <c r="B62" s="764" t="str">
        <f>INDEX('Model Report Formatized'!D:D,MATCH($A62,'Model Report Formatized'!$C:$C,0))</f>
        <v>Due to Non-Bank Large FI - GIFS Capital</v>
      </c>
      <c r="C62" s="764">
        <f>SUMIFS('Model Report Formatized'!N:N,'Model Report Formatized'!$C:$C,$A62)</f>
        <v>1201.8187905699999</v>
      </c>
      <c r="D62" s="764">
        <f ca="1">SUMIFS('Model Report Formatized'!O:O,'Model Report Formatized'!$C:$C,$A62)</f>
        <v>660.36190972016277</v>
      </c>
      <c r="E62" s="712">
        <f t="shared" ca="1" si="6"/>
        <v>0.45053121576925448</v>
      </c>
      <c r="I62"/>
    </row>
    <row r="63" spans="1:9" ht="15.75">
      <c r="A63" s="763" t="s">
        <v>1446</v>
      </c>
      <c r="B63" s="764" t="str">
        <f>INDEX('Model Report Formatized'!D:D,MATCH($A63,'Model Report Formatized'!$C:$C,0))</f>
        <v>Due to Non-Bank Large FI - CIC INTERNATIONAL CO., LIMITED</v>
      </c>
      <c r="C63" s="764">
        <f>SUMIFS('Model Report Formatized'!N:N,'Model Report Formatized'!$C:$C,$A63)</f>
        <v>159.46774133000002</v>
      </c>
      <c r="D63" s="764">
        <f ca="1">SUMIFS('Model Report Formatized'!O:O,'Model Report Formatized'!$C:$C,$A63)</f>
        <v>130.12567692528</v>
      </c>
      <c r="E63" s="712">
        <f t="shared" ca="1" si="6"/>
        <v>0.18400000000000005</v>
      </c>
      <c r="I63"/>
    </row>
    <row r="64" spans="1:9" ht="15.75">
      <c r="A64" s="763" t="s">
        <v>1168</v>
      </c>
      <c r="B64" s="764" t="str">
        <f>INDEX('Model Report Formatized'!D:D,MATCH($A64,'Model Report Formatized'!$C:$C,0))</f>
        <v>Due to Banks - Investment - CME</v>
      </c>
      <c r="C64" s="764">
        <f>SUMIFS('Model Report Formatized'!N:N,'Model Report Formatized'!$C:$C,$A64)</f>
        <v>500.91083754000005</v>
      </c>
      <c r="D64" s="764">
        <f ca="1">SUMIFS('Model Report Formatized'!O:O,'Model Report Formatized'!$C:$C,$A64)</f>
        <v>300.54650252400006</v>
      </c>
      <c r="E64" s="712">
        <f t="shared" ca="1" si="6"/>
        <v>0.39999999999999991</v>
      </c>
      <c r="I64"/>
    </row>
    <row r="65" spans="1:9">
      <c r="A65" s="767" t="s">
        <v>1169</v>
      </c>
      <c r="B65" s="768" t="str">
        <f>INDEX('Model Report Formatized'!D:D,MATCH($A65,'Model Report Formatized'!$C:$C,0))</f>
        <v>Due to Banks - Investment - Non-US (Exclude Large FI)</v>
      </c>
      <c r="C65" s="768">
        <f>SUMIFS('Model Report Formatized'!N:N,'Model Report Formatized'!$C:$C,$A65)</f>
        <v>1633.1261072200041</v>
      </c>
      <c r="D65" s="768">
        <f ca="1">SUMIFS('Model Report Formatized'!O:O,'Model Report Formatized'!$C:$C,$A65)</f>
        <v>1332.6309034915232</v>
      </c>
      <c r="E65" s="712">
        <f t="shared" ca="1" si="6"/>
        <v>0.18400000000000005</v>
      </c>
      <c r="I65"/>
    </row>
    <row r="66" spans="1:9" ht="15.75">
      <c r="A66" s="763" t="s">
        <v>1317</v>
      </c>
      <c r="B66" s="764" t="str">
        <f>INDEX('Model Report Formatized'!D:D,MATCH($A66,'Model Report Formatized'!$C:$C,0))</f>
        <v>Due to Banks - Investment - PBOC</v>
      </c>
      <c r="C66" s="764">
        <f>SUMIFS('Model Report Formatized'!N:N,'Model Report Formatized'!$C:$C,$A66)</f>
        <v>5144.4813025600006</v>
      </c>
      <c r="D66" s="764">
        <f ca="1">SUMIFS('Model Report Formatized'!O:O,'Model Report Formatized'!$C:$C,$A66)</f>
        <v>3251.3121832179199</v>
      </c>
      <c r="E66" s="712">
        <f t="shared" ca="1" si="6"/>
        <v>0.3680000000000001</v>
      </c>
      <c r="I66"/>
    </row>
    <row r="67" spans="1:9" ht="15.75">
      <c r="A67" s="763" t="s">
        <v>1318</v>
      </c>
      <c r="B67" s="764" t="str">
        <f>INDEX('Model Report Formatized'!D:D,MATCH($A67,'Model Report Formatized'!$C:$C,0))</f>
        <v>Due to Banks - Investment - CDB &amp; CDB S</v>
      </c>
      <c r="C67" s="764">
        <f>SUMIFS('Model Report Formatized'!N:N,'Model Report Formatized'!$C:$C,$A67)</f>
        <v>4707.2802759200003</v>
      </c>
      <c r="D67" s="764">
        <f ca="1">SUMIFS('Model Report Formatized'!O:O,'Model Report Formatized'!$C:$C,$A67)</f>
        <v>2975.0011343814404</v>
      </c>
      <c r="E67" s="712">
        <f t="shared" ca="1" si="6"/>
        <v>0.36799999999999999</v>
      </c>
      <c r="I67"/>
    </row>
    <row r="68" spans="1:9" ht="15.75">
      <c r="A68" s="763" t="s">
        <v>1319</v>
      </c>
      <c r="B68" s="764" t="str">
        <f>INDEX('Model Report Formatized'!D:D,MATCH($A68,'Model Report Formatized'!$C:$C,0))</f>
        <v>Due to Banks - Investment - CDB HK</v>
      </c>
      <c r="C68" s="764">
        <f>SUMIFS('Model Report Formatized'!N:N,'Model Report Formatized'!$C:$C,$A68)</f>
        <v>93.106070770000002</v>
      </c>
      <c r="D68" s="764">
        <f ca="1">SUMIFS('Model Report Formatized'!O:O,'Model Report Formatized'!$C:$C,$A68)</f>
        <v>75.974553748320005</v>
      </c>
      <c r="E68" s="712">
        <f t="shared" ca="1" si="6"/>
        <v>0.18399999999999994</v>
      </c>
      <c r="I68"/>
    </row>
    <row r="69" spans="1:9" ht="15.75">
      <c r="A69" s="763" t="s">
        <v>2766</v>
      </c>
      <c r="B69" s="764" t="str">
        <f>INDEX('Model Report Formatized'!D:D,MATCH($A69,'Model Report Formatized'!$C:$C,0))</f>
        <v>Due to Banks - Investment - BANK OF COMM. CO. LTD.</v>
      </c>
      <c r="C69" s="764">
        <f>SUMIFS('Model Report Formatized'!N:N,'Model Report Formatized'!$C:$C,$A69)</f>
        <v>16.90850859</v>
      </c>
      <c r="D69" s="764">
        <f ca="1">SUMIFS('Model Report Formatized'!O:O,'Model Report Formatized'!$C:$C,$A69)</f>
        <v>13.79734300944</v>
      </c>
      <c r="E69" s="712">
        <f t="shared" ref="E69" ca="1" si="7">1-D69/C69</f>
        <v>0.18399999999999994</v>
      </c>
      <c r="I69"/>
    </row>
    <row r="70" spans="1:9">
      <c r="A70" s="767" t="s">
        <v>1171</v>
      </c>
      <c r="B70" s="768" t="str">
        <f>INDEX('Model Report Formatized'!D:D,MATCH($A70,'Model Report Formatized'!$C:$C,0))</f>
        <v>Demand,MM &amp; Savings - Corporates (Exclude Large Corporates)</v>
      </c>
      <c r="C70" s="768">
        <f>SUMIFS('Model Report Formatized'!N:N,'Model Report Formatized'!$C:$C,$A70)</f>
        <v>2583.6036079000005</v>
      </c>
      <c r="D70" s="768">
        <f ca="1">SUMIFS('Model Report Formatized'!O:O,'Model Report Formatized'!$C:$C,$A70)</f>
        <v>2335.5776615416003</v>
      </c>
      <c r="E70" s="712">
        <f ca="1">1-D70/C70</f>
        <v>9.6000000000000085E-2</v>
      </c>
      <c r="I70"/>
    </row>
    <row r="71" spans="1:9" ht="15.75">
      <c r="A71" s="763" t="s">
        <v>1325</v>
      </c>
      <c r="B71" s="764" t="str">
        <f>INDEX('Model Report Formatized'!D:D,MATCH($A71,'Model Report Formatized'!$C:$C,0))</f>
        <v>Demand,MM &amp; Savings - Large Corporates - Uber Tech.</v>
      </c>
      <c r="C71" s="764">
        <f>SUMIFS('Model Report Formatized'!N:N,'Model Report Formatized'!$C:$C,$A71)</f>
        <v>0</v>
      </c>
      <c r="D71" s="764">
        <f ca="1">SUMIFS('Model Report Formatized'!O:O,'Model Report Formatized'!$C:$C,$A71)</f>
        <v>0</v>
      </c>
      <c r="E71" s="712" t="e">
        <f ca="1">1-D71/C71</f>
        <v>#DIV/0!</v>
      </c>
      <c r="I71"/>
    </row>
    <row r="72" spans="1:9" ht="15.75">
      <c r="A72" s="763" t="s">
        <v>1449</v>
      </c>
      <c r="B72" s="764" t="str">
        <f>INDEX('Model Report Formatized'!D:D,MATCH($A72,'Model Report Formatized'!$C:$C,0))</f>
        <v>Demand,MM &amp; Savings - Large Corporates - Verizon</v>
      </c>
      <c r="C72" s="764">
        <f>SUMIFS('Model Report Formatized'!N:N,'Model Report Formatized'!$C:$C,$A72)</f>
        <v>0</v>
      </c>
      <c r="D72" s="764">
        <f ca="1">SUMIFS('Model Report Formatized'!O:O,'Model Report Formatized'!$C:$C,$A72)</f>
        <v>0</v>
      </c>
      <c r="E72" s="712" t="e">
        <f ca="1">1-D72/C72</f>
        <v>#DIV/0!</v>
      </c>
      <c r="I72"/>
    </row>
    <row r="73" spans="1:9">
      <c r="A73" s="767" t="s">
        <v>1337</v>
      </c>
      <c r="B73" s="768" t="str">
        <f>INDEX('Model Report Formatized'!D:D,MATCH($A73,'Model Report Formatized'!$C:$C,0))</f>
        <v>ESCROW Deposits</v>
      </c>
      <c r="C73" s="768">
        <f>SUMIFS('Model Report Formatized'!N:N,'Model Report Formatized'!$C:$C,$A73)</f>
        <v>147.44580615999999</v>
      </c>
      <c r="D73" s="768">
        <f ca="1">SUMIFS('Model Report Formatized'!O:O,'Model Report Formatized'!$C:$C,$A73)</f>
        <v>135.65014166719999</v>
      </c>
      <c r="E73" s="712">
        <f ca="1">1-D73/C73</f>
        <v>7.999999999999996E-2</v>
      </c>
      <c r="I73"/>
    </row>
    <row r="74" spans="1:9" ht="15">
      <c r="A74" s="771"/>
      <c r="B74" s="772" t="s">
        <v>1574</v>
      </c>
      <c r="C74" s="772">
        <f>SUM(C24:C73)</f>
        <v>59707.881741590027</v>
      </c>
      <c r="D74" s="772">
        <f ca="1">SUM(D24:D73)</f>
        <v>38919.072579149746</v>
      </c>
      <c r="E74" s="712"/>
      <c r="I74"/>
    </row>
    <row r="75" spans="1:9">
      <c r="A75" s="767">
        <v>15</v>
      </c>
      <c r="B75" s="768" t="str">
        <f>INDEX('Model Report Formatized'!D:D,MATCH($A75,'Model Report Formatized'!$C:$C,0))</f>
        <v>Loan Commitments</v>
      </c>
      <c r="C75" s="768">
        <f>SUMIFS('Model Report Formatized'!N:N,'Model Report Formatized'!$C:$C,$A75)</f>
        <v>17243.170592639999</v>
      </c>
      <c r="D75" s="768">
        <f ca="1">SUMIFS('Model Report Formatized'!O:O,'Model Report Formatized'!$C:$C,$A75)</f>
        <v>15743.014751080318</v>
      </c>
      <c r="E75" s="712">
        <f ca="1">1-D75/C75</f>
        <v>8.7000000000000077E-2</v>
      </c>
      <c r="I75"/>
    </row>
    <row r="76" spans="1:9">
      <c r="A76" s="767">
        <v>16</v>
      </c>
      <c r="B76" s="768" t="str">
        <f>INDEX('Model Report Formatized'!D:D,MATCH($A76,'Model Report Formatized'!$C:$C,0))</f>
        <v>Credit Enhancement Facility - CPDP</v>
      </c>
      <c r="C76" s="768">
        <f>SUMIFS('Model Report Formatized'!N:N,'Model Report Formatized'!$C:$C,$A76)</f>
        <v>560</v>
      </c>
      <c r="D76" s="768">
        <f ca="1">SUMIFS('Model Report Formatized'!O:O,'Model Report Formatized'!$C:$C,$A76)</f>
        <v>333.76</v>
      </c>
      <c r="E76" s="712">
        <f t="shared" ref="E76" ca="1" si="8">1-D76/C76</f>
        <v>0.40400000000000003</v>
      </c>
    </row>
    <row r="77" spans="1:9">
      <c r="A77" s="767">
        <v>16.100000000000001</v>
      </c>
      <c r="B77" s="768" t="str">
        <f>INDEX('Model Report Formatized'!D:D,MATCH($A77,'Model Report Formatized'!$C:$C,0))</f>
        <v>Credit Enhancement Facility - 80/20</v>
      </c>
      <c r="C77" s="768">
        <f>SUMIFS('Model Report Formatized'!N:N,'Model Report Formatized'!$C:$C,$A77)</f>
        <v>1122.824177</v>
      </c>
      <c r="D77" s="768">
        <f ca="1">SUMIFS('Model Report Formatized'!O:O,'Model Report Formatized'!$C:$C,$A77)</f>
        <v>1086.2088805880301</v>
      </c>
      <c r="E77" s="712">
        <f ca="1">1-D77/C77</f>
        <v>3.2609999999999917E-2</v>
      </c>
    </row>
    <row r="78" spans="1:9">
      <c r="A78" s="776"/>
      <c r="B78" s="777" t="s">
        <v>1207</v>
      </c>
      <c r="C78" s="777">
        <f>SUMIFS('Model Report Formatized'!N:N,'Model Report Formatized'!$C:$C,$A78)</f>
        <v>0</v>
      </c>
      <c r="D78" s="777">
        <f>SUMIFS('Model Report Formatized'!O:O,'Model Report Formatized'!$C:$C,$A78)</f>
        <v>0</v>
      </c>
      <c r="E78" s="712"/>
    </row>
    <row r="95" spans="1:9">
      <c r="I95"/>
    </row>
    <row r="96" spans="1:9" ht="15">
      <c r="A96" s="778"/>
      <c r="B96" s="779"/>
      <c r="C96" s="779"/>
      <c r="D96" s="779"/>
    </row>
    <row r="119" spans="1:9">
      <c r="I119"/>
    </row>
    <row r="120" spans="1:9" ht="15">
      <c r="A120" s="778"/>
      <c r="B120" s="779"/>
      <c r="C120" s="779"/>
      <c r="D120" s="779"/>
    </row>
  </sheetData>
  <pageMargins left="0.25" right="0.25" top="0.75" bottom="0.75" header="0.3" footer="0.3"/>
  <pageSetup scale="6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FF101"/>
  <sheetViews>
    <sheetView topLeftCell="A31" workbookViewId="0">
      <selection activeCell="C59" sqref="C59"/>
    </sheetView>
  </sheetViews>
  <sheetFormatPr defaultColWidth="9" defaultRowHeight="14.25"/>
  <cols>
    <col min="1" max="1" width="4.625" style="440" customWidth="1"/>
    <col min="2" max="2" width="6.375" style="440" customWidth="1"/>
    <col min="3" max="3" width="15.5" style="441" customWidth="1"/>
    <col min="4" max="4" width="9.875" style="441" customWidth="1"/>
    <col min="5" max="5" width="6.75" style="441" bestFit="1" customWidth="1"/>
    <col min="6" max="6" width="7.75" style="440" customWidth="1"/>
    <col min="7" max="7" width="45" style="440" customWidth="1"/>
    <col min="8" max="8" width="8" style="440" customWidth="1"/>
    <col min="9" max="10" width="8" style="714" customWidth="1"/>
    <col min="11" max="11" width="76.25" style="440" customWidth="1"/>
    <col min="12" max="12" width="16.125" style="440" customWidth="1"/>
    <col min="13" max="13" width="7" style="440" customWidth="1"/>
    <col min="14" max="14" width="13.625" style="440" bestFit="1" customWidth="1"/>
    <col min="15" max="15" width="9.875" style="442" customWidth="1"/>
    <col min="16" max="16" width="12.75" style="440" customWidth="1"/>
    <col min="17" max="17" width="10.375" style="440" hidden="1" customWidth="1"/>
    <col min="18" max="18" width="10.125" style="440" hidden="1" customWidth="1"/>
    <col min="19" max="19" width="9.875" style="440" hidden="1" customWidth="1"/>
    <col min="20" max="20" width="9.625" style="440" hidden="1" customWidth="1"/>
    <col min="21" max="22" width="9.875" style="440" hidden="1" customWidth="1"/>
    <col min="23" max="23" width="10.625" style="440" hidden="1" customWidth="1"/>
    <col min="24" max="24" width="10.125" style="440" hidden="1" customWidth="1"/>
    <col min="25" max="25" width="10.625" style="440" hidden="1" customWidth="1"/>
    <col min="26" max="28" width="9.875" style="440" hidden="1" customWidth="1"/>
    <col min="29" max="29" width="9.875" style="440" customWidth="1"/>
    <col min="30" max="31" width="9.875" style="440" hidden="1" customWidth="1"/>
    <col min="32" max="41" width="10.375" style="440" hidden="1" customWidth="1"/>
    <col min="42" max="42" width="10.375" style="440" customWidth="1"/>
    <col min="43" max="43" width="11.625" style="442" customWidth="1"/>
    <col min="44" max="44" width="23.375" style="440" customWidth="1"/>
    <col min="45" max="45" width="11.875" style="440" bestFit="1" customWidth="1"/>
    <col min="46" max="57" width="10.625" style="440" hidden="1" customWidth="1"/>
    <col min="58" max="58" width="10.625" style="440" customWidth="1"/>
    <col min="59" max="59" width="10.625" style="440" hidden="1" customWidth="1"/>
    <col min="60" max="60" width="11.625" style="440" hidden="1" customWidth="1"/>
    <col min="61" max="62" width="11.25" style="440" hidden="1" customWidth="1"/>
    <col min="63" max="64" width="10.25" style="440" hidden="1" customWidth="1"/>
    <col min="65" max="65" width="11.25" style="440" hidden="1" customWidth="1"/>
    <col min="66" max="67" width="10.25" style="440" hidden="1" customWidth="1"/>
    <col min="68" max="68" width="9.25" style="440" hidden="1" customWidth="1"/>
    <col min="69" max="69" width="10.25" style="440" hidden="1" customWidth="1"/>
    <col min="70" max="70" width="11.25" style="440" hidden="1" customWidth="1"/>
    <col min="71" max="71" width="10.625" style="440" customWidth="1"/>
    <col min="72" max="72" width="12.125" style="440" customWidth="1"/>
    <col min="73" max="73" width="8.875" style="440" bestFit="1" customWidth="1"/>
    <col min="74" max="82" width="8.875" style="440" hidden="1" customWidth="1"/>
    <col min="83" max="85" width="9.875" style="440" hidden="1" customWidth="1"/>
    <col min="86" max="86" width="9.875" style="440" customWidth="1"/>
    <col min="87" max="90" width="9.875" style="440" hidden="1" customWidth="1"/>
    <col min="91" max="98" width="8.875" style="440" hidden="1" customWidth="1"/>
    <col min="99" max="99" width="9.875" style="440" bestFit="1" customWidth="1"/>
    <col min="100" max="100" width="12.75" style="440" customWidth="1"/>
    <col min="101" max="101" width="9.875" style="440" customWidth="1"/>
    <col min="102" max="102" width="11" style="440" customWidth="1"/>
    <col min="103" max="114" width="11" style="440" hidden="1" customWidth="1"/>
    <col min="115" max="115" width="11" style="440" customWidth="1"/>
    <col min="116" max="127" width="11" style="440" hidden="1" customWidth="1"/>
    <col min="128" max="128" width="11" style="440" customWidth="1"/>
    <col min="129" max="129" width="13.75" style="440" bestFit="1" customWidth="1"/>
    <col min="130" max="130" width="8.875" style="440" bestFit="1" customWidth="1"/>
    <col min="131" max="142" width="10.375" style="440" hidden="1" customWidth="1"/>
    <col min="143" max="143" width="10.375" style="440" customWidth="1"/>
    <col min="144" max="155" width="10.375" style="440" hidden="1" customWidth="1"/>
    <col min="156" max="156" width="10.375" style="440" bestFit="1" customWidth="1"/>
    <col min="157" max="16384" width="9" style="440"/>
  </cols>
  <sheetData>
    <row r="1" spans="1:162" ht="28.5">
      <c r="O1" s="442" t="s">
        <v>1115</v>
      </c>
      <c r="P1" s="440" t="str">
        <f>'Data Interface'!G1</f>
        <v>D1</v>
      </c>
      <c r="Q1" s="440" t="str">
        <f>'Data Interface'!H1</f>
        <v>D2</v>
      </c>
      <c r="R1" s="440" t="str">
        <f>'Data Interface'!I1</f>
        <v>D3</v>
      </c>
      <c r="S1" s="440" t="str">
        <f>'Data Interface'!J1</f>
        <v>D4</v>
      </c>
      <c r="T1" s="440" t="str">
        <f>'Data Interface'!K1</f>
        <v>D5</v>
      </c>
      <c r="U1" s="440" t="str">
        <f>'Data Interface'!L1</f>
        <v>D6</v>
      </c>
      <c r="V1" s="440" t="str">
        <f>'Data Interface'!M1</f>
        <v>D7</v>
      </c>
      <c r="W1" s="440" t="str">
        <f>'Data Interface'!N1</f>
        <v>D8</v>
      </c>
      <c r="X1" s="440" t="str">
        <f>'Data Interface'!O1</f>
        <v>D9</v>
      </c>
      <c r="Y1" s="440" t="str">
        <f>'Data Interface'!P1</f>
        <v>D10</v>
      </c>
      <c r="Z1" s="440" t="str">
        <f>'Data Interface'!Q1</f>
        <v>D11</v>
      </c>
      <c r="AA1" s="440" t="str">
        <f>'Data Interface'!R1</f>
        <v>D12</v>
      </c>
      <c r="AB1" s="440" t="str">
        <f>'Data Interface'!S1</f>
        <v>D13</v>
      </c>
      <c r="AC1" s="440" t="str">
        <f>'Data Interface'!T1</f>
        <v>D14</v>
      </c>
      <c r="AD1" s="440" t="str">
        <f>'Data Interface'!U1</f>
        <v>3W</v>
      </c>
      <c r="AE1" s="440" t="str">
        <f>'Data Interface'!V1</f>
        <v>1M</v>
      </c>
      <c r="AF1" s="440" t="str">
        <f>'Data Interface'!W1</f>
        <v>2M</v>
      </c>
      <c r="AG1" s="440" t="str">
        <f>'Data Interface'!X1</f>
        <v>3M</v>
      </c>
      <c r="AH1" s="440" t="str">
        <f>'Data Interface'!Y1</f>
        <v>4M</v>
      </c>
      <c r="AI1" s="440" t="str">
        <f>'Data Interface'!Z1</f>
        <v>5M</v>
      </c>
      <c r="AJ1" s="440" t="str">
        <f>'Data Interface'!AA1</f>
        <v>6M</v>
      </c>
      <c r="AK1" s="440" t="str">
        <f>'Data Interface'!AB1</f>
        <v>7M</v>
      </c>
      <c r="AL1" s="440" t="str">
        <f>'Data Interface'!AC1</f>
        <v>8M</v>
      </c>
      <c r="AM1" s="440" t="str">
        <f>'Data Interface'!AD1</f>
        <v>9M</v>
      </c>
      <c r="AN1" s="440" t="str">
        <f>'Data Interface'!AE1</f>
        <v>10M</v>
      </c>
      <c r="AO1" s="440" t="str">
        <f>'Data Interface'!AF1</f>
        <v>11M</v>
      </c>
      <c r="AP1" s="440" t="str">
        <f>'Data Interface'!AG1</f>
        <v>12M</v>
      </c>
      <c r="AR1" s="440" t="s">
        <v>1225</v>
      </c>
      <c r="AS1" s="440" t="str">
        <f>'Data Interface'!G1</f>
        <v>D1</v>
      </c>
      <c r="AT1" s="440" t="str">
        <f>'Data Interface'!H1</f>
        <v>D2</v>
      </c>
      <c r="AU1" s="440" t="str">
        <f>'Data Interface'!I1</f>
        <v>D3</v>
      </c>
      <c r="AV1" s="440" t="str">
        <f>'Data Interface'!J1</f>
        <v>D4</v>
      </c>
      <c r="AW1" s="440" t="str">
        <f>'Data Interface'!K1</f>
        <v>D5</v>
      </c>
      <c r="AX1" s="440" t="str">
        <f>'Data Interface'!L1</f>
        <v>D6</v>
      </c>
      <c r="AY1" s="440" t="str">
        <f>'Data Interface'!M1</f>
        <v>D7</v>
      </c>
      <c r="AZ1" s="440" t="str">
        <f>'Data Interface'!N1</f>
        <v>D8</v>
      </c>
      <c r="BA1" s="440" t="str">
        <f>'Data Interface'!O1</f>
        <v>D9</v>
      </c>
      <c r="BB1" s="440" t="str">
        <f>'Data Interface'!P1</f>
        <v>D10</v>
      </c>
      <c r="BC1" s="440" t="str">
        <f>'Data Interface'!Q1</f>
        <v>D11</v>
      </c>
      <c r="BD1" s="440" t="str">
        <f>'Data Interface'!R1</f>
        <v>D12</v>
      </c>
      <c r="BE1" s="440" t="str">
        <f>'Data Interface'!S1</f>
        <v>D13</v>
      </c>
      <c r="BF1" s="440" t="str">
        <f>'Data Interface'!T1</f>
        <v>D14</v>
      </c>
      <c r="BG1" s="440" t="str">
        <f>'Data Interface'!U1</f>
        <v>3W</v>
      </c>
      <c r="BH1" s="440" t="str">
        <f>'Data Interface'!V1</f>
        <v>1M</v>
      </c>
      <c r="BI1" s="440" t="str">
        <f>'Data Interface'!W1</f>
        <v>2M</v>
      </c>
      <c r="BJ1" s="440" t="str">
        <f>'Data Interface'!X1</f>
        <v>3M</v>
      </c>
      <c r="BK1" s="440" t="str">
        <f>'Data Interface'!Y1</f>
        <v>4M</v>
      </c>
      <c r="BL1" s="440" t="str">
        <f>'Data Interface'!Z1</f>
        <v>5M</v>
      </c>
      <c r="BM1" s="440" t="str">
        <f>'Data Interface'!AA1</f>
        <v>6M</v>
      </c>
      <c r="BN1" s="440" t="str">
        <f>'Data Interface'!AB1</f>
        <v>7M</v>
      </c>
      <c r="BO1" s="440" t="str">
        <f>'Data Interface'!AC1</f>
        <v>8M</v>
      </c>
      <c r="BP1" s="440" t="str">
        <f>'Data Interface'!AD1</f>
        <v>9M</v>
      </c>
      <c r="BQ1" s="440" t="str">
        <f>'Data Interface'!AE1</f>
        <v>10M</v>
      </c>
      <c r="BR1" s="440" t="str">
        <f>'Data Interface'!AF1</f>
        <v>11M</v>
      </c>
      <c r="BS1" s="440" t="str">
        <f>'Data Interface'!AG1</f>
        <v>12M</v>
      </c>
      <c r="BT1" s="440" t="s">
        <v>49</v>
      </c>
      <c r="BU1" s="440" t="str">
        <f>'Data Interface'!G1</f>
        <v>D1</v>
      </c>
      <c r="BV1" s="440" t="str">
        <f>'Data Interface'!H1</f>
        <v>D2</v>
      </c>
      <c r="BW1" s="440" t="str">
        <f>'Data Interface'!I1</f>
        <v>D3</v>
      </c>
      <c r="BX1" s="440" t="str">
        <f>'Data Interface'!J1</f>
        <v>D4</v>
      </c>
      <c r="BY1" s="440" t="str">
        <f>'Data Interface'!K1</f>
        <v>D5</v>
      </c>
      <c r="BZ1" s="440" t="str">
        <f>'Data Interface'!L1</f>
        <v>D6</v>
      </c>
      <c r="CA1" s="440" t="str">
        <f>'Data Interface'!M1</f>
        <v>D7</v>
      </c>
      <c r="CB1" s="440" t="str">
        <f>'Data Interface'!N1</f>
        <v>D8</v>
      </c>
      <c r="CC1" s="440" t="str">
        <f>'Data Interface'!O1</f>
        <v>D9</v>
      </c>
      <c r="CD1" s="440" t="str">
        <f>'Data Interface'!P1</f>
        <v>D10</v>
      </c>
      <c r="CE1" s="440" t="str">
        <f>'Data Interface'!Q1</f>
        <v>D11</v>
      </c>
      <c r="CF1" s="440" t="str">
        <f>'Data Interface'!R1</f>
        <v>D12</v>
      </c>
      <c r="CG1" s="440" t="str">
        <f>'Data Interface'!S1</f>
        <v>D13</v>
      </c>
      <c r="CH1" s="440" t="str">
        <f>'Data Interface'!T1</f>
        <v>D14</v>
      </c>
      <c r="CI1" s="440" t="str">
        <f>'Data Interface'!U1</f>
        <v>3W</v>
      </c>
      <c r="CJ1" s="440" t="str">
        <f>'Data Interface'!V1</f>
        <v>1M</v>
      </c>
      <c r="CK1" s="440" t="str">
        <f>'Data Interface'!W1</f>
        <v>2M</v>
      </c>
      <c r="CL1" s="440" t="str">
        <f>'Data Interface'!X1</f>
        <v>3M</v>
      </c>
      <c r="CM1" s="440" t="str">
        <f>'Data Interface'!Y1</f>
        <v>4M</v>
      </c>
      <c r="CN1" s="440" t="str">
        <f>'Data Interface'!Z1</f>
        <v>5M</v>
      </c>
      <c r="CO1" s="440" t="str">
        <f>'Data Interface'!AA1</f>
        <v>6M</v>
      </c>
      <c r="CP1" s="440" t="str">
        <f>'Data Interface'!AB1</f>
        <v>7M</v>
      </c>
      <c r="CQ1" s="440" t="str">
        <f>'Data Interface'!AC1</f>
        <v>8M</v>
      </c>
      <c r="CR1" s="440" t="str">
        <f>'Data Interface'!AD1</f>
        <v>9M</v>
      </c>
      <c r="CS1" s="440" t="str">
        <f>'Data Interface'!AE1</f>
        <v>10M</v>
      </c>
      <c r="CT1" s="440" t="str">
        <f>'Data Interface'!AF1</f>
        <v>11M</v>
      </c>
      <c r="CU1" s="440" t="str">
        <f>'Data Interface'!AG1</f>
        <v>12M</v>
      </c>
      <c r="CV1" s="781" t="s">
        <v>1216</v>
      </c>
      <c r="CW1" s="440" t="s">
        <v>1115</v>
      </c>
      <c r="CX1" s="440" t="str">
        <f>'Data Interface'!G1</f>
        <v>D1</v>
      </c>
      <c r="CY1" s="440" t="str">
        <f>'Data Interface'!H1</f>
        <v>D2</v>
      </c>
      <c r="CZ1" s="440" t="str">
        <f>'Data Interface'!I1</f>
        <v>D3</v>
      </c>
      <c r="DA1" s="440" t="str">
        <f>'Data Interface'!J1</f>
        <v>D4</v>
      </c>
      <c r="DB1" s="440" t="str">
        <f>'Data Interface'!K1</f>
        <v>D5</v>
      </c>
      <c r="DC1" s="440" t="str">
        <f>'Data Interface'!L1</f>
        <v>D6</v>
      </c>
      <c r="DD1" s="440" t="str">
        <f>'Data Interface'!M1</f>
        <v>D7</v>
      </c>
      <c r="DE1" s="440" t="str">
        <f>'Data Interface'!N1</f>
        <v>D8</v>
      </c>
      <c r="DF1" s="440" t="str">
        <f>'Data Interface'!O1</f>
        <v>D9</v>
      </c>
      <c r="DG1" s="440" t="str">
        <f>'Data Interface'!P1</f>
        <v>D10</v>
      </c>
      <c r="DH1" s="440" t="str">
        <f>'Data Interface'!Q1</f>
        <v>D11</v>
      </c>
      <c r="DI1" s="440" t="str">
        <f>'Data Interface'!R1</f>
        <v>D12</v>
      </c>
      <c r="DJ1" s="440" t="str">
        <f>'Data Interface'!S1</f>
        <v>D13</v>
      </c>
      <c r="DK1" s="440" t="str">
        <f>'Data Interface'!T1</f>
        <v>D14</v>
      </c>
      <c r="DL1" s="440" t="str">
        <f>'Data Interface'!U1</f>
        <v>3W</v>
      </c>
      <c r="DM1" s="440" t="str">
        <f>'Data Interface'!V1</f>
        <v>1M</v>
      </c>
      <c r="DN1" s="440" t="str">
        <f>'Data Interface'!W1</f>
        <v>2M</v>
      </c>
      <c r="DO1" s="440" t="str">
        <f>'Data Interface'!X1</f>
        <v>3M</v>
      </c>
      <c r="DP1" s="440" t="str">
        <f>'Data Interface'!Y1</f>
        <v>4M</v>
      </c>
      <c r="DQ1" s="440" t="str">
        <f>'Data Interface'!Z1</f>
        <v>5M</v>
      </c>
      <c r="DR1" s="440" t="str">
        <f>'Data Interface'!AA1</f>
        <v>6M</v>
      </c>
      <c r="DS1" s="440" t="str">
        <f>'Data Interface'!AB1</f>
        <v>7M</v>
      </c>
      <c r="DT1" s="440" t="str">
        <f>'Data Interface'!AC1</f>
        <v>8M</v>
      </c>
      <c r="DU1" s="440" t="str">
        <f>'Data Interface'!AD1</f>
        <v>9M</v>
      </c>
      <c r="DV1" s="440" t="str">
        <f>'Data Interface'!AE1</f>
        <v>10M</v>
      </c>
      <c r="DW1" s="440" t="str">
        <f>'Data Interface'!AF1</f>
        <v>11M</v>
      </c>
      <c r="DX1" s="440" t="str">
        <f>'Data Interface'!AG1</f>
        <v>12M</v>
      </c>
      <c r="DY1" s="440" t="s">
        <v>1582</v>
      </c>
      <c r="DZ1" s="440" t="s">
        <v>1451</v>
      </c>
      <c r="EA1" s="440" t="s">
        <v>1452</v>
      </c>
      <c r="EB1" s="440" t="s">
        <v>1453</v>
      </c>
      <c r="EC1" s="440" t="s">
        <v>1454</v>
      </c>
      <c r="ED1" s="440" t="s">
        <v>1455</v>
      </c>
      <c r="EE1" s="440" t="s">
        <v>1456</v>
      </c>
      <c r="EF1" s="440" t="s">
        <v>1457</v>
      </c>
      <c r="EG1" s="440" t="s">
        <v>1458</v>
      </c>
      <c r="EH1" s="440" t="s">
        <v>1459</v>
      </c>
      <c r="EI1" s="440" t="s">
        <v>1460</v>
      </c>
      <c r="EJ1" s="440" t="s">
        <v>1461</v>
      </c>
      <c r="EK1" s="440" t="s">
        <v>1462</v>
      </c>
      <c r="EL1" s="440" t="s">
        <v>1463</v>
      </c>
      <c r="EM1" s="440" t="s">
        <v>1464</v>
      </c>
      <c r="EN1" s="440" t="s">
        <v>4</v>
      </c>
      <c r="EO1" s="440" t="s">
        <v>5</v>
      </c>
      <c r="EP1" s="440" t="s">
        <v>6</v>
      </c>
      <c r="EQ1" s="440" t="s">
        <v>7</v>
      </c>
      <c r="ER1" s="440" t="s">
        <v>8</v>
      </c>
      <c r="ES1" s="440" t="s">
        <v>9</v>
      </c>
      <c r="ET1" s="440" t="s">
        <v>10</v>
      </c>
      <c r="EU1" s="440" t="s">
        <v>11</v>
      </c>
      <c r="EV1" s="440" t="s">
        <v>12</v>
      </c>
      <c r="EW1" s="440" t="s">
        <v>13</v>
      </c>
      <c r="EX1" s="440" t="s">
        <v>14</v>
      </c>
      <c r="EY1" s="440" t="s">
        <v>15</v>
      </c>
      <c r="EZ1" s="440" t="s">
        <v>16</v>
      </c>
    </row>
    <row r="2" spans="1:162">
      <c r="A2" s="440" t="s">
        <v>1215</v>
      </c>
      <c r="B2" s="440" t="s">
        <v>1222</v>
      </c>
      <c r="C2" s="441" t="s">
        <v>1616</v>
      </c>
      <c r="E2" s="441" t="s">
        <v>1217</v>
      </c>
      <c r="F2" s="440" t="s">
        <v>1196</v>
      </c>
      <c r="G2" s="440" t="s">
        <v>1195</v>
      </c>
      <c r="H2" s="440" t="s">
        <v>1198</v>
      </c>
      <c r="I2" s="714" t="s">
        <v>1199</v>
      </c>
      <c r="J2" s="714" t="s">
        <v>1347</v>
      </c>
      <c r="K2" s="440" t="s">
        <v>49</v>
      </c>
      <c r="L2" s="440" t="s">
        <v>1151</v>
      </c>
      <c r="M2" s="440" t="s">
        <v>1471</v>
      </c>
      <c r="O2" s="905">
        <f>'Model Report Formatized'!E2</f>
        <v>43465</v>
      </c>
      <c r="P2" s="835">
        <f>O2+1</f>
        <v>43466</v>
      </c>
      <c r="Q2" s="835">
        <f t="shared" ref="Q2:AC2" si="0">P2+1</f>
        <v>43467</v>
      </c>
      <c r="R2" s="835">
        <f t="shared" si="0"/>
        <v>43468</v>
      </c>
      <c r="S2" s="835">
        <f t="shared" si="0"/>
        <v>43469</v>
      </c>
      <c r="T2" s="835">
        <f t="shared" si="0"/>
        <v>43470</v>
      </c>
      <c r="U2" s="835">
        <f t="shared" si="0"/>
        <v>43471</v>
      </c>
      <c r="V2" s="835">
        <f t="shared" si="0"/>
        <v>43472</v>
      </c>
      <c r="W2" s="835">
        <f t="shared" si="0"/>
        <v>43473</v>
      </c>
      <c r="X2" s="835">
        <f t="shared" si="0"/>
        <v>43474</v>
      </c>
      <c r="Y2" s="835">
        <f t="shared" si="0"/>
        <v>43475</v>
      </c>
      <c r="Z2" s="835">
        <f t="shared" si="0"/>
        <v>43476</v>
      </c>
      <c r="AA2" s="835">
        <f t="shared" si="0"/>
        <v>43477</v>
      </c>
      <c r="AB2" s="835">
        <f t="shared" si="0"/>
        <v>43478</v>
      </c>
      <c r="AC2" s="835">
        <f t="shared" si="0"/>
        <v>43479</v>
      </c>
      <c r="AD2" s="835">
        <f>AC2+7</f>
        <v>43486</v>
      </c>
      <c r="AE2" s="835">
        <f>EOMONTH(AD2,0)</f>
        <v>43496</v>
      </c>
      <c r="AF2" s="835">
        <f t="shared" ref="AF2:AP2" si="1">EOMONTH(AE2,1)</f>
        <v>43524</v>
      </c>
      <c r="AG2" s="835">
        <f t="shared" si="1"/>
        <v>43555</v>
      </c>
      <c r="AH2" s="835">
        <f t="shared" si="1"/>
        <v>43585</v>
      </c>
      <c r="AI2" s="835">
        <f t="shared" si="1"/>
        <v>43616</v>
      </c>
      <c r="AJ2" s="835">
        <f t="shared" si="1"/>
        <v>43646</v>
      </c>
      <c r="AK2" s="835">
        <f t="shared" si="1"/>
        <v>43677</v>
      </c>
      <c r="AL2" s="835">
        <f t="shared" si="1"/>
        <v>43708</v>
      </c>
      <c r="AM2" s="835">
        <f t="shared" si="1"/>
        <v>43738</v>
      </c>
      <c r="AN2" s="835">
        <f t="shared" si="1"/>
        <v>43769</v>
      </c>
      <c r="AO2" s="835">
        <f t="shared" si="1"/>
        <v>43799</v>
      </c>
      <c r="AP2" s="835">
        <f t="shared" si="1"/>
        <v>43830</v>
      </c>
      <c r="AR2" s="440" t="s">
        <v>1200</v>
      </c>
      <c r="AS2" s="835">
        <f t="shared" ref="AS2:BH2" si="2">P2</f>
        <v>43466</v>
      </c>
      <c r="AT2" s="835">
        <f t="shared" si="2"/>
        <v>43467</v>
      </c>
      <c r="AU2" s="835">
        <f t="shared" si="2"/>
        <v>43468</v>
      </c>
      <c r="AV2" s="835">
        <f t="shared" si="2"/>
        <v>43469</v>
      </c>
      <c r="AW2" s="835">
        <f t="shared" si="2"/>
        <v>43470</v>
      </c>
      <c r="AX2" s="835">
        <f t="shared" si="2"/>
        <v>43471</v>
      </c>
      <c r="AY2" s="835">
        <f t="shared" si="2"/>
        <v>43472</v>
      </c>
      <c r="AZ2" s="835">
        <f t="shared" si="2"/>
        <v>43473</v>
      </c>
      <c r="BA2" s="835">
        <f t="shared" si="2"/>
        <v>43474</v>
      </c>
      <c r="BB2" s="835">
        <f t="shared" si="2"/>
        <v>43475</v>
      </c>
      <c r="BC2" s="835">
        <f t="shared" si="2"/>
        <v>43476</v>
      </c>
      <c r="BD2" s="835">
        <f t="shared" si="2"/>
        <v>43477</v>
      </c>
      <c r="BE2" s="835">
        <f t="shared" si="2"/>
        <v>43478</v>
      </c>
      <c r="BF2" s="835">
        <f t="shared" si="2"/>
        <v>43479</v>
      </c>
      <c r="BG2" s="835">
        <f t="shared" si="2"/>
        <v>43486</v>
      </c>
      <c r="BH2" s="835">
        <f t="shared" si="2"/>
        <v>43496</v>
      </c>
      <c r="BI2" s="835"/>
      <c r="BJ2" s="835"/>
      <c r="BK2" s="835"/>
      <c r="BL2" s="835"/>
      <c r="BM2" s="835"/>
      <c r="BN2" s="835"/>
      <c r="BO2" s="835"/>
      <c r="BP2" s="835"/>
      <c r="BQ2" s="835"/>
      <c r="BR2" s="835"/>
      <c r="BS2" s="835"/>
      <c r="BU2" s="835">
        <f>P2</f>
        <v>43466</v>
      </c>
      <c r="BV2" s="835">
        <f t="shared" ref="BV2:CU2" si="3">Q2</f>
        <v>43467</v>
      </c>
      <c r="BW2" s="835">
        <f t="shared" si="3"/>
        <v>43468</v>
      </c>
      <c r="BX2" s="835">
        <f t="shared" si="3"/>
        <v>43469</v>
      </c>
      <c r="BY2" s="835">
        <f t="shared" si="3"/>
        <v>43470</v>
      </c>
      <c r="BZ2" s="835">
        <f t="shared" si="3"/>
        <v>43471</v>
      </c>
      <c r="CA2" s="835">
        <f t="shared" si="3"/>
        <v>43472</v>
      </c>
      <c r="CB2" s="835">
        <f t="shared" si="3"/>
        <v>43473</v>
      </c>
      <c r="CC2" s="835">
        <f t="shared" si="3"/>
        <v>43474</v>
      </c>
      <c r="CD2" s="835">
        <f t="shared" si="3"/>
        <v>43475</v>
      </c>
      <c r="CE2" s="835">
        <f t="shared" si="3"/>
        <v>43476</v>
      </c>
      <c r="CF2" s="835">
        <f t="shared" si="3"/>
        <v>43477</v>
      </c>
      <c r="CG2" s="835">
        <f t="shared" si="3"/>
        <v>43478</v>
      </c>
      <c r="CH2" s="835">
        <f t="shared" si="3"/>
        <v>43479</v>
      </c>
      <c r="CI2" s="835">
        <f t="shared" si="3"/>
        <v>43486</v>
      </c>
      <c r="CJ2" s="835">
        <f t="shared" si="3"/>
        <v>43496</v>
      </c>
      <c r="CK2" s="835">
        <f t="shared" si="3"/>
        <v>43524</v>
      </c>
      <c r="CL2" s="835">
        <f t="shared" si="3"/>
        <v>43555</v>
      </c>
      <c r="CM2" s="835">
        <f t="shared" si="3"/>
        <v>43585</v>
      </c>
      <c r="CN2" s="835">
        <f t="shared" si="3"/>
        <v>43616</v>
      </c>
      <c r="CO2" s="835">
        <f t="shared" si="3"/>
        <v>43646</v>
      </c>
      <c r="CP2" s="835">
        <f t="shared" si="3"/>
        <v>43677</v>
      </c>
      <c r="CQ2" s="835">
        <f t="shared" si="3"/>
        <v>43708</v>
      </c>
      <c r="CR2" s="835">
        <f t="shared" si="3"/>
        <v>43738</v>
      </c>
      <c r="CS2" s="835">
        <f t="shared" si="3"/>
        <v>43769</v>
      </c>
      <c r="CT2" s="835">
        <f t="shared" si="3"/>
        <v>43799</v>
      </c>
      <c r="CU2" s="835">
        <f t="shared" si="3"/>
        <v>43830</v>
      </c>
      <c r="CW2" s="835">
        <f t="shared" ref="CW2:DM2" si="4">O2</f>
        <v>43465</v>
      </c>
      <c r="CX2" s="835">
        <f t="shared" si="4"/>
        <v>43466</v>
      </c>
      <c r="CY2" s="835">
        <f t="shared" si="4"/>
        <v>43467</v>
      </c>
      <c r="CZ2" s="835">
        <f t="shared" si="4"/>
        <v>43468</v>
      </c>
      <c r="DA2" s="835">
        <f t="shared" si="4"/>
        <v>43469</v>
      </c>
      <c r="DB2" s="835">
        <f t="shared" si="4"/>
        <v>43470</v>
      </c>
      <c r="DC2" s="835">
        <f t="shared" si="4"/>
        <v>43471</v>
      </c>
      <c r="DD2" s="835">
        <f t="shared" si="4"/>
        <v>43472</v>
      </c>
      <c r="DE2" s="835">
        <f t="shared" si="4"/>
        <v>43473</v>
      </c>
      <c r="DF2" s="835">
        <f t="shared" si="4"/>
        <v>43474</v>
      </c>
      <c r="DG2" s="835">
        <f t="shared" si="4"/>
        <v>43475</v>
      </c>
      <c r="DH2" s="835">
        <f t="shared" si="4"/>
        <v>43476</v>
      </c>
      <c r="DI2" s="835">
        <f t="shared" si="4"/>
        <v>43477</v>
      </c>
      <c r="DJ2" s="835">
        <f t="shared" si="4"/>
        <v>43478</v>
      </c>
      <c r="DK2" s="835">
        <f t="shared" si="4"/>
        <v>43479</v>
      </c>
      <c r="DL2" s="835">
        <f t="shared" si="4"/>
        <v>43486</v>
      </c>
      <c r="DM2" s="835">
        <f t="shared" si="4"/>
        <v>43496</v>
      </c>
      <c r="DN2" s="835">
        <f t="shared" ref="DN2:DX2" si="5">AF2</f>
        <v>43524</v>
      </c>
      <c r="DO2" s="835">
        <f t="shared" si="5"/>
        <v>43555</v>
      </c>
      <c r="DP2" s="835">
        <f t="shared" si="5"/>
        <v>43585</v>
      </c>
      <c r="DQ2" s="835">
        <f t="shared" si="5"/>
        <v>43616</v>
      </c>
      <c r="DR2" s="835">
        <f t="shared" si="5"/>
        <v>43646</v>
      </c>
      <c r="DS2" s="835">
        <f t="shared" si="5"/>
        <v>43677</v>
      </c>
      <c r="DT2" s="835">
        <f t="shared" si="5"/>
        <v>43708</v>
      </c>
      <c r="DU2" s="835">
        <f t="shared" si="5"/>
        <v>43738</v>
      </c>
      <c r="DV2" s="835">
        <f t="shared" si="5"/>
        <v>43769</v>
      </c>
      <c r="DW2" s="835">
        <f t="shared" si="5"/>
        <v>43799</v>
      </c>
      <c r="DX2" s="835">
        <f t="shared" si="5"/>
        <v>43830</v>
      </c>
      <c r="DZ2" s="835">
        <f>CX2</f>
        <v>43466</v>
      </c>
      <c r="EA2" s="835">
        <f t="shared" ref="EA2:EZ2" si="6">CY2</f>
        <v>43467</v>
      </c>
      <c r="EB2" s="835">
        <f t="shared" si="6"/>
        <v>43468</v>
      </c>
      <c r="EC2" s="835">
        <f t="shared" si="6"/>
        <v>43469</v>
      </c>
      <c r="ED2" s="835">
        <f t="shared" si="6"/>
        <v>43470</v>
      </c>
      <c r="EE2" s="835">
        <f t="shared" si="6"/>
        <v>43471</v>
      </c>
      <c r="EF2" s="835">
        <f t="shared" si="6"/>
        <v>43472</v>
      </c>
      <c r="EG2" s="835">
        <f t="shared" si="6"/>
        <v>43473</v>
      </c>
      <c r="EH2" s="835">
        <f t="shared" si="6"/>
        <v>43474</v>
      </c>
      <c r="EI2" s="835">
        <f t="shared" si="6"/>
        <v>43475</v>
      </c>
      <c r="EJ2" s="835">
        <f t="shared" si="6"/>
        <v>43476</v>
      </c>
      <c r="EK2" s="835">
        <f t="shared" si="6"/>
        <v>43477</v>
      </c>
      <c r="EL2" s="835">
        <f t="shared" si="6"/>
        <v>43478</v>
      </c>
      <c r="EM2" s="835">
        <f t="shared" si="6"/>
        <v>43479</v>
      </c>
      <c r="EN2" s="835">
        <f t="shared" si="6"/>
        <v>43486</v>
      </c>
      <c r="EO2" s="835">
        <f t="shared" si="6"/>
        <v>43496</v>
      </c>
      <c r="EP2" s="835">
        <f t="shared" si="6"/>
        <v>43524</v>
      </c>
      <c r="EQ2" s="835">
        <f t="shared" si="6"/>
        <v>43555</v>
      </c>
      <c r="ER2" s="835">
        <f t="shared" si="6"/>
        <v>43585</v>
      </c>
      <c r="ES2" s="835">
        <f t="shared" si="6"/>
        <v>43616</v>
      </c>
      <c r="ET2" s="835">
        <f t="shared" si="6"/>
        <v>43646</v>
      </c>
      <c r="EU2" s="835">
        <f t="shared" si="6"/>
        <v>43677</v>
      </c>
      <c r="EV2" s="835">
        <f t="shared" si="6"/>
        <v>43708</v>
      </c>
      <c r="EW2" s="835">
        <f t="shared" si="6"/>
        <v>43738</v>
      </c>
      <c r="EX2" s="835">
        <f t="shared" si="6"/>
        <v>43769</v>
      </c>
      <c r="EY2" s="835">
        <f t="shared" si="6"/>
        <v>43799</v>
      </c>
      <c r="EZ2" s="835">
        <f t="shared" si="6"/>
        <v>43830</v>
      </c>
      <c r="FA2" s="440" t="s">
        <v>1623</v>
      </c>
      <c r="FB2" s="440" t="s">
        <v>1624</v>
      </c>
      <c r="FC2" s="440" t="s">
        <v>1625</v>
      </c>
      <c r="FD2" s="440" t="s">
        <v>1626</v>
      </c>
      <c r="FE2" s="440" t="s">
        <v>1627</v>
      </c>
      <c r="FF2" s="440" t="s">
        <v>1465</v>
      </c>
    </row>
    <row r="3" spans="1:162">
      <c r="B3" s="440">
        <f>IFERROR(MATCH(C3,Assumptions!$B:$B,0),0)</f>
        <v>0</v>
      </c>
      <c r="C3" s="441" t="s">
        <v>1470</v>
      </c>
      <c r="E3" s="441" t="s">
        <v>1218</v>
      </c>
      <c r="F3" s="440" t="s">
        <v>1025</v>
      </c>
      <c r="G3" s="440" t="s">
        <v>1441</v>
      </c>
      <c r="H3" s="440" t="s">
        <v>1030</v>
      </c>
      <c r="O3" s="442">
        <f>O4-O5+O6</f>
        <v>-32995.072847883108</v>
      </c>
      <c r="P3" s="442">
        <f ca="1">$O3-SUM($AS3:AS3)</f>
        <v>-30449.571031417508</v>
      </c>
      <c r="Q3" s="442">
        <f ca="1">$O3-SUM($AS3:AT3)</f>
        <v>-15846.111881932087</v>
      </c>
      <c r="R3" s="442">
        <f ca="1">$O3-SUM($AS3:AU3)</f>
        <v>-15335.904908883836</v>
      </c>
      <c r="S3" s="442">
        <f ca="1">$O3-SUM($AS3:AV3)</f>
        <v>-14826.765628664598</v>
      </c>
      <c r="T3" s="442">
        <f ca="1">$O3-SUM($AS3:AW3)</f>
        <v>-14322.867796244438</v>
      </c>
      <c r="U3" s="442">
        <f ca="1">$O3-SUM($AS3:AX3)</f>
        <v>-13818.969963824282</v>
      </c>
      <c r="V3" s="442">
        <f ca="1">$O3-SUM($AS3:AY3)</f>
        <v>-13306.366496802941</v>
      </c>
      <c r="W3" s="442">
        <f ca="1">$O3-SUM($AS3:AZ3)</f>
        <v>-12878.417271258535</v>
      </c>
      <c r="X3" s="442">
        <f ca="1">$O3-SUM($AS3:BA3)</f>
        <v>-12449.694805885425</v>
      </c>
      <c r="Y3" s="442">
        <f ca="1">$O3-SUM($AS3:BB3)</f>
        <v>-12026.502552558955</v>
      </c>
      <c r="Z3" s="442">
        <f ca="1">$O3-SUM($AS3:BC3)</f>
        <v>-11607.646091709354</v>
      </c>
      <c r="AA3" s="442">
        <f ca="1">$O3-SUM($AS3:BD3)</f>
        <v>-11176.685192141726</v>
      </c>
      <c r="AB3" s="442">
        <f ca="1">$O3-SUM($AS3:BE3)</f>
        <v>-10745.724292574097</v>
      </c>
      <c r="AC3" s="442">
        <f ca="1">$O3-SUM($AS3:BF3)</f>
        <v>-10310.937339481861</v>
      </c>
      <c r="AD3" s="442">
        <f ca="1">$O3-SUM($AS3:BG3)</f>
        <v>-7612.8296346218995</v>
      </c>
      <c r="AE3" s="442">
        <f ca="1">$O3-SUM($AS3:BH3)</f>
        <v>-5680.9505530107053</v>
      </c>
      <c r="AF3" s="442">
        <f ca="1">$O3-SUM($AS3:BI3)</f>
        <v>-1990.1278290359187</v>
      </c>
      <c r="AG3" s="442">
        <f ca="1">$O3-SUM($AS3:BJ3)</f>
        <v>1240.3188760727353</v>
      </c>
      <c r="AH3" s="442">
        <f ca="1">$O3-SUM($AS3:BK3)</f>
        <v>2088.3516208662477</v>
      </c>
      <c r="AI3" s="442">
        <f ca="1">$O3-SUM($AS3:BL3)</f>
        <v>2361.0352207277247</v>
      </c>
      <c r="AJ3" s="442">
        <f ca="1">$O3-SUM($AS3:BM3)</f>
        <v>5456.1266672232086</v>
      </c>
      <c r="AK3" s="442">
        <f ca="1">$O3-SUM($AS3:BN3)</f>
        <v>6679.7430442589248</v>
      </c>
      <c r="AL3" s="442">
        <f ca="1">$O3-SUM($AS3:BO3)</f>
        <v>6855.5970080741536</v>
      </c>
      <c r="AM3" s="442">
        <f ca="1">$O3-SUM($AS3:BP3)</f>
        <v>6499.1407983771132</v>
      </c>
      <c r="AN3" s="442">
        <f ca="1">$O3-SUM($AS3:BQ3)</f>
        <v>6684.1152137974059</v>
      </c>
      <c r="AO3" s="442">
        <f ca="1">$O3-SUM($AS3:BR3)</f>
        <v>6877.2709347081473</v>
      </c>
      <c r="AP3" s="442">
        <f ca="1">$O3-SUM($AS3:BS3)</f>
        <v>7295.1013425003184</v>
      </c>
      <c r="AR3" s="440" t="s">
        <v>1211</v>
      </c>
      <c r="AS3" s="442">
        <f t="shared" ref="AS3:BS3" ca="1" si="7">-SUM(AS5:AS78)</f>
        <v>-2545.5018164655989</v>
      </c>
      <c r="AT3" s="442">
        <f t="shared" ca="1" si="7"/>
        <v>-14603.459149485423</v>
      </c>
      <c r="AU3" s="442">
        <f t="shared" ca="1" si="7"/>
        <v>-510.20697304825245</v>
      </c>
      <c r="AV3" s="442">
        <f t="shared" ca="1" si="7"/>
        <v>-509.13928021923931</v>
      </c>
      <c r="AW3" s="442">
        <f t="shared" ca="1" si="7"/>
        <v>-503.89783242015881</v>
      </c>
      <c r="AX3" s="442">
        <f t="shared" ca="1" si="7"/>
        <v>-503.89783242015704</v>
      </c>
      <c r="AY3" s="442">
        <f t="shared" ca="1" si="7"/>
        <v>-512.60346702134018</v>
      </c>
      <c r="AZ3" s="442">
        <f t="shared" ca="1" si="7"/>
        <v>-427.94922554440609</v>
      </c>
      <c r="BA3" s="442">
        <f t="shared" ca="1" si="7"/>
        <v>-428.72246537310883</v>
      </c>
      <c r="BB3" s="442">
        <f t="shared" ca="1" si="7"/>
        <v>-423.1922533264696</v>
      </c>
      <c r="BC3" s="442">
        <f t="shared" ca="1" si="7"/>
        <v>-418.85646084960217</v>
      </c>
      <c r="BD3" s="442">
        <f t="shared" ca="1" si="7"/>
        <v>-430.96089956762677</v>
      </c>
      <c r="BE3" s="442">
        <f t="shared" ca="1" si="7"/>
        <v>-430.96089956762728</v>
      </c>
      <c r="BF3" s="442">
        <f t="shared" ca="1" si="7"/>
        <v>-434.78695309223679</v>
      </c>
      <c r="BG3" s="442">
        <f t="shared" ca="1" si="7"/>
        <v>-2698.1077048599609</v>
      </c>
      <c r="BH3" s="442">
        <f t="shared" ca="1" si="7"/>
        <v>-1931.8790816111946</v>
      </c>
      <c r="BI3" s="442">
        <f t="shared" ca="1" si="7"/>
        <v>-3690.8227239747857</v>
      </c>
      <c r="BJ3" s="442">
        <f t="shared" ca="1" si="7"/>
        <v>-3230.4467051086517</v>
      </c>
      <c r="BK3" s="442">
        <f t="shared" ca="1" si="7"/>
        <v>-848.03274479351137</v>
      </c>
      <c r="BL3" s="442">
        <f t="shared" ca="1" si="7"/>
        <v>-272.68359986148016</v>
      </c>
      <c r="BM3" s="442">
        <f t="shared" ca="1" si="7"/>
        <v>-3095.0914464954803</v>
      </c>
      <c r="BN3" s="442">
        <f t="shared" ca="1" si="7"/>
        <v>-1223.6163770357159</v>
      </c>
      <c r="BO3" s="442">
        <f t="shared" ca="1" si="7"/>
        <v>-175.85396381522838</v>
      </c>
      <c r="BP3" s="442">
        <f t="shared" ca="1" si="7"/>
        <v>356.45620969704362</v>
      </c>
      <c r="BQ3" s="442">
        <f t="shared" ca="1" si="7"/>
        <v>-184.97441542028983</v>
      </c>
      <c r="BR3" s="442">
        <f t="shared" ca="1" si="7"/>
        <v>-193.15572091073838</v>
      </c>
      <c r="BS3" s="442">
        <f t="shared" ca="1" si="7"/>
        <v>-417.83040779217077</v>
      </c>
      <c r="BU3" s="820" t="str">
        <f>IF($B3=0,"",INDEX(Assumptions!G:G,$B3))</f>
        <v/>
      </c>
      <c r="BV3" s="820" t="str">
        <f>IF($B3=0,"",INDEX(Assumptions!H:H,$B3))</f>
        <v/>
      </c>
      <c r="BW3" s="820" t="str">
        <f>IF($B3=0,"",INDEX(Assumptions!I:I,$B3))</f>
        <v/>
      </c>
      <c r="BX3" s="820" t="str">
        <f>IF($B3=0,"",INDEX(Assumptions!J:J,$B3))</f>
        <v/>
      </c>
      <c r="BY3" s="820" t="str">
        <f>IF($B3=0,"",INDEX(Assumptions!K:K,$B3))</f>
        <v/>
      </c>
      <c r="BZ3" s="820" t="str">
        <f>IF($B3=0,"",INDEX(Assumptions!L:L,$B3))</f>
        <v/>
      </c>
      <c r="CA3" s="820" t="str">
        <f>IF($B3=0,"",INDEX(Assumptions!M:M,$B3))</f>
        <v/>
      </c>
      <c r="CB3" s="820" t="str">
        <f>IF($B3=0,"",INDEX(Assumptions!N:N,$B3))</f>
        <v/>
      </c>
      <c r="CC3" s="820" t="str">
        <f>IF($B3=0,"",INDEX(Assumptions!O:O,$B3))</f>
        <v/>
      </c>
      <c r="CD3" s="820" t="str">
        <f>IF($B3=0,"",INDEX(Assumptions!P:P,$B3))</f>
        <v/>
      </c>
      <c r="CE3" s="820" t="str">
        <f>IF($B3=0,"",INDEX(Assumptions!Q:Q,$B3))</f>
        <v/>
      </c>
      <c r="CF3" s="820" t="str">
        <f>IF($B3=0,"",INDEX(Assumptions!R:R,$B3))</f>
        <v/>
      </c>
      <c r="CG3" s="820" t="str">
        <f>IF($B3=0,"",INDEX(Assumptions!S:S,$B3))</f>
        <v/>
      </c>
      <c r="CH3" s="820" t="str">
        <f>IF($B3=0,"",INDEX(Assumptions!T:T,$B3))</f>
        <v/>
      </c>
      <c r="CI3" s="820" t="str">
        <f>IF($B3=0,"",INDEX(Assumptions!U:U,$B3))</f>
        <v/>
      </c>
      <c r="CJ3" s="820" t="str">
        <f>IF($B3=0,"",INDEX(Assumptions!V:V,$B3))</f>
        <v/>
      </c>
      <c r="CK3" s="820" t="str">
        <f>IF($B3=0,"",INDEX(Assumptions!W:W,$B3))</f>
        <v/>
      </c>
      <c r="CL3" s="820" t="str">
        <f>IF($B3=0,"",INDEX(Assumptions!X:X,$B3))</f>
        <v/>
      </c>
      <c r="CM3" s="820" t="str">
        <f>IF($B3=0,"",INDEX(Assumptions!Y:Y,$B3))</f>
        <v/>
      </c>
      <c r="CN3" s="820" t="str">
        <f>IF($B3=0,"",INDEX(Assumptions!Z:Z,$B3))</f>
        <v/>
      </c>
      <c r="CO3" s="820" t="str">
        <f>IF($B3=0,"",INDEX(Assumptions!AA:AA,$B3))</f>
        <v/>
      </c>
      <c r="CP3" s="820" t="str">
        <f>IF($B3=0,"",INDEX(Assumptions!AB:AB,$B3))</f>
        <v/>
      </c>
      <c r="CQ3" s="820" t="str">
        <f>IF($B3=0,"",INDEX(Assumptions!AC:AC,$B3))</f>
        <v/>
      </c>
      <c r="CR3" s="820" t="str">
        <f>IF($B3=0,"",INDEX(Assumptions!AD:AD,$B3))</f>
        <v/>
      </c>
      <c r="CS3" s="820" t="str">
        <f>IF($B3=0,"",INDEX(Assumptions!AE:AE,$B3))</f>
        <v/>
      </c>
      <c r="CT3" s="820" t="str">
        <f>IF($B3=0,"",INDEX(Assumptions!AF:AF,$B3))</f>
        <v/>
      </c>
      <c r="CU3" s="820" t="str">
        <f>IF($B3=0,"",INDEX(Assumptions!AG:AG,$B3))</f>
        <v/>
      </c>
      <c r="CX3" s="442" t="str">
        <f>IF($A3="","",INDEX('Data Interface'!G:G,$A3))</f>
        <v/>
      </c>
      <c r="CY3" s="442" t="str">
        <f>IF($A3="","",INDEX('Data Interface'!H:H,$A3))</f>
        <v/>
      </c>
      <c r="CZ3" s="442" t="str">
        <f>IF($A3="","",INDEX('Data Interface'!I:I,$A3))</f>
        <v/>
      </c>
      <c r="DA3" s="442" t="str">
        <f>IF($A3="","",INDEX('Data Interface'!J:J,$A3))</f>
        <v/>
      </c>
      <c r="DB3" s="442" t="str">
        <f>IF($A3="","",INDEX('Data Interface'!K:K,$A3))</f>
        <v/>
      </c>
      <c r="DC3" s="442" t="str">
        <f>IF($A3="","",INDEX('Data Interface'!L:L,$A3))</f>
        <v/>
      </c>
      <c r="DD3" s="442" t="str">
        <f>IF($A3="","",INDEX('Data Interface'!M:M,$A3))</f>
        <v/>
      </c>
      <c r="DE3" s="442" t="str">
        <f>IF($A3="","",INDEX('Data Interface'!N:N,$A3))</f>
        <v/>
      </c>
      <c r="DF3" s="442" t="str">
        <f>IF($A3="","",INDEX('Data Interface'!O:O,$A3))</f>
        <v/>
      </c>
      <c r="DG3" s="442" t="str">
        <f>IF($A3="","",INDEX('Data Interface'!P:P,$A3))</f>
        <v/>
      </c>
      <c r="DH3" s="442" t="str">
        <f>IF($A3="","",INDEX('Data Interface'!Q:Q,$A3))</f>
        <v/>
      </c>
      <c r="DI3" s="442" t="str">
        <f>IF($A3="","",INDEX('Data Interface'!R:R,$A3))</f>
        <v/>
      </c>
      <c r="DJ3" s="442" t="str">
        <f>IF($A3="","",INDEX('Data Interface'!S:S,$A3))</f>
        <v/>
      </c>
      <c r="DK3" s="442" t="str">
        <f>IF($A3="","",INDEX('Data Interface'!T:T,$A3))</f>
        <v/>
      </c>
      <c r="DL3" s="442" t="str">
        <f>IF($A3="","",INDEX('Data Interface'!U:U,$A3))</f>
        <v/>
      </c>
      <c r="DM3" s="442" t="str">
        <f>IF($A3="","",INDEX('Data Interface'!V:V,$A3))</f>
        <v/>
      </c>
      <c r="DN3" s="442" t="str">
        <f>IF($A3="","",INDEX('Data Interface'!W:W,$A3))</f>
        <v/>
      </c>
      <c r="DO3" s="442" t="str">
        <f>IF($A3="","",INDEX('Data Interface'!X:X,$A3))</f>
        <v/>
      </c>
      <c r="DP3" s="442" t="str">
        <f>IF($A3="","",INDEX('Data Interface'!Y:Y,$A3))</f>
        <v/>
      </c>
      <c r="DQ3" s="442" t="str">
        <f>IF($A3="","",INDEX('Data Interface'!Z:Z,$A3))</f>
        <v/>
      </c>
      <c r="DR3" s="442" t="str">
        <f>IF($A3="","",INDEX('Data Interface'!AA:AA,$A3))</f>
        <v/>
      </c>
      <c r="DS3" s="442" t="str">
        <f>IF($A3="","",INDEX('Data Interface'!AB:AB,$A3))</f>
        <v/>
      </c>
      <c r="DT3" s="442" t="str">
        <f>IF($A3="","",INDEX('Data Interface'!AC:AC,$A3))</f>
        <v/>
      </c>
      <c r="DU3" s="442" t="str">
        <f>IF($A3="","",INDEX('Data Interface'!AD:AD,$A3))</f>
        <v/>
      </c>
      <c r="DV3" s="442" t="str">
        <f>IF($A3="","",INDEX('Data Interface'!AE:AE,$A3))</f>
        <v/>
      </c>
      <c r="DW3" s="442" t="str">
        <f>IF($A3="","",INDEX('Data Interface'!AF:AF,$A3))</f>
        <v/>
      </c>
      <c r="DX3" s="442" t="str">
        <f>IF($A3="","",INDEX('Data Interface'!AG:AG,$A3))</f>
        <v/>
      </c>
      <c r="DZ3" s="906" t="str">
        <f>IF(OR($B3=0,$A3=0,$H3&lt;&gt;1),"",INDEX(Assumptions!EO:EO,$B3))</f>
        <v/>
      </c>
      <c r="EA3" s="906" t="str">
        <f>IF(OR($B3=0,$A3=0,$H3&lt;&gt;1),"",INDEX(Assumptions!EP:EP,$B3))</f>
        <v/>
      </c>
      <c r="EB3" s="906" t="str">
        <f>IF(OR($B3=0,$A3=0,$H3&lt;&gt;1),"",INDEX(Assumptions!EQ:EQ,$B3))</f>
        <v/>
      </c>
      <c r="EC3" s="906" t="str">
        <f>IF(OR($B3=0,$A3=0,$H3&lt;&gt;1),"",INDEX(Assumptions!ER:ER,$B3))</f>
        <v/>
      </c>
      <c r="ED3" s="906" t="str">
        <f>IF(OR($B3=0,$A3=0,$H3&lt;&gt;1),"",INDEX(Assumptions!ES:ES,$B3))</f>
        <v/>
      </c>
      <c r="EE3" s="906" t="str">
        <f>IF(OR($B3=0,$A3=0,$H3&lt;&gt;1),"",INDEX(Assumptions!ET:ET,$B3))</f>
        <v/>
      </c>
      <c r="EF3" s="906" t="str">
        <f>IF(OR($B3=0,$A3=0,$H3&lt;&gt;1),"",INDEX(Assumptions!EU:EU,$B3))</f>
        <v/>
      </c>
      <c r="EG3" s="906" t="str">
        <f>IF(OR($B3=0,$A3=0,$H3&lt;&gt;1),"",INDEX(Assumptions!EV:EV,$B3))</f>
        <v/>
      </c>
      <c r="EH3" s="906" t="str">
        <f>IF(OR($B3=0,$A3=0,$H3&lt;&gt;1),"",INDEX(Assumptions!EW:EW,$B3))</f>
        <v/>
      </c>
      <c r="EI3" s="906" t="str">
        <f>IF(OR($B3=0,$A3=0,$H3&lt;&gt;1),"",INDEX(Assumptions!EX:EX,$B3))</f>
        <v/>
      </c>
      <c r="EJ3" s="906" t="str">
        <f>IF(OR($B3=0,$A3=0,$H3&lt;&gt;1),"",INDEX(Assumptions!EY:EY,$B3))</f>
        <v/>
      </c>
      <c r="EK3" s="906" t="str">
        <f>IF(OR($B3=0,$A3=0,$H3&lt;&gt;1),"",INDEX(Assumptions!EZ:EZ,$B3))</f>
        <v/>
      </c>
      <c r="EL3" s="906" t="str">
        <f>IF(OR($B3=0,$A3=0,$H3&lt;&gt;1),"",INDEX(Assumptions!FA:FA,$B3))</f>
        <v/>
      </c>
      <c r="EM3" s="906" t="str">
        <f>IF(OR($B3=0,$A3=0,$H3&lt;&gt;1),"",INDEX(Assumptions!FB:FB,$B3))</f>
        <v/>
      </c>
      <c r="EN3" s="906" t="str">
        <f>IF(OR($B3=0,$A3=0,$H3&lt;&gt;1),"",INDEX(Assumptions!FC:FC,$B3))</f>
        <v/>
      </c>
      <c r="EO3" s="906" t="str">
        <f>IF(OR($B3=0,$A3=0,$H3&lt;&gt;1),"",INDEX(Assumptions!FD:FD,$B3))</f>
        <v/>
      </c>
      <c r="EP3" s="906" t="str">
        <f>IF(OR($B3=0,$A3=0,$H3&lt;&gt;1),"",INDEX(Assumptions!FE:FE,$B3))</f>
        <v/>
      </c>
      <c r="EQ3" s="906" t="str">
        <f>IF(OR($B3=0,$A3=0,$H3&lt;&gt;1),"",INDEX(Assumptions!FF:FF,$B3))</f>
        <v/>
      </c>
      <c r="ER3" s="906" t="str">
        <f>IF(OR($B3=0,$A3=0,$H3&lt;&gt;1),"",INDEX(Assumptions!FG:FG,$B3))</f>
        <v/>
      </c>
      <c r="ES3" s="906" t="str">
        <f>IF(OR($B3=0,$A3=0,$H3&lt;&gt;1),"",INDEX(Assumptions!FH:FH,$B3))</f>
        <v/>
      </c>
      <c r="ET3" s="906" t="str">
        <f>IF(OR($B3=0,$A3=0,$H3&lt;&gt;1),"",INDEX(Assumptions!FI:FI,$B3))</f>
        <v/>
      </c>
      <c r="EU3" s="906" t="str">
        <f>IF(OR($B3=0,$A3=0,$H3&lt;&gt;1),"",INDEX(Assumptions!FJ:FJ,$B3))</f>
        <v/>
      </c>
      <c r="EV3" s="906" t="str">
        <f>IF(OR($B3=0,$A3=0,$H3&lt;&gt;1),"",INDEX(Assumptions!FK:FK,$B3))</f>
        <v/>
      </c>
      <c r="EW3" s="906" t="str">
        <f>IF(OR($B3=0,$A3=0,$H3&lt;&gt;1),"",INDEX(Assumptions!FL:FL,$B3))</f>
        <v/>
      </c>
      <c r="EX3" s="906" t="str">
        <f>IF(OR($B3=0,$A3=0,$H3&lt;&gt;1),"",INDEX(Assumptions!FM:FM,$B3))</f>
        <v/>
      </c>
      <c r="EY3" s="906" t="str">
        <f>IF(OR($B3=0,$A3=0,$H3&lt;&gt;1),"",INDEX(Assumptions!FN:FN,$B3))</f>
        <v/>
      </c>
      <c r="EZ3" s="906" t="str">
        <f>IF(OR($B3=0,$A3=0,$H3&lt;&gt;1),"",INDEX(Assumptions!FO:FO,$B3))</f>
        <v/>
      </c>
    </row>
    <row r="4" spans="1:162">
      <c r="A4" s="440">
        <f>IFERROR(MATCH(C4,'Data Interface'!B:B,0),0)</f>
        <v>2</v>
      </c>
      <c r="B4" s="440">
        <f>IFERROR(MATCH(C4,Assumptions!$B:$B,0),0)</f>
        <v>0</v>
      </c>
      <c r="C4" s="441">
        <v>2</v>
      </c>
      <c r="E4" s="441" t="s">
        <v>1218</v>
      </c>
      <c r="F4" s="440" t="s">
        <v>1028</v>
      </c>
      <c r="G4" s="440" t="str">
        <f>IF(A4=0,"",INDEX('Data Interface'!$C:$C,$A4))</f>
        <v>Balance with Fed (include Reserve balance)</v>
      </c>
      <c r="H4" s="440" t="s">
        <v>1030</v>
      </c>
      <c r="K4" s="440" t="s">
        <v>1272</v>
      </c>
      <c r="L4" s="440" t="s">
        <v>1147</v>
      </c>
      <c r="O4" s="442">
        <f>IF(OR($A4="",$A4=0),0,INDEX('Data Interface'!D:D,$A4))</f>
        <v>-31027.243794049999</v>
      </c>
      <c r="P4" s="442">
        <f>$O4-SUM($AS4:AS4)</f>
        <v>-31027.243794049999</v>
      </c>
      <c r="Q4" s="442">
        <f>$O4-SUM($AS4:AT4)</f>
        <v>-31027.243794049999</v>
      </c>
      <c r="R4" s="442">
        <f>$O4-SUM($AS4:AU4)</f>
        <v>-31027.243794049999</v>
      </c>
      <c r="S4" s="442">
        <f>$O4-SUM($AS4:AV4)</f>
        <v>-31027.243794049999</v>
      </c>
      <c r="T4" s="442">
        <f>$O4-SUM($AS4:AW4)</f>
        <v>-31027.243794049999</v>
      </c>
      <c r="U4" s="442">
        <f>$O4-SUM($AS4:AX4)</f>
        <v>-31027.243794049999</v>
      </c>
      <c r="V4" s="442">
        <f>$O4-SUM($AS4:AY4)</f>
        <v>-31027.243794049999</v>
      </c>
      <c r="W4" s="442">
        <f>$O4-SUM($AS4:AZ4)</f>
        <v>-31027.243794049999</v>
      </c>
      <c r="X4" s="442">
        <f>$O4-SUM($AS4:BA4)</f>
        <v>-31027.243794049999</v>
      </c>
      <c r="Y4" s="442">
        <f>$O4-SUM($AS4:BB4)</f>
        <v>-31027.243794049999</v>
      </c>
      <c r="Z4" s="442">
        <f>$O4-SUM($AS4:BC4)</f>
        <v>-31027.243794049999</v>
      </c>
      <c r="AA4" s="442">
        <f>$O4-SUM($AS4:BD4)</f>
        <v>-31027.243794049999</v>
      </c>
      <c r="AB4" s="442">
        <f>$O4-SUM($AS4:BE4)</f>
        <v>-31027.243794049999</v>
      </c>
      <c r="AC4" s="442">
        <f>$O4-SUM($AS4:BF4)</f>
        <v>-31027.243794049999</v>
      </c>
      <c r="AD4" s="442">
        <f ca="1">$O4-SUM($AS4:BG4)</f>
        <v>-30919.434828158366</v>
      </c>
      <c r="AE4" s="442">
        <f ca="1">$O4-SUM($AS4:BH4)</f>
        <v>-30902.150147247183</v>
      </c>
      <c r="AF4" s="442">
        <f ca="1">$O4-SUM($AS4:BI4)</f>
        <v>-30871.942421286691</v>
      </c>
      <c r="AG4" s="442">
        <f ca="1">$O4-SUM($AS4:BJ4)</f>
        <v>-30845.642634038006</v>
      </c>
      <c r="AH4" s="442">
        <f ca="1">$O4-SUM($AS4:BK4)</f>
        <v>-30829.542692313251</v>
      </c>
      <c r="AI4" s="442">
        <f ca="1">$O4-SUM($AS4:BL4)</f>
        <v>-30821.013320335514</v>
      </c>
      <c r="AJ4" s="442">
        <f ca="1">$O4-SUM($AS4:BM4)</f>
        <v>-30807.787935722943</v>
      </c>
      <c r="AK4" s="442">
        <f ca="1">$O4-SUM($AS4:BN4)</f>
        <v>-30802.16735047759</v>
      </c>
      <c r="AL4" s="442">
        <f ca="1">$O4-SUM($AS4:BO4)</f>
        <v>-30796.560904385005</v>
      </c>
      <c r="AM4" s="442">
        <f ca="1">$O4-SUM($AS4:BP4)</f>
        <v>-30790.028472097845</v>
      </c>
      <c r="AN4" s="442">
        <f ca="1">$O4-SUM($AS4:BQ4)</f>
        <v>-30785.856208219491</v>
      </c>
      <c r="AO4" s="442">
        <f ca="1">$O4-SUM($AS4:BR4)</f>
        <v>-30779.171052236346</v>
      </c>
      <c r="AP4" s="442">
        <f ca="1">$O4-SUM($AS4:BS4)</f>
        <v>-30770.39608883292</v>
      </c>
      <c r="AR4" s="439" t="s">
        <v>1201</v>
      </c>
      <c r="AS4" s="442">
        <v>0</v>
      </c>
      <c r="AT4" s="442">
        <v>0</v>
      </c>
      <c r="AU4" s="442">
        <v>0</v>
      </c>
      <c r="AV4" s="836">
        <v>0</v>
      </c>
      <c r="AW4" s="442">
        <v>0</v>
      </c>
      <c r="AX4" s="442">
        <v>0</v>
      </c>
      <c r="AY4" s="442">
        <v>0</v>
      </c>
      <c r="AZ4" s="442">
        <v>0</v>
      </c>
      <c r="BA4" s="442">
        <v>0</v>
      </c>
      <c r="BB4" s="442">
        <v>0</v>
      </c>
      <c r="BC4" s="442">
        <v>0</v>
      </c>
      <c r="BD4" s="442">
        <v>0</v>
      </c>
      <c r="BE4" s="442">
        <v>0</v>
      </c>
      <c r="BF4" s="442">
        <v>0</v>
      </c>
      <c r="BG4" s="836">
        <f ca="1">$O$5*SUM(AS37:BG71)/SUM($O37:$O71)</f>
        <v>-107.80896589163213</v>
      </c>
      <c r="BH4" s="836">
        <f t="shared" ref="BH4:BS4" ca="1" si="8">$O$5*SUM(BH37:BH71)/SUM($O37:$O71)</f>
        <v>-17.284680911182935</v>
      </c>
      <c r="BI4" s="836">
        <f t="shared" ca="1" si="8"/>
        <v>-30.207725960494287</v>
      </c>
      <c r="BJ4" s="836">
        <f t="shared" ca="1" si="8"/>
        <v>-26.299787248683149</v>
      </c>
      <c r="BK4" s="836">
        <f t="shared" ca="1" si="8"/>
        <v>-16.099941724754768</v>
      </c>
      <c r="BL4" s="836">
        <f t="shared" ca="1" si="8"/>
        <v>-8.5293719777383821</v>
      </c>
      <c r="BM4" s="836">
        <f t="shared" ca="1" si="8"/>
        <v>-13.225384612571281</v>
      </c>
      <c r="BN4" s="836">
        <f t="shared" ca="1" si="8"/>
        <v>-5.620585245351382</v>
      </c>
      <c r="BO4" s="836">
        <f t="shared" ca="1" si="8"/>
        <v>-5.6064460925855748</v>
      </c>
      <c r="BP4" s="836">
        <f t="shared" ca="1" si="8"/>
        <v>-6.5324322871578566</v>
      </c>
      <c r="BQ4" s="836">
        <f t="shared" ca="1" si="8"/>
        <v>-4.1722638783545003</v>
      </c>
      <c r="BR4" s="836">
        <f t="shared" ca="1" si="8"/>
        <v>-6.6851559831475802</v>
      </c>
      <c r="BS4" s="836">
        <f t="shared" ca="1" si="8"/>
        <v>-8.7749634034234543</v>
      </c>
      <c r="BU4" s="820" t="str">
        <f>IF($B4=0,"",INDEX(Assumptions!G:G,$B4))</f>
        <v/>
      </c>
      <c r="BV4" s="820" t="str">
        <f>IF($B4=0,"",INDEX(Assumptions!H:H,$B4))</f>
        <v/>
      </c>
      <c r="BW4" s="820" t="str">
        <f>IF($B4=0,"",INDEX(Assumptions!I:I,$B4))</f>
        <v/>
      </c>
      <c r="BX4" s="820" t="str">
        <f>IF($B4=0,"",INDEX(Assumptions!J:J,$B4))</f>
        <v/>
      </c>
      <c r="BY4" s="820" t="str">
        <f>IF($B4=0,"",INDEX(Assumptions!K:K,$B4))</f>
        <v/>
      </c>
      <c r="BZ4" s="820" t="str">
        <f>IF($B4=0,"",INDEX(Assumptions!L:L,$B4))</f>
        <v/>
      </c>
      <c r="CA4" s="820" t="str">
        <f>IF($B4=0,"",INDEX(Assumptions!M:M,$B4))</f>
        <v/>
      </c>
      <c r="CB4" s="820" t="str">
        <f>IF($B4=0,"",INDEX(Assumptions!N:N,$B4))</f>
        <v/>
      </c>
      <c r="CC4" s="820" t="str">
        <f>IF($B4=0,"",INDEX(Assumptions!O:O,$B4))</f>
        <v/>
      </c>
      <c r="CD4" s="820" t="str">
        <f>IF($B4=0,"",INDEX(Assumptions!P:P,$B4))</f>
        <v/>
      </c>
      <c r="CE4" s="820" t="str">
        <f>IF($B4=0,"",INDEX(Assumptions!Q:Q,$B4))</f>
        <v/>
      </c>
      <c r="CF4" s="820" t="str">
        <f>IF($B4=0,"",INDEX(Assumptions!R:R,$B4))</f>
        <v/>
      </c>
      <c r="CG4" s="820" t="str">
        <f>IF($B4=0,"",INDEX(Assumptions!S:S,$B4))</f>
        <v/>
      </c>
      <c r="CH4" s="820" t="str">
        <f>IF($B4=0,"",INDEX(Assumptions!T:T,$B4))</f>
        <v/>
      </c>
      <c r="CI4" s="820" t="str">
        <f>IF($B4=0,"",INDEX(Assumptions!U:U,$B4))</f>
        <v/>
      </c>
      <c r="CJ4" s="820" t="str">
        <f>IF($B4=0,"",INDEX(Assumptions!V:V,$B4))</f>
        <v/>
      </c>
      <c r="CK4" s="820" t="str">
        <f>IF($B4=0,"",INDEX(Assumptions!W:W,$B4))</f>
        <v/>
      </c>
      <c r="CL4" s="820" t="str">
        <f>IF($B4=0,"",INDEX(Assumptions!X:X,$B4))</f>
        <v/>
      </c>
      <c r="CM4" s="820" t="str">
        <f>IF($B4=0,"",INDEX(Assumptions!Y:Y,$B4))</f>
        <v/>
      </c>
      <c r="CN4" s="820" t="str">
        <f>IF($B4=0,"",INDEX(Assumptions!Z:Z,$B4))</f>
        <v/>
      </c>
      <c r="CO4" s="820" t="str">
        <f>IF($B4=0,"",INDEX(Assumptions!AA:AA,$B4))</f>
        <v/>
      </c>
      <c r="CP4" s="820" t="str">
        <f>IF($B4=0,"",INDEX(Assumptions!AB:AB,$B4))</f>
        <v/>
      </c>
      <c r="CQ4" s="820" t="str">
        <f>IF($B4=0,"",INDEX(Assumptions!AC:AC,$B4))</f>
        <v/>
      </c>
      <c r="CR4" s="820" t="str">
        <f>IF($B4=0,"",INDEX(Assumptions!AD:AD,$B4))</f>
        <v/>
      </c>
      <c r="CS4" s="820" t="str">
        <f>IF($B4=0,"",INDEX(Assumptions!AE:AE,$B4))</f>
        <v/>
      </c>
      <c r="CT4" s="820" t="str">
        <f>IF($B4=0,"",INDEX(Assumptions!AF:AF,$B4))</f>
        <v/>
      </c>
      <c r="CU4" s="820" t="str">
        <f>IF($B4=0,"",INDEX(Assumptions!AG:AG,$B4))</f>
        <v/>
      </c>
      <c r="CX4" s="442">
        <f>IF($A4="","",INDEX('Data Interface'!G:G,$A4))</f>
        <v>-31027.243794049999</v>
      </c>
      <c r="CY4" s="442">
        <f>IF($A4="","",INDEX('Data Interface'!H:H,$A4))</f>
        <v>0</v>
      </c>
      <c r="CZ4" s="442">
        <f>IF($A4="","",INDEX('Data Interface'!I:I,$A4))</f>
        <v>0</v>
      </c>
      <c r="DA4" s="442">
        <f>IF($A4="","",INDEX('Data Interface'!J:J,$A4))</f>
        <v>0</v>
      </c>
      <c r="DB4" s="442">
        <f>IF($A4="","",INDEX('Data Interface'!K:K,$A4))</f>
        <v>0</v>
      </c>
      <c r="DC4" s="442">
        <f>IF($A4="","",INDEX('Data Interface'!L:L,$A4))</f>
        <v>0</v>
      </c>
      <c r="DD4" s="442">
        <f>IF($A4="","",INDEX('Data Interface'!M:M,$A4))</f>
        <v>0</v>
      </c>
      <c r="DE4" s="442">
        <f>IF($A4="","",INDEX('Data Interface'!N:N,$A4))</f>
        <v>0</v>
      </c>
      <c r="DF4" s="442">
        <f>IF($A4="","",INDEX('Data Interface'!O:O,$A4))</f>
        <v>0</v>
      </c>
      <c r="DG4" s="442">
        <f>IF($A4="","",INDEX('Data Interface'!P:P,$A4))</f>
        <v>0</v>
      </c>
      <c r="DH4" s="442">
        <f>IF($A4="","",INDEX('Data Interface'!Q:Q,$A4))</f>
        <v>0</v>
      </c>
      <c r="DI4" s="442">
        <f>IF($A4="","",INDEX('Data Interface'!R:R,$A4))</f>
        <v>0</v>
      </c>
      <c r="DJ4" s="442">
        <f>IF($A4="","",INDEX('Data Interface'!S:S,$A4))</f>
        <v>0</v>
      </c>
      <c r="DK4" s="442">
        <f>IF($A4="","",INDEX('Data Interface'!T:T,$A4))</f>
        <v>0</v>
      </c>
      <c r="DL4" s="442">
        <f>IF($A4="","",INDEX('Data Interface'!U:U,$A4))</f>
        <v>0</v>
      </c>
      <c r="DM4" s="442">
        <f>IF($A4="","",INDEX('Data Interface'!V:V,$A4))</f>
        <v>0</v>
      </c>
      <c r="DN4" s="442">
        <f>IF($A4="","",INDEX('Data Interface'!W:W,$A4))</f>
        <v>0</v>
      </c>
      <c r="DO4" s="442">
        <f>IF($A4="","",INDEX('Data Interface'!X:X,$A4))</f>
        <v>0</v>
      </c>
      <c r="DP4" s="442">
        <f>IF($A4="","",INDEX('Data Interface'!Y:Y,$A4))</f>
        <v>0</v>
      </c>
      <c r="DQ4" s="442">
        <f>IF($A4="","",INDEX('Data Interface'!Z:Z,$A4))</f>
        <v>0</v>
      </c>
      <c r="DR4" s="442">
        <f>IF($A4="","",INDEX('Data Interface'!AA:AA,$A4))</f>
        <v>0</v>
      </c>
      <c r="DS4" s="442">
        <f>IF($A4="","",INDEX('Data Interface'!AB:AB,$A4))</f>
        <v>0</v>
      </c>
      <c r="DT4" s="442">
        <f>IF($A4="","",INDEX('Data Interface'!AC:AC,$A4))</f>
        <v>0</v>
      </c>
      <c r="DU4" s="442">
        <f>IF($A4="","",INDEX('Data Interface'!AD:AD,$A4))</f>
        <v>0</v>
      </c>
      <c r="DV4" s="442">
        <f>IF($A4="","",INDEX('Data Interface'!AE:AE,$A4))</f>
        <v>0</v>
      </c>
      <c r="DW4" s="442">
        <f>IF($A4="","",INDEX('Data Interface'!AF:AF,$A4))</f>
        <v>0</v>
      </c>
      <c r="DX4" s="442">
        <f>IF($A4="","",INDEX('Data Interface'!AG:AG,$A4))</f>
        <v>0</v>
      </c>
      <c r="DZ4" s="906" t="str">
        <f>IF(OR($B4=0,$A4=0,$H4&lt;&gt;1),"",INDEX(Assumptions!EO:EO,$B4))</f>
        <v/>
      </c>
      <c r="EA4" s="906" t="str">
        <f>IF(OR($B4=0,$A4=0,$H4&lt;&gt;1),"",INDEX(Assumptions!EP:EP,$B4))</f>
        <v/>
      </c>
      <c r="EB4" s="906" t="str">
        <f>IF(OR($B4=0,$A4=0,$H4&lt;&gt;1),"",INDEX(Assumptions!EQ:EQ,$B4))</f>
        <v/>
      </c>
      <c r="EC4" s="906" t="str">
        <f>IF(OR($B4=0,$A4=0,$H4&lt;&gt;1),"",INDEX(Assumptions!ER:ER,$B4))</f>
        <v/>
      </c>
      <c r="ED4" s="906" t="str">
        <f>IF(OR($B4=0,$A4=0,$H4&lt;&gt;1),"",INDEX(Assumptions!ES:ES,$B4))</f>
        <v/>
      </c>
      <c r="EE4" s="906" t="str">
        <f>IF(OR($B4=0,$A4=0,$H4&lt;&gt;1),"",INDEX(Assumptions!ET:ET,$B4))</f>
        <v/>
      </c>
      <c r="EF4" s="906" t="str">
        <f>IF(OR($B4=0,$A4=0,$H4&lt;&gt;1),"",INDEX(Assumptions!EU:EU,$B4))</f>
        <v/>
      </c>
      <c r="EG4" s="906" t="str">
        <f>IF(OR($B4=0,$A4=0,$H4&lt;&gt;1),"",INDEX(Assumptions!EV:EV,$B4))</f>
        <v/>
      </c>
      <c r="EH4" s="906" t="str">
        <f>IF(OR($B4=0,$A4=0,$H4&lt;&gt;1),"",INDEX(Assumptions!EW:EW,$B4))</f>
        <v/>
      </c>
      <c r="EI4" s="906" t="str">
        <f>IF(OR($B4=0,$A4=0,$H4&lt;&gt;1),"",INDEX(Assumptions!EX:EX,$B4))</f>
        <v/>
      </c>
      <c r="EJ4" s="906" t="str">
        <f>IF(OR($B4=0,$A4=0,$H4&lt;&gt;1),"",INDEX(Assumptions!EY:EY,$B4))</f>
        <v/>
      </c>
      <c r="EK4" s="906" t="str">
        <f>IF(OR($B4=0,$A4=0,$H4&lt;&gt;1),"",INDEX(Assumptions!EZ:EZ,$B4))</f>
        <v/>
      </c>
      <c r="EL4" s="906" t="str">
        <f>IF(OR($B4=0,$A4=0,$H4&lt;&gt;1),"",INDEX(Assumptions!FA:FA,$B4))</f>
        <v/>
      </c>
      <c r="EM4" s="906" t="str">
        <f>IF(OR($B4=0,$A4=0,$H4&lt;&gt;1),"",INDEX(Assumptions!FB:FB,$B4))</f>
        <v/>
      </c>
      <c r="EN4" s="906" t="str">
        <f>IF(OR($B4=0,$A4=0,$H4&lt;&gt;1),"",INDEX(Assumptions!FC:FC,$B4))</f>
        <v/>
      </c>
      <c r="EO4" s="906" t="str">
        <f>IF(OR($B4=0,$A4=0,$H4&lt;&gt;1),"",INDEX(Assumptions!FD:FD,$B4))</f>
        <v/>
      </c>
      <c r="EP4" s="906" t="str">
        <f>IF(OR($B4=0,$A4=0,$H4&lt;&gt;1),"",INDEX(Assumptions!FE:FE,$B4))</f>
        <v/>
      </c>
      <c r="EQ4" s="906" t="str">
        <f>IF(OR($B4=0,$A4=0,$H4&lt;&gt;1),"",INDEX(Assumptions!FF:FF,$B4))</f>
        <v/>
      </c>
      <c r="ER4" s="906" t="str">
        <f>IF(OR($B4=0,$A4=0,$H4&lt;&gt;1),"",INDEX(Assumptions!FG:FG,$B4))</f>
        <v/>
      </c>
      <c r="ES4" s="906" t="str">
        <f>IF(OR($B4=0,$A4=0,$H4&lt;&gt;1),"",INDEX(Assumptions!FH:FH,$B4))</f>
        <v/>
      </c>
      <c r="ET4" s="906" t="str">
        <f>IF(OR($B4=0,$A4=0,$H4&lt;&gt;1),"",INDEX(Assumptions!FI:FI,$B4))</f>
        <v/>
      </c>
      <c r="EU4" s="906" t="str">
        <f>IF(OR($B4=0,$A4=0,$H4&lt;&gt;1),"",INDEX(Assumptions!FJ:FJ,$B4))</f>
        <v/>
      </c>
      <c r="EV4" s="906" t="str">
        <f>IF(OR($B4=0,$A4=0,$H4&lt;&gt;1),"",INDEX(Assumptions!FK:FK,$B4))</f>
        <v/>
      </c>
      <c r="EW4" s="906" t="str">
        <f>IF(OR($B4=0,$A4=0,$H4&lt;&gt;1),"",INDEX(Assumptions!FL:FL,$B4))</f>
        <v/>
      </c>
      <c r="EX4" s="906" t="str">
        <f>IF(OR($B4=0,$A4=0,$H4&lt;&gt;1),"",INDEX(Assumptions!FM:FM,$B4))</f>
        <v/>
      </c>
      <c r="EY4" s="906" t="str">
        <f>IF(OR($B4=0,$A4=0,$H4&lt;&gt;1),"",INDEX(Assumptions!FN:FN,$B4))</f>
        <v/>
      </c>
      <c r="EZ4" s="906" t="str">
        <f>IF(OR($B4=0,$A4=0,$H4&lt;&gt;1),"",INDEX(Assumptions!FO:FO,$B4))</f>
        <v/>
      </c>
    </row>
    <row r="5" spans="1:162">
      <c r="A5" s="440">
        <f>IFERROR(MATCH(C5,'Data Interface'!B:B,0),0)</f>
        <v>3</v>
      </c>
      <c r="B5" s="440">
        <f>IFERROR(MATCH(C5,Assumptions!$B:$B,0),0)</f>
        <v>0</v>
      </c>
      <c r="C5" s="441">
        <v>2.1</v>
      </c>
      <c r="E5" s="441" t="s">
        <v>1218</v>
      </c>
      <c r="F5" s="440" t="s">
        <v>1028</v>
      </c>
      <c r="G5" s="440" t="str">
        <f>IF(A5=0,"",INDEX('Data Interface'!$C:$C,$A5))</f>
        <v>FRB Reserve</v>
      </c>
      <c r="H5" s="440" t="s">
        <v>1030</v>
      </c>
      <c r="K5" s="440" t="s">
        <v>1272</v>
      </c>
      <c r="L5" s="440" t="s">
        <v>1147</v>
      </c>
      <c r="M5" s="440" t="s">
        <v>1493</v>
      </c>
      <c r="O5" s="442">
        <f>IF(OR($A5="",$A5=0),0,INDEX('Data Interface'!D:D,$A5))</f>
        <v>-424.33800000000002</v>
      </c>
      <c r="P5" s="442">
        <f>$O5-SUM($AS5:AS5)</f>
        <v>-424.33800000000002</v>
      </c>
      <c r="Q5" s="442">
        <f>$O5-SUM($AS5:AT5)</f>
        <v>-424.33800000000002</v>
      </c>
      <c r="R5" s="442">
        <f>$O5-SUM($AS5:AU5)</f>
        <v>-424.33800000000002</v>
      </c>
      <c r="S5" s="442">
        <f>$O5-SUM($AS5:AV5)</f>
        <v>-424.33800000000002</v>
      </c>
      <c r="T5" s="442">
        <f>$O5-SUM($AS5:AW5)</f>
        <v>-424.33800000000002</v>
      </c>
      <c r="U5" s="442">
        <f>$O5-SUM($AS5:AX5)</f>
        <v>-424.33800000000002</v>
      </c>
      <c r="V5" s="442">
        <f>$O5-SUM($AS5:AY5)</f>
        <v>-424.33800000000002</v>
      </c>
      <c r="W5" s="442">
        <f>$O5-SUM($AS5:AZ5)</f>
        <v>-424.33800000000002</v>
      </c>
      <c r="X5" s="442">
        <f>$O5-SUM($AS5:BA5)</f>
        <v>-424.33800000000002</v>
      </c>
      <c r="Y5" s="442">
        <f>$O5-SUM($AS5:BB5)</f>
        <v>-424.33800000000002</v>
      </c>
      <c r="Z5" s="442">
        <f>$O5-SUM($AS5:BC5)</f>
        <v>-424.33800000000002</v>
      </c>
      <c r="AA5" s="442">
        <f>$O5-SUM($AS5:BD5)</f>
        <v>-424.33800000000002</v>
      </c>
      <c r="AB5" s="442">
        <f>$O5-SUM($AS5:BE5)</f>
        <v>-424.33800000000002</v>
      </c>
      <c r="AC5" s="442">
        <f>$O5-SUM($AS5:BF5)</f>
        <v>-424.33800000000002</v>
      </c>
      <c r="AD5" s="442">
        <f ca="1">$O5-SUM($AS5:BG5)</f>
        <v>-318.39413710691781</v>
      </c>
      <c r="AE5" s="442">
        <f ca="1">$O5-SUM($AS5:BH5)</f>
        <v>-301.40848244025739</v>
      </c>
      <c r="AF5" s="442">
        <f ca="1">$O5-SUM($AS5:BI5)</f>
        <v>-271.72335234924697</v>
      </c>
      <c r="AG5" s="442">
        <f ca="1">$O5-SUM($AS5:BJ5)</f>
        <v>-245.87855334438066</v>
      </c>
      <c r="AH5" s="442">
        <f ca="1">$O5-SUM($AS5:BK5)</f>
        <v>-230.05714178953312</v>
      </c>
      <c r="AI5" s="442">
        <f ca="1">$O5-SUM($AS5:BL5)</f>
        <v>-221.67532857112295</v>
      </c>
      <c r="AJ5" s="442">
        <f ca="1">$O5-SUM($AS5:BM5)</f>
        <v>-208.67874408008032</v>
      </c>
      <c r="AK5" s="442">
        <f ca="1">$O5-SUM($AS5:BN5)</f>
        <v>-203.1553953707444</v>
      </c>
      <c r="AL5" s="442">
        <f ca="1">$O5-SUM($AS5:BO5)</f>
        <v>-197.64594120579684</v>
      </c>
      <c r="AM5" s="442">
        <f ca="1">$O5-SUM($AS5:BP5)</f>
        <v>-191.22652047519961</v>
      </c>
      <c r="AN5" s="442">
        <f ca="1">$O5-SUM($AS5:BQ5)</f>
        <v>-187.12643706723458</v>
      </c>
      <c r="AO5" s="442">
        <f ca="1">$O5-SUM($AS5:BR5)</f>
        <v>-180.55693477176337</v>
      </c>
      <c r="AP5" s="442">
        <f ca="1">$O5-SUM($AS5:BS5)</f>
        <v>-171.93377887730296</v>
      </c>
      <c r="AR5" s="439" t="s">
        <v>1201</v>
      </c>
      <c r="AS5" s="442">
        <v>0</v>
      </c>
      <c r="AT5" s="442">
        <v>0</v>
      </c>
      <c r="AU5" s="442">
        <v>0</v>
      </c>
      <c r="AV5" s="836">
        <v>0</v>
      </c>
      <c r="AW5" s="442">
        <v>0</v>
      </c>
      <c r="AX5" s="442">
        <v>0</v>
      </c>
      <c r="AY5" s="442">
        <v>0</v>
      </c>
      <c r="AZ5" s="442">
        <v>0</v>
      </c>
      <c r="BA5" s="442">
        <v>0</v>
      </c>
      <c r="BB5" s="442">
        <v>0</v>
      </c>
      <c r="BC5" s="442">
        <v>0</v>
      </c>
      <c r="BD5" s="442">
        <v>0</v>
      </c>
      <c r="BE5" s="442">
        <v>0</v>
      </c>
      <c r="BF5" s="442">
        <v>0</v>
      </c>
      <c r="BG5" s="836">
        <f ca="1">$O$5*SUM(AS38:BG72)/SUM($O38:$O72)</f>
        <v>-105.94386289308218</v>
      </c>
      <c r="BH5" s="836">
        <f t="shared" ref="BH5:BS5" ca="1" si="9">$O$5*SUM(BH38:BH72)/SUM($O38:$O72)</f>
        <v>-16.985654666660459</v>
      </c>
      <c r="BI5" s="836">
        <f t="shared" ca="1" si="9"/>
        <v>-29.685130091010425</v>
      </c>
      <c r="BJ5" s="836">
        <f t="shared" ca="1" si="9"/>
        <v>-25.844799004866296</v>
      </c>
      <c r="BK5" s="836">
        <f t="shared" ca="1" si="9"/>
        <v>-15.821411554847534</v>
      </c>
      <c r="BL5" s="836">
        <f t="shared" ca="1" si="9"/>
        <v>-8.3818132184101604</v>
      </c>
      <c r="BM5" s="836">
        <f t="shared" ca="1" si="9"/>
        <v>-12.996584491042634</v>
      </c>
      <c r="BN5" s="836">
        <f t="shared" ca="1" si="9"/>
        <v>-5.5233487093359281</v>
      </c>
      <c r="BO5" s="836">
        <f t="shared" ca="1" si="9"/>
        <v>-5.509454164947563</v>
      </c>
      <c r="BP5" s="836">
        <f t="shared" ca="1" si="9"/>
        <v>-6.4194207305972508</v>
      </c>
      <c r="BQ5" s="836">
        <f t="shared" ca="1" si="9"/>
        <v>-4.1000834079650277</v>
      </c>
      <c r="BR5" s="836">
        <f t="shared" ca="1" si="9"/>
        <v>-6.5695022954712146</v>
      </c>
      <c r="BS5" s="836">
        <f t="shared" ca="1" si="9"/>
        <v>-8.6231558944604032</v>
      </c>
      <c r="BU5" s="820" t="str">
        <f>IF($B5=0,"",INDEX(Assumptions!G:G,$B5))</f>
        <v/>
      </c>
      <c r="BV5" s="820" t="str">
        <f>IF($B5=0,"",INDEX(Assumptions!H:H,$B5))</f>
        <v/>
      </c>
      <c r="BW5" s="820" t="str">
        <f>IF($B5=0,"",INDEX(Assumptions!I:I,$B5))</f>
        <v/>
      </c>
      <c r="BX5" s="820" t="str">
        <f>IF($B5=0,"",INDEX(Assumptions!J:J,$B5))</f>
        <v/>
      </c>
      <c r="BY5" s="820" t="str">
        <f>IF($B5=0,"",INDEX(Assumptions!K:K,$B5))</f>
        <v/>
      </c>
      <c r="BZ5" s="820" t="str">
        <f>IF($B5=0,"",INDEX(Assumptions!L:L,$B5))</f>
        <v/>
      </c>
      <c r="CA5" s="820" t="str">
        <f>IF($B5=0,"",INDEX(Assumptions!M:M,$B5))</f>
        <v/>
      </c>
      <c r="CB5" s="820" t="str">
        <f>IF($B5=0,"",INDEX(Assumptions!N:N,$B5))</f>
        <v/>
      </c>
      <c r="CC5" s="820" t="str">
        <f>IF($B5=0,"",INDEX(Assumptions!O:O,$B5))</f>
        <v/>
      </c>
      <c r="CD5" s="820" t="str">
        <f>IF($B5=0,"",INDEX(Assumptions!P:P,$B5))</f>
        <v/>
      </c>
      <c r="CE5" s="820" t="str">
        <f>IF($B5=0,"",INDEX(Assumptions!Q:Q,$B5))</f>
        <v/>
      </c>
      <c r="CF5" s="820" t="str">
        <f>IF($B5=0,"",INDEX(Assumptions!R:R,$B5))</f>
        <v/>
      </c>
      <c r="CG5" s="820" t="str">
        <f>IF($B5=0,"",INDEX(Assumptions!S:S,$B5))</f>
        <v/>
      </c>
      <c r="CH5" s="820" t="str">
        <f>IF($B5=0,"",INDEX(Assumptions!T:T,$B5))</f>
        <v/>
      </c>
      <c r="CI5" s="820" t="str">
        <f>IF($B5=0,"",INDEX(Assumptions!U:U,$B5))</f>
        <v/>
      </c>
      <c r="CJ5" s="820" t="str">
        <f>IF($B5=0,"",INDEX(Assumptions!V:V,$B5))</f>
        <v/>
      </c>
      <c r="CK5" s="820" t="str">
        <f>IF($B5=0,"",INDEX(Assumptions!W:W,$B5))</f>
        <v/>
      </c>
      <c r="CL5" s="820" t="str">
        <f>IF($B5=0,"",INDEX(Assumptions!X:X,$B5))</f>
        <v/>
      </c>
      <c r="CM5" s="820" t="str">
        <f>IF($B5=0,"",INDEX(Assumptions!Y:Y,$B5))</f>
        <v/>
      </c>
      <c r="CN5" s="820" t="str">
        <f>IF($B5=0,"",INDEX(Assumptions!Z:Z,$B5))</f>
        <v/>
      </c>
      <c r="CO5" s="820" t="str">
        <f>IF($B5=0,"",INDEX(Assumptions!AA:AA,$B5))</f>
        <v/>
      </c>
      <c r="CP5" s="820" t="str">
        <f>IF($B5=0,"",INDEX(Assumptions!AB:AB,$B5))</f>
        <v/>
      </c>
      <c r="CQ5" s="820" t="str">
        <f>IF($B5=0,"",INDEX(Assumptions!AC:AC,$B5))</f>
        <v/>
      </c>
      <c r="CR5" s="820" t="str">
        <f>IF($B5=0,"",INDEX(Assumptions!AD:AD,$B5))</f>
        <v/>
      </c>
      <c r="CS5" s="820" t="str">
        <f>IF($B5=0,"",INDEX(Assumptions!AE:AE,$B5))</f>
        <v/>
      </c>
      <c r="CT5" s="820" t="str">
        <f>IF($B5=0,"",INDEX(Assumptions!AF:AF,$B5))</f>
        <v/>
      </c>
      <c r="CU5" s="820" t="str">
        <f>IF($B5=0,"",INDEX(Assumptions!AG:AG,$B5))</f>
        <v/>
      </c>
      <c r="CX5" s="442">
        <f>IF($A5="","",INDEX('Data Interface'!G:G,$A5))</f>
        <v>-424.33800000000002</v>
      </c>
      <c r="CY5" s="442">
        <f>IF($A5="","",INDEX('Data Interface'!H:H,$A5))</f>
        <v>0</v>
      </c>
      <c r="CZ5" s="442">
        <f>IF($A5="","",INDEX('Data Interface'!I:I,$A5))</f>
        <v>0</v>
      </c>
      <c r="DA5" s="442">
        <f>IF($A5="","",INDEX('Data Interface'!J:J,$A5))</f>
        <v>0</v>
      </c>
      <c r="DB5" s="442">
        <f>IF($A5="","",INDEX('Data Interface'!K:K,$A5))</f>
        <v>0</v>
      </c>
      <c r="DC5" s="442">
        <f>IF($A5="","",INDEX('Data Interface'!L:L,$A5))</f>
        <v>0</v>
      </c>
      <c r="DD5" s="442">
        <f>IF($A5="","",INDEX('Data Interface'!M:M,$A5))</f>
        <v>0</v>
      </c>
      <c r="DE5" s="442">
        <f>IF($A5="","",INDEX('Data Interface'!N:N,$A5))</f>
        <v>0</v>
      </c>
      <c r="DF5" s="442">
        <f>IF($A5="","",INDEX('Data Interface'!O:O,$A5))</f>
        <v>0</v>
      </c>
      <c r="DG5" s="442">
        <f>IF($A5="","",INDEX('Data Interface'!P:P,$A5))</f>
        <v>0</v>
      </c>
      <c r="DH5" s="442">
        <f>IF($A5="","",INDEX('Data Interface'!Q:Q,$A5))</f>
        <v>0</v>
      </c>
      <c r="DI5" s="442">
        <f>IF($A5="","",INDEX('Data Interface'!R:R,$A5))</f>
        <v>0</v>
      </c>
      <c r="DJ5" s="442">
        <f>IF($A5="","",INDEX('Data Interface'!S:S,$A5))</f>
        <v>0</v>
      </c>
      <c r="DK5" s="442">
        <f>IF($A5="","",INDEX('Data Interface'!T:T,$A5))</f>
        <v>0</v>
      </c>
      <c r="DL5" s="442">
        <f>IF($A5="","",INDEX('Data Interface'!U:U,$A5))</f>
        <v>0</v>
      </c>
      <c r="DM5" s="442">
        <f>IF($A5="","",INDEX('Data Interface'!V:V,$A5))</f>
        <v>0</v>
      </c>
      <c r="DN5" s="442">
        <f>IF($A5="","",INDEX('Data Interface'!W:W,$A5))</f>
        <v>0</v>
      </c>
      <c r="DO5" s="442">
        <f>IF($A5="","",INDEX('Data Interface'!X:X,$A5))</f>
        <v>0</v>
      </c>
      <c r="DP5" s="442">
        <f>IF($A5="","",INDEX('Data Interface'!Y:Y,$A5))</f>
        <v>0</v>
      </c>
      <c r="DQ5" s="442">
        <f>IF($A5="","",INDEX('Data Interface'!Z:Z,$A5))</f>
        <v>0</v>
      </c>
      <c r="DR5" s="442">
        <f>IF($A5="","",INDEX('Data Interface'!AA:AA,$A5))</f>
        <v>0</v>
      </c>
      <c r="DS5" s="442">
        <f>IF($A5="","",INDEX('Data Interface'!AB:AB,$A5))</f>
        <v>0</v>
      </c>
      <c r="DT5" s="442">
        <f>IF($A5="","",INDEX('Data Interface'!AC:AC,$A5))</f>
        <v>0</v>
      </c>
      <c r="DU5" s="442">
        <f>IF($A5="","",INDEX('Data Interface'!AD:AD,$A5))</f>
        <v>0</v>
      </c>
      <c r="DV5" s="442">
        <f>IF($A5="","",INDEX('Data Interface'!AE:AE,$A5))</f>
        <v>0</v>
      </c>
      <c r="DW5" s="442">
        <f>IF($A5="","",INDEX('Data Interface'!AF:AF,$A5))</f>
        <v>0</v>
      </c>
      <c r="DX5" s="442">
        <f>IF($A5="","",INDEX('Data Interface'!AG:AG,$A5))</f>
        <v>0</v>
      </c>
      <c r="DZ5" s="906" t="str">
        <f>IF(OR($B5=0,$A5=0,$H5&lt;&gt;1),"",INDEX(Assumptions!EO:EO,$B5))</f>
        <v/>
      </c>
      <c r="EA5" s="906" t="str">
        <f>IF(OR($B5=0,$A5=0,$H5&lt;&gt;1),"",INDEX(Assumptions!EP:EP,$B5))</f>
        <v/>
      </c>
      <c r="EB5" s="906" t="str">
        <f>IF(OR($B5=0,$A5=0,$H5&lt;&gt;1),"",INDEX(Assumptions!EQ:EQ,$B5))</f>
        <v/>
      </c>
      <c r="EC5" s="906" t="str">
        <f>IF(OR($B5=0,$A5=0,$H5&lt;&gt;1),"",INDEX(Assumptions!ER:ER,$B5))</f>
        <v/>
      </c>
      <c r="ED5" s="906" t="str">
        <f>IF(OR($B5=0,$A5=0,$H5&lt;&gt;1),"",INDEX(Assumptions!ES:ES,$B5))</f>
        <v/>
      </c>
      <c r="EE5" s="906" t="str">
        <f>IF(OR($B5=0,$A5=0,$H5&lt;&gt;1),"",INDEX(Assumptions!ET:ET,$B5))</f>
        <v/>
      </c>
      <c r="EF5" s="906" t="str">
        <f>IF(OR($B5=0,$A5=0,$H5&lt;&gt;1),"",INDEX(Assumptions!EU:EU,$B5))</f>
        <v/>
      </c>
      <c r="EG5" s="906" t="str">
        <f>IF(OR($B5=0,$A5=0,$H5&lt;&gt;1),"",INDEX(Assumptions!EV:EV,$B5))</f>
        <v/>
      </c>
      <c r="EH5" s="906" t="str">
        <f>IF(OR($B5=0,$A5=0,$H5&lt;&gt;1),"",INDEX(Assumptions!EW:EW,$B5))</f>
        <v/>
      </c>
      <c r="EI5" s="906" t="str">
        <f>IF(OR($B5=0,$A5=0,$H5&lt;&gt;1),"",INDEX(Assumptions!EX:EX,$B5))</f>
        <v/>
      </c>
      <c r="EJ5" s="906" t="str">
        <f>IF(OR($B5=0,$A5=0,$H5&lt;&gt;1),"",INDEX(Assumptions!EY:EY,$B5))</f>
        <v/>
      </c>
      <c r="EK5" s="906" t="str">
        <f>IF(OR($B5=0,$A5=0,$H5&lt;&gt;1),"",INDEX(Assumptions!EZ:EZ,$B5))</f>
        <v/>
      </c>
      <c r="EL5" s="906" t="str">
        <f>IF(OR($B5=0,$A5=0,$H5&lt;&gt;1),"",INDEX(Assumptions!FA:FA,$B5))</f>
        <v/>
      </c>
      <c r="EM5" s="906" t="str">
        <f>IF(OR($B5=0,$A5=0,$H5&lt;&gt;1),"",INDEX(Assumptions!FB:FB,$B5))</f>
        <v/>
      </c>
      <c r="EN5" s="906" t="str">
        <f>IF(OR($B5=0,$A5=0,$H5&lt;&gt;1),"",INDEX(Assumptions!FC:FC,$B5))</f>
        <v/>
      </c>
      <c r="EO5" s="906" t="str">
        <f>IF(OR($B5=0,$A5=0,$H5&lt;&gt;1),"",INDEX(Assumptions!FD:FD,$B5))</f>
        <v/>
      </c>
      <c r="EP5" s="906" t="str">
        <f>IF(OR($B5=0,$A5=0,$H5&lt;&gt;1),"",INDEX(Assumptions!FE:FE,$B5))</f>
        <v/>
      </c>
      <c r="EQ5" s="906" t="str">
        <f>IF(OR($B5=0,$A5=0,$H5&lt;&gt;1),"",INDEX(Assumptions!FF:FF,$B5))</f>
        <v/>
      </c>
      <c r="ER5" s="906" t="str">
        <f>IF(OR($B5=0,$A5=0,$H5&lt;&gt;1),"",INDEX(Assumptions!FG:FG,$B5))</f>
        <v/>
      </c>
      <c r="ES5" s="906" t="str">
        <f>IF(OR($B5=0,$A5=0,$H5&lt;&gt;1),"",INDEX(Assumptions!FH:FH,$B5))</f>
        <v/>
      </c>
      <c r="ET5" s="906" t="str">
        <f>IF(OR($B5=0,$A5=0,$H5&lt;&gt;1),"",INDEX(Assumptions!FI:FI,$B5))</f>
        <v/>
      </c>
      <c r="EU5" s="906" t="str">
        <f>IF(OR($B5=0,$A5=0,$H5&lt;&gt;1),"",INDEX(Assumptions!FJ:FJ,$B5))</f>
        <v/>
      </c>
      <c r="EV5" s="906" t="str">
        <f>IF(OR($B5=0,$A5=0,$H5&lt;&gt;1),"",INDEX(Assumptions!FK:FK,$B5))</f>
        <v/>
      </c>
      <c r="EW5" s="906" t="str">
        <f>IF(OR($B5=0,$A5=0,$H5&lt;&gt;1),"",INDEX(Assumptions!FL:FL,$B5))</f>
        <v/>
      </c>
      <c r="EX5" s="906" t="str">
        <f>IF(OR($B5=0,$A5=0,$H5&lt;&gt;1),"",INDEX(Assumptions!FM:FM,$B5))</f>
        <v/>
      </c>
      <c r="EY5" s="906" t="str">
        <f>IF(OR($B5=0,$A5=0,$H5&lt;&gt;1),"",INDEX(Assumptions!FN:FN,$B5))</f>
        <v/>
      </c>
      <c r="EZ5" s="906" t="str">
        <f>IF(OR($B5=0,$A5=0,$H5&lt;&gt;1),"",INDEX(Assumptions!FO:FO,$B5))</f>
        <v/>
      </c>
    </row>
    <row r="6" spans="1:162">
      <c r="B6" s="440">
        <f>IFERROR(MATCH(C6,Assumptions!$B:$B,0),0)</f>
        <v>0</v>
      </c>
      <c r="E6" s="441" t="s">
        <v>1218</v>
      </c>
      <c r="F6" s="440" t="s">
        <v>19</v>
      </c>
      <c r="G6" s="440" t="s">
        <v>1474</v>
      </c>
      <c r="I6" s="819">
        <f t="shared" ref="I6:I37" si="10">IF(H6=1,CH6,IF(H6=0,SUM(BU6:CH6),""))</f>
        <v>0</v>
      </c>
      <c r="J6" s="819">
        <f t="shared" ref="J6:J37" si="11">IF(H6=1,CJ6,IF(H6=0,SUM(BU6:CJ6),""))</f>
        <v>0</v>
      </c>
      <c r="K6" s="439" t="str">
        <f t="shared" ref="K6:K37" si="12">IF(H6=1,ROUND(I6*100,1)&amp;"% of Contractual Maturity",IF(H6="","No Run-off",ROUND(I6*100,1)&amp;"% of Current Balance"))</f>
        <v>No Run-off</v>
      </c>
      <c r="L6" s="439" t="s">
        <v>1146</v>
      </c>
      <c r="M6" s="439" t="s">
        <v>1473</v>
      </c>
      <c r="O6" s="442">
        <f>IF('Para Adj'!$B$3&gt;0,-VLOOKUP('Model Report Formatized'!$E$1,'Para Adj'!$E:$F,2,FALSE),-VLOOKUP('Model Report Formatized'!$E$1,'Para Adj'!$E:$G,3,FALSE))</f>
        <v>-2392.1670538331068</v>
      </c>
      <c r="P6" s="442">
        <f>$O6-SUM($AS6:AS6)</f>
        <v>-2392.1670538331068</v>
      </c>
      <c r="Q6" s="442">
        <f>$O6-SUM($AS6:AT6)</f>
        <v>-2392.1670538331068</v>
      </c>
      <c r="R6" s="442">
        <f>$O6-SUM($AS6:AU6)</f>
        <v>-2392.1670538331068</v>
      </c>
      <c r="S6" s="442">
        <f>$O6-SUM($AS6:AV6)</f>
        <v>-2392.1670538331068</v>
      </c>
      <c r="T6" s="442">
        <f>$O6-SUM($AS6:AW6)</f>
        <v>-2392.1670538331068</v>
      </c>
      <c r="U6" s="442">
        <f>$O6-SUM($AS6:AX6)</f>
        <v>-2392.1670538331068</v>
      </c>
      <c r="V6" s="442">
        <f>$O6-SUM($AS6:AY6)</f>
        <v>-2392.1670538331068</v>
      </c>
      <c r="W6" s="442">
        <f>$O6-SUM($AS6:AZ6)</f>
        <v>-2392.1670538331068</v>
      </c>
      <c r="X6" s="442">
        <f>$O6-SUM($AS6:BA6)</f>
        <v>-2392.1670538331068</v>
      </c>
      <c r="Y6" s="442">
        <f>$O6-SUM($AS6:BB6)</f>
        <v>-2392.1670538331068</v>
      </c>
      <c r="Z6" s="442">
        <f>$O6-SUM($AS6:BC6)</f>
        <v>-2392.1670538331068</v>
      </c>
      <c r="AA6" s="442">
        <f>$O6-SUM($AS6:BD6)</f>
        <v>-2392.1670538331068</v>
      </c>
      <c r="AB6" s="442">
        <f>$O6-SUM($AS6:BE6)</f>
        <v>-2392.1670538331068</v>
      </c>
      <c r="AC6" s="442">
        <f>$O6-SUM($AS6:BF6)</f>
        <v>-2392.1670538331068</v>
      </c>
      <c r="AD6" s="442">
        <f>$O6-SUM($AS6:BG6)</f>
        <v>-2392.1670538331068</v>
      </c>
      <c r="AE6" s="442">
        <f>$O6-SUM($AS6:BH6)</f>
        <v>-2392.1670538331068</v>
      </c>
      <c r="AF6" s="442">
        <f>$O6-SUM($AS6:BI6)</f>
        <v>-2392.1670538331068</v>
      </c>
      <c r="AG6" s="442">
        <f>$O6-SUM($AS6:BJ6)</f>
        <v>-2392.1670538331068</v>
      </c>
      <c r="AH6" s="442">
        <f>$O6-SUM($AS6:BK6)</f>
        <v>-2392.1670538331068</v>
      </c>
      <c r="AI6" s="442">
        <f>$O6-SUM($AS6:BL6)</f>
        <v>-2392.1670538331068</v>
      </c>
      <c r="AJ6" s="442">
        <f>$O6-SUM($AS6:BM6)</f>
        <v>-2392.1670538331068</v>
      </c>
      <c r="AK6" s="442">
        <f>$O6-SUM($AS6:BN6)</f>
        <v>-2392.1670538331068</v>
      </c>
      <c r="AL6" s="442">
        <f>$O6-SUM($AS6:BO6)</f>
        <v>-2392.1670538331068</v>
      </c>
      <c r="AM6" s="442">
        <f>$O6-SUM($AS6:BP6)</f>
        <v>-2392.1670538331068</v>
      </c>
      <c r="AN6" s="442">
        <f>$O6-SUM($AS6:BQ6)</f>
        <v>-2392.1670538331068</v>
      </c>
      <c r="AO6" s="442">
        <f>$O6-SUM($AS6:BR6)</f>
        <v>-2392.1670538331068</v>
      </c>
      <c r="AP6" s="442">
        <f>$O6-SUM($AS6:BS6)</f>
        <v>-2392.1670538331068</v>
      </c>
      <c r="AR6" s="439" t="s">
        <v>1201</v>
      </c>
      <c r="AS6" s="820">
        <f>IF($H6="",0,IF($H6=1,IF('Para Adj'!$B$5 = 1,O6-($O6-SUMPRODUCT($CX6:CX6,$BU6:BU6))*(1-SUM($DZ6:DZ6)),BU6*CX6),$O6*BU6))</f>
        <v>0</v>
      </c>
      <c r="AT6" s="820">
        <f>IF($H6="",0,IF($H6=1,IF('Para Adj'!$B$5 = 1,P6-($O6-SUMPRODUCT($CX6:CY6,$BU6:BV6))*(1-SUM($DZ6:EA6)),BV6*CY6),$O6*BV6))</f>
        <v>0</v>
      </c>
      <c r="AU6" s="820">
        <f>IF($H6="",0,IF($H6=1,IF('Para Adj'!$B$5 = 1,Q6-($O6-SUMPRODUCT($CX6:CZ6,$BU6:BW6))*(1-SUM($DZ6:EB6)),BW6*CZ6),$O6*BW6))</f>
        <v>0</v>
      </c>
      <c r="AV6" s="820">
        <f>IF($H6="",0,IF($H6=1,IF('Para Adj'!$B$5 = 1,R6-($O6-SUMPRODUCT($CX6:DA6,$BU6:BX6))*(1-SUM($DZ6:EC6)),BX6*DA6),$O6*BX6))</f>
        <v>0</v>
      </c>
      <c r="AW6" s="820">
        <f>IF($H6="",0,IF($H6=1,IF('Para Adj'!$B$5 = 1,S6-($O6-SUMPRODUCT($CX6:DB6,$BU6:BY6))*(1-SUM($DZ6:ED6)),BY6*DB6),$O6*BY6))</f>
        <v>0</v>
      </c>
      <c r="AX6" s="820">
        <f>IF($H6="",0,IF($H6=1,IF('Para Adj'!$B$5 = 1,T6-($O6-SUMPRODUCT($CX6:DC6,$BU6:BZ6))*(1-SUM($DZ6:EE6)),BZ6*DC6),$O6*BZ6))</f>
        <v>0</v>
      </c>
      <c r="AY6" s="820">
        <f>IF($H6="",0,IF($H6=1,IF('Para Adj'!$B$5 = 1,U6-($O6-SUMPRODUCT($CX6:DD6,$BU6:CA6))*(1-SUM($DZ6:EF6)),CA6*DD6),$O6*CA6))</f>
        <v>0</v>
      </c>
      <c r="AZ6" s="820">
        <f>IF($H6="",0,IF($H6=1,IF('Para Adj'!$B$5 = 1,V6-($O6-SUMPRODUCT($CX6:DE6,$BU6:CB6))*(1-SUM($DZ6:EG6)),CB6*DE6),$O6*CB6))</f>
        <v>0</v>
      </c>
      <c r="BA6" s="820">
        <f>IF($H6="",0,IF($H6=1,IF('Para Adj'!$B$5 = 1,W6-($O6-SUMPRODUCT($CX6:DF6,$BU6:CC6))*(1-SUM($DZ6:EH6)),CC6*DF6),$O6*CC6))</f>
        <v>0</v>
      </c>
      <c r="BB6" s="820">
        <f>IF($H6="",0,IF($H6=1,IF('Para Adj'!$B$5 = 1,X6-($O6-SUMPRODUCT($CX6:DG6,$BU6:CD6))*(1-SUM($DZ6:EI6)),CD6*DG6),$O6*CD6))</f>
        <v>0</v>
      </c>
      <c r="BC6" s="820">
        <f>IF($H6="",0,IF($H6=1,IF('Para Adj'!$B$5 = 1,Y6-($O6-SUMPRODUCT($CX6:DH6,$BU6:CE6))*(1-SUM($DZ6:EJ6)),CE6*DH6),$O6*CE6))</f>
        <v>0</v>
      </c>
      <c r="BD6" s="820">
        <f>IF($H6="",0,IF($H6=1,IF('Para Adj'!$B$5 = 1,Z6-($O6-SUMPRODUCT($CX6:DI6,$BU6:CF6))*(1-SUM($DZ6:EK6)),CF6*DI6),$O6*CF6))</f>
        <v>0</v>
      </c>
      <c r="BE6" s="820">
        <f>IF($H6="",0,IF($H6=1,IF('Para Adj'!$B$5 = 1,AA6-($O6-SUMPRODUCT($CX6:DJ6,$BU6:CG6))*(1-SUM($DZ6:EL6)),CG6*DJ6),$O6*CG6))</f>
        <v>0</v>
      </c>
      <c r="BF6" s="820">
        <f>IF($H6="",0,IF($H6=1,IF('Para Adj'!$B$5 = 1,AB6-($O6-SUMPRODUCT($CX6:DK6,$BU6:CH6))*(1-SUM($DZ6:EM6)),CH6*DK6),$O6*CH6))</f>
        <v>0</v>
      </c>
      <c r="BG6" s="442">
        <f>IF($H6="",0,IF($H6=1,IF('Para Adj'!$B$5 = 1,AC6-($O6-SUMPRODUCT($CX6:DL6,$BU6:CI6))*(1-SUM($DZ6:EN6)),CI6*DL6),$O6*CI6))</f>
        <v>0</v>
      </c>
      <c r="BH6" s="442">
        <f>IF($H6="",0,IF($H6=1,IF('Para Adj'!$B$5 = 1,AD6-($O6-SUMPRODUCT($CX6:DM6,$BU6:CJ6))*(1-SUM($DZ6:EO6)),CJ6*DM6),$O6*CJ6))</f>
        <v>0</v>
      </c>
      <c r="BI6" s="442">
        <f>IF($H6="",0,IF($H6=1,IF('Para Adj'!$B$5 = 1,AE6-($O6-SUMPRODUCT($CX6:DN6,$BU6:CK6))*(1-SUM($DZ6:EP6)),CK6*DN6),$O6*CK6))</f>
        <v>0</v>
      </c>
      <c r="BJ6" s="442">
        <f>IF($H6="",0,IF($H6=1,IF('Para Adj'!$B$5 = 1,AF6-($O6-SUMPRODUCT($CX6:DO6,$BU6:CL6))*(1-SUM($DZ6:EQ6)),CL6*DO6),$O6*CL6))</f>
        <v>0</v>
      </c>
      <c r="BK6" s="442">
        <f>IF($H6="",0,IF($H6=1,IF('Para Adj'!$B$5 = 1,AG6-($O6-SUMPRODUCT($CX6:DP6,$BU6:CM6))*(1-SUM($DZ6:ER6)),CM6*DP6),$O6*CM6))</f>
        <v>0</v>
      </c>
      <c r="BL6" s="442">
        <f>IF($H6="",0,IF($H6=1,IF('Para Adj'!$B$5 = 1,AH6-($O6-SUMPRODUCT($CX6:DQ6,$BU6:CN6))*(1-SUM($DZ6:ES6)),CN6*DQ6),$O6*CN6))</f>
        <v>0</v>
      </c>
      <c r="BM6" s="442">
        <f>IF($H6="",0,IF($H6=1,IF('Para Adj'!$B$5 = 1,AI6-($O6-SUMPRODUCT($CX6:DR6,$BU6:CO6))*(1-SUM($DZ6:ET6)),CO6*DR6),$O6*CO6))</f>
        <v>0</v>
      </c>
      <c r="BN6" s="442">
        <f>IF($H6="",0,IF($H6=1,IF('Para Adj'!$B$5 = 1,AJ6-($O6-SUMPRODUCT($CX6:DS6,$BU6:CP6))*(1-SUM($DZ6:EU6)),CP6*DS6),$O6*CP6))</f>
        <v>0</v>
      </c>
      <c r="BO6" s="442">
        <f>IF($H6="",0,IF($H6=1,IF('Para Adj'!$B$5 = 1,AK6-($O6-SUMPRODUCT($CX6:DT6,$BU6:CQ6))*(1-SUM($DZ6:EV6)),CQ6*DT6),$O6*CQ6))</f>
        <v>0</v>
      </c>
      <c r="BP6" s="442">
        <f>IF($H6="",0,IF($H6=1,IF('Para Adj'!$B$5 = 1,AL6-($O6-SUMPRODUCT($CX6:DU6,$BU6:CR6))*(1-SUM($DZ6:EW6)),CR6*DU6),$O6*CR6))</f>
        <v>0</v>
      </c>
      <c r="BQ6" s="442">
        <f>IF($H6="",0,IF($H6=1,IF('Para Adj'!$B$5 = 1,AM6-($O6-SUMPRODUCT($CX6:DV6,$BU6:CS6))*(1-SUM($DZ6:EX6)),CS6*DV6),$O6*CS6))</f>
        <v>0</v>
      </c>
      <c r="BR6" s="442">
        <f>IF($H6="",0,IF($H6=1,IF('Para Adj'!$B$5 = 1,AN6-($O6-SUMPRODUCT($CX6:DW6,$BU6:CT6))*(1-SUM($DZ6:EY6)),CT6*DW6),$O6*CT6))</f>
        <v>0</v>
      </c>
      <c r="BS6" s="442">
        <f>IF($H6="",0,IF($H6=1,IF('Para Adj'!$B$5 = 1,AO6-($O6-SUMPRODUCT($CX6:DX6,$BU6:CU6))*(1-SUM($DZ6:EZ6)),CU6*DX6),$O6*CU6))</f>
        <v>0</v>
      </c>
      <c r="BU6" s="820" t="str">
        <f>IF($B6=0,"",INDEX(Assumptions!G:G,$B6))</f>
        <v/>
      </c>
      <c r="BV6" s="820" t="str">
        <f>IF($B6=0,"",INDEX(Assumptions!H:H,$B6))</f>
        <v/>
      </c>
      <c r="BW6" s="820" t="str">
        <f>IF($B6=0,"",INDEX(Assumptions!I:I,$B6))</f>
        <v/>
      </c>
      <c r="BX6" s="820" t="str">
        <f>IF($B6=0,"",INDEX(Assumptions!J:J,$B6))</f>
        <v/>
      </c>
      <c r="BY6" s="820" t="str">
        <f>IF($B6=0,"",INDEX(Assumptions!K:K,$B6))</f>
        <v/>
      </c>
      <c r="BZ6" s="820" t="str">
        <f>IF($B6=0,"",INDEX(Assumptions!L:L,$B6))</f>
        <v/>
      </c>
      <c r="CA6" s="820" t="str">
        <f>IF($B6=0,"",INDEX(Assumptions!M:M,$B6))</f>
        <v/>
      </c>
      <c r="CB6" s="820" t="str">
        <f>IF($B6=0,"",INDEX(Assumptions!N:N,$B6))</f>
        <v/>
      </c>
      <c r="CC6" s="820" t="str">
        <f>IF($B6=0,"",INDEX(Assumptions!O:O,$B6))</f>
        <v/>
      </c>
      <c r="CD6" s="820" t="str">
        <f>IF($B6=0,"",INDEX(Assumptions!P:P,$B6))</f>
        <v/>
      </c>
      <c r="CE6" s="820" t="str">
        <f>IF($B6=0,"",INDEX(Assumptions!Q:Q,$B6))</f>
        <v/>
      </c>
      <c r="CF6" s="820" t="str">
        <f>IF($B6=0,"",INDEX(Assumptions!R:R,$B6))</f>
        <v/>
      </c>
      <c r="CG6" s="820" t="str">
        <f>IF($B6=0,"",INDEX(Assumptions!S:S,$B6))</f>
        <v/>
      </c>
      <c r="CH6" s="820" t="str">
        <f>IF($B6=0,"",INDEX(Assumptions!T:T,$B6))</f>
        <v/>
      </c>
      <c r="CI6" s="820" t="str">
        <f>IF($B6=0,"",INDEX(Assumptions!U:U,$B6))</f>
        <v/>
      </c>
      <c r="CJ6" s="820" t="str">
        <f>IF($B6=0,"",INDEX(Assumptions!V:V,$B6))</f>
        <v/>
      </c>
      <c r="CK6" s="820" t="str">
        <f>IF($B6=0,"",INDEX(Assumptions!W:W,$B6))</f>
        <v/>
      </c>
      <c r="CL6" s="820" t="str">
        <f>IF($B6=0,"",INDEX(Assumptions!X:X,$B6))</f>
        <v/>
      </c>
      <c r="CM6" s="820" t="str">
        <f>IF($B6=0,"",INDEX(Assumptions!Y:Y,$B6))</f>
        <v/>
      </c>
      <c r="CN6" s="820" t="str">
        <f>IF($B6=0,"",INDEX(Assumptions!Z:Z,$B6))</f>
        <v/>
      </c>
      <c r="CO6" s="820" t="str">
        <f>IF($B6=0,"",INDEX(Assumptions!AA:AA,$B6))</f>
        <v/>
      </c>
      <c r="CP6" s="820" t="str">
        <f>IF($B6=0,"",INDEX(Assumptions!AB:AB,$B6))</f>
        <v/>
      </c>
      <c r="CQ6" s="820" t="str">
        <f>IF($B6=0,"",INDEX(Assumptions!AC:AC,$B6))</f>
        <v/>
      </c>
      <c r="CR6" s="820" t="str">
        <f>IF($B6=0,"",INDEX(Assumptions!AD:AD,$B6))</f>
        <v/>
      </c>
      <c r="CS6" s="820" t="str">
        <f>IF($B6=0,"",INDEX(Assumptions!AE:AE,$B6))</f>
        <v/>
      </c>
      <c r="CT6" s="820" t="str">
        <f>IF($B6=0,"",INDEX(Assumptions!AF:AF,$B6))</f>
        <v/>
      </c>
      <c r="CU6" s="820" t="str">
        <f>IF($B6=0,"",INDEX(Assumptions!AG:AG,$B6))</f>
        <v/>
      </c>
      <c r="CX6" s="442" t="str">
        <f>IF($A6="","",INDEX('Data Interface'!G:G,$A6))</f>
        <v/>
      </c>
      <c r="CY6" s="442" t="str">
        <f>IF($A6="","",INDEX('Data Interface'!H:H,$A6))</f>
        <v/>
      </c>
      <c r="CZ6" s="442" t="str">
        <f>IF($A6="","",INDEX('Data Interface'!I:I,$A6))</f>
        <v/>
      </c>
      <c r="DA6" s="442" t="str">
        <f>IF($A6="","",INDEX('Data Interface'!J:J,$A6))</f>
        <v/>
      </c>
      <c r="DB6" s="442" t="str">
        <f>IF($A6="","",INDEX('Data Interface'!K:K,$A6))</f>
        <v/>
      </c>
      <c r="DC6" s="442" t="str">
        <f>IF($A6="","",INDEX('Data Interface'!L:L,$A6))</f>
        <v/>
      </c>
      <c r="DD6" s="442" t="str">
        <f>IF($A6="","",INDEX('Data Interface'!M:M,$A6))</f>
        <v/>
      </c>
      <c r="DE6" s="442" t="str">
        <f>IF($A6="","",INDEX('Data Interface'!N:N,$A6))</f>
        <v/>
      </c>
      <c r="DF6" s="442" t="str">
        <f>IF($A6="","",INDEX('Data Interface'!O:O,$A6))</f>
        <v/>
      </c>
      <c r="DG6" s="442" t="str">
        <f>IF($A6="","",INDEX('Data Interface'!P:P,$A6))</f>
        <v/>
      </c>
      <c r="DH6" s="442" t="str">
        <f>IF($A6="","",INDEX('Data Interface'!Q:Q,$A6))</f>
        <v/>
      </c>
      <c r="DI6" s="442" t="str">
        <f>IF($A6="","",INDEX('Data Interface'!R:R,$A6))</f>
        <v/>
      </c>
      <c r="DJ6" s="442" t="str">
        <f>IF($A6="","",INDEX('Data Interface'!S:S,$A6))</f>
        <v/>
      </c>
      <c r="DK6" s="442" t="str">
        <f>IF($A6="","",INDEX('Data Interface'!T:T,$A6))</f>
        <v/>
      </c>
      <c r="DL6" s="442" t="str">
        <f>IF($A6="","",INDEX('Data Interface'!U:U,$A6))</f>
        <v/>
      </c>
      <c r="DM6" s="442" t="str">
        <f>IF($A6="","",INDEX('Data Interface'!V:V,$A6))</f>
        <v/>
      </c>
      <c r="DN6" s="442" t="str">
        <f>IF($A6="","",INDEX('Data Interface'!W:W,$A6))</f>
        <v/>
      </c>
      <c r="DO6" s="442" t="str">
        <f>IF($A6="","",INDEX('Data Interface'!X:X,$A6))</f>
        <v/>
      </c>
      <c r="DP6" s="442" t="str">
        <f>IF($A6="","",INDEX('Data Interface'!Y:Y,$A6))</f>
        <v/>
      </c>
      <c r="DQ6" s="442" t="str">
        <f>IF($A6="","",INDEX('Data Interface'!Z:Z,$A6))</f>
        <v/>
      </c>
      <c r="DR6" s="442" t="str">
        <f>IF($A6="","",INDEX('Data Interface'!AA:AA,$A6))</f>
        <v/>
      </c>
      <c r="DS6" s="442" t="str">
        <f>IF($A6="","",INDEX('Data Interface'!AB:AB,$A6))</f>
        <v/>
      </c>
      <c r="DT6" s="442" t="str">
        <f>IF($A6="","",INDEX('Data Interface'!AC:AC,$A6))</f>
        <v/>
      </c>
      <c r="DU6" s="442" t="str">
        <f>IF($A6="","",INDEX('Data Interface'!AD:AD,$A6))</f>
        <v/>
      </c>
      <c r="DV6" s="442" t="str">
        <f>IF($A6="","",INDEX('Data Interface'!AE:AE,$A6))</f>
        <v/>
      </c>
      <c r="DW6" s="442" t="str">
        <f>IF($A6="","",INDEX('Data Interface'!AF:AF,$A6))</f>
        <v/>
      </c>
      <c r="DX6" s="442" t="str">
        <f>IF($A6="","",INDEX('Data Interface'!AG:AG,$A6))</f>
        <v/>
      </c>
      <c r="DZ6" s="906" t="str">
        <f>IF(OR($B6=0,$A6=0,$H6&lt;&gt;1),"",INDEX(Assumptions!EO:EO,$B6))</f>
        <v/>
      </c>
      <c r="EA6" s="906" t="str">
        <f>IF(OR($B6=0,$A6=0,$H6&lt;&gt;1),"",INDEX(Assumptions!EP:EP,$B6))</f>
        <v/>
      </c>
      <c r="EB6" s="906" t="str">
        <f>IF(OR($B6=0,$A6=0,$H6&lt;&gt;1),"",INDEX(Assumptions!EQ:EQ,$B6))</f>
        <v/>
      </c>
      <c r="EC6" s="906" t="str">
        <f>IF(OR($B6=0,$A6=0,$H6&lt;&gt;1),"",INDEX(Assumptions!ER:ER,$B6))</f>
        <v/>
      </c>
      <c r="ED6" s="906" t="str">
        <f>IF(OR($B6=0,$A6=0,$H6&lt;&gt;1),"",INDEX(Assumptions!ES:ES,$B6))</f>
        <v/>
      </c>
      <c r="EE6" s="906" t="str">
        <f>IF(OR($B6=0,$A6=0,$H6&lt;&gt;1),"",INDEX(Assumptions!ET:ET,$B6))</f>
        <v/>
      </c>
      <c r="EF6" s="906" t="str">
        <f>IF(OR($B6=0,$A6=0,$H6&lt;&gt;1),"",INDEX(Assumptions!EU:EU,$B6))</f>
        <v/>
      </c>
      <c r="EG6" s="906" t="str">
        <f>IF(OR($B6=0,$A6=0,$H6&lt;&gt;1),"",INDEX(Assumptions!EV:EV,$B6))</f>
        <v/>
      </c>
      <c r="EH6" s="906" t="str">
        <f>IF(OR($B6=0,$A6=0,$H6&lt;&gt;1),"",INDEX(Assumptions!EW:EW,$B6))</f>
        <v/>
      </c>
      <c r="EI6" s="906" t="str">
        <f>IF(OR($B6=0,$A6=0,$H6&lt;&gt;1),"",INDEX(Assumptions!EX:EX,$B6))</f>
        <v/>
      </c>
      <c r="EJ6" s="906" t="str">
        <f>IF(OR($B6=0,$A6=0,$H6&lt;&gt;1),"",INDEX(Assumptions!EY:EY,$B6))</f>
        <v/>
      </c>
      <c r="EK6" s="906" t="str">
        <f>IF(OR($B6=0,$A6=0,$H6&lt;&gt;1),"",INDEX(Assumptions!EZ:EZ,$B6))</f>
        <v/>
      </c>
      <c r="EL6" s="906" t="str">
        <f>IF(OR($B6=0,$A6=0,$H6&lt;&gt;1),"",INDEX(Assumptions!FA:FA,$B6))</f>
        <v/>
      </c>
      <c r="EM6" s="906" t="str">
        <f>IF(OR($B6=0,$A6=0,$H6&lt;&gt;1),"",INDEX(Assumptions!FB:FB,$B6))</f>
        <v/>
      </c>
      <c r="EN6" s="906" t="str">
        <f>IF(OR($B6=0,$A6=0,$H6&lt;&gt;1),"",INDEX(Assumptions!FC:FC,$B6))</f>
        <v/>
      </c>
      <c r="EO6" s="906" t="str">
        <f>IF(OR($B6=0,$A6=0,$H6&lt;&gt;1),"",INDEX(Assumptions!FD:FD,$B6))</f>
        <v/>
      </c>
      <c r="EP6" s="906" t="str">
        <f>IF(OR($B6=0,$A6=0,$H6&lt;&gt;1),"",INDEX(Assumptions!FE:FE,$B6))</f>
        <v/>
      </c>
      <c r="EQ6" s="906" t="str">
        <f>IF(OR($B6=0,$A6=0,$H6&lt;&gt;1),"",INDEX(Assumptions!FF:FF,$B6))</f>
        <v/>
      </c>
      <c r="ER6" s="906" t="str">
        <f>IF(OR($B6=0,$A6=0,$H6&lt;&gt;1),"",INDEX(Assumptions!FG:FG,$B6))</f>
        <v/>
      </c>
      <c r="ES6" s="906" t="str">
        <f>IF(OR($B6=0,$A6=0,$H6&lt;&gt;1),"",INDEX(Assumptions!FH:FH,$B6))</f>
        <v/>
      </c>
      <c r="ET6" s="906" t="str">
        <f>IF(OR($B6=0,$A6=0,$H6&lt;&gt;1),"",INDEX(Assumptions!FI:FI,$B6))</f>
        <v/>
      </c>
      <c r="EU6" s="906" t="str">
        <f>IF(OR($B6=0,$A6=0,$H6&lt;&gt;1),"",INDEX(Assumptions!FJ:FJ,$B6))</f>
        <v/>
      </c>
      <c r="EV6" s="906" t="str">
        <f>IF(OR($B6=0,$A6=0,$H6&lt;&gt;1),"",INDEX(Assumptions!FK:FK,$B6))</f>
        <v/>
      </c>
      <c r="EW6" s="906" t="str">
        <f>IF(OR($B6=0,$A6=0,$H6&lt;&gt;1),"",INDEX(Assumptions!FL:FL,$B6))</f>
        <v/>
      </c>
      <c r="EX6" s="906" t="str">
        <f>IF(OR($B6=0,$A6=0,$H6&lt;&gt;1),"",INDEX(Assumptions!FM:FM,$B6))</f>
        <v/>
      </c>
      <c r="EY6" s="906" t="str">
        <f>IF(OR($B6=0,$A6=0,$H6&lt;&gt;1),"",INDEX(Assumptions!FN:FN,$B6))</f>
        <v/>
      </c>
      <c r="EZ6" s="906" t="str">
        <f>IF(OR($B6=0,$A6=0,$H6&lt;&gt;1),"",INDEX(Assumptions!FO:FO,$B6))</f>
        <v/>
      </c>
    </row>
    <row r="7" spans="1:162">
      <c r="A7" s="440">
        <f>IFERROR(MATCH(C7,'Data Interface'!B:B,0),0)</f>
        <v>7</v>
      </c>
      <c r="B7" s="440">
        <f>IFERROR(MATCH(C7,Assumptions!$B:$B,0),0)</f>
        <v>0</v>
      </c>
      <c r="C7" s="441">
        <v>4.0999999999999996</v>
      </c>
      <c r="E7" s="441" t="s">
        <v>1218</v>
      </c>
      <c r="F7" s="440" t="s">
        <v>19</v>
      </c>
      <c r="G7" s="440" t="s">
        <v>1469</v>
      </c>
      <c r="I7" s="819">
        <f t="shared" si="10"/>
        <v>0</v>
      </c>
      <c r="J7" s="819">
        <f t="shared" si="11"/>
        <v>0</v>
      </c>
      <c r="K7" s="439" t="str">
        <f t="shared" si="12"/>
        <v>No Run-off</v>
      </c>
      <c r="L7" s="439" t="s">
        <v>1146</v>
      </c>
      <c r="M7" s="439" t="s">
        <v>1473</v>
      </c>
      <c r="O7" s="442">
        <f>IF(OR($A7="",$A7=0),0,INDEX('Data Interface'!D:D,$A7))-O6</f>
        <v>-71.375344239133028</v>
      </c>
      <c r="P7" s="442">
        <f>$O7-SUM($AS7:AS7)</f>
        <v>-71.375344239133028</v>
      </c>
      <c r="Q7" s="442">
        <f>$O7-SUM($AS7:AT7)</f>
        <v>-71.375344239133028</v>
      </c>
      <c r="R7" s="442">
        <f>$O7-SUM($AS7:AU7)</f>
        <v>-71.375344239133028</v>
      </c>
      <c r="S7" s="442">
        <f>$O7-SUM($AS7:AV7)</f>
        <v>-71.375344239133028</v>
      </c>
      <c r="T7" s="442">
        <f>$O7-SUM($AS7:AW7)</f>
        <v>-71.375344239133028</v>
      </c>
      <c r="U7" s="442">
        <f>$O7-SUM($AS7:AX7)</f>
        <v>-71.375344239133028</v>
      </c>
      <c r="V7" s="442">
        <f>$O7-SUM($AS7:AY7)</f>
        <v>-71.375344239133028</v>
      </c>
      <c r="W7" s="442">
        <f>$O7-SUM($AS7:AZ7)</f>
        <v>-71.375344239133028</v>
      </c>
      <c r="X7" s="442">
        <f>$O7-SUM($AS7:BA7)</f>
        <v>-71.375344239133028</v>
      </c>
      <c r="Y7" s="442">
        <f>$O7-SUM($AS7:BB7)</f>
        <v>-71.375344239133028</v>
      </c>
      <c r="Z7" s="442">
        <f>$O7-SUM($AS7:BC7)</f>
        <v>-71.375344239133028</v>
      </c>
      <c r="AA7" s="442">
        <f>$O7-SUM($AS7:BD7)</f>
        <v>-71.375344239133028</v>
      </c>
      <c r="AB7" s="442">
        <f>$O7-SUM($AS7:BE7)</f>
        <v>-71.375344239133028</v>
      </c>
      <c r="AC7" s="442">
        <f>$O7-SUM($AS7:BF7)</f>
        <v>-71.375344239133028</v>
      </c>
      <c r="AD7" s="442">
        <f>$O7-SUM($AS7:BG7)</f>
        <v>-71.375344239133028</v>
      </c>
      <c r="AE7" s="442">
        <f>$O7-SUM($AS7:BH7)</f>
        <v>-71.375344239133028</v>
      </c>
      <c r="AF7" s="442">
        <f>$O7-SUM($AS7:BI7)</f>
        <v>-71.375344239133028</v>
      </c>
      <c r="AG7" s="442">
        <f>$O7-SUM($AS7:BJ7)</f>
        <v>-71.375344239133028</v>
      </c>
      <c r="AH7" s="442">
        <f>$O7-SUM($AS7:BK7)</f>
        <v>-71.375344239133028</v>
      </c>
      <c r="AI7" s="442">
        <f>$O7-SUM($AS7:BL7)</f>
        <v>-71.375344239133028</v>
      </c>
      <c r="AJ7" s="442">
        <f>$O7-SUM($AS7:BM7)</f>
        <v>-71.375344239133028</v>
      </c>
      <c r="AK7" s="442">
        <f>$O7-SUM($AS7:BN7)</f>
        <v>-71.375344239133028</v>
      </c>
      <c r="AL7" s="442">
        <f>$O7-SUM($AS7:BO7)</f>
        <v>-71.375344239133028</v>
      </c>
      <c r="AM7" s="442">
        <f>$O7-SUM($AS7:BP7)</f>
        <v>-71.375344239133028</v>
      </c>
      <c r="AN7" s="442">
        <f>$O7-SUM($AS7:BQ7)</f>
        <v>-71.375344239133028</v>
      </c>
      <c r="AO7" s="442">
        <f>$O7-SUM($AS7:BR7)</f>
        <v>-71.375344239133028</v>
      </c>
      <c r="AP7" s="442">
        <f>$O7-SUM($AS7:BS7)</f>
        <v>-71.375344239133028</v>
      </c>
      <c r="AR7" s="439" t="s">
        <v>1201</v>
      </c>
      <c r="AS7" s="820">
        <f>IF($H7="",0,IF($H7=1,IF('Para Adj'!$B$5 = 1,O7-($O7-SUMPRODUCT($CX7:CX7,$BU7:BU7))*(1-SUM($DZ7:DZ7)),BU7*CX7),$O7*BU7))</f>
        <v>0</v>
      </c>
      <c r="AT7" s="820">
        <f>IF($H7="",0,IF($H7=1,IF('Para Adj'!$B$5 = 1,P7-($O7-SUMPRODUCT($CX7:CY7,$BU7:BV7))*(1-SUM($DZ7:EA7)),BV7*CY7),$O7*BV7))</f>
        <v>0</v>
      </c>
      <c r="AU7" s="820">
        <f>IF($H7="",0,IF($H7=1,IF('Para Adj'!$B$5 = 1,Q7-($O7-SUMPRODUCT($CX7:CZ7,$BU7:BW7))*(1-SUM($DZ7:EB7)),BW7*CZ7),$O7*BW7))</f>
        <v>0</v>
      </c>
      <c r="AV7" s="820">
        <f>IF($H7="",0,IF($H7=1,IF('Para Adj'!$B$5 = 1,R7-($O7-SUMPRODUCT($CX7:DA7,$BU7:BX7))*(1-SUM($DZ7:EC7)),BX7*DA7),$O7*BX7))</f>
        <v>0</v>
      </c>
      <c r="AW7" s="820">
        <f>IF($H7="",0,IF($H7=1,IF('Para Adj'!$B$5 = 1,S7-($O7-SUMPRODUCT($CX7:DB7,$BU7:BY7))*(1-SUM($DZ7:ED7)),BY7*DB7),$O7*BY7))</f>
        <v>0</v>
      </c>
      <c r="AX7" s="820">
        <f>IF($H7="",0,IF($H7=1,IF('Para Adj'!$B$5 = 1,T7-($O7-SUMPRODUCT($CX7:DC7,$BU7:BZ7))*(1-SUM($DZ7:EE7)),BZ7*DC7),$O7*BZ7))</f>
        <v>0</v>
      </c>
      <c r="AY7" s="820">
        <f>IF($H7="",0,IF($H7=1,IF('Para Adj'!$B$5 = 1,U7-($O7-SUMPRODUCT($CX7:DD7,$BU7:CA7))*(1-SUM($DZ7:EF7)),CA7*DD7),$O7*CA7))</f>
        <v>0</v>
      </c>
      <c r="AZ7" s="820">
        <f>IF($H7="",0,IF($H7=1,IF('Para Adj'!$B$5 = 1,V7-($O7-SUMPRODUCT($CX7:DE7,$BU7:CB7))*(1-SUM($DZ7:EG7)),CB7*DE7),$O7*CB7))</f>
        <v>0</v>
      </c>
      <c r="BA7" s="820">
        <f>IF($H7="",0,IF($H7=1,IF('Para Adj'!$B$5 = 1,W7-($O7-SUMPRODUCT($CX7:DF7,$BU7:CC7))*(1-SUM($DZ7:EH7)),CC7*DF7),$O7*CC7))</f>
        <v>0</v>
      </c>
      <c r="BB7" s="820">
        <f>IF($H7="",0,IF($H7=1,IF('Para Adj'!$B$5 = 1,X7-($O7-SUMPRODUCT($CX7:DG7,$BU7:CD7))*(1-SUM($DZ7:EI7)),CD7*DG7),$O7*CD7))</f>
        <v>0</v>
      </c>
      <c r="BC7" s="820">
        <f>IF($H7="",0,IF($H7=1,IF('Para Adj'!$B$5 = 1,Y7-($O7-SUMPRODUCT($CX7:DH7,$BU7:CE7))*(1-SUM($DZ7:EJ7)),CE7*DH7),$O7*CE7))</f>
        <v>0</v>
      </c>
      <c r="BD7" s="820">
        <f>IF($H7="",0,IF($H7=1,IF('Para Adj'!$B$5 = 1,Z7-($O7-SUMPRODUCT($CX7:DI7,$BU7:CF7))*(1-SUM($DZ7:EK7)),CF7*DI7),$O7*CF7))</f>
        <v>0</v>
      </c>
      <c r="BE7" s="820">
        <f>IF($H7="",0,IF($H7=1,IF('Para Adj'!$B$5 = 1,AA7-($O7-SUMPRODUCT($CX7:DJ7,$BU7:CG7))*(1-SUM($DZ7:EL7)),CG7*DJ7),$O7*CG7))</f>
        <v>0</v>
      </c>
      <c r="BF7" s="820">
        <f>IF($H7="",0,IF($H7=1,IF('Para Adj'!$B$5 = 1,AB7-($O7-SUMPRODUCT($CX7:DK7,$BU7:CH7))*(1-SUM($DZ7:EM7)),CH7*DK7),$O7*CH7))</f>
        <v>0</v>
      </c>
      <c r="BG7" s="442">
        <f>IF($H7="",0,IF($H7=1,IF('Para Adj'!$B$5 = 1,AC7-($O7-SUMPRODUCT($CX7:DL7,$BU7:CI7))*(1-SUM($DZ7:EN7)),CI7*DL7),$O7*CI7))</f>
        <v>0</v>
      </c>
      <c r="BH7" s="442">
        <f>IF($H7="",0,IF($H7=1,IF('Para Adj'!$B$5 = 1,AD7-($O7-SUMPRODUCT($CX7:DM7,$BU7:CJ7))*(1-SUM($DZ7:EO7)),CJ7*DM7),$O7*CJ7))</f>
        <v>0</v>
      </c>
      <c r="BI7" s="442">
        <f>IF($H7="",0,IF($H7=1,IF('Para Adj'!$B$5 = 1,AE7-($O7-SUMPRODUCT($CX7:DN7,$BU7:CK7))*(1-SUM($DZ7:EP7)),CK7*DN7),$O7*CK7))</f>
        <v>0</v>
      </c>
      <c r="BJ7" s="442">
        <f>IF($H7="",0,IF($H7=1,IF('Para Adj'!$B$5 = 1,AF7-($O7-SUMPRODUCT($CX7:DO7,$BU7:CL7))*(1-SUM($DZ7:EQ7)),CL7*DO7),$O7*CL7))</f>
        <v>0</v>
      </c>
      <c r="BK7" s="442">
        <f>IF($H7="",0,IF($H7=1,IF('Para Adj'!$B$5 = 1,AG7-($O7-SUMPRODUCT($CX7:DP7,$BU7:CM7))*(1-SUM($DZ7:ER7)),CM7*DP7),$O7*CM7))</f>
        <v>0</v>
      </c>
      <c r="BL7" s="442">
        <f>IF($H7="",0,IF($H7=1,IF('Para Adj'!$B$5 = 1,AH7-($O7-SUMPRODUCT($CX7:DQ7,$BU7:CN7))*(1-SUM($DZ7:ES7)),CN7*DQ7),$O7*CN7))</f>
        <v>0</v>
      </c>
      <c r="BM7" s="442">
        <f>IF($H7="",0,IF($H7=1,IF('Para Adj'!$B$5 = 1,AI7-($O7-SUMPRODUCT($CX7:DR7,$BU7:CO7))*(1-SUM($DZ7:ET7)),CO7*DR7),$O7*CO7))</f>
        <v>0</v>
      </c>
      <c r="BN7" s="442">
        <f>IF($H7="",0,IF($H7=1,IF('Para Adj'!$B$5 = 1,AJ7-($O7-SUMPRODUCT($CX7:DS7,$BU7:CP7))*(1-SUM($DZ7:EU7)),CP7*DS7),$O7*CP7))</f>
        <v>0</v>
      </c>
      <c r="BO7" s="442">
        <f>IF($H7="",0,IF($H7=1,IF('Para Adj'!$B$5 = 1,AK7-($O7-SUMPRODUCT($CX7:DT7,$BU7:CQ7))*(1-SUM($DZ7:EV7)),CQ7*DT7),$O7*CQ7))</f>
        <v>0</v>
      </c>
      <c r="BP7" s="442">
        <f>IF($H7="",0,IF($H7=1,IF('Para Adj'!$B$5 = 1,AL7-($O7-SUMPRODUCT($CX7:DU7,$BU7:CR7))*(1-SUM($DZ7:EW7)),CR7*DU7),$O7*CR7))</f>
        <v>0</v>
      </c>
      <c r="BQ7" s="442">
        <f>IF($H7="",0,IF($H7=1,IF('Para Adj'!$B$5 = 1,AM7-($O7-SUMPRODUCT($CX7:DV7,$BU7:CS7))*(1-SUM($DZ7:EX7)),CS7*DV7),$O7*CS7))</f>
        <v>0</v>
      </c>
      <c r="BR7" s="442">
        <f>IF($H7="",0,IF($H7=1,IF('Para Adj'!$B$5 = 1,AN7-($O7-SUMPRODUCT($CX7:DW7,$BU7:CT7))*(1-SUM($DZ7:EY7)),CT7*DW7),$O7*CT7))</f>
        <v>0</v>
      </c>
      <c r="BS7" s="442">
        <f>IF($H7="",0,IF($H7=1,IF('Para Adj'!$B$5 = 1,AO7-($O7-SUMPRODUCT($CX7:DX7,$BU7:CU7))*(1-SUM($DZ7:EZ7)),CU7*DX7),$O7*CU7))</f>
        <v>0</v>
      </c>
      <c r="BU7" s="820" t="str">
        <f>IF($B7=0,"",INDEX(Assumptions!G:G,$B7))</f>
        <v/>
      </c>
      <c r="BV7" s="820" t="str">
        <f>IF($B7=0,"",INDEX(Assumptions!H:H,$B7))</f>
        <v/>
      </c>
      <c r="BW7" s="820" t="str">
        <f>IF($B7=0,"",INDEX(Assumptions!I:I,$B7))</f>
        <v/>
      </c>
      <c r="BX7" s="820" t="str">
        <f>IF($B7=0,"",INDEX(Assumptions!J:J,$B7))</f>
        <v/>
      </c>
      <c r="BY7" s="820" t="str">
        <f>IF($B7=0,"",INDEX(Assumptions!K:K,$B7))</f>
        <v/>
      </c>
      <c r="BZ7" s="820" t="str">
        <f>IF($B7=0,"",INDEX(Assumptions!L:L,$B7))</f>
        <v/>
      </c>
      <c r="CA7" s="820" t="str">
        <f>IF($B7=0,"",INDEX(Assumptions!M:M,$B7))</f>
        <v/>
      </c>
      <c r="CB7" s="820" t="str">
        <f>IF($B7=0,"",INDEX(Assumptions!N:N,$B7))</f>
        <v/>
      </c>
      <c r="CC7" s="820" t="str">
        <f>IF($B7=0,"",INDEX(Assumptions!O:O,$B7))</f>
        <v/>
      </c>
      <c r="CD7" s="820" t="str">
        <f>IF($B7=0,"",INDEX(Assumptions!P:P,$B7))</f>
        <v/>
      </c>
      <c r="CE7" s="820" t="str">
        <f>IF($B7=0,"",INDEX(Assumptions!Q:Q,$B7))</f>
        <v/>
      </c>
      <c r="CF7" s="820" t="str">
        <f>IF($B7=0,"",INDEX(Assumptions!R:R,$B7))</f>
        <v/>
      </c>
      <c r="CG7" s="820" t="str">
        <f>IF($B7=0,"",INDEX(Assumptions!S:S,$B7))</f>
        <v/>
      </c>
      <c r="CH7" s="820" t="str">
        <f>IF($B7=0,"",INDEX(Assumptions!T:T,$B7))</f>
        <v/>
      </c>
      <c r="CI7" s="820" t="str">
        <f>IF($B7=0,"",INDEX(Assumptions!U:U,$B7))</f>
        <v/>
      </c>
      <c r="CJ7" s="820" t="str">
        <f>IF($B7=0,"",INDEX(Assumptions!V:V,$B7))</f>
        <v/>
      </c>
      <c r="CK7" s="820" t="str">
        <f>IF($B7=0,"",INDEX(Assumptions!W:W,$B7))</f>
        <v/>
      </c>
      <c r="CL7" s="820" t="str">
        <f>IF($B7=0,"",INDEX(Assumptions!X:X,$B7))</f>
        <v/>
      </c>
      <c r="CM7" s="820" t="str">
        <f>IF($B7=0,"",INDEX(Assumptions!Y:Y,$B7))</f>
        <v/>
      </c>
      <c r="CN7" s="820" t="str">
        <f>IF($B7=0,"",INDEX(Assumptions!Z:Z,$B7))</f>
        <v/>
      </c>
      <c r="CO7" s="820" t="str">
        <f>IF($B7=0,"",INDEX(Assumptions!AA:AA,$B7))</f>
        <v/>
      </c>
      <c r="CP7" s="820" t="str">
        <f>IF($B7=0,"",INDEX(Assumptions!AB:AB,$B7))</f>
        <v/>
      </c>
      <c r="CQ7" s="820" t="str">
        <f>IF($B7=0,"",INDEX(Assumptions!AC:AC,$B7))</f>
        <v/>
      </c>
      <c r="CR7" s="820" t="str">
        <f>IF($B7=0,"",INDEX(Assumptions!AD:AD,$B7))</f>
        <v/>
      </c>
      <c r="CS7" s="820" t="str">
        <f>IF($B7=0,"",INDEX(Assumptions!AE:AE,$B7))</f>
        <v/>
      </c>
      <c r="CT7" s="820" t="str">
        <f>IF($B7=0,"",INDEX(Assumptions!AF:AF,$B7))</f>
        <v/>
      </c>
      <c r="CU7" s="820" t="str">
        <f>IF($B7=0,"",INDEX(Assumptions!AG:AG,$B7))</f>
        <v/>
      </c>
      <c r="CX7" s="442">
        <f>IF($A7="","",INDEX('Data Interface'!G:G,$A7))</f>
        <v>0</v>
      </c>
      <c r="CY7" s="442">
        <f>IF($A7="","",INDEX('Data Interface'!H:H,$A7))</f>
        <v>0</v>
      </c>
      <c r="CZ7" s="442">
        <f>IF($A7="","",INDEX('Data Interface'!I:I,$A7))</f>
        <v>0</v>
      </c>
      <c r="DA7" s="442">
        <f>IF($A7="","",INDEX('Data Interface'!J:J,$A7))</f>
        <v>0</v>
      </c>
      <c r="DB7" s="442">
        <f>IF($A7="","",INDEX('Data Interface'!K:K,$A7))</f>
        <v>0</v>
      </c>
      <c r="DC7" s="442">
        <f>IF($A7="","",INDEX('Data Interface'!L:L,$A7))</f>
        <v>0</v>
      </c>
      <c r="DD7" s="442">
        <f>IF($A7="","",INDEX('Data Interface'!M:M,$A7))</f>
        <v>0</v>
      </c>
      <c r="DE7" s="442">
        <f>IF($A7="","",INDEX('Data Interface'!N:N,$A7))</f>
        <v>0</v>
      </c>
      <c r="DF7" s="442">
        <f>IF($A7="","",INDEX('Data Interface'!O:O,$A7))</f>
        <v>0</v>
      </c>
      <c r="DG7" s="442">
        <f>IF($A7="","",INDEX('Data Interface'!P:P,$A7))</f>
        <v>0</v>
      </c>
      <c r="DH7" s="442">
        <f>IF($A7="","",INDEX('Data Interface'!Q:Q,$A7))</f>
        <v>0</v>
      </c>
      <c r="DI7" s="442">
        <f>IF($A7="","",INDEX('Data Interface'!R:R,$A7))</f>
        <v>0</v>
      </c>
      <c r="DJ7" s="442">
        <f>IF($A7="","",INDEX('Data Interface'!S:S,$A7))</f>
        <v>0</v>
      </c>
      <c r="DK7" s="442">
        <f>IF($A7="","",INDEX('Data Interface'!T:T,$A7))</f>
        <v>-34.55890072864716</v>
      </c>
      <c r="DL7" s="442">
        <f>IF($A7="","",INDEX('Data Interface'!U:U,$A7))</f>
        <v>0</v>
      </c>
      <c r="DM7" s="442">
        <f>IF($A7="","",INDEX('Data Interface'!V:V,$A7))</f>
        <v>-60.478076275132523</v>
      </c>
      <c r="DN7" s="442">
        <f>IF($A7="","",INDEX('Data Interface'!W:W,$A7))</f>
        <v>-129.59587773242683</v>
      </c>
      <c r="DO7" s="442">
        <f>IF($A7="","",INDEX('Data Interface'!X:X,$A7))</f>
        <v>-172.79450364323577</v>
      </c>
      <c r="DP7" s="442">
        <f>IF($A7="","",INDEX('Data Interface'!Y:Y,$A7))</f>
        <v>-107.99656477702236</v>
      </c>
      <c r="DQ7" s="442">
        <f>IF($A7="","",INDEX('Data Interface'!Z:Z,$A7))</f>
        <v>-129.59587773242683</v>
      </c>
      <c r="DR7" s="442">
        <f>IF($A7="","",INDEX('Data Interface'!AA:AA,$A7))</f>
        <v>-107.11099294585077</v>
      </c>
      <c r="DS7" s="442">
        <f>IF($A7="","",INDEX('Data Interface'!AB:AB,$A7))</f>
        <v>0</v>
      </c>
      <c r="DT7" s="442">
        <f>IF($A7="","",INDEX('Data Interface'!AC:AC,$A7))</f>
        <v>-47.69128300553308</v>
      </c>
      <c r="DU7" s="442">
        <f>IF($A7="","",INDEX('Data Interface'!AD:AD,$A7))</f>
        <v>0</v>
      </c>
      <c r="DV7" s="442">
        <f>IF($A7="","",INDEX('Data Interface'!AE:AE,$A7))</f>
        <v>-86.397251821617886</v>
      </c>
      <c r="DW7" s="442">
        <f>IF($A7="","",INDEX('Data Interface'!AF:AF,$A7))</f>
        <v>-43.198625910808943</v>
      </c>
      <c r="DX7" s="442">
        <f>IF($A7="","",INDEX('Data Interface'!AG:AG,$A7))</f>
        <v>-34.55890072864716</v>
      </c>
      <c r="DZ7" s="906" t="str">
        <f>IF(OR($B7=0,$A7=0,$H7&lt;&gt;1),"",INDEX(Assumptions!EO:EO,$B7))</f>
        <v/>
      </c>
      <c r="EA7" s="906" t="str">
        <f>IF(OR($B7=0,$A7=0,$H7&lt;&gt;1),"",INDEX(Assumptions!EP:EP,$B7))</f>
        <v/>
      </c>
      <c r="EB7" s="906" t="str">
        <f>IF(OR($B7=0,$A7=0,$H7&lt;&gt;1),"",INDEX(Assumptions!EQ:EQ,$B7))</f>
        <v/>
      </c>
      <c r="EC7" s="906" t="str">
        <f>IF(OR($B7=0,$A7=0,$H7&lt;&gt;1),"",INDEX(Assumptions!ER:ER,$B7))</f>
        <v/>
      </c>
      <c r="ED7" s="906" t="str">
        <f>IF(OR($B7=0,$A7=0,$H7&lt;&gt;1),"",INDEX(Assumptions!ES:ES,$B7))</f>
        <v/>
      </c>
      <c r="EE7" s="906" t="str">
        <f>IF(OR($B7=0,$A7=0,$H7&lt;&gt;1),"",INDEX(Assumptions!ET:ET,$B7))</f>
        <v/>
      </c>
      <c r="EF7" s="906" t="str">
        <f>IF(OR($B7=0,$A7=0,$H7&lt;&gt;1),"",INDEX(Assumptions!EU:EU,$B7))</f>
        <v/>
      </c>
      <c r="EG7" s="906" t="str">
        <f>IF(OR($B7=0,$A7=0,$H7&lt;&gt;1),"",INDEX(Assumptions!EV:EV,$B7))</f>
        <v/>
      </c>
      <c r="EH7" s="906" t="str">
        <f>IF(OR($B7=0,$A7=0,$H7&lt;&gt;1),"",INDEX(Assumptions!EW:EW,$B7))</f>
        <v/>
      </c>
      <c r="EI7" s="906" t="str">
        <f>IF(OR($B7=0,$A7=0,$H7&lt;&gt;1),"",INDEX(Assumptions!EX:EX,$B7))</f>
        <v/>
      </c>
      <c r="EJ7" s="906" t="str">
        <f>IF(OR($B7=0,$A7=0,$H7&lt;&gt;1),"",INDEX(Assumptions!EY:EY,$B7))</f>
        <v/>
      </c>
      <c r="EK7" s="906" t="str">
        <f>IF(OR($B7=0,$A7=0,$H7&lt;&gt;1),"",INDEX(Assumptions!EZ:EZ,$B7))</f>
        <v/>
      </c>
      <c r="EL7" s="906" t="str">
        <f>IF(OR($B7=0,$A7=0,$H7&lt;&gt;1),"",INDEX(Assumptions!FA:FA,$B7))</f>
        <v/>
      </c>
      <c r="EM7" s="906" t="str">
        <f>IF(OR($B7=0,$A7=0,$H7&lt;&gt;1),"",INDEX(Assumptions!FB:FB,$B7))</f>
        <v/>
      </c>
      <c r="EN7" s="906" t="str">
        <f>IF(OR($B7=0,$A7=0,$H7&lt;&gt;1),"",INDEX(Assumptions!FC:FC,$B7))</f>
        <v/>
      </c>
      <c r="EO7" s="906" t="str">
        <f>IF(OR($B7=0,$A7=0,$H7&lt;&gt;1),"",INDEX(Assumptions!FD:FD,$B7))</f>
        <v/>
      </c>
      <c r="EP7" s="906" t="str">
        <f>IF(OR($B7=0,$A7=0,$H7&lt;&gt;1),"",INDEX(Assumptions!FE:FE,$B7))</f>
        <v/>
      </c>
      <c r="EQ7" s="906" t="str">
        <f>IF(OR($B7=0,$A7=0,$H7&lt;&gt;1),"",INDEX(Assumptions!FF:FF,$B7))</f>
        <v/>
      </c>
      <c r="ER7" s="906" t="str">
        <f>IF(OR($B7=0,$A7=0,$H7&lt;&gt;1),"",INDEX(Assumptions!FG:FG,$B7))</f>
        <v/>
      </c>
      <c r="ES7" s="906" t="str">
        <f>IF(OR($B7=0,$A7=0,$H7&lt;&gt;1),"",INDEX(Assumptions!FH:FH,$B7))</f>
        <v/>
      </c>
      <c r="ET7" s="906" t="str">
        <f>IF(OR($B7=0,$A7=0,$H7&lt;&gt;1),"",INDEX(Assumptions!FI:FI,$B7))</f>
        <v/>
      </c>
      <c r="EU7" s="906" t="str">
        <f>IF(OR($B7=0,$A7=0,$H7&lt;&gt;1),"",INDEX(Assumptions!FJ:FJ,$B7))</f>
        <v/>
      </c>
      <c r="EV7" s="906" t="str">
        <f>IF(OR($B7=0,$A7=0,$H7&lt;&gt;1),"",INDEX(Assumptions!FK:FK,$B7))</f>
        <v/>
      </c>
      <c r="EW7" s="906" t="str">
        <f>IF(OR($B7=0,$A7=0,$H7&lt;&gt;1),"",INDEX(Assumptions!FL:FL,$B7))</f>
        <v/>
      </c>
      <c r="EX7" s="906" t="str">
        <f>IF(OR($B7=0,$A7=0,$H7&lt;&gt;1),"",INDEX(Assumptions!FM:FM,$B7))</f>
        <v/>
      </c>
      <c r="EY7" s="906" t="str">
        <f>IF(OR($B7=0,$A7=0,$H7&lt;&gt;1),"",INDEX(Assumptions!FN:FN,$B7))</f>
        <v/>
      </c>
      <c r="EZ7" s="906" t="str">
        <f>IF(OR($B7=0,$A7=0,$H7&lt;&gt;1),"",INDEX(Assumptions!FO:FO,$B7))</f>
        <v/>
      </c>
    </row>
    <row r="8" spans="1:162">
      <c r="A8" s="440">
        <f>IFERROR(MATCH(C8,'Data Interface'!B:B,0),0)</f>
        <v>6</v>
      </c>
      <c r="B8" s="440">
        <f>IFERROR(MATCH(C8,Assumptions!$B:$B,0),0)</f>
        <v>0</v>
      </c>
      <c r="C8" s="441">
        <v>4</v>
      </c>
      <c r="E8" s="441" t="s">
        <v>1218</v>
      </c>
      <c r="F8" s="440" t="s">
        <v>19</v>
      </c>
      <c r="G8" s="440" t="str">
        <f>IF(A8=0,"",INDEX('Data Interface'!$C:$C,$A8))</f>
        <v>Non-Buffer Securities</v>
      </c>
      <c r="I8" s="819">
        <f t="shared" si="10"/>
        <v>0</v>
      </c>
      <c r="J8" s="819">
        <f t="shared" si="11"/>
        <v>0</v>
      </c>
      <c r="K8" s="439" t="str">
        <f t="shared" si="12"/>
        <v>No Run-off</v>
      </c>
      <c r="L8" s="439" t="s">
        <v>1146</v>
      </c>
      <c r="M8" s="439" t="s">
        <v>1473</v>
      </c>
      <c r="O8" s="442">
        <f>IF(OR($A8="",$A8=0),0,INDEX('Data Interface'!D:D,$A8))</f>
        <v>-3561.1634352277601</v>
      </c>
      <c r="P8" s="442">
        <f>$O8-SUM($AS8:AS8)</f>
        <v>-3561.1634352277601</v>
      </c>
      <c r="Q8" s="442">
        <f>$O8-SUM($AS8:AT8)</f>
        <v>-3561.1634352277601</v>
      </c>
      <c r="R8" s="442">
        <f>$O8-SUM($AS8:AU8)</f>
        <v>-3561.1634352277601</v>
      </c>
      <c r="S8" s="442">
        <f>$O8-SUM($AS8:AV8)</f>
        <v>-3561.1634352277601</v>
      </c>
      <c r="T8" s="442">
        <f>$O8-SUM($AS8:AW8)</f>
        <v>-3561.1634352277601</v>
      </c>
      <c r="U8" s="442">
        <f>$O8-SUM($AS8:AX8)</f>
        <v>-3561.1634352277601</v>
      </c>
      <c r="V8" s="442">
        <f>$O8-SUM($AS8:AY8)</f>
        <v>-3561.1634352277601</v>
      </c>
      <c r="W8" s="442">
        <f>$O8-SUM($AS8:AZ8)</f>
        <v>-3561.1634352277601</v>
      </c>
      <c r="X8" s="442">
        <f>$O8-SUM($AS8:BA8)</f>
        <v>-3561.1634352277601</v>
      </c>
      <c r="Y8" s="442">
        <f>$O8-SUM($AS8:BB8)</f>
        <v>-3561.1634352277601</v>
      </c>
      <c r="Z8" s="442">
        <f>$O8-SUM($AS8:BC8)</f>
        <v>-3561.1634352277601</v>
      </c>
      <c r="AA8" s="442">
        <f>$O8-SUM($AS8:BD8)</f>
        <v>-3561.1634352277601</v>
      </c>
      <c r="AB8" s="442">
        <f>$O8-SUM($AS8:BE8)</f>
        <v>-3561.1634352277601</v>
      </c>
      <c r="AC8" s="442">
        <f>$O8-SUM($AS8:BF8)</f>
        <v>-3561.1634352277601</v>
      </c>
      <c r="AD8" s="442">
        <f>$O8-SUM($AS8:BG8)</f>
        <v>-3561.1634352277601</v>
      </c>
      <c r="AE8" s="442">
        <f>$O8-SUM($AS8:BH8)</f>
        <v>-3561.1634352277601</v>
      </c>
      <c r="AF8" s="442">
        <f>$O8-SUM($AS8:BI8)</f>
        <v>-3561.1634352277601</v>
      </c>
      <c r="AG8" s="442">
        <f>$O8-SUM($AS8:BJ8)</f>
        <v>-3561.1634352277601</v>
      </c>
      <c r="AH8" s="442">
        <f>$O8-SUM($AS8:BK8)</f>
        <v>-3561.1634352277601</v>
      </c>
      <c r="AI8" s="442">
        <f>$O8-SUM($AS8:BL8)</f>
        <v>-3561.1634352277601</v>
      </c>
      <c r="AJ8" s="442">
        <f>$O8-SUM($AS8:BM8)</f>
        <v>-3561.1634352277601</v>
      </c>
      <c r="AK8" s="442">
        <f>$O8-SUM($AS8:BN8)</f>
        <v>-3561.1634352277601</v>
      </c>
      <c r="AL8" s="442">
        <f>$O8-SUM($AS8:BO8)</f>
        <v>-3561.1634352277601</v>
      </c>
      <c r="AM8" s="442">
        <f>$O8-SUM($AS8:BP8)</f>
        <v>-3561.1634352277601</v>
      </c>
      <c r="AN8" s="442">
        <f>$O8-SUM($AS8:BQ8)</f>
        <v>-3561.1634352277601</v>
      </c>
      <c r="AO8" s="442">
        <f>$O8-SUM($AS8:BR8)</f>
        <v>-3561.1634352277601</v>
      </c>
      <c r="AP8" s="442">
        <f>$O8-SUM($AS8:BS8)</f>
        <v>-3561.1634352277601</v>
      </c>
      <c r="AR8" s="439" t="s">
        <v>1201</v>
      </c>
      <c r="AS8" s="820">
        <f>IF($H8="",0,IF($H8=1,IF('Para Adj'!$B$5 = 1,O8-($O8-SUMPRODUCT($CX8:CX8,$BU8:BU8))*(1-SUM($DZ8:DZ8)),BU8*CX8),$O8*BU8))</f>
        <v>0</v>
      </c>
      <c r="AT8" s="820">
        <f>IF($H8="",0,IF($H8=1,IF('Para Adj'!$B$5 = 1,P8-($O8-SUMPRODUCT($CX8:CY8,$BU8:BV8))*(1-SUM($DZ8:EA8)),BV8*CY8),$O8*BV8))</f>
        <v>0</v>
      </c>
      <c r="AU8" s="820">
        <f>IF($H8="",0,IF($H8=1,IF('Para Adj'!$B$5 = 1,Q8-($O8-SUMPRODUCT($CX8:CZ8,$BU8:BW8))*(1-SUM($DZ8:EB8)),BW8*CZ8),$O8*BW8))</f>
        <v>0</v>
      </c>
      <c r="AV8" s="820">
        <f>IF($H8="",0,IF($H8=1,IF('Para Adj'!$B$5 = 1,R8-($O8-SUMPRODUCT($CX8:DA8,$BU8:BX8))*(1-SUM($DZ8:EC8)),BX8*DA8),$O8*BX8))</f>
        <v>0</v>
      </c>
      <c r="AW8" s="820">
        <f>IF($H8="",0,IF($H8=1,IF('Para Adj'!$B$5 = 1,S8-($O8-SUMPRODUCT($CX8:DB8,$BU8:BY8))*(1-SUM($DZ8:ED8)),BY8*DB8),$O8*BY8))</f>
        <v>0</v>
      </c>
      <c r="AX8" s="820">
        <f>IF($H8="",0,IF($H8=1,IF('Para Adj'!$B$5 = 1,T8-($O8-SUMPRODUCT($CX8:DC8,$BU8:BZ8))*(1-SUM($DZ8:EE8)),BZ8*DC8),$O8*BZ8))</f>
        <v>0</v>
      </c>
      <c r="AY8" s="820">
        <f>IF($H8="",0,IF($H8=1,IF('Para Adj'!$B$5 = 1,U8-($O8-SUMPRODUCT($CX8:DD8,$BU8:CA8))*(1-SUM($DZ8:EF8)),CA8*DD8),$O8*CA8))</f>
        <v>0</v>
      </c>
      <c r="AZ8" s="820">
        <f>IF($H8="",0,IF($H8=1,IF('Para Adj'!$B$5 = 1,V8-($O8-SUMPRODUCT($CX8:DE8,$BU8:CB8))*(1-SUM($DZ8:EG8)),CB8*DE8),$O8*CB8))</f>
        <v>0</v>
      </c>
      <c r="BA8" s="820">
        <f>IF($H8="",0,IF($H8=1,IF('Para Adj'!$B$5 = 1,W8-($O8-SUMPRODUCT($CX8:DF8,$BU8:CC8))*(1-SUM($DZ8:EH8)),CC8*DF8),$O8*CC8))</f>
        <v>0</v>
      </c>
      <c r="BB8" s="820">
        <f>IF($H8="",0,IF($H8=1,IF('Para Adj'!$B$5 = 1,X8-($O8-SUMPRODUCT($CX8:DG8,$BU8:CD8))*(1-SUM($DZ8:EI8)),CD8*DG8),$O8*CD8))</f>
        <v>0</v>
      </c>
      <c r="BC8" s="820">
        <f>IF($H8="",0,IF($H8=1,IF('Para Adj'!$B$5 = 1,Y8-($O8-SUMPRODUCT($CX8:DH8,$BU8:CE8))*(1-SUM($DZ8:EJ8)),CE8*DH8),$O8*CE8))</f>
        <v>0</v>
      </c>
      <c r="BD8" s="820">
        <f>IF($H8="",0,IF($H8=1,IF('Para Adj'!$B$5 = 1,Z8-($O8-SUMPRODUCT($CX8:DI8,$BU8:CF8))*(1-SUM($DZ8:EK8)),CF8*DI8),$O8*CF8))</f>
        <v>0</v>
      </c>
      <c r="BE8" s="820">
        <f>IF($H8="",0,IF($H8=1,IF('Para Adj'!$B$5 = 1,AA8-($O8-SUMPRODUCT($CX8:DJ8,$BU8:CG8))*(1-SUM($DZ8:EL8)),CG8*DJ8),$O8*CG8))</f>
        <v>0</v>
      </c>
      <c r="BF8" s="820">
        <f>IF($H8="",0,IF($H8=1,IF('Para Adj'!$B$5 = 1,AB8-($O8-SUMPRODUCT($CX8:DK8,$BU8:CH8))*(1-SUM($DZ8:EM8)),CH8*DK8),$O8*CH8))</f>
        <v>0</v>
      </c>
      <c r="BG8" s="442">
        <f>IF($H8="",0,IF($H8=1,IF('Para Adj'!$B$5 = 1,AC8-($O8-SUMPRODUCT($CX8:DL8,$BU8:CI8))*(1-SUM($DZ8:EN8)),CI8*DL8),$O8*CI8))</f>
        <v>0</v>
      </c>
      <c r="BH8" s="442">
        <f>IF($H8="",0,IF($H8=1,IF('Para Adj'!$B$5 = 1,AD8-($O8-SUMPRODUCT($CX8:DM8,$BU8:CJ8))*(1-SUM($DZ8:EO8)),CJ8*DM8),$O8*CJ8))</f>
        <v>0</v>
      </c>
      <c r="BI8" s="442">
        <f>IF($H8="",0,IF($H8=1,IF('Para Adj'!$B$5 = 1,AE8-($O8-SUMPRODUCT($CX8:DN8,$BU8:CK8))*(1-SUM($DZ8:EP8)),CK8*DN8),$O8*CK8))</f>
        <v>0</v>
      </c>
      <c r="BJ8" s="442">
        <f>IF($H8="",0,IF($H8=1,IF('Para Adj'!$B$5 = 1,AF8-($O8-SUMPRODUCT($CX8:DO8,$BU8:CL8))*(1-SUM($DZ8:EQ8)),CL8*DO8),$O8*CL8))</f>
        <v>0</v>
      </c>
      <c r="BK8" s="442">
        <f>IF($H8="",0,IF($H8=1,IF('Para Adj'!$B$5 = 1,AG8-($O8-SUMPRODUCT($CX8:DP8,$BU8:CM8))*(1-SUM($DZ8:ER8)),CM8*DP8),$O8*CM8))</f>
        <v>0</v>
      </c>
      <c r="BL8" s="442">
        <f>IF($H8="",0,IF($H8=1,IF('Para Adj'!$B$5 = 1,AH8-($O8-SUMPRODUCT($CX8:DQ8,$BU8:CN8))*(1-SUM($DZ8:ES8)),CN8*DQ8),$O8*CN8))</f>
        <v>0</v>
      </c>
      <c r="BM8" s="442">
        <f>IF($H8="",0,IF($H8=1,IF('Para Adj'!$B$5 = 1,AI8-($O8-SUMPRODUCT($CX8:DR8,$BU8:CO8))*(1-SUM($DZ8:ET8)),CO8*DR8),$O8*CO8))</f>
        <v>0</v>
      </c>
      <c r="BN8" s="442">
        <f>IF($H8="",0,IF($H8=1,IF('Para Adj'!$B$5 = 1,AJ8-($O8-SUMPRODUCT($CX8:DS8,$BU8:CP8))*(1-SUM($DZ8:EU8)),CP8*DS8),$O8*CP8))</f>
        <v>0</v>
      </c>
      <c r="BO8" s="442">
        <f>IF($H8="",0,IF($H8=1,IF('Para Adj'!$B$5 = 1,AK8-($O8-SUMPRODUCT($CX8:DT8,$BU8:CQ8))*(1-SUM($DZ8:EV8)),CQ8*DT8),$O8*CQ8))</f>
        <v>0</v>
      </c>
      <c r="BP8" s="442">
        <f>IF($H8="",0,IF($H8=1,IF('Para Adj'!$B$5 = 1,AL8-($O8-SUMPRODUCT($CX8:DU8,$BU8:CR8))*(1-SUM($DZ8:EW8)),CR8*DU8),$O8*CR8))</f>
        <v>0</v>
      </c>
      <c r="BQ8" s="442">
        <f>IF($H8="",0,IF($H8=1,IF('Para Adj'!$B$5 = 1,AM8-($O8-SUMPRODUCT($CX8:DV8,$BU8:CS8))*(1-SUM($DZ8:EX8)),CS8*DV8),$O8*CS8))</f>
        <v>0</v>
      </c>
      <c r="BR8" s="442">
        <f>IF($H8="",0,IF($H8=1,IF('Para Adj'!$B$5 = 1,AN8-($O8-SUMPRODUCT($CX8:DW8,$BU8:CT8))*(1-SUM($DZ8:EY8)),CT8*DW8),$O8*CT8))</f>
        <v>0</v>
      </c>
      <c r="BS8" s="442">
        <f>IF($H8="",0,IF($H8=1,IF('Para Adj'!$B$5 = 1,AO8-($O8-SUMPRODUCT($CX8:DX8,$BU8:CU8))*(1-SUM($DZ8:EZ8)),CU8*DX8),$O8*CU8))</f>
        <v>0</v>
      </c>
      <c r="BU8" s="820" t="str">
        <f>IF($B8=0,"",INDEX(Assumptions!G:G,$B8))</f>
        <v/>
      </c>
      <c r="BV8" s="820" t="str">
        <f>IF($B8=0,"",INDEX(Assumptions!H:H,$B8))</f>
        <v/>
      </c>
      <c r="BW8" s="820" t="str">
        <f>IF($B8=0,"",INDEX(Assumptions!I:I,$B8))</f>
        <v/>
      </c>
      <c r="BX8" s="820" t="str">
        <f>IF($B8=0,"",INDEX(Assumptions!J:J,$B8))</f>
        <v/>
      </c>
      <c r="BY8" s="820" t="str">
        <f>IF($B8=0,"",INDEX(Assumptions!K:K,$B8))</f>
        <v/>
      </c>
      <c r="BZ8" s="820" t="str">
        <f>IF($B8=0,"",INDEX(Assumptions!L:L,$B8))</f>
        <v/>
      </c>
      <c r="CA8" s="820" t="str">
        <f>IF($B8=0,"",INDEX(Assumptions!M:M,$B8))</f>
        <v/>
      </c>
      <c r="CB8" s="820" t="str">
        <f>IF($B8=0,"",INDEX(Assumptions!N:N,$B8))</f>
        <v/>
      </c>
      <c r="CC8" s="820" t="str">
        <f>IF($B8=0,"",INDEX(Assumptions!O:O,$B8))</f>
        <v/>
      </c>
      <c r="CD8" s="820" t="str">
        <f>IF($B8=0,"",INDEX(Assumptions!P:P,$B8))</f>
        <v/>
      </c>
      <c r="CE8" s="820" t="str">
        <f>IF($B8=0,"",INDEX(Assumptions!Q:Q,$B8))</f>
        <v/>
      </c>
      <c r="CF8" s="820" t="str">
        <f>IF($B8=0,"",INDEX(Assumptions!R:R,$B8))</f>
        <v/>
      </c>
      <c r="CG8" s="820" t="str">
        <f>IF($B8=0,"",INDEX(Assumptions!S:S,$B8))</f>
        <v/>
      </c>
      <c r="CH8" s="820" t="str">
        <f>IF($B8=0,"",INDEX(Assumptions!T:T,$B8))</f>
        <v/>
      </c>
      <c r="CI8" s="820" t="str">
        <f>IF($B8=0,"",INDEX(Assumptions!U:U,$B8))</f>
        <v/>
      </c>
      <c r="CJ8" s="820" t="str">
        <f>IF($B8=0,"",INDEX(Assumptions!V:V,$B8))</f>
        <v/>
      </c>
      <c r="CK8" s="820" t="str">
        <f>IF($B8=0,"",INDEX(Assumptions!W:W,$B8))</f>
        <v/>
      </c>
      <c r="CL8" s="820" t="str">
        <f>IF($B8=0,"",INDEX(Assumptions!X:X,$B8))</f>
        <v/>
      </c>
      <c r="CM8" s="820" t="str">
        <f>IF($B8=0,"",INDEX(Assumptions!Y:Y,$B8))</f>
        <v/>
      </c>
      <c r="CN8" s="820" t="str">
        <f>IF($B8=0,"",INDEX(Assumptions!Z:Z,$B8))</f>
        <v/>
      </c>
      <c r="CO8" s="820" t="str">
        <f>IF($B8=0,"",INDEX(Assumptions!AA:AA,$B8))</f>
        <v/>
      </c>
      <c r="CP8" s="820" t="str">
        <f>IF($B8=0,"",INDEX(Assumptions!AB:AB,$B8))</f>
        <v/>
      </c>
      <c r="CQ8" s="820" t="str">
        <f>IF($B8=0,"",INDEX(Assumptions!AC:AC,$B8))</f>
        <v/>
      </c>
      <c r="CR8" s="820" t="str">
        <f>IF($B8=0,"",INDEX(Assumptions!AD:AD,$B8))</f>
        <v/>
      </c>
      <c r="CS8" s="820" t="str">
        <f>IF($B8=0,"",INDEX(Assumptions!AE:AE,$B8))</f>
        <v/>
      </c>
      <c r="CT8" s="820" t="str">
        <f>IF($B8=0,"",INDEX(Assumptions!AF:AF,$B8))</f>
        <v/>
      </c>
      <c r="CU8" s="820" t="str">
        <f>IF($B8=0,"",INDEX(Assumptions!AG:AG,$B8))</f>
        <v/>
      </c>
      <c r="CX8" s="442">
        <f>IF($A8="","",INDEX('Data Interface'!G:G,$A8))</f>
        <v>0</v>
      </c>
      <c r="CY8" s="442">
        <f>IF($A8="","",INDEX('Data Interface'!H:H,$A8))</f>
        <v>0</v>
      </c>
      <c r="CZ8" s="442">
        <f>IF($A8="","",INDEX('Data Interface'!I:I,$A8))</f>
        <v>0</v>
      </c>
      <c r="DA8" s="442">
        <f>IF($A8="","",INDEX('Data Interface'!J:J,$A8))</f>
        <v>0</v>
      </c>
      <c r="DB8" s="442">
        <f>IF($A8="","",INDEX('Data Interface'!K:K,$A8))</f>
        <v>0</v>
      </c>
      <c r="DC8" s="442">
        <f>IF($A8="","",INDEX('Data Interface'!L:L,$A8))</f>
        <v>0</v>
      </c>
      <c r="DD8" s="442">
        <f>IF($A8="","",INDEX('Data Interface'!M:M,$A8))</f>
        <v>0</v>
      </c>
      <c r="DE8" s="442">
        <f>IF($A8="","",INDEX('Data Interface'!N:N,$A8))</f>
        <v>0</v>
      </c>
      <c r="DF8" s="442">
        <f>IF($A8="","",INDEX('Data Interface'!O:O,$A8))</f>
        <v>0</v>
      </c>
      <c r="DG8" s="442">
        <f>IF($A8="","",INDEX('Data Interface'!P:P,$A8))</f>
        <v>0</v>
      </c>
      <c r="DH8" s="442">
        <f>IF($A8="","",INDEX('Data Interface'!Q:Q,$A8))</f>
        <v>0</v>
      </c>
      <c r="DI8" s="442">
        <f>IF($A8="","",INDEX('Data Interface'!R:R,$A8))</f>
        <v>0</v>
      </c>
      <c r="DJ8" s="442">
        <f>IF($A8="","",INDEX('Data Interface'!S:S,$A8))</f>
        <v>0</v>
      </c>
      <c r="DK8" s="442">
        <f>IF($A8="","",INDEX('Data Interface'!T:T,$A8))</f>
        <v>-45.44109927135284</v>
      </c>
      <c r="DL8" s="442">
        <f>IF($A8="","",INDEX('Data Interface'!U:U,$A8))</f>
        <v>0</v>
      </c>
      <c r="DM8" s="442">
        <f>IF($A8="","",INDEX('Data Interface'!V:V,$A8))</f>
        <v>-79.521923724867477</v>
      </c>
      <c r="DN8" s="442">
        <f>IF($A8="","",INDEX('Data Interface'!W:W,$A8))</f>
        <v>-170.40412226757317</v>
      </c>
      <c r="DO8" s="442">
        <f>IF($A8="","",INDEX('Data Interface'!X:X,$A8))</f>
        <v>-227.20549635676423</v>
      </c>
      <c r="DP8" s="442">
        <f>IF($A8="","",INDEX('Data Interface'!Y:Y,$A8))</f>
        <v>-142.00343522297763</v>
      </c>
      <c r="DQ8" s="442">
        <f>IF($A8="","",INDEX('Data Interface'!Z:Z,$A8))</f>
        <v>-170.40412226757317</v>
      </c>
      <c r="DR8" s="442">
        <f>IF($A8="","",INDEX('Data Interface'!AA:AA,$A8))</f>
        <v>-142.8890070541492</v>
      </c>
      <c r="DS8" s="442">
        <f>IF($A8="","",INDEX('Data Interface'!AB:AB,$A8))</f>
        <v>0</v>
      </c>
      <c r="DT8" s="442">
        <f>IF($A8="","",INDEX('Data Interface'!AC:AC,$A8))</f>
        <v>-152.30871699446692</v>
      </c>
      <c r="DU8" s="442">
        <f>IF($A8="","",INDEX('Data Interface'!AD:AD,$A8))</f>
        <v>0</v>
      </c>
      <c r="DV8" s="442">
        <f>IF($A8="","",INDEX('Data Interface'!AE:AE,$A8))</f>
        <v>-213.60274817838209</v>
      </c>
      <c r="DW8" s="442">
        <f>IF($A8="","",INDEX('Data Interface'!AF:AF,$A8))</f>
        <v>-56.801374089191057</v>
      </c>
      <c r="DX8" s="442">
        <f>IF($A8="","",INDEX('Data Interface'!AG:AG,$A8))</f>
        <v>-45.44109927135284</v>
      </c>
      <c r="DZ8" s="906" t="str">
        <f>IF(OR($B8=0,$A8=0,$H8&lt;&gt;1),"",INDEX(Assumptions!EO:EO,$B8))</f>
        <v/>
      </c>
      <c r="EA8" s="906" t="str">
        <f>IF(OR($B8=0,$A8=0,$H8&lt;&gt;1),"",INDEX(Assumptions!EP:EP,$B8))</f>
        <v/>
      </c>
      <c r="EB8" s="906" t="str">
        <f>IF(OR($B8=0,$A8=0,$H8&lt;&gt;1),"",INDEX(Assumptions!EQ:EQ,$B8))</f>
        <v/>
      </c>
      <c r="EC8" s="906" t="str">
        <f>IF(OR($B8=0,$A8=0,$H8&lt;&gt;1),"",INDEX(Assumptions!ER:ER,$B8))</f>
        <v/>
      </c>
      <c r="ED8" s="906" t="str">
        <f>IF(OR($B8=0,$A8=0,$H8&lt;&gt;1),"",INDEX(Assumptions!ES:ES,$B8))</f>
        <v/>
      </c>
      <c r="EE8" s="906" t="str">
        <f>IF(OR($B8=0,$A8=0,$H8&lt;&gt;1),"",INDEX(Assumptions!ET:ET,$B8))</f>
        <v/>
      </c>
      <c r="EF8" s="906" t="str">
        <f>IF(OR($B8=0,$A8=0,$H8&lt;&gt;1),"",INDEX(Assumptions!EU:EU,$B8))</f>
        <v/>
      </c>
      <c r="EG8" s="906" t="str">
        <f>IF(OR($B8=0,$A8=0,$H8&lt;&gt;1),"",INDEX(Assumptions!EV:EV,$B8))</f>
        <v/>
      </c>
      <c r="EH8" s="906" t="str">
        <f>IF(OR($B8=0,$A8=0,$H8&lt;&gt;1),"",INDEX(Assumptions!EW:EW,$B8))</f>
        <v/>
      </c>
      <c r="EI8" s="906" t="str">
        <f>IF(OR($B8=0,$A8=0,$H8&lt;&gt;1),"",INDEX(Assumptions!EX:EX,$B8))</f>
        <v/>
      </c>
      <c r="EJ8" s="906" t="str">
        <f>IF(OR($B8=0,$A8=0,$H8&lt;&gt;1),"",INDEX(Assumptions!EY:EY,$B8))</f>
        <v/>
      </c>
      <c r="EK8" s="906" t="str">
        <f>IF(OR($B8=0,$A8=0,$H8&lt;&gt;1),"",INDEX(Assumptions!EZ:EZ,$B8))</f>
        <v/>
      </c>
      <c r="EL8" s="906" t="str">
        <f>IF(OR($B8=0,$A8=0,$H8&lt;&gt;1),"",INDEX(Assumptions!FA:FA,$B8))</f>
        <v/>
      </c>
      <c r="EM8" s="906" t="str">
        <f>IF(OR($B8=0,$A8=0,$H8&lt;&gt;1),"",INDEX(Assumptions!FB:FB,$B8))</f>
        <v/>
      </c>
      <c r="EN8" s="906" t="str">
        <f>IF(OR($B8=0,$A8=0,$H8&lt;&gt;1),"",INDEX(Assumptions!FC:FC,$B8))</f>
        <v/>
      </c>
      <c r="EO8" s="906" t="str">
        <f>IF(OR($B8=0,$A8=0,$H8&lt;&gt;1),"",INDEX(Assumptions!FD:FD,$B8))</f>
        <v/>
      </c>
      <c r="EP8" s="906" t="str">
        <f>IF(OR($B8=0,$A8=0,$H8&lt;&gt;1),"",INDEX(Assumptions!FE:FE,$B8))</f>
        <v/>
      </c>
      <c r="EQ8" s="906" t="str">
        <f>IF(OR($B8=0,$A8=0,$H8&lt;&gt;1),"",INDEX(Assumptions!FF:FF,$B8))</f>
        <v/>
      </c>
      <c r="ER8" s="906" t="str">
        <f>IF(OR($B8=0,$A8=0,$H8&lt;&gt;1),"",INDEX(Assumptions!FG:FG,$B8))</f>
        <v/>
      </c>
      <c r="ES8" s="906" t="str">
        <f>IF(OR($B8=0,$A8=0,$H8&lt;&gt;1),"",INDEX(Assumptions!FH:FH,$B8))</f>
        <v/>
      </c>
      <c r="ET8" s="906" t="str">
        <f>IF(OR($B8=0,$A8=0,$H8&lt;&gt;1),"",INDEX(Assumptions!FI:FI,$B8))</f>
        <v/>
      </c>
      <c r="EU8" s="906" t="str">
        <f>IF(OR($B8=0,$A8=0,$H8&lt;&gt;1),"",INDEX(Assumptions!FJ:FJ,$B8))</f>
        <v/>
      </c>
      <c r="EV8" s="906" t="str">
        <f>IF(OR($B8=0,$A8=0,$H8&lt;&gt;1),"",INDEX(Assumptions!FK:FK,$B8))</f>
        <v/>
      </c>
      <c r="EW8" s="906" t="str">
        <f>IF(OR($B8=0,$A8=0,$H8&lt;&gt;1),"",INDEX(Assumptions!FL:FL,$B8))</f>
        <v/>
      </c>
      <c r="EX8" s="906" t="str">
        <f>IF(OR($B8=0,$A8=0,$H8&lt;&gt;1),"",INDEX(Assumptions!FM:FM,$B8))</f>
        <v/>
      </c>
      <c r="EY8" s="906" t="str">
        <f>IF(OR($B8=0,$A8=0,$H8&lt;&gt;1),"",INDEX(Assumptions!FN:FN,$B8))</f>
        <v/>
      </c>
      <c r="EZ8" s="906" t="str">
        <f>IF(OR($B8=0,$A8=0,$H8&lt;&gt;1),"",INDEX(Assumptions!FO:FO,$B8))</f>
        <v/>
      </c>
    </row>
    <row r="9" spans="1:162">
      <c r="A9" s="440">
        <f>IFERROR(MATCH(C9,'Data Interface'!B:B,0),0)</f>
        <v>4</v>
      </c>
      <c r="B9" s="440">
        <f>IFERROR(MATCH(C9,Assumptions!$B:$B,0),0)</f>
        <v>2</v>
      </c>
      <c r="C9" s="441">
        <v>3.1</v>
      </c>
      <c r="E9" s="441" t="s">
        <v>1218</v>
      </c>
      <c r="F9" s="440" t="s">
        <v>38</v>
      </c>
      <c r="G9" s="440" t="str">
        <f>IF(A9=0,"",INDEX('Data Interface'!$C:$C,$A9))</f>
        <v>Due From Banks (IB / Affiliates)</v>
      </c>
      <c r="H9" s="440">
        <v>1</v>
      </c>
      <c r="I9" s="819">
        <f t="shared" ca="1" si="10"/>
        <v>0.5</v>
      </c>
      <c r="J9" s="819">
        <f t="shared" ca="1" si="11"/>
        <v>0.5</v>
      </c>
      <c r="K9" s="439" t="str">
        <f t="shared" ca="1" si="12"/>
        <v>50% of Contractual Maturity</v>
      </c>
      <c r="L9" s="439" t="s">
        <v>1147</v>
      </c>
      <c r="M9" s="439" t="s">
        <v>1472</v>
      </c>
      <c r="O9" s="442">
        <f>IF(OR($A9="",$A9=0),0,INDEX('Data Interface'!D:D,$A9))</f>
        <v>-1476.8092643599998</v>
      </c>
      <c r="P9" s="442">
        <f ca="1">$O9-SUM($AS9:AS9)</f>
        <v>-1450.0952136899998</v>
      </c>
      <c r="Q9" s="442">
        <f ca="1">$O9-SUM($AS9:AT9)</f>
        <v>-1311.9046321799999</v>
      </c>
      <c r="R9" s="442">
        <f ca="1">$O9-SUM($AS9:AU9)</f>
        <v>-1311.9046321799999</v>
      </c>
      <c r="S9" s="442">
        <f ca="1">$O9-SUM($AS9:AV9)</f>
        <v>-1311.9046321799999</v>
      </c>
      <c r="T9" s="442">
        <f ca="1">$O9-SUM($AS9:AW9)</f>
        <v>-1311.9046321799999</v>
      </c>
      <c r="U9" s="442">
        <f ca="1">$O9-SUM($AS9:AX9)</f>
        <v>-1311.9046321799999</v>
      </c>
      <c r="V9" s="442">
        <f ca="1">$O9-SUM($AS9:AY9)</f>
        <v>-1311.9046321799999</v>
      </c>
      <c r="W9" s="442">
        <f ca="1">$O9-SUM($AS9:AZ9)</f>
        <v>-1311.9046321799999</v>
      </c>
      <c r="X9" s="442">
        <f ca="1">$O9-SUM($AS9:BA9)</f>
        <v>-1311.9046321799999</v>
      </c>
      <c r="Y9" s="442">
        <f ca="1">$O9-SUM($AS9:BB9)</f>
        <v>-1311.9046321799999</v>
      </c>
      <c r="Z9" s="442">
        <f ca="1">$O9-SUM($AS9:BC9)</f>
        <v>-1311.9046321799999</v>
      </c>
      <c r="AA9" s="442">
        <f ca="1">$O9-SUM($AS9:BD9)</f>
        <v>-1311.9046321799999</v>
      </c>
      <c r="AB9" s="442">
        <f ca="1">$O9-SUM($AS9:BE9)</f>
        <v>-1311.9046321799999</v>
      </c>
      <c r="AC9" s="442">
        <f ca="1">$O9-SUM($AS9:BF9)</f>
        <v>-1311.9046321799999</v>
      </c>
      <c r="AD9" s="442">
        <f ca="1">$O9-SUM($AS9:BG9)</f>
        <v>-1311.9046321799999</v>
      </c>
      <c r="AE9" s="442">
        <f ca="1">$O9-SUM($AS9:BH9)</f>
        <v>-1286.9046321799999</v>
      </c>
      <c r="AF9" s="442">
        <f ca="1">$O9-SUM($AS9:BI9)</f>
        <v>-1136.9046321799997</v>
      </c>
      <c r="AG9" s="442">
        <f ca="1">$O9-SUM($AS9:BJ9)</f>
        <v>-988.40463217999979</v>
      </c>
      <c r="AH9" s="442">
        <f ca="1">$O9-SUM($AS9:BK9)</f>
        <v>-988.40463217999979</v>
      </c>
      <c r="AI9" s="442">
        <f ca="1">$O9-SUM($AS9:BL9)</f>
        <v>-988.40463217999979</v>
      </c>
      <c r="AJ9" s="442">
        <f ca="1">$O9-SUM($AS9:BM9)</f>
        <v>-988.40463217999979</v>
      </c>
      <c r="AK9" s="442">
        <f ca="1">$O9-SUM($AS9:BN9)</f>
        <v>-988.40463217999979</v>
      </c>
      <c r="AL9" s="442">
        <f ca="1">$O9-SUM($AS9:BO9)</f>
        <v>-988.40463217999979</v>
      </c>
      <c r="AM9" s="442">
        <f ca="1">$O9-SUM($AS9:BP9)</f>
        <v>-988.40463217999979</v>
      </c>
      <c r="AN9" s="442">
        <f ca="1">$O9-SUM($AS9:BQ9)</f>
        <v>-988.40463217999979</v>
      </c>
      <c r="AO9" s="442">
        <f ca="1">$O9-SUM($AS9:BR9)</f>
        <v>-988.40463217999979</v>
      </c>
      <c r="AP9" s="442">
        <f ca="1">$O9-SUM($AS9:BS9)</f>
        <v>-988.40463217999979</v>
      </c>
      <c r="AR9" s="439" t="s">
        <v>1201</v>
      </c>
      <c r="AS9" s="442">
        <f ca="1">IF($H9="",0,IF($H9=1,IF('Para Adj'!$B$5 = 1,O9-($O9-SUMPRODUCT($CX9:CX9,$BU9:BU9))*(1-SUM($DZ9:DZ9)),BU9*CX9),$O9*BU9))</f>
        <v>-26.714050670000006</v>
      </c>
      <c r="AT9" s="442">
        <f ca="1">IF($H9="",0,IF($H9=1,IF('Para Adj'!$B$5 = 1,P9-($O9-SUMPRODUCT($CX9:CY9,$BU9:BV9))*(1-SUM($DZ9:EA9)),BV9*CY9),$O9*BV9))</f>
        <v>-138.1905815099999</v>
      </c>
      <c r="AU9" s="442">
        <f ca="1">IF($H9="",0,IF($H9=1,IF('Para Adj'!$B$5 = 1,Q9-($O9-SUMPRODUCT($CX9:CZ9,$BU9:BW9))*(1-SUM($DZ9:EB9)),BW9*CZ9),$O9*BW9))</f>
        <v>0</v>
      </c>
      <c r="AV9" s="442">
        <f ca="1">IF($H9="",0,IF($H9=1,IF('Para Adj'!$B$5 = 1,R9-($O9-SUMPRODUCT($CX9:DA9,$BU9:BX9))*(1-SUM($DZ9:EC9)),BX9*DA9),$O9*BX9))</f>
        <v>0</v>
      </c>
      <c r="AW9" s="442">
        <f ca="1">IF($H9="",0,IF($H9=1,IF('Para Adj'!$B$5 = 1,S9-($O9-SUMPRODUCT($CX9:DB9,$BU9:BY9))*(1-SUM($DZ9:ED9)),BY9*DB9),$O9*BY9))</f>
        <v>0</v>
      </c>
      <c r="AX9" s="442">
        <f ca="1">IF($H9="",0,IF($H9=1,IF('Para Adj'!$B$5 = 1,T9-($O9-SUMPRODUCT($CX9:DC9,$BU9:BZ9))*(1-SUM($DZ9:EE9)),BZ9*DC9),$O9*BZ9))</f>
        <v>0</v>
      </c>
      <c r="AY9" s="442">
        <f ca="1">IF($H9="",0,IF($H9=1,IF('Para Adj'!$B$5 = 1,U9-($O9-SUMPRODUCT($CX9:DD9,$BU9:CA9))*(1-SUM($DZ9:EF9)),CA9*DD9),$O9*CA9))</f>
        <v>0</v>
      </c>
      <c r="AZ9" s="442">
        <f ca="1">IF($H9="",0,IF($H9=1,IF('Para Adj'!$B$5 = 1,V9-($O9-SUMPRODUCT($CX9:DE9,$BU9:CB9))*(1-SUM($DZ9:EG9)),CB9*DE9),$O9*CB9))</f>
        <v>0</v>
      </c>
      <c r="BA9" s="442">
        <f ca="1">IF($H9="",0,IF($H9=1,IF('Para Adj'!$B$5 = 1,W9-($O9-SUMPRODUCT($CX9:DF9,$BU9:CC9))*(1-SUM($DZ9:EH9)),CC9*DF9),$O9*CC9))</f>
        <v>0</v>
      </c>
      <c r="BB9" s="442">
        <f ca="1">IF($H9="",0,IF($H9=1,IF('Para Adj'!$B$5 = 1,X9-($O9-SUMPRODUCT($CX9:DG9,$BU9:CD9))*(1-SUM($DZ9:EI9)),CD9*DG9),$O9*CD9))</f>
        <v>0</v>
      </c>
      <c r="BC9" s="442">
        <f ca="1">IF($H9="",0,IF($H9=1,IF('Para Adj'!$B$5 = 1,Y9-($O9-SUMPRODUCT($CX9:DH9,$BU9:CE9))*(1-SUM($DZ9:EJ9)),CE9*DH9),$O9*CE9))</f>
        <v>0</v>
      </c>
      <c r="BD9" s="442">
        <f ca="1">IF($H9="",0,IF($H9=1,IF('Para Adj'!$B$5 = 1,Z9-($O9-SUMPRODUCT($CX9:DI9,$BU9:CF9))*(1-SUM($DZ9:EK9)),CF9*DI9),$O9*CF9))</f>
        <v>0</v>
      </c>
      <c r="BE9" s="442">
        <f ca="1">IF($H9="",0,IF($H9=1,IF('Para Adj'!$B$5 = 1,AA9-($O9-SUMPRODUCT($CX9:DJ9,$BU9:CG9))*(1-SUM($DZ9:EL9)),CG9*DJ9),$O9*CG9))</f>
        <v>0</v>
      </c>
      <c r="BF9" s="442">
        <f ca="1">IF($H9="",0,IF($H9=1,IF('Para Adj'!$B$5 = 1,AB9-($O9-SUMPRODUCT($CX9:DK9,$BU9:CH9))*(1-SUM($DZ9:EM9)),CH9*DK9),$O9*CH9))</f>
        <v>0</v>
      </c>
      <c r="BG9" s="442">
        <f ca="1">IF($H9="",0,IF($H9=1,IF('Para Adj'!$B$5 = 1,AC9-($O9-SUMPRODUCT($CX9:DL9,$BU9:CI9))*(1-SUM($DZ9:EN9)),CI9*DL9),$O9*CI9))</f>
        <v>0</v>
      </c>
      <c r="BH9" s="442">
        <f ca="1">IF($H9="",0,IF($H9=1,IF('Para Adj'!$B$5 = 1,AD9-($O9-SUMPRODUCT($CX9:DM9,$BU9:CJ9))*(1-SUM($DZ9:EO9)),CJ9*DM9),$O9*CJ9))</f>
        <v>-25</v>
      </c>
      <c r="BI9" s="442">
        <f ca="1">IF($H9="",0,IF($H9=1,IF('Para Adj'!$B$5 = 1,AE9-($O9-SUMPRODUCT($CX9:DN9,$BU9:CK9))*(1-SUM($DZ9:EP9)),CK9*DN9),$O9*CK9))</f>
        <v>-150.00000000000023</v>
      </c>
      <c r="BJ9" s="442">
        <f ca="1">IF($H9="",0,IF($H9=1,IF('Para Adj'!$B$5 = 1,AF9-($O9-SUMPRODUCT($CX9:DO9,$BU9:CL9))*(1-SUM($DZ9:EQ9)),CL9*DO9),$O9*CL9))</f>
        <v>-148.49999999999989</v>
      </c>
      <c r="BK9" s="442">
        <f ca="1">IF($H9="",0,IF($H9=1,IF('Para Adj'!$B$5 = 1,AG9-($O9-SUMPRODUCT($CX9:DP9,$BU9:CM9))*(1-SUM($DZ9:ER9)),CM9*DP9),$O9*CM9))</f>
        <v>0</v>
      </c>
      <c r="BL9" s="442">
        <f ca="1">IF($H9="",0,IF($H9=1,IF('Para Adj'!$B$5 = 1,AH9-($O9-SUMPRODUCT($CX9:DQ9,$BU9:CN9))*(1-SUM($DZ9:ES9)),CN9*DQ9),$O9*CN9))</f>
        <v>0</v>
      </c>
      <c r="BM9" s="442">
        <f ca="1">IF($H9="",0,IF($H9=1,IF('Para Adj'!$B$5 = 1,AI9-($O9-SUMPRODUCT($CX9:DR9,$BU9:CO9))*(1-SUM($DZ9:ET9)),CO9*DR9),$O9*CO9))</f>
        <v>0</v>
      </c>
      <c r="BN9" s="442">
        <f ca="1">IF($H9="",0,IF($H9=1,IF('Para Adj'!$B$5 = 1,AJ9-($O9-SUMPRODUCT($CX9:DS9,$BU9:CP9))*(1-SUM($DZ9:EU9)),CP9*DS9),$O9*CP9))</f>
        <v>0</v>
      </c>
      <c r="BO9" s="442">
        <f ca="1">IF($H9="",0,IF($H9=1,IF('Para Adj'!$B$5 = 1,AK9-($O9-SUMPRODUCT($CX9:DT9,$BU9:CQ9))*(1-SUM($DZ9:EV9)),CQ9*DT9),$O9*CQ9))</f>
        <v>0</v>
      </c>
      <c r="BP9" s="442">
        <f ca="1">IF($H9="",0,IF($H9=1,IF('Para Adj'!$B$5 = 1,AL9-($O9-SUMPRODUCT($CX9:DU9,$BU9:CR9))*(1-SUM($DZ9:EW9)),CR9*DU9),$O9*CR9))</f>
        <v>0</v>
      </c>
      <c r="BQ9" s="442">
        <f ca="1">IF($H9="",0,IF($H9=1,IF('Para Adj'!$B$5 = 1,AM9-($O9-SUMPRODUCT($CX9:DV9,$BU9:CS9))*(1-SUM($DZ9:EX9)),CS9*DV9),$O9*CS9))</f>
        <v>0</v>
      </c>
      <c r="BR9" s="442">
        <f ca="1">IF($H9="",0,IF($H9=1,IF('Para Adj'!$B$5 = 1,AN9-($O9-SUMPRODUCT($CX9:DW9,$BU9:CT9))*(1-SUM($DZ9:EY9)),CT9*DW9),$O9*CT9))</f>
        <v>0</v>
      </c>
      <c r="BS9" s="442">
        <f ca="1">IF($H9="",0,IF($H9=1,IF('Para Adj'!$B$5 = 1,AO9-($O9-SUMPRODUCT($CX9:DX9,$BU9:CU9))*(1-SUM($DZ9:EZ9)),CU9*DX9),$O9*CU9))</f>
        <v>0</v>
      </c>
      <c r="BU9" s="820">
        <f ca="1">IF($B9=0,"",INDEX(Assumptions!G:G,$B9))</f>
        <v>0.5</v>
      </c>
      <c r="BV9" s="820">
        <f ca="1">IF($B9=0,"",INDEX(Assumptions!H:H,$B9))</f>
        <v>0.5</v>
      </c>
      <c r="BW9" s="820">
        <f ca="1">IF($B9=0,"",INDEX(Assumptions!I:I,$B9))</f>
        <v>0.5</v>
      </c>
      <c r="BX9" s="820">
        <f ca="1">IF($B9=0,"",INDEX(Assumptions!J:J,$B9))</f>
        <v>0.5</v>
      </c>
      <c r="BY9" s="820">
        <f ca="1">IF($B9=0,"",INDEX(Assumptions!K:K,$B9))</f>
        <v>0.5</v>
      </c>
      <c r="BZ9" s="820">
        <f ca="1">IF($B9=0,"",INDEX(Assumptions!L:L,$B9))</f>
        <v>0.5</v>
      </c>
      <c r="CA9" s="820">
        <f ca="1">IF($B9=0,"",INDEX(Assumptions!M:M,$B9))</f>
        <v>0.5</v>
      </c>
      <c r="CB9" s="820">
        <f ca="1">IF($B9=0,"",INDEX(Assumptions!N:N,$B9))</f>
        <v>0.5</v>
      </c>
      <c r="CC9" s="820">
        <f ca="1">IF($B9=0,"",INDEX(Assumptions!O:O,$B9))</f>
        <v>0.5</v>
      </c>
      <c r="CD9" s="820">
        <f ca="1">IF($B9=0,"",INDEX(Assumptions!P:P,$B9))</f>
        <v>0.5</v>
      </c>
      <c r="CE9" s="820">
        <f ca="1">IF($B9=0,"",INDEX(Assumptions!Q:Q,$B9))</f>
        <v>0.5</v>
      </c>
      <c r="CF9" s="820">
        <f ca="1">IF($B9=0,"",INDEX(Assumptions!R:R,$B9))</f>
        <v>0.5</v>
      </c>
      <c r="CG9" s="820">
        <f ca="1">IF($B9=0,"",INDEX(Assumptions!S:S,$B9))</f>
        <v>0.5</v>
      </c>
      <c r="CH9" s="820">
        <f ca="1">IF($B9=0,"",INDEX(Assumptions!T:T,$B9))</f>
        <v>0.5</v>
      </c>
      <c r="CI9" s="820">
        <f ca="1">IF($B9=0,"",INDEX(Assumptions!U:U,$B9))</f>
        <v>0.5</v>
      </c>
      <c r="CJ9" s="820">
        <f ca="1">IF($B9=0,"",INDEX(Assumptions!V:V,$B9))</f>
        <v>0.5</v>
      </c>
      <c r="CK9" s="820">
        <f ca="1">IF($B9=0,"",INDEX(Assumptions!W:W,$B9))</f>
        <v>0.5</v>
      </c>
      <c r="CL9" s="820">
        <f ca="1">IF($B9=0,"",INDEX(Assumptions!X:X,$B9))</f>
        <v>0.5</v>
      </c>
      <c r="CM9" s="820">
        <f ca="1">IF($B9=0,"",INDEX(Assumptions!Y:Y,$B9))</f>
        <v>0.5</v>
      </c>
      <c r="CN9" s="820">
        <f ca="1">IF($B9=0,"",INDEX(Assumptions!Z:Z,$B9))</f>
        <v>0.5</v>
      </c>
      <c r="CO9" s="820">
        <f ca="1">IF($B9=0,"",INDEX(Assumptions!AA:AA,$B9))</f>
        <v>0.5</v>
      </c>
      <c r="CP9" s="820">
        <f ca="1">IF($B9=0,"",INDEX(Assumptions!AB:AB,$B9))</f>
        <v>0.5</v>
      </c>
      <c r="CQ9" s="820">
        <f ca="1">IF($B9=0,"",INDEX(Assumptions!AC:AC,$B9))</f>
        <v>0.5</v>
      </c>
      <c r="CR9" s="820">
        <f ca="1">IF($B9=0,"",INDEX(Assumptions!AD:AD,$B9))</f>
        <v>0.5</v>
      </c>
      <c r="CS9" s="820">
        <f ca="1">IF($B9=0,"",INDEX(Assumptions!AE:AE,$B9))</f>
        <v>0.5</v>
      </c>
      <c r="CT9" s="820">
        <f ca="1">IF($B9=0,"",INDEX(Assumptions!AF:AF,$B9))</f>
        <v>0.5</v>
      </c>
      <c r="CU9" s="820">
        <f ca="1">IF($B9=0,"",INDEX(Assumptions!AG:AG,$B9))</f>
        <v>0.5</v>
      </c>
      <c r="CX9" s="442">
        <f>IF($A9="","",INDEX('Data Interface'!G:G,$A9))</f>
        <v>-53.428101340000005</v>
      </c>
      <c r="CY9" s="442">
        <f>IF($A9="","",INDEX('Data Interface'!H:H,$A9))</f>
        <v>-276.38116301999997</v>
      </c>
      <c r="CZ9" s="442">
        <f>IF($A9="","",INDEX('Data Interface'!I:I,$A9))</f>
        <v>0</v>
      </c>
      <c r="DA9" s="442">
        <f>IF($A9="","",INDEX('Data Interface'!J:J,$A9))</f>
        <v>0</v>
      </c>
      <c r="DB9" s="442">
        <f>IF($A9="","",INDEX('Data Interface'!K:K,$A9))</f>
        <v>0</v>
      </c>
      <c r="DC9" s="442">
        <f>IF($A9="","",INDEX('Data Interface'!L:L,$A9))</f>
        <v>0</v>
      </c>
      <c r="DD9" s="442">
        <f>IF($A9="","",INDEX('Data Interface'!M:M,$A9))</f>
        <v>0</v>
      </c>
      <c r="DE9" s="442">
        <f>IF($A9="","",INDEX('Data Interface'!N:N,$A9))</f>
        <v>0</v>
      </c>
      <c r="DF9" s="442">
        <f>IF($A9="","",INDEX('Data Interface'!O:O,$A9))</f>
        <v>0</v>
      </c>
      <c r="DG9" s="442">
        <f>IF($A9="","",INDEX('Data Interface'!P:P,$A9))</f>
        <v>0</v>
      </c>
      <c r="DH9" s="442">
        <f>IF($A9="","",INDEX('Data Interface'!Q:Q,$A9))</f>
        <v>0</v>
      </c>
      <c r="DI9" s="442">
        <f>IF($A9="","",INDEX('Data Interface'!R:R,$A9))</f>
        <v>0</v>
      </c>
      <c r="DJ9" s="442">
        <f>IF($A9="","",INDEX('Data Interface'!S:S,$A9))</f>
        <v>0</v>
      </c>
      <c r="DK9" s="442">
        <f>IF($A9="","",INDEX('Data Interface'!T:T,$A9))</f>
        <v>0</v>
      </c>
      <c r="DL9" s="442">
        <f>IF($A9="","",INDEX('Data Interface'!U:U,$A9))</f>
        <v>0</v>
      </c>
      <c r="DM9" s="442">
        <f>IF($A9="","",INDEX('Data Interface'!V:V,$A9))</f>
        <v>-50</v>
      </c>
      <c r="DN9" s="442">
        <f>IF($A9="","",INDEX('Data Interface'!W:W,$A9))</f>
        <v>-300</v>
      </c>
      <c r="DO9" s="442">
        <f>IF($A9="","",INDEX('Data Interface'!X:X,$A9))</f>
        <v>-297</v>
      </c>
      <c r="DP9" s="442">
        <f>IF($A9="","",INDEX('Data Interface'!Y:Y,$A9))</f>
        <v>0</v>
      </c>
      <c r="DQ9" s="442">
        <f>IF($A9="","",INDEX('Data Interface'!Z:Z,$A9))</f>
        <v>0</v>
      </c>
      <c r="DR9" s="442">
        <f>IF($A9="","",INDEX('Data Interface'!AA:AA,$A9))</f>
        <v>0</v>
      </c>
      <c r="DS9" s="442">
        <f>IF($A9="","",INDEX('Data Interface'!AB:AB,$A9))</f>
        <v>0</v>
      </c>
      <c r="DT9" s="442">
        <f>IF($A9="","",INDEX('Data Interface'!AC:AC,$A9))</f>
        <v>0</v>
      </c>
      <c r="DU9" s="442">
        <f>IF($A9="","",INDEX('Data Interface'!AD:AD,$A9))</f>
        <v>0</v>
      </c>
      <c r="DV9" s="442">
        <f>IF($A9="","",INDEX('Data Interface'!AE:AE,$A9))</f>
        <v>0</v>
      </c>
      <c r="DW9" s="442">
        <f>IF($A9="","",INDEX('Data Interface'!AF:AF,$A9))</f>
        <v>0</v>
      </c>
      <c r="DX9" s="442">
        <f>IF($A9="","",INDEX('Data Interface'!AG:AG,$A9))</f>
        <v>0</v>
      </c>
      <c r="DZ9" s="906">
        <f>IF(OR($B9=0,$A9=0,$H9&lt;&gt;1),"",INDEX(Assumptions!EO:EO,$B9))</f>
        <v>0</v>
      </c>
      <c r="EA9" s="906">
        <f>IF(OR($B9=0,$A9=0,$H9&lt;&gt;1),"",INDEX(Assumptions!EP:EP,$B9))</f>
        <v>0</v>
      </c>
      <c r="EB9" s="906">
        <f>IF(OR($B9=0,$A9=0,$H9&lt;&gt;1),"",INDEX(Assumptions!EQ:EQ,$B9))</f>
        <v>0</v>
      </c>
      <c r="EC9" s="906">
        <f>IF(OR($B9=0,$A9=0,$H9&lt;&gt;1),"",INDEX(Assumptions!ER:ER,$B9))</f>
        <v>0</v>
      </c>
      <c r="ED9" s="906">
        <f>IF(OR($B9=0,$A9=0,$H9&lt;&gt;1),"",INDEX(Assumptions!ES:ES,$B9))</f>
        <v>0</v>
      </c>
      <c r="EE9" s="906">
        <f>IF(OR($B9=0,$A9=0,$H9&lt;&gt;1),"",INDEX(Assumptions!ET:ET,$B9))</f>
        <v>0</v>
      </c>
      <c r="EF9" s="906">
        <f>IF(OR($B9=0,$A9=0,$H9&lt;&gt;1),"",INDEX(Assumptions!EU:EU,$B9))</f>
        <v>0</v>
      </c>
      <c r="EG9" s="906">
        <f>IF(OR($B9=0,$A9=0,$H9&lt;&gt;1),"",INDEX(Assumptions!EV:EV,$B9))</f>
        <v>0</v>
      </c>
      <c r="EH9" s="906">
        <f>IF(OR($B9=0,$A9=0,$H9&lt;&gt;1),"",INDEX(Assumptions!EW:EW,$B9))</f>
        <v>0</v>
      </c>
      <c r="EI9" s="906">
        <f>IF(OR($B9=0,$A9=0,$H9&lt;&gt;1),"",INDEX(Assumptions!EX:EX,$B9))</f>
        <v>0</v>
      </c>
      <c r="EJ9" s="906">
        <f>IF(OR($B9=0,$A9=0,$H9&lt;&gt;1),"",INDEX(Assumptions!EY:EY,$B9))</f>
        <v>0</v>
      </c>
      <c r="EK9" s="906">
        <f>IF(OR($B9=0,$A9=0,$H9&lt;&gt;1),"",INDEX(Assumptions!EZ:EZ,$B9))</f>
        <v>0</v>
      </c>
      <c r="EL9" s="906">
        <f>IF(OR($B9=0,$A9=0,$H9&lt;&gt;1),"",INDEX(Assumptions!FA:FA,$B9))</f>
        <v>0</v>
      </c>
      <c r="EM9" s="906">
        <f>IF(OR($B9=0,$A9=0,$H9&lt;&gt;1),"",INDEX(Assumptions!FB:FB,$B9))</f>
        <v>0</v>
      </c>
      <c r="EN9" s="906">
        <f>IF(OR($B9=0,$A9=0,$H9&lt;&gt;1),"",INDEX(Assumptions!FC:FC,$B9))</f>
        <v>0</v>
      </c>
      <c r="EO9" s="906">
        <f>IF(OR($B9=0,$A9=0,$H9&lt;&gt;1),"",INDEX(Assumptions!FD:FD,$B9))</f>
        <v>0</v>
      </c>
      <c r="EP9" s="906">
        <f>IF(OR($B9=0,$A9=0,$H9&lt;&gt;1),"",INDEX(Assumptions!FE:FE,$B9))</f>
        <v>0</v>
      </c>
      <c r="EQ9" s="906">
        <f>IF(OR($B9=0,$A9=0,$H9&lt;&gt;1),"",INDEX(Assumptions!FF:FF,$B9))</f>
        <v>0</v>
      </c>
      <c r="ER9" s="906">
        <f>IF(OR($B9=0,$A9=0,$H9&lt;&gt;1),"",INDEX(Assumptions!FG:FG,$B9))</f>
        <v>0</v>
      </c>
      <c r="ES9" s="906">
        <f>IF(OR($B9=0,$A9=0,$H9&lt;&gt;1),"",INDEX(Assumptions!FH:FH,$B9))</f>
        <v>0</v>
      </c>
      <c r="ET9" s="906">
        <f>IF(OR($B9=0,$A9=0,$H9&lt;&gt;1),"",INDEX(Assumptions!FI:FI,$B9))</f>
        <v>0</v>
      </c>
      <c r="EU9" s="906">
        <f>IF(OR($B9=0,$A9=0,$H9&lt;&gt;1),"",INDEX(Assumptions!FJ:FJ,$B9))</f>
        <v>0</v>
      </c>
      <c r="EV9" s="906">
        <f>IF(OR($B9=0,$A9=0,$H9&lt;&gt;1),"",INDEX(Assumptions!FK:FK,$B9))</f>
        <v>0</v>
      </c>
      <c r="EW9" s="906">
        <f>IF(OR($B9=0,$A9=0,$H9&lt;&gt;1),"",INDEX(Assumptions!FL:FL,$B9))</f>
        <v>0</v>
      </c>
      <c r="EX9" s="906">
        <f>IF(OR($B9=0,$A9=0,$H9&lt;&gt;1),"",INDEX(Assumptions!FM:FM,$B9))</f>
        <v>0</v>
      </c>
      <c r="EY9" s="906">
        <f>IF(OR($B9=0,$A9=0,$H9&lt;&gt;1),"",INDEX(Assumptions!FN:FN,$B9))</f>
        <v>0</v>
      </c>
      <c r="EZ9" s="906">
        <f>IF(OR($B9=0,$A9=0,$H9&lt;&gt;1),"",INDEX(Assumptions!FO:FO,$B9))</f>
        <v>0</v>
      </c>
      <c r="FB9" s="820" t="str">
        <f t="shared" ref="FB9" si="13">IF(AND(DZ9&lt;&gt;0,DZ9&lt;&gt;""),SUM(AS9:BF9),"")</f>
        <v/>
      </c>
      <c r="FC9" s="820" t="str">
        <f t="shared" ref="FC9" si="14">IF(AND($DZ9&lt;&gt;0,$DZ9&lt;&gt;""),SUM(DZ9:EM9),"")</f>
        <v/>
      </c>
      <c r="FD9" s="820" t="str">
        <f t="shared" ref="FD9" si="15">IF(AND($DZ9&lt;&gt;"",$DZ9&lt;&gt;0),SUM(DZ9:EM9)*O9,"")</f>
        <v/>
      </c>
      <c r="FE9" s="820" t="str">
        <f t="shared" ref="FE9" si="16">IF(AND($DZ9&lt;&gt;0,$DZ9&lt;&gt;""),SUMPRODUCT(CX9:DK9,BU9:CH9)*(1-SUM(DZ9:EM9)),"")</f>
        <v/>
      </c>
      <c r="FF9" s="820" t="str">
        <f t="shared" ref="FF9" si="17">IF(AND($DZ9&lt;&gt;"",$DZ9&lt;&gt;0),FB9-FD9-FE9,"")</f>
        <v/>
      </c>
    </row>
    <row r="10" spans="1:162">
      <c r="A10" s="440">
        <f>IFERROR(MATCH(C10,'Data Interface'!B:B,0),0)</f>
        <v>5</v>
      </c>
      <c r="B10" s="440">
        <f>IFERROR(MATCH(C10,Assumptions!$B:$B,0),0)</f>
        <v>3</v>
      </c>
      <c r="C10" s="441">
        <v>3.2</v>
      </c>
      <c r="E10" s="441" t="s">
        <v>1218</v>
      </c>
      <c r="F10" s="440" t="s">
        <v>38</v>
      </c>
      <c r="G10" s="440" t="str">
        <f>IF(A10=0,"",INDEX('Data Interface'!$C:$C,$A10))</f>
        <v>Due From Banks (3rd Party FI)</v>
      </c>
      <c r="H10" s="440">
        <v>1</v>
      </c>
      <c r="I10" s="819">
        <f t="shared" ca="1" si="10"/>
        <v>1</v>
      </c>
      <c r="J10" s="819">
        <f t="shared" ca="1" si="11"/>
        <v>1</v>
      </c>
      <c r="K10" s="439" t="str">
        <f t="shared" ca="1" si="12"/>
        <v>100% of Contractual Maturity</v>
      </c>
      <c r="L10" s="439" t="s">
        <v>1146</v>
      </c>
      <c r="M10" s="439" t="s">
        <v>1493</v>
      </c>
      <c r="O10" s="442">
        <f>IF(OR($A10="",$A10=0),0,INDEX('Data Interface'!D:D,$A10))</f>
        <v>-2.440110439999847</v>
      </c>
      <c r="P10" s="442">
        <f ca="1">$O10-SUM($AS10:AS10)</f>
        <v>0</v>
      </c>
      <c r="Q10" s="442">
        <f ca="1">$O10-SUM($AS10:AT10)</f>
        <v>0</v>
      </c>
      <c r="R10" s="442">
        <f ca="1">$O10-SUM($AS10:AU10)</f>
        <v>0</v>
      </c>
      <c r="S10" s="442">
        <f ca="1">$O10-SUM($AS10:AV10)</f>
        <v>0</v>
      </c>
      <c r="T10" s="442">
        <f ca="1">$O10-SUM($AS10:AW10)</f>
        <v>0</v>
      </c>
      <c r="U10" s="442">
        <f ca="1">$O10-SUM($AS10:AX10)</f>
        <v>0</v>
      </c>
      <c r="V10" s="442">
        <f ca="1">$O10-SUM($AS10:AY10)</f>
        <v>0</v>
      </c>
      <c r="W10" s="442">
        <f ca="1">$O10-SUM($AS10:AZ10)</f>
        <v>0</v>
      </c>
      <c r="X10" s="442">
        <f ca="1">$O10-SUM($AS10:BA10)</f>
        <v>0</v>
      </c>
      <c r="Y10" s="442">
        <f ca="1">$O10-SUM($AS10:BB10)</f>
        <v>0</v>
      </c>
      <c r="Z10" s="442">
        <f ca="1">$O10-SUM($AS10:BC10)</f>
        <v>0</v>
      </c>
      <c r="AA10" s="442">
        <f ca="1">$O10-SUM($AS10:BD10)</f>
        <v>0</v>
      </c>
      <c r="AB10" s="442">
        <f ca="1">$O10-SUM($AS10:BE10)</f>
        <v>0</v>
      </c>
      <c r="AC10" s="442">
        <f ca="1">$O10-SUM($AS10:BF10)</f>
        <v>0</v>
      </c>
      <c r="AD10" s="442">
        <f ca="1">$O10-SUM($AS10:BG10)</f>
        <v>0</v>
      </c>
      <c r="AE10" s="442">
        <f ca="1">$O10-SUM($AS10:BH10)</f>
        <v>0</v>
      </c>
      <c r="AF10" s="442">
        <f ca="1">$O10-SUM($AS10:BI10)</f>
        <v>0</v>
      </c>
      <c r="AG10" s="442">
        <f ca="1">$O10-SUM($AS10:BJ10)</f>
        <v>0</v>
      </c>
      <c r="AH10" s="442">
        <f ca="1">$O10-SUM($AS10:BK10)</f>
        <v>0</v>
      </c>
      <c r="AI10" s="442">
        <f ca="1">$O10-SUM($AS10:BL10)</f>
        <v>0</v>
      </c>
      <c r="AJ10" s="442">
        <f ca="1">$O10-SUM($AS10:BM10)</f>
        <v>0</v>
      </c>
      <c r="AK10" s="442">
        <f ca="1">$O10-SUM($AS10:BN10)</f>
        <v>0</v>
      </c>
      <c r="AL10" s="442">
        <f ca="1">$O10-SUM($AS10:BO10)</f>
        <v>0</v>
      </c>
      <c r="AM10" s="442">
        <f ca="1">$O10-SUM($AS10:BP10)</f>
        <v>0</v>
      </c>
      <c r="AN10" s="442">
        <f ca="1">$O10-SUM($AS10:BQ10)</f>
        <v>0</v>
      </c>
      <c r="AO10" s="442">
        <f ca="1">$O10-SUM($AS10:BR10)</f>
        <v>0</v>
      </c>
      <c r="AP10" s="442">
        <f ca="1">$O10-SUM($AS10:BS10)</f>
        <v>0</v>
      </c>
      <c r="AR10" s="439" t="s">
        <v>1201</v>
      </c>
      <c r="AS10" s="820">
        <f ca="1">IF($H10="",0,IF($H10=1,IF('Para Adj'!$B$5 = 1,O10-($O10-SUMPRODUCT($CX10:CX10,$BU10:BU10))*(1-SUM($DZ10:DZ10)),BU10*CX10),$O10*BU10))</f>
        <v>-2.440110439999847</v>
      </c>
      <c r="AT10" s="820">
        <f ca="1">IF($H10="",0,IF($H10=1,IF('Para Adj'!$B$5 = 1,P10-($O10-SUMPRODUCT($CX10:CY10,$BU10:BV10))*(1-SUM($DZ10:EA10)),BV10*CY10),$O10*BV10))</f>
        <v>0</v>
      </c>
      <c r="AU10" s="820">
        <f ca="1">IF($H10="",0,IF($H10=1,IF('Para Adj'!$B$5 = 1,Q10-($O10-SUMPRODUCT($CX10:CZ10,$BU10:BW10))*(1-SUM($DZ10:EB10)),BW10*CZ10),$O10*BW10))</f>
        <v>0</v>
      </c>
      <c r="AV10" s="820">
        <f ca="1">IF($H10="",0,IF($H10=1,IF('Para Adj'!$B$5 = 1,R10-($O10-SUMPRODUCT($CX10:DA10,$BU10:BX10))*(1-SUM($DZ10:EC10)),BX10*DA10),$O10*BX10))</f>
        <v>0</v>
      </c>
      <c r="AW10" s="820">
        <f ca="1">IF($H10="",0,IF($H10=1,IF('Para Adj'!$B$5 = 1,S10-($O10-SUMPRODUCT($CX10:DB10,$BU10:BY10))*(1-SUM($DZ10:ED10)),BY10*DB10),$O10*BY10))</f>
        <v>0</v>
      </c>
      <c r="AX10" s="820">
        <f ca="1">IF($H10="",0,IF($H10=1,IF('Para Adj'!$B$5 = 1,T10-($O10-SUMPRODUCT($CX10:DC10,$BU10:BZ10))*(1-SUM($DZ10:EE10)),BZ10*DC10),$O10*BZ10))</f>
        <v>0</v>
      </c>
      <c r="AY10" s="820">
        <f ca="1">IF($H10="",0,IF($H10=1,IF('Para Adj'!$B$5 = 1,U10-($O10-SUMPRODUCT($CX10:DD10,$BU10:CA10))*(1-SUM($DZ10:EF10)),CA10*DD10),$O10*CA10))</f>
        <v>0</v>
      </c>
      <c r="AZ10" s="820">
        <f ca="1">IF($H10="",0,IF($H10=1,IF('Para Adj'!$B$5 = 1,V10-($O10-SUMPRODUCT($CX10:DE10,$BU10:CB10))*(1-SUM($DZ10:EG10)),CB10*DE10),$O10*CB10))</f>
        <v>0</v>
      </c>
      <c r="BA10" s="820">
        <f ca="1">IF($H10="",0,IF($H10=1,IF('Para Adj'!$B$5 = 1,W10-($O10-SUMPRODUCT($CX10:DF10,$BU10:CC10))*(1-SUM($DZ10:EH10)),CC10*DF10),$O10*CC10))</f>
        <v>0</v>
      </c>
      <c r="BB10" s="820">
        <f ca="1">IF($H10="",0,IF($H10=1,IF('Para Adj'!$B$5 = 1,X10-($O10-SUMPRODUCT($CX10:DG10,$BU10:CD10))*(1-SUM($DZ10:EI10)),CD10*DG10),$O10*CD10))</f>
        <v>0</v>
      </c>
      <c r="BC10" s="820">
        <f ca="1">IF($H10="",0,IF($H10=1,IF('Para Adj'!$B$5 = 1,Y10-($O10-SUMPRODUCT($CX10:DH10,$BU10:CE10))*(1-SUM($DZ10:EJ10)),CE10*DH10),$O10*CE10))</f>
        <v>0</v>
      </c>
      <c r="BD10" s="820">
        <f ca="1">IF($H10="",0,IF($H10=1,IF('Para Adj'!$B$5 = 1,Z10-($O10-SUMPRODUCT($CX10:DI10,$BU10:CF10))*(1-SUM($DZ10:EK10)),CF10*DI10),$O10*CF10))</f>
        <v>0</v>
      </c>
      <c r="BE10" s="820">
        <f ca="1">IF($H10="",0,IF($H10=1,IF('Para Adj'!$B$5 = 1,AA10-($O10-SUMPRODUCT($CX10:DJ10,$BU10:CG10))*(1-SUM($DZ10:EL10)),CG10*DJ10),$O10*CG10))</f>
        <v>0</v>
      </c>
      <c r="BF10" s="820">
        <f ca="1">IF($H10="",0,IF($H10=1,IF('Para Adj'!$B$5 = 1,AB10-($O10-SUMPRODUCT($CX10:DK10,$BU10:CH10))*(1-SUM($DZ10:EM10)),CH10*DK10),$O10*CH10))</f>
        <v>0</v>
      </c>
      <c r="BG10" s="442">
        <f ca="1">IF($H10="",0,IF($H10=1,IF('Para Adj'!$B$5 = 1,AC10-($O10-SUMPRODUCT($CX10:DL10,$BU10:CI10))*(1-SUM($DZ10:EN10)),CI10*DL10),$O10*CI10))</f>
        <v>0</v>
      </c>
      <c r="BH10" s="442">
        <f ca="1">IF($H10="",0,IF($H10=1,IF('Para Adj'!$B$5 = 1,AD10-($O10-SUMPRODUCT($CX10:DM10,$BU10:CJ10))*(1-SUM($DZ10:EO10)),CJ10*DM10),$O10*CJ10))</f>
        <v>0</v>
      </c>
      <c r="BI10" s="442">
        <f ca="1">IF($H10="",0,IF($H10=1,IF('Para Adj'!$B$5 = 1,AE10-($O10-SUMPRODUCT($CX10:DN10,$BU10:CK10))*(1-SUM($DZ10:EP10)),CK10*DN10),$O10*CK10))</f>
        <v>0</v>
      </c>
      <c r="BJ10" s="442">
        <f ca="1">IF($H10="",0,IF($H10=1,IF('Para Adj'!$B$5 = 1,AF10-($O10-SUMPRODUCT($CX10:DO10,$BU10:CL10))*(1-SUM($DZ10:EQ10)),CL10*DO10),$O10*CL10))</f>
        <v>0</v>
      </c>
      <c r="BK10" s="442">
        <f ca="1">IF($H10="",0,IF($H10=1,IF('Para Adj'!$B$5 = 1,AG10-($O10-SUMPRODUCT($CX10:DP10,$BU10:CM10))*(1-SUM($DZ10:ER10)),CM10*DP10),$O10*CM10))</f>
        <v>0</v>
      </c>
      <c r="BL10" s="442">
        <f ca="1">IF($H10="",0,IF($H10=1,IF('Para Adj'!$B$5 = 1,AH10-($O10-SUMPRODUCT($CX10:DQ10,$BU10:CN10))*(1-SUM($DZ10:ES10)),CN10*DQ10),$O10*CN10))</f>
        <v>0</v>
      </c>
      <c r="BM10" s="442">
        <f ca="1">IF($H10="",0,IF($H10=1,IF('Para Adj'!$B$5 = 1,AI10-($O10-SUMPRODUCT($CX10:DR10,$BU10:CO10))*(1-SUM($DZ10:ET10)),CO10*DR10),$O10*CO10))</f>
        <v>0</v>
      </c>
      <c r="BN10" s="442">
        <f ca="1">IF($H10="",0,IF($H10=1,IF('Para Adj'!$B$5 = 1,AJ10-($O10-SUMPRODUCT($CX10:DS10,$BU10:CP10))*(1-SUM($DZ10:EU10)),CP10*DS10),$O10*CP10))</f>
        <v>0</v>
      </c>
      <c r="BO10" s="442">
        <f ca="1">IF($H10="",0,IF($H10=1,IF('Para Adj'!$B$5 = 1,AK10-($O10-SUMPRODUCT($CX10:DT10,$BU10:CQ10))*(1-SUM($DZ10:EV10)),CQ10*DT10),$O10*CQ10))</f>
        <v>0</v>
      </c>
      <c r="BP10" s="442">
        <f ca="1">IF($H10="",0,IF($H10=1,IF('Para Adj'!$B$5 = 1,AL10-($O10-SUMPRODUCT($CX10:DU10,$BU10:CR10))*(1-SUM($DZ10:EW10)),CR10*DU10),$O10*CR10))</f>
        <v>0</v>
      </c>
      <c r="BQ10" s="442">
        <f ca="1">IF($H10="",0,IF($H10=1,IF('Para Adj'!$B$5 = 1,AM10-($O10-SUMPRODUCT($CX10:DV10,$BU10:CS10))*(1-SUM($DZ10:EX10)),CS10*DV10),$O10*CS10))</f>
        <v>0</v>
      </c>
      <c r="BR10" s="442">
        <f ca="1">IF($H10="",0,IF($H10=1,IF('Para Adj'!$B$5 = 1,AN10-($O10-SUMPRODUCT($CX10:DW10,$BU10:CT10))*(1-SUM($DZ10:EY10)),CT10*DW10),$O10*CT10))</f>
        <v>0</v>
      </c>
      <c r="BS10" s="442">
        <f ca="1">IF($H10="",0,IF($H10=1,IF('Para Adj'!$B$5 = 1,AO10-($O10-SUMPRODUCT($CX10:DX10,$BU10:CU10))*(1-SUM($DZ10:EZ10)),CU10*DX10),$O10*CU10))</f>
        <v>0</v>
      </c>
      <c r="BU10" s="820">
        <f ca="1">IF($B10=0,"",INDEX(Assumptions!G:G,$B10))</f>
        <v>1</v>
      </c>
      <c r="BV10" s="820">
        <f ca="1">IF($B10=0,"",INDEX(Assumptions!H:H,$B10))</f>
        <v>1</v>
      </c>
      <c r="BW10" s="820">
        <f ca="1">IF($B10=0,"",INDEX(Assumptions!I:I,$B10))</f>
        <v>1</v>
      </c>
      <c r="BX10" s="820">
        <f ca="1">IF($B10=0,"",INDEX(Assumptions!J:J,$B10))</f>
        <v>1</v>
      </c>
      <c r="BY10" s="820">
        <f ca="1">IF($B10=0,"",INDEX(Assumptions!K:K,$B10))</f>
        <v>1</v>
      </c>
      <c r="BZ10" s="820">
        <f ca="1">IF($B10=0,"",INDEX(Assumptions!L:L,$B10))</f>
        <v>1</v>
      </c>
      <c r="CA10" s="820">
        <f ca="1">IF($B10=0,"",INDEX(Assumptions!M:M,$B10))</f>
        <v>1</v>
      </c>
      <c r="CB10" s="820">
        <f ca="1">IF($B10=0,"",INDEX(Assumptions!N:N,$B10))</f>
        <v>1</v>
      </c>
      <c r="CC10" s="820">
        <f ca="1">IF($B10=0,"",INDEX(Assumptions!O:O,$B10))</f>
        <v>1</v>
      </c>
      <c r="CD10" s="820">
        <f ca="1">IF($B10=0,"",INDEX(Assumptions!P:P,$B10))</f>
        <v>1</v>
      </c>
      <c r="CE10" s="820">
        <f ca="1">IF($B10=0,"",INDEX(Assumptions!Q:Q,$B10))</f>
        <v>1</v>
      </c>
      <c r="CF10" s="820">
        <f ca="1">IF($B10=0,"",INDEX(Assumptions!R:R,$B10))</f>
        <v>1</v>
      </c>
      <c r="CG10" s="820">
        <f ca="1">IF($B10=0,"",INDEX(Assumptions!S:S,$B10))</f>
        <v>1</v>
      </c>
      <c r="CH10" s="820">
        <f ca="1">IF($B10=0,"",INDEX(Assumptions!T:T,$B10))</f>
        <v>1</v>
      </c>
      <c r="CI10" s="820">
        <f ca="1">IF($B10=0,"",INDEX(Assumptions!U:U,$B10))</f>
        <v>1</v>
      </c>
      <c r="CJ10" s="820">
        <f ca="1">IF($B10=0,"",INDEX(Assumptions!V:V,$B10))</f>
        <v>1</v>
      </c>
      <c r="CK10" s="820">
        <f ca="1">IF($B10=0,"",INDEX(Assumptions!W:W,$B10))</f>
        <v>1</v>
      </c>
      <c r="CL10" s="820">
        <f ca="1">IF($B10=0,"",INDEX(Assumptions!X:X,$B10))</f>
        <v>1</v>
      </c>
      <c r="CM10" s="820">
        <f ca="1">IF($B10=0,"",INDEX(Assumptions!Y:Y,$B10))</f>
        <v>1</v>
      </c>
      <c r="CN10" s="820">
        <f ca="1">IF($B10=0,"",INDEX(Assumptions!Z:Z,$B10))</f>
        <v>1</v>
      </c>
      <c r="CO10" s="820">
        <f ca="1">IF($B10=0,"",INDEX(Assumptions!AA:AA,$B10))</f>
        <v>1</v>
      </c>
      <c r="CP10" s="820">
        <f ca="1">IF($B10=0,"",INDEX(Assumptions!AB:AB,$B10))</f>
        <v>1</v>
      </c>
      <c r="CQ10" s="820">
        <f ca="1">IF($B10=0,"",INDEX(Assumptions!AC:AC,$B10))</f>
        <v>1</v>
      </c>
      <c r="CR10" s="820">
        <f ca="1">IF($B10=0,"",INDEX(Assumptions!AD:AD,$B10))</f>
        <v>1</v>
      </c>
      <c r="CS10" s="820">
        <f ca="1">IF($B10=0,"",INDEX(Assumptions!AE:AE,$B10))</f>
        <v>1</v>
      </c>
      <c r="CT10" s="820">
        <f ca="1">IF($B10=0,"",INDEX(Assumptions!AF:AF,$B10))</f>
        <v>1</v>
      </c>
      <c r="CU10" s="820">
        <f ca="1">IF($B10=0,"",INDEX(Assumptions!AG:AG,$B10))</f>
        <v>1</v>
      </c>
      <c r="CX10" s="442">
        <f>IF($A10="","",INDEX('Data Interface'!G:G,$A10))</f>
        <v>-2.440110439999847</v>
      </c>
      <c r="CY10" s="442">
        <f>IF($A10="","",INDEX('Data Interface'!H:H,$A10))</f>
        <v>0</v>
      </c>
      <c r="CZ10" s="442">
        <f>IF($A10="","",INDEX('Data Interface'!I:I,$A10))</f>
        <v>0</v>
      </c>
      <c r="DA10" s="442">
        <f>IF($A10="","",INDEX('Data Interface'!J:J,$A10))</f>
        <v>0</v>
      </c>
      <c r="DB10" s="442">
        <f>IF($A10="","",INDEX('Data Interface'!K:K,$A10))</f>
        <v>0</v>
      </c>
      <c r="DC10" s="442">
        <f>IF($A10="","",INDEX('Data Interface'!L:L,$A10))</f>
        <v>0</v>
      </c>
      <c r="DD10" s="442">
        <f>IF($A10="","",INDEX('Data Interface'!M:M,$A10))</f>
        <v>0</v>
      </c>
      <c r="DE10" s="442">
        <f>IF($A10="","",INDEX('Data Interface'!N:N,$A10))</f>
        <v>0</v>
      </c>
      <c r="DF10" s="442">
        <f>IF($A10="","",INDEX('Data Interface'!O:O,$A10))</f>
        <v>0</v>
      </c>
      <c r="DG10" s="442">
        <f>IF($A10="","",INDEX('Data Interface'!P:P,$A10))</f>
        <v>0</v>
      </c>
      <c r="DH10" s="442">
        <f>IF($A10="","",INDEX('Data Interface'!Q:Q,$A10))</f>
        <v>0</v>
      </c>
      <c r="DI10" s="442">
        <f>IF($A10="","",INDEX('Data Interface'!R:R,$A10))</f>
        <v>0</v>
      </c>
      <c r="DJ10" s="442">
        <f>IF($A10="","",INDEX('Data Interface'!S:S,$A10))</f>
        <v>0</v>
      </c>
      <c r="DK10" s="442">
        <f>IF($A10="","",INDEX('Data Interface'!T:T,$A10))</f>
        <v>0</v>
      </c>
      <c r="DL10" s="442">
        <f>IF($A10="","",INDEX('Data Interface'!U:U,$A10))</f>
        <v>0</v>
      </c>
      <c r="DM10" s="442">
        <f>IF($A10="","",INDEX('Data Interface'!V:V,$A10))</f>
        <v>0</v>
      </c>
      <c r="DN10" s="442">
        <f>IF($A10="","",INDEX('Data Interface'!W:W,$A10))</f>
        <v>0</v>
      </c>
      <c r="DO10" s="442">
        <f>IF($A10="","",INDEX('Data Interface'!X:X,$A10))</f>
        <v>0</v>
      </c>
      <c r="DP10" s="442">
        <f>IF($A10="","",INDEX('Data Interface'!Y:Y,$A10))</f>
        <v>0</v>
      </c>
      <c r="DQ10" s="442">
        <f>IF($A10="","",INDEX('Data Interface'!Z:Z,$A10))</f>
        <v>0</v>
      </c>
      <c r="DR10" s="442">
        <f>IF($A10="","",INDEX('Data Interface'!AA:AA,$A10))</f>
        <v>0</v>
      </c>
      <c r="DS10" s="442">
        <f>IF($A10="","",INDEX('Data Interface'!AB:AB,$A10))</f>
        <v>0</v>
      </c>
      <c r="DT10" s="442">
        <f>IF($A10="","",INDEX('Data Interface'!AC:AC,$A10))</f>
        <v>0</v>
      </c>
      <c r="DU10" s="442">
        <f>IF($A10="","",INDEX('Data Interface'!AD:AD,$A10))</f>
        <v>0</v>
      </c>
      <c r="DV10" s="442">
        <f>IF($A10="","",INDEX('Data Interface'!AE:AE,$A10))</f>
        <v>0</v>
      </c>
      <c r="DW10" s="442">
        <f>IF($A10="","",INDEX('Data Interface'!AF:AF,$A10))</f>
        <v>0</v>
      </c>
      <c r="DX10" s="442">
        <f>IF($A10="","",INDEX('Data Interface'!AG:AG,$A10))</f>
        <v>0</v>
      </c>
      <c r="DZ10" s="906">
        <f>IF(OR($B10=0,$A10=0,$H10&lt;&gt;1),"",INDEX(Assumptions!EO:EO,$B10))</f>
        <v>0</v>
      </c>
      <c r="EA10" s="906">
        <f>IF(OR($B10=0,$A10=0,$H10&lt;&gt;1),"",INDEX(Assumptions!EP:EP,$B10))</f>
        <v>0</v>
      </c>
      <c r="EB10" s="906">
        <f>IF(OR($B10=0,$A10=0,$H10&lt;&gt;1),"",INDEX(Assumptions!EQ:EQ,$B10))</f>
        <v>0</v>
      </c>
      <c r="EC10" s="906">
        <f>IF(OR($B10=0,$A10=0,$H10&lt;&gt;1),"",INDEX(Assumptions!ER:ER,$B10))</f>
        <v>0</v>
      </c>
      <c r="ED10" s="906">
        <f>IF(OR($B10=0,$A10=0,$H10&lt;&gt;1),"",INDEX(Assumptions!ES:ES,$B10))</f>
        <v>0</v>
      </c>
      <c r="EE10" s="906">
        <f>IF(OR($B10=0,$A10=0,$H10&lt;&gt;1),"",INDEX(Assumptions!ET:ET,$B10))</f>
        <v>0</v>
      </c>
      <c r="EF10" s="906">
        <f>IF(OR($B10=0,$A10=0,$H10&lt;&gt;1),"",INDEX(Assumptions!EU:EU,$B10))</f>
        <v>0</v>
      </c>
      <c r="EG10" s="906">
        <f>IF(OR($B10=0,$A10=0,$H10&lt;&gt;1),"",INDEX(Assumptions!EV:EV,$B10))</f>
        <v>0</v>
      </c>
      <c r="EH10" s="906">
        <f>IF(OR($B10=0,$A10=0,$H10&lt;&gt;1),"",INDEX(Assumptions!EW:EW,$B10))</f>
        <v>0</v>
      </c>
      <c r="EI10" s="906">
        <f>IF(OR($B10=0,$A10=0,$H10&lt;&gt;1),"",INDEX(Assumptions!EX:EX,$B10))</f>
        <v>0</v>
      </c>
      <c r="EJ10" s="906">
        <f>IF(OR($B10=0,$A10=0,$H10&lt;&gt;1),"",INDEX(Assumptions!EY:EY,$B10))</f>
        <v>0</v>
      </c>
      <c r="EK10" s="906">
        <f>IF(OR($B10=0,$A10=0,$H10&lt;&gt;1),"",INDEX(Assumptions!EZ:EZ,$B10))</f>
        <v>0</v>
      </c>
      <c r="EL10" s="906">
        <f>IF(OR($B10=0,$A10=0,$H10&lt;&gt;1),"",INDEX(Assumptions!FA:FA,$B10))</f>
        <v>0</v>
      </c>
      <c r="EM10" s="906">
        <f>IF(OR($B10=0,$A10=0,$H10&lt;&gt;1),"",INDEX(Assumptions!FB:FB,$B10))</f>
        <v>0</v>
      </c>
      <c r="EN10" s="906">
        <f>IF(OR($B10=0,$A10=0,$H10&lt;&gt;1),"",INDEX(Assumptions!FC:FC,$B10))</f>
        <v>0</v>
      </c>
      <c r="EO10" s="906">
        <f>IF(OR($B10=0,$A10=0,$H10&lt;&gt;1),"",INDEX(Assumptions!FD:FD,$B10))</f>
        <v>0</v>
      </c>
      <c r="EP10" s="906">
        <f>IF(OR($B10=0,$A10=0,$H10&lt;&gt;1),"",INDEX(Assumptions!FE:FE,$B10))</f>
        <v>0</v>
      </c>
      <c r="EQ10" s="906">
        <f>IF(OR($B10=0,$A10=0,$H10&lt;&gt;1),"",INDEX(Assumptions!FF:FF,$B10))</f>
        <v>0</v>
      </c>
      <c r="ER10" s="906">
        <f>IF(OR($B10=0,$A10=0,$H10&lt;&gt;1),"",INDEX(Assumptions!FG:FG,$B10))</f>
        <v>0</v>
      </c>
      <c r="ES10" s="906">
        <f>IF(OR($B10=0,$A10=0,$H10&lt;&gt;1),"",INDEX(Assumptions!FH:FH,$B10))</f>
        <v>0</v>
      </c>
      <c r="ET10" s="906">
        <f>IF(OR($B10=0,$A10=0,$H10&lt;&gt;1),"",INDEX(Assumptions!FI:FI,$B10))</f>
        <v>0</v>
      </c>
      <c r="EU10" s="906">
        <f>IF(OR($B10=0,$A10=0,$H10&lt;&gt;1),"",INDEX(Assumptions!FJ:FJ,$B10))</f>
        <v>0</v>
      </c>
      <c r="EV10" s="906">
        <f>IF(OR($B10=0,$A10=0,$H10&lt;&gt;1),"",INDEX(Assumptions!FK:FK,$B10))</f>
        <v>0</v>
      </c>
      <c r="EW10" s="906">
        <f>IF(OR($B10=0,$A10=0,$H10&lt;&gt;1),"",INDEX(Assumptions!FL:FL,$B10))</f>
        <v>0</v>
      </c>
      <c r="EX10" s="906">
        <f>IF(OR($B10=0,$A10=0,$H10&lt;&gt;1),"",INDEX(Assumptions!FM:FM,$B10))</f>
        <v>0</v>
      </c>
      <c r="EY10" s="906">
        <f>IF(OR($B10=0,$A10=0,$H10&lt;&gt;1),"",INDEX(Assumptions!FN:FN,$B10))</f>
        <v>0</v>
      </c>
      <c r="EZ10" s="906">
        <f>IF(OR($B10=0,$A10=0,$H10&lt;&gt;1),"",INDEX(Assumptions!FO:FO,$B10))</f>
        <v>0</v>
      </c>
      <c r="FB10" s="820" t="str">
        <f t="shared" ref="FB10:FB75" si="18">IF(AND(DZ10&lt;&gt;0,DZ10&lt;&gt;""),SUM(AS10:BF10),"")</f>
        <v/>
      </c>
      <c r="FC10" s="820" t="str">
        <f t="shared" ref="FC10:FC75" si="19">IF(AND($DZ10&lt;&gt;0,$DZ10&lt;&gt;""),SUM(DZ10:EM10),"")</f>
        <v/>
      </c>
      <c r="FD10" s="820" t="str">
        <f t="shared" ref="FD10:FD75" si="20">IF(AND($DZ10&lt;&gt;"",$DZ10&lt;&gt;0),SUM(DZ10:EM10)*O10,"")</f>
        <v/>
      </c>
      <c r="FE10" s="820" t="str">
        <f t="shared" ref="FE10:FE75" si="21">IF(AND($DZ10&lt;&gt;0,$DZ10&lt;&gt;""),SUMPRODUCT(CX10:DK10,BU10:CH10)*(1-SUM(DZ10:EM10)),"")</f>
        <v/>
      </c>
      <c r="FF10" s="820" t="str">
        <f t="shared" ref="FF10:FF75" si="22">IF(AND($DZ10&lt;&gt;"",$DZ10&lt;&gt;0),FB10-FD10-FE10,"")</f>
        <v/>
      </c>
    </row>
    <row r="11" spans="1:162">
      <c r="A11" s="440">
        <f>IFERROR(MATCH(C11,'Data Interface'!B:B,0),0)</f>
        <v>9</v>
      </c>
      <c r="B11" s="440">
        <f>IFERROR(MATCH(C11,Assumptions!$B:$B,0),0)</f>
        <v>4</v>
      </c>
      <c r="C11" s="441" t="s">
        <v>1059</v>
      </c>
      <c r="E11" s="441" t="s">
        <v>1218</v>
      </c>
      <c r="F11" s="440" t="s">
        <v>992</v>
      </c>
      <c r="G11" s="440" t="str">
        <f>IF(A11=0,"",INDEX('Data Interface'!$C:$C,$A11))</f>
        <v xml:space="preserve"> Syndications - U.S. customers  (170)</v>
      </c>
      <c r="H11" s="440">
        <v>1</v>
      </c>
      <c r="I11" s="819">
        <f t="shared" ca="1" si="10"/>
        <v>0.5</v>
      </c>
      <c r="J11" s="819">
        <f t="shared" ca="1" si="11"/>
        <v>0.5</v>
      </c>
      <c r="K11" s="439" t="str">
        <f t="shared" ca="1" si="12"/>
        <v>50% of Contractual Maturity</v>
      </c>
      <c r="L11" s="439" t="s">
        <v>1146</v>
      </c>
      <c r="M11" s="439" t="s">
        <v>1497</v>
      </c>
      <c r="O11" s="442">
        <f>IF(OR($A11="",$A11=0),0,INDEX('Data Interface'!D:D,$A11))</f>
        <v>-5631.5663244500001</v>
      </c>
      <c r="P11" s="442">
        <f ca="1">$O11-SUM($AS11:AS11)</f>
        <v>-5631.5663244449997</v>
      </c>
      <c r="Q11" s="442">
        <f ca="1">$O11-SUM($AS11:AT11)</f>
        <v>-5631.5663244449997</v>
      </c>
      <c r="R11" s="442">
        <f ca="1">$O11-SUM($AS11:AU11)</f>
        <v>-5631.5663244449997</v>
      </c>
      <c r="S11" s="442">
        <f ca="1">$O11-SUM($AS11:AV11)</f>
        <v>-5631.5663244449997</v>
      </c>
      <c r="T11" s="442">
        <f ca="1">$O11-SUM($AS11:AW11)</f>
        <v>-5631.5663244449997</v>
      </c>
      <c r="U11" s="442">
        <f ca="1">$O11-SUM($AS11:AX11)</f>
        <v>-5631.5663244449997</v>
      </c>
      <c r="V11" s="442">
        <f ca="1">$O11-SUM($AS11:AY11)</f>
        <v>-5631.5663244449997</v>
      </c>
      <c r="W11" s="442">
        <f ca="1">$O11-SUM($AS11:AZ11)</f>
        <v>-5631.5663244449997</v>
      </c>
      <c r="X11" s="442">
        <f ca="1">$O11-SUM($AS11:BA11)</f>
        <v>-5601.5663244449997</v>
      </c>
      <c r="Y11" s="442">
        <f ca="1">$O11-SUM($AS11:BB11)</f>
        <v>-5601.5663244449997</v>
      </c>
      <c r="Z11" s="442">
        <f ca="1">$O11-SUM($AS11:BC11)</f>
        <v>-5601.5663244449997</v>
      </c>
      <c r="AA11" s="442">
        <f ca="1">$O11-SUM($AS11:BD11)</f>
        <v>-5601.5663244449997</v>
      </c>
      <c r="AB11" s="442">
        <f ca="1">$O11-SUM($AS11:BE11)</f>
        <v>-5601.5663244449997</v>
      </c>
      <c r="AC11" s="442">
        <f ca="1">$O11-SUM($AS11:BF11)</f>
        <v>-5601.5663244449997</v>
      </c>
      <c r="AD11" s="442">
        <f ca="1">$O11-SUM($AS11:BG11)</f>
        <v>-5601.5663244449997</v>
      </c>
      <c r="AE11" s="442">
        <f ca="1">$O11-SUM($AS11:BH11)</f>
        <v>-5601.5663244449997</v>
      </c>
      <c r="AF11" s="442">
        <f ca="1">$O11-SUM($AS11:BI11)</f>
        <v>-5601.5663244449997</v>
      </c>
      <c r="AG11" s="442">
        <f ca="1">$O11-SUM($AS11:BJ11)</f>
        <v>-5534.1348340599998</v>
      </c>
      <c r="AH11" s="442">
        <f ca="1">$O11-SUM($AS11:BK11)</f>
        <v>-5514.1348340599998</v>
      </c>
      <c r="AI11" s="442">
        <f ca="1">$O11-SUM($AS11:BL11)</f>
        <v>-5496.3186322649999</v>
      </c>
      <c r="AJ11" s="442">
        <f ca="1">$O11-SUM($AS11:BM11)</f>
        <v>-5487.3186322649999</v>
      </c>
      <c r="AK11" s="442">
        <f ca="1">$O11-SUM($AS11:BN11)</f>
        <v>-5472.2778666450004</v>
      </c>
      <c r="AL11" s="442">
        <f ca="1">$O11-SUM($AS11:BO11)</f>
        <v>-5454.3117897100001</v>
      </c>
      <c r="AM11" s="442">
        <f ca="1">$O11-SUM($AS11:BP11)</f>
        <v>-5452.4367897100001</v>
      </c>
      <c r="AN11" s="442">
        <f ca="1">$O11-SUM($AS11:BQ11)</f>
        <v>-5435.8495765300004</v>
      </c>
      <c r="AO11" s="442">
        <f ca="1">$O11-SUM($AS11:BR11)</f>
        <v>-5366.9080265800003</v>
      </c>
      <c r="AP11" s="442">
        <f ca="1">$O11-SUM($AS11:BS11)</f>
        <v>-5120.7576068500002</v>
      </c>
      <c r="AR11" s="439" t="s">
        <v>1201</v>
      </c>
      <c r="AS11" s="820">
        <f ca="1">IF($H11="",0,IF($H11=1,IF('Para Adj'!$B$5 = 1,O11-($O11-SUMPRODUCT($CX11:CX11,$BU11:BU11))*(1-SUM($DZ11:DZ11)),BU11*CX11),$O11*BU11))</f>
        <v>-5.0004018703475595E-9</v>
      </c>
      <c r="AT11" s="820">
        <f ca="1">IF($H11="",0,IF($H11=1,IF('Para Adj'!$B$5 = 1,P11-($O11-SUMPRODUCT($CX11:CY11,$BU11:BV11))*(1-SUM($DZ11:EA11)),BV11*CY11),$O11*BV11))</f>
        <v>0</v>
      </c>
      <c r="AU11" s="820">
        <f ca="1">IF($H11="",0,IF($H11=1,IF('Para Adj'!$B$5 = 1,Q11-($O11-SUMPRODUCT($CX11:CZ11,$BU11:BW11))*(1-SUM($DZ11:EB11)),BW11*CZ11),$O11*BW11))</f>
        <v>0</v>
      </c>
      <c r="AV11" s="820">
        <f ca="1">IF($H11="",0,IF($H11=1,IF('Para Adj'!$B$5 = 1,R11-($O11-SUMPRODUCT($CX11:DA11,$BU11:BX11))*(1-SUM($DZ11:EC11)),BX11*DA11),$O11*BX11))</f>
        <v>0</v>
      </c>
      <c r="AW11" s="820">
        <f ca="1">IF($H11="",0,IF($H11=1,IF('Para Adj'!$B$5 = 1,S11-($O11-SUMPRODUCT($CX11:DB11,$BU11:BY11))*(1-SUM($DZ11:ED11)),BY11*DB11),$O11*BY11))</f>
        <v>0</v>
      </c>
      <c r="AX11" s="820">
        <f ca="1">IF($H11="",0,IF($H11=1,IF('Para Adj'!$B$5 = 1,T11-($O11-SUMPRODUCT($CX11:DC11,$BU11:BZ11))*(1-SUM($DZ11:EE11)),BZ11*DC11),$O11*BZ11))</f>
        <v>0</v>
      </c>
      <c r="AY11" s="820">
        <f ca="1">IF($H11="",0,IF($H11=1,IF('Para Adj'!$B$5 = 1,U11-($O11-SUMPRODUCT($CX11:DD11,$BU11:CA11))*(1-SUM($DZ11:EF11)),CA11*DD11),$O11*CA11))</f>
        <v>0</v>
      </c>
      <c r="AZ11" s="820">
        <f ca="1">IF($H11="",0,IF($H11=1,IF('Para Adj'!$B$5 = 1,V11-($O11-SUMPRODUCT($CX11:DE11,$BU11:CB11))*(1-SUM($DZ11:EG11)),CB11*DE11),$O11*CB11))</f>
        <v>0</v>
      </c>
      <c r="BA11" s="820">
        <f ca="1">IF($H11="",0,IF($H11=1,IF('Para Adj'!$B$5 = 1,W11-($O11-SUMPRODUCT($CX11:DF11,$BU11:CC11))*(1-SUM($DZ11:EH11)),CC11*DF11),$O11*CC11))</f>
        <v>-30</v>
      </c>
      <c r="BB11" s="820">
        <f ca="1">IF($H11="",0,IF($H11=1,IF('Para Adj'!$B$5 = 1,X11-($O11-SUMPRODUCT($CX11:DG11,$BU11:CD11))*(1-SUM($DZ11:EI11)),CD11*DG11),$O11*CD11))</f>
        <v>0</v>
      </c>
      <c r="BC11" s="820">
        <f ca="1">IF($H11="",0,IF($H11=1,IF('Para Adj'!$B$5 = 1,Y11-($O11-SUMPRODUCT($CX11:DH11,$BU11:CE11))*(1-SUM($DZ11:EJ11)),CE11*DH11),$O11*CE11))</f>
        <v>0</v>
      </c>
      <c r="BD11" s="820">
        <f ca="1">IF($H11="",0,IF($H11=1,IF('Para Adj'!$B$5 = 1,Z11-($O11-SUMPRODUCT($CX11:DI11,$BU11:CF11))*(1-SUM($DZ11:EK11)),CF11*DI11),$O11*CF11))</f>
        <v>0</v>
      </c>
      <c r="BE11" s="820">
        <f ca="1">IF($H11="",0,IF($H11=1,IF('Para Adj'!$B$5 = 1,AA11-($O11-SUMPRODUCT($CX11:DJ11,$BU11:CG11))*(1-SUM($DZ11:EL11)),CG11*DJ11),$O11*CG11))</f>
        <v>0</v>
      </c>
      <c r="BF11" s="820">
        <f ca="1">IF($H11="",0,IF($H11=1,IF('Para Adj'!$B$5 = 1,AB11-($O11-SUMPRODUCT($CX11:DK11,$BU11:CH11))*(1-SUM($DZ11:EM11)),CH11*DK11),$O11*CH11))</f>
        <v>0</v>
      </c>
      <c r="BG11" s="442">
        <f ca="1">IF($H11="",0,IF($H11=1,IF('Para Adj'!$B$5 = 1,AC11-($O11-SUMPRODUCT($CX11:DL11,$BU11:CI11))*(1-SUM($DZ11:EN11)),CI11*DL11),$O11*CI11))</f>
        <v>0</v>
      </c>
      <c r="BH11" s="442">
        <f ca="1">IF($H11="",0,IF($H11=1,IF('Para Adj'!$B$5 = 1,AD11-($O11-SUMPRODUCT($CX11:DM11,$BU11:CJ11))*(1-SUM($DZ11:EO11)),CJ11*DM11),$O11*CJ11))</f>
        <v>0</v>
      </c>
      <c r="BI11" s="442">
        <f ca="1">IF($H11="",0,IF($H11=1,IF('Para Adj'!$B$5 = 1,AE11-($O11-SUMPRODUCT($CX11:DN11,$BU11:CK11))*(1-SUM($DZ11:EP11)),CK11*DN11),$O11*CK11))</f>
        <v>0</v>
      </c>
      <c r="BJ11" s="442">
        <f ca="1">IF($H11="",0,IF($H11=1,IF('Para Adj'!$B$5 = 1,AF11-($O11-SUMPRODUCT($CX11:DO11,$BU11:CL11))*(1-SUM($DZ11:EQ11)),CL11*DO11),$O11*CL11))</f>
        <v>-67.431490384999961</v>
      </c>
      <c r="BK11" s="442">
        <f ca="1">IF($H11="",0,IF($H11=1,IF('Para Adj'!$B$5 = 1,AG11-($O11-SUMPRODUCT($CX11:DP11,$BU11:CM11))*(1-SUM($DZ11:ER11)),CM11*DP11),$O11*CM11))</f>
        <v>-20</v>
      </c>
      <c r="BL11" s="442">
        <f ca="1">IF($H11="",0,IF($H11=1,IF('Para Adj'!$B$5 = 1,AH11-($O11-SUMPRODUCT($CX11:DQ11,$BU11:CN11))*(1-SUM($DZ11:ES11)),CN11*DQ11),$O11*CN11))</f>
        <v>-17.81620179499987</v>
      </c>
      <c r="BM11" s="442">
        <f ca="1">IF($H11="",0,IF($H11=1,IF('Para Adj'!$B$5 = 1,AI11-($O11-SUMPRODUCT($CX11:DR11,$BU11:CO11))*(1-SUM($DZ11:ET11)),CO11*DR11),$O11*CO11))</f>
        <v>-9</v>
      </c>
      <c r="BN11" s="442">
        <f ca="1">IF($H11="",0,IF($H11=1,IF('Para Adj'!$B$5 = 1,AJ11-($O11-SUMPRODUCT($CX11:DS11,$BU11:CP11))*(1-SUM($DZ11:EU11)),CP11*DS11),$O11*CP11))</f>
        <v>-15.040765619999547</v>
      </c>
      <c r="BO11" s="442">
        <f ca="1">IF($H11="",0,IF($H11=1,IF('Para Adj'!$B$5 = 1,AK11-($O11-SUMPRODUCT($CX11:DT11,$BU11:CQ11))*(1-SUM($DZ11:EV11)),CQ11*DT11),$O11*CQ11))</f>
        <v>-17.966076935000274</v>
      </c>
      <c r="BP11" s="442">
        <f ca="1">IF($H11="",0,IF($H11=1,IF('Para Adj'!$B$5 = 1,AL11-($O11-SUMPRODUCT($CX11:DU11,$BU11:CR11))*(1-SUM($DZ11:EW11)),CR11*DU11),$O11*CR11))</f>
        <v>-1.875</v>
      </c>
      <c r="BQ11" s="442">
        <f ca="1">IF($H11="",0,IF($H11=1,IF('Para Adj'!$B$5 = 1,AM11-($O11-SUMPRODUCT($CX11:DV11,$BU11:CS11))*(1-SUM($DZ11:EX11)),CS11*DV11),$O11*CS11))</f>
        <v>-16.587213179999708</v>
      </c>
      <c r="BR11" s="442">
        <f ca="1">IF($H11="",0,IF($H11=1,IF('Para Adj'!$B$5 = 1,AN11-($O11-SUMPRODUCT($CX11:DW11,$BU11:CT11))*(1-SUM($DZ11:EY11)),CT11*DW11),$O11*CT11))</f>
        <v>-68.941549950000081</v>
      </c>
      <c r="BS11" s="442">
        <f ca="1">IF($H11="",0,IF($H11=1,IF('Para Adj'!$B$5 = 1,AO11-($O11-SUMPRODUCT($CX11:DX11,$BU11:CU11))*(1-SUM($DZ11:EZ11)),CU11*DX11),$O11*CU11))</f>
        <v>-246.15041973000007</v>
      </c>
      <c r="BU11" s="820">
        <f ca="1">IF($B11=0,"",INDEX(Assumptions!G:G,$B11))</f>
        <v>0.5</v>
      </c>
      <c r="BV11" s="820">
        <f ca="1">IF($B11=0,"",INDEX(Assumptions!H:H,$B11))</f>
        <v>0.5</v>
      </c>
      <c r="BW11" s="820">
        <f ca="1">IF($B11=0,"",INDEX(Assumptions!I:I,$B11))</f>
        <v>0.5</v>
      </c>
      <c r="BX11" s="820">
        <f ca="1">IF($B11=0,"",INDEX(Assumptions!J:J,$B11))</f>
        <v>0.5</v>
      </c>
      <c r="BY11" s="820">
        <f ca="1">IF($B11=0,"",INDEX(Assumptions!K:K,$B11))</f>
        <v>0.5</v>
      </c>
      <c r="BZ11" s="820">
        <f ca="1">IF($B11=0,"",INDEX(Assumptions!L:L,$B11))</f>
        <v>0.5</v>
      </c>
      <c r="CA11" s="820">
        <f ca="1">IF($B11=0,"",INDEX(Assumptions!M:M,$B11))</f>
        <v>0.5</v>
      </c>
      <c r="CB11" s="820">
        <f ca="1">IF($B11=0,"",INDEX(Assumptions!N:N,$B11))</f>
        <v>0.5</v>
      </c>
      <c r="CC11" s="820">
        <f ca="1">IF($B11=0,"",INDEX(Assumptions!O:O,$B11))</f>
        <v>0.5</v>
      </c>
      <c r="CD11" s="820">
        <f ca="1">IF($B11=0,"",INDEX(Assumptions!P:P,$B11))</f>
        <v>0.5</v>
      </c>
      <c r="CE11" s="820">
        <f ca="1">IF($B11=0,"",INDEX(Assumptions!Q:Q,$B11))</f>
        <v>0.5</v>
      </c>
      <c r="CF11" s="820">
        <f ca="1">IF($B11=0,"",INDEX(Assumptions!R:R,$B11))</f>
        <v>0.5</v>
      </c>
      <c r="CG11" s="820">
        <f ca="1">IF($B11=0,"",INDEX(Assumptions!S:S,$B11))</f>
        <v>0.5</v>
      </c>
      <c r="CH11" s="820">
        <f ca="1">IF($B11=0,"",INDEX(Assumptions!T:T,$B11))</f>
        <v>0.5</v>
      </c>
      <c r="CI11" s="820">
        <f ca="1">IF($B11=0,"",INDEX(Assumptions!U:U,$B11))</f>
        <v>0.5</v>
      </c>
      <c r="CJ11" s="820">
        <f ca="1">IF($B11=0,"",INDEX(Assumptions!V:V,$B11))</f>
        <v>0.5</v>
      </c>
      <c r="CK11" s="820">
        <f ca="1">IF($B11=0,"",INDEX(Assumptions!W:W,$B11))</f>
        <v>0.5</v>
      </c>
      <c r="CL11" s="820">
        <f ca="1">IF($B11=0,"",INDEX(Assumptions!X:X,$B11))</f>
        <v>0.5</v>
      </c>
      <c r="CM11" s="820">
        <f ca="1">IF($B11=0,"",INDEX(Assumptions!Y:Y,$B11))</f>
        <v>0.5</v>
      </c>
      <c r="CN11" s="820">
        <f ca="1">IF($B11=0,"",INDEX(Assumptions!Z:Z,$B11))</f>
        <v>0.5</v>
      </c>
      <c r="CO11" s="820">
        <f ca="1">IF($B11=0,"",INDEX(Assumptions!AA:AA,$B11))</f>
        <v>0.5</v>
      </c>
      <c r="CP11" s="820">
        <f ca="1">IF($B11=0,"",INDEX(Assumptions!AB:AB,$B11))</f>
        <v>0.5</v>
      </c>
      <c r="CQ11" s="820">
        <f ca="1">IF($B11=0,"",INDEX(Assumptions!AC:AC,$B11))</f>
        <v>0.5</v>
      </c>
      <c r="CR11" s="820">
        <f ca="1">IF($B11=0,"",INDEX(Assumptions!AD:AD,$B11))</f>
        <v>0.5</v>
      </c>
      <c r="CS11" s="820">
        <f ca="1">IF($B11=0,"",INDEX(Assumptions!AE:AE,$B11))</f>
        <v>0.5</v>
      </c>
      <c r="CT11" s="820">
        <f ca="1">IF($B11=0,"",INDEX(Assumptions!AF:AF,$B11))</f>
        <v>0.5</v>
      </c>
      <c r="CU11" s="820">
        <f ca="1">IF($B11=0,"",INDEX(Assumptions!AG:AG,$B11))</f>
        <v>0.5</v>
      </c>
      <c r="CX11" s="442">
        <f>IF($A11="","",INDEX('Data Interface'!G:G,$A11))</f>
        <v>-1E-8</v>
      </c>
      <c r="CY11" s="442">
        <f>IF($A11="","",INDEX('Data Interface'!H:H,$A11))</f>
        <v>0</v>
      </c>
      <c r="CZ11" s="442">
        <f>IF($A11="","",INDEX('Data Interface'!I:I,$A11))</f>
        <v>0</v>
      </c>
      <c r="DA11" s="442">
        <f>IF($A11="","",INDEX('Data Interface'!J:J,$A11))</f>
        <v>0</v>
      </c>
      <c r="DB11" s="442">
        <f>IF($A11="","",INDEX('Data Interface'!K:K,$A11))</f>
        <v>0</v>
      </c>
      <c r="DC11" s="442">
        <f>IF($A11="","",INDEX('Data Interface'!L:L,$A11))</f>
        <v>0</v>
      </c>
      <c r="DD11" s="442">
        <f>IF($A11="","",INDEX('Data Interface'!M:M,$A11))</f>
        <v>0</v>
      </c>
      <c r="DE11" s="442">
        <f>IF($A11="","",INDEX('Data Interface'!N:N,$A11))</f>
        <v>0</v>
      </c>
      <c r="DF11" s="442">
        <f>IF($A11="","",INDEX('Data Interface'!O:O,$A11))</f>
        <v>-60</v>
      </c>
      <c r="DG11" s="442">
        <f>IF($A11="","",INDEX('Data Interface'!P:P,$A11))</f>
        <v>0</v>
      </c>
      <c r="DH11" s="442">
        <f>IF($A11="","",INDEX('Data Interface'!Q:Q,$A11))</f>
        <v>0</v>
      </c>
      <c r="DI11" s="442">
        <f>IF($A11="","",INDEX('Data Interface'!R:R,$A11))</f>
        <v>0</v>
      </c>
      <c r="DJ11" s="442">
        <f>IF($A11="","",INDEX('Data Interface'!S:S,$A11))</f>
        <v>0</v>
      </c>
      <c r="DK11" s="442">
        <f>IF($A11="","",INDEX('Data Interface'!T:T,$A11))</f>
        <v>0</v>
      </c>
      <c r="DL11" s="442">
        <f>IF($A11="","",INDEX('Data Interface'!U:U,$A11))</f>
        <v>0</v>
      </c>
      <c r="DM11" s="442">
        <f>IF($A11="","",INDEX('Data Interface'!V:V,$A11))</f>
        <v>0</v>
      </c>
      <c r="DN11" s="442">
        <f>IF($A11="","",INDEX('Data Interface'!W:W,$A11))</f>
        <v>0</v>
      </c>
      <c r="DO11" s="442">
        <f>IF($A11="","",INDEX('Data Interface'!X:X,$A11))</f>
        <v>-134.86298077000001</v>
      </c>
      <c r="DP11" s="442">
        <f>IF($A11="","",INDEX('Data Interface'!Y:Y,$A11))</f>
        <v>-40</v>
      </c>
      <c r="DQ11" s="442">
        <f>IF($A11="","",INDEX('Data Interface'!Z:Z,$A11))</f>
        <v>-35.632403590000003</v>
      </c>
      <c r="DR11" s="442">
        <f>IF($A11="","",INDEX('Data Interface'!AA:AA,$A11))</f>
        <v>-18</v>
      </c>
      <c r="DS11" s="442">
        <f>IF($A11="","",INDEX('Data Interface'!AB:AB,$A11))</f>
        <v>-30.08153124</v>
      </c>
      <c r="DT11" s="442">
        <f>IF($A11="","",INDEX('Data Interface'!AC:AC,$A11))</f>
        <v>-35.93215387</v>
      </c>
      <c r="DU11" s="442">
        <f>IF($A11="","",INDEX('Data Interface'!AD:AD,$A11))</f>
        <v>-3.75</v>
      </c>
      <c r="DV11" s="442">
        <f>IF($A11="","",INDEX('Data Interface'!AE:AE,$A11))</f>
        <v>-33.174426359999998</v>
      </c>
      <c r="DW11" s="442">
        <f>IF($A11="","",INDEX('Data Interface'!AF:AF,$A11))</f>
        <v>-137.88309990000002</v>
      </c>
      <c r="DX11" s="442">
        <f>IF($A11="","",INDEX('Data Interface'!AG:AG,$A11))</f>
        <v>-492.30083945999996</v>
      </c>
      <c r="DZ11" s="906">
        <f>IF(OR($B11=0,$A11=0,$H11&lt;&gt;1),"",INDEX(Assumptions!EO:EO,$B11))</f>
        <v>0</v>
      </c>
      <c r="EA11" s="906">
        <f>IF(OR($B11=0,$A11=0,$H11&lt;&gt;1),"",INDEX(Assumptions!EP:EP,$B11))</f>
        <v>0</v>
      </c>
      <c r="EB11" s="906">
        <f>IF(OR($B11=0,$A11=0,$H11&lt;&gt;1),"",INDEX(Assumptions!EQ:EQ,$B11))</f>
        <v>0</v>
      </c>
      <c r="EC11" s="906">
        <f>IF(OR($B11=0,$A11=0,$H11&lt;&gt;1),"",INDEX(Assumptions!ER:ER,$B11))</f>
        <v>0</v>
      </c>
      <c r="ED11" s="906">
        <f>IF(OR($B11=0,$A11=0,$H11&lt;&gt;1),"",INDEX(Assumptions!ES:ES,$B11))</f>
        <v>0</v>
      </c>
      <c r="EE11" s="906">
        <f>IF(OR($B11=0,$A11=0,$H11&lt;&gt;1),"",INDEX(Assumptions!ET:ET,$B11))</f>
        <v>0</v>
      </c>
      <c r="EF11" s="906">
        <f>IF(OR($B11=0,$A11=0,$H11&lt;&gt;1),"",INDEX(Assumptions!EU:EU,$B11))</f>
        <v>0</v>
      </c>
      <c r="EG11" s="906">
        <f>IF(OR($B11=0,$A11=0,$H11&lt;&gt;1),"",INDEX(Assumptions!EV:EV,$B11))</f>
        <v>0</v>
      </c>
      <c r="EH11" s="906">
        <f>IF(OR($B11=0,$A11=0,$H11&lt;&gt;1),"",INDEX(Assumptions!EW:EW,$B11))</f>
        <v>0</v>
      </c>
      <c r="EI11" s="906">
        <f>IF(OR($B11=0,$A11=0,$H11&lt;&gt;1),"",INDEX(Assumptions!EX:EX,$B11))</f>
        <v>0</v>
      </c>
      <c r="EJ11" s="906">
        <f>IF(OR($B11=0,$A11=0,$H11&lt;&gt;1),"",INDEX(Assumptions!EY:EY,$B11))</f>
        <v>0</v>
      </c>
      <c r="EK11" s="906">
        <f>IF(OR($B11=0,$A11=0,$H11&lt;&gt;1),"",INDEX(Assumptions!EZ:EZ,$B11))</f>
        <v>0</v>
      </c>
      <c r="EL11" s="906">
        <f>IF(OR($B11=0,$A11=0,$H11&lt;&gt;1),"",INDEX(Assumptions!FA:FA,$B11))</f>
        <v>0</v>
      </c>
      <c r="EM11" s="906">
        <f>IF(OR($B11=0,$A11=0,$H11&lt;&gt;1),"",INDEX(Assumptions!FB:FB,$B11))</f>
        <v>0</v>
      </c>
      <c r="EN11" s="906">
        <f>IF(OR($B11=0,$A11=0,$H11&lt;&gt;1),"",INDEX(Assumptions!FC:FC,$B11))</f>
        <v>0</v>
      </c>
      <c r="EO11" s="906">
        <f>IF(OR($B11=0,$A11=0,$H11&lt;&gt;1),"",INDEX(Assumptions!FD:FD,$B11))</f>
        <v>0</v>
      </c>
      <c r="EP11" s="906">
        <f>IF(OR($B11=0,$A11=0,$H11&lt;&gt;1),"",INDEX(Assumptions!FE:FE,$B11))</f>
        <v>0</v>
      </c>
      <c r="EQ11" s="906">
        <f>IF(OR($B11=0,$A11=0,$H11&lt;&gt;1),"",INDEX(Assumptions!FF:FF,$B11))</f>
        <v>0</v>
      </c>
      <c r="ER11" s="906">
        <f>IF(OR($B11=0,$A11=0,$H11&lt;&gt;1),"",INDEX(Assumptions!FG:FG,$B11))</f>
        <v>0</v>
      </c>
      <c r="ES11" s="906">
        <f>IF(OR($B11=0,$A11=0,$H11&lt;&gt;1),"",INDEX(Assumptions!FH:FH,$B11))</f>
        <v>0</v>
      </c>
      <c r="ET11" s="906">
        <f>IF(OR($B11=0,$A11=0,$H11&lt;&gt;1),"",INDEX(Assumptions!FI:FI,$B11))</f>
        <v>0</v>
      </c>
      <c r="EU11" s="906">
        <f>IF(OR($B11=0,$A11=0,$H11&lt;&gt;1),"",INDEX(Assumptions!FJ:FJ,$B11))</f>
        <v>0</v>
      </c>
      <c r="EV11" s="906">
        <f>IF(OR($B11=0,$A11=0,$H11&lt;&gt;1),"",INDEX(Assumptions!FK:FK,$B11))</f>
        <v>0</v>
      </c>
      <c r="EW11" s="906">
        <f>IF(OR($B11=0,$A11=0,$H11&lt;&gt;1),"",INDEX(Assumptions!FL:FL,$B11))</f>
        <v>0</v>
      </c>
      <c r="EX11" s="906">
        <f>IF(OR($B11=0,$A11=0,$H11&lt;&gt;1),"",INDEX(Assumptions!FM:FM,$B11))</f>
        <v>0</v>
      </c>
      <c r="EY11" s="906">
        <f>IF(OR($B11=0,$A11=0,$H11&lt;&gt;1),"",INDEX(Assumptions!FN:FN,$B11))</f>
        <v>0</v>
      </c>
      <c r="EZ11" s="906">
        <f>IF(OR($B11=0,$A11=0,$H11&lt;&gt;1),"",INDEX(Assumptions!FO:FO,$B11))</f>
        <v>0</v>
      </c>
      <c r="FB11" s="820" t="str">
        <f t="shared" si="18"/>
        <v/>
      </c>
      <c r="FC11" s="820" t="str">
        <f t="shared" si="19"/>
        <v/>
      </c>
      <c r="FD11" s="820" t="str">
        <f t="shared" si="20"/>
        <v/>
      </c>
      <c r="FE11" s="820" t="str">
        <f t="shared" si="21"/>
        <v/>
      </c>
      <c r="FF11" s="820" t="str">
        <f t="shared" si="22"/>
        <v/>
      </c>
    </row>
    <row r="12" spans="1:162">
      <c r="A12" s="440">
        <f>IFERROR(MATCH(C12,'Data Interface'!B:B,0),0)</f>
        <v>10</v>
      </c>
      <c r="B12" s="440">
        <f>IFERROR(MATCH(C12,Assumptions!$B:$B,0),0)</f>
        <v>5</v>
      </c>
      <c r="C12" s="441" t="s">
        <v>1060</v>
      </c>
      <c r="E12" s="441" t="s">
        <v>1218</v>
      </c>
      <c r="F12" s="440" t="s">
        <v>992</v>
      </c>
      <c r="G12" s="440" t="str">
        <f>IF(A12=0,"",INDEX('Data Interface'!$C:$C,$A12))</f>
        <v xml:space="preserve"> Syndications - Non U.S. customers (240)</v>
      </c>
      <c r="H12" s="440">
        <v>1</v>
      </c>
      <c r="I12" s="819">
        <f t="shared" ca="1" si="10"/>
        <v>0.5</v>
      </c>
      <c r="J12" s="819">
        <f t="shared" ca="1" si="11"/>
        <v>0.5</v>
      </c>
      <c r="K12" s="439" t="str">
        <f t="shared" ca="1" si="12"/>
        <v>50% of Contractual Maturity</v>
      </c>
      <c r="L12" s="439" t="s">
        <v>1146</v>
      </c>
      <c r="M12" s="439" t="s">
        <v>1497</v>
      </c>
      <c r="O12" s="442">
        <f>IF(OR($A12="",$A12=0),0,INDEX('Data Interface'!D:D,$A12))</f>
        <v>-1355.7736293799999</v>
      </c>
      <c r="P12" s="442">
        <f ca="1">$O12-SUM($AS12:AS12)</f>
        <v>-1355.7736293799999</v>
      </c>
      <c r="Q12" s="442">
        <f ca="1">$O12-SUM($AS12:AT12)</f>
        <v>-1355.7736293799999</v>
      </c>
      <c r="R12" s="442">
        <f ca="1">$O12-SUM($AS12:AU12)</f>
        <v>-1355.7736293799999</v>
      </c>
      <c r="S12" s="442">
        <f ca="1">$O12-SUM($AS12:AV12)</f>
        <v>-1355.7736293799999</v>
      </c>
      <c r="T12" s="442">
        <f ca="1">$O12-SUM($AS12:AW12)</f>
        <v>-1355.7736293799999</v>
      </c>
      <c r="U12" s="442">
        <f ca="1">$O12-SUM($AS12:AX12)</f>
        <v>-1355.7736293799999</v>
      </c>
      <c r="V12" s="442">
        <f ca="1">$O12-SUM($AS12:AY12)</f>
        <v>-1355.7736293799999</v>
      </c>
      <c r="W12" s="442">
        <f ca="1">$O12-SUM($AS12:AZ12)</f>
        <v>-1355.7736293799999</v>
      </c>
      <c r="X12" s="442">
        <f ca="1">$O12-SUM($AS12:BA12)</f>
        <v>-1355.7736293799999</v>
      </c>
      <c r="Y12" s="442">
        <f ca="1">$O12-SUM($AS12:BB12)</f>
        <v>-1355.7736293799999</v>
      </c>
      <c r="Z12" s="442">
        <f ca="1">$O12-SUM($AS12:BC12)</f>
        <v>-1355.7736293799999</v>
      </c>
      <c r="AA12" s="442">
        <f ca="1">$O12-SUM($AS12:BD12)</f>
        <v>-1355.7736293799999</v>
      </c>
      <c r="AB12" s="442">
        <f ca="1">$O12-SUM($AS12:BE12)</f>
        <v>-1355.7736293799999</v>
      </c>
      <c r="AC12" s="442">
        <f ca="1">$O12-SUM($AS12:BF12)</f>
        <v>-1355.7736293799999</v>
      </c>
      <c r="AD12" s="442">
        <f ca="1">$O12-SUM($AS12:BG12)</f>
        <v>-1355.7736293799999</v>
      </c>
      <c r="AE12" s="442">
        <f ca="1">$O12-SUM($AS12:BH12)</f>
        <v>-1355.7736293799999</v>
      </c>
      <c r="AF12" s="442">
        <f ca="1">$O12-SUM($AS12:BI12)</f>
        <v>-1343.2736293799999</v>
      </c>
      <c r="AG12" s="442">
        <f ca="1">$O12-SUM($AS12:BJ12)</f>
        <v>-1343.2736293799999</v>
      </c>
      <c r="AH12" s="442">
        <f ca="1">$O12-SUM($AS12:BK12)</f>
        <v>-1343.2736293799999</v>
      </c>
      <c r="AI12" s="442">
        <f ca="1">$O12-SUM($AS12:BL12)</f>
        <v>-1343.2736293799999</v>
      </c>
      <c r="AJ12" s="442">
        <f ca="1">$O12-SUM($AS12:BM12)</f>
        <v>-1343.2736293799999</v>
      </c>
      <c r="AK12" s="442">
        <f ca="1">$O12-SUM($AS12:BN12)</f>
        <v>-1335.7736293849998</v>
      </c>
      <c r="AL12" s="442">
        <f ca="1">$O12-SUM($AS12:BO12)</f>
        <v>-1335.7736293849998</v>
      </c>
      <c r="AM12" s="442">
        <f ca="1">$O12-SUM($AS12:BP12)</f>
        <v>-1327.5836293849998</v>
      </c>
      <c r="AN12" s="442">
        <f ca="1">$O12-SUM($AS12:BQ12)</f>
        <v>-1327.5836293849998</v>
      </c>
      <c r="AO12" s="442">
        <f ca="1">$O12-SUM($AS12:BR12)</f>
        <v>-1327.5836293849998</v>
      </c>
      <c r="AP12" s="442">
        <f ca="1">$O12-SUM($AS12:BS12)</f>
        <v>-1327.5836293849998</v>
      </c>
      <c r="AR12" s="439" t="s">
        <v>1201</v>
      </c>
      <c r="AS12" s="820">
        <f ca="1">IF($H12="",0,IF($H12=1,IF('Para Adj'!$B$5 = 1,O12-($O12-SUMPRODUCT($CX12:CX12,$BU12:BU12))*(1-SUM($DZ12:DZ12)),BU12*CX12),$O12*BU12))</f>
        <v>0</v>
      </c>
      <c r="AT12" s="820">
        <f ca="1">IF($H12="",0,IF($H12=1,IF('Para Adj'!$B$5 = 1,P12-($O12-SUMPRODUCT($CX12:CY12,$BU12:BV12))*(1-SUM($DZ12:EA12)),BV12*CY12),$O12*BV12))</f>
        <v>0</v>
      </c>
      <c r="AU12" s="820">
        <f ca="1">IF($H12="",0,IF($H12=1,IF('Para Adj'!$B$5 = 1,Q12-($O12-SUMPRODUCT($CX12:CZ12,$BU12:BW12))*(1-SUM($DZ12:EB12)),BW12*CZ12),$O12*BW12))</f>
        <v>0</v>
      </c>
      <c r="AV12" s="820">
        <f ca="1">IF($H12="",0,IF($H12=1,IF('Para Adj'!$B$5 = 1,R12-($O12-SUMPRODUCT($CX12:DA12,$BU12:BX12))*(1-SUM($DZ12:EC12)),BX12*DA12),$O12*BX12))</f>
        <v>0</v>
      </c>
      <c r="AW12" s="820">
        <f ca="1">IF($H12="",0,IF($H12=1,IF('Para Adj'!$B$5 = 1,S12-($O12-SUMPRODUCT($CX12:DB12,$BU12:BY12))*(1-SUM($DZ12:ED12)),BY12*DB12),$O12*BY12))</f>
        <v>0</v>
      </c>
      <c r="AX12" s="820">
        <f ca="1">IF($H12="",0,IF($H12=1,IF('Para Adj'!$B$5 = 1,T12-($O12-SUMPRODUCT($CX12:DC12,$BU12:BZ12))*(1-SUM($DZ12:EE12)),BZ12*DC12),$O12*BZ12))</f>
        <v>0</v>
      </c>
      <c r="AY12" s="820">
        <f ca="1">IF($H12="",0,IF($H12=1,IF('Para Adj'!$B$5 = 1,U12-($O12-SUMPRODUCT($CX12:DD12,$BU12:CA12))*(1-SUM($DZ12:EF12)),CA12*DD12),$O12*CA12))</f>
        <v>0</v>
      </c>
      <c r="AZ12" s="820">
        <f ca="1">IF($H12="",0,IF($H12=1,IF('Para Adj'!$B$5 = 1,V12-($O12-SUMPRODUCT($CX12:DE12,$BU12:CB12))*(1-SUM($DZ12:EG12)),CB12*DE12),$O12*CB12))</f>
        <v>0</v>
      </c>
      <c r="BA12" s="820">
        <f ca="1">IF($H12="",0,IF($H12=1,IF('Para Adj'!$B$5 = 1,W12-($O12-SUMPRODUCT($CX12:DF12,$BU12:CC12))*(1-SUM($DZ12:EH12)),CC12*DF12),$O12*CC12))</f>
        <v>0</v>
      </c>
      <c r="BB12" s="820">
        <f ca="1">IF($H12="",0,IF($H12=1,IF('Para Adj'!$B$5 = 1,X12-($O12-SUMPRODUCT($CX12:DG12,$BU12:CD12))*(1-SUM($DZ12:EI12)),CD12*DG12),$O12*CD12))</f>
        <v>0</v>
      </c>
      <c r="BC12" s="820">
        <f ca="1">IF($H12="",0,IF($H12=1,IF('Para Adj'!$B$5 = 1,Y12-($O12-SUMPRODUCT($CX12:DH12,$BU12:CE12))*(1-SUM($DZ12:EJ12)),CE12*DH12),$O12*CE12))</f>
        <v>0</v>
      </c>
      <c r="BD12" s="820">
        <f ca="1">IF($H12="",0,IF($H12=1,IF('Para Adj'!$B$5 = 1,Z12-($O12-SUMPRODUCT($CX12:DI12,$BU12:CF12))*(1-SUM($DZ12:EK12)),CF12*DI12),$O12*CF12))</f>
        <v>0</v>
      </c>
      <c r="BE12" s="820">
        <f ca="1">IF($H12="",0,IF($H12=1,IF('Para Adj'!$B$5 = 1,AA12-($O12-SUMPRODUCT($CX12:DJ12,$BU12:CG12))*(1-SUM($DZ12:EL12)),CG12*DJ12),$O12*CG12))</f>
        <v>0</v>
      </c>
      <c r="BF12" s="820">
        <f ca="1">IF($H12="",0,IF($H12=1,IF('Para Adj'!$B$5 = 1,AB12-($O12-SUMPRODUCT($CX12:DK12,$BU12:CH12))*(1-SUM($DZ12:EM12)),CH12*DK12),$O12*CH12))</f>
        <v>0</v>
      </c>
      <c r="BG12" s="442">
        <f ca="1">IF($H12="",0,IF($H12=1,IF('Para Adj'!$B$5 = 1,AC12-($O12-SUMPRODUCT($CX12:DL12,$BU12:CI12))*(1-SUM($DZ12:EN12)),CI12*DL12),$O12*CI12))</f>
        <v>0</v>
      </c>
      <c r="BH12" s="442">
        <f ca="1">IF($H12="",0,IF($H12=1,IF('Para Adj'!$B$5 = 1,AD12-($O12-SUMPRODUCT($CX12:DM12,$BU12:CJ12))*(1-SUM($DZ12:EO12)),CJ12*DM12),$O12*CJ12))</f>
        <v>0</v>
      </c>
      <c r="BI12" s="442">
        <f ca="1">IF($H12="",0,IF($H12=1,IF('Para Adj'!$B$5 = 1,AE12-($O12-SUMPRODUCT($CX12:DN12,$BU12:CK12))*(1-SUM($DZ12:EP12)),CK12*DN12),$O12*CK12))</f>
        <v>-12.5</v>
      </c>
      <c r="BJ12" s="442">
        <f ca="1">IF($H12="",0,IF($H12=1,IF('Para Adj'!$B$5 = 1,AF12-($O12-SUMPRODUCT($CX12:DO12,$BU12:CL12))*(1-SUM($DZ12:EQ12)),CL12*DO12),$O12*CL12))</f>
        <v>0</v>
      </c>
      <c r="BK12" s="442">
        <f ca="1">IF($H12="",0,IF($H12=1,IF('Para Adj'!$B$5 = 1,AG12-($O12-SUMPRODUCT($CX12:DP12,$BU12:CM12))*(1-SUM($DZ12:ER12)),CM12*DP12),$O12*CM12))</f>
        <v>0</v>
      </c>
      <c r="BL12" s="442">
        <f ca="1">IF($H12="",0,IF($H12=1,IF('Para Adj'!$B$5 = 1,AH12-($O12-SUMPRODUCT($CX12:DQ12,$BU12:CN12))*(1-SUM($DZ12:ES12)),CN12*DQ12),$O12*CN12))</f>
        <v>0</v>
      </c>
      <c r="BM12" s="442">
        <f ca="1">IF($H12="",0,IF($H12=1,IF('Para Adj'!$B$5 = 1,AI12-($O12-SUMPRODUCT($CX12:DR12,$BU12:CO12))*(1-SUM($DZ12:ET12)),CO12*DR12),$O12*CO12))</f>
        <v>0</v>
      </c>
      <c r="BN12" s="442">
        <f ca="1">IF($H12="",0,IF($H12=1,IF('Para Adj'!$B$5 = 1,AJ12-($O12-SUMPRODUCT($CX12:DS12,$BU12:CP12))*(1-SUM($DZ12:EU12)),CP12*DS12),$O12*CP12))</f>
        <v>-7.4999999950000529</v>
      </c>
      <c r="BO12" s="442">
        <f ca="1">IF($H12="",0,IF($H12=1,IF('Para Adj'!$B$5 = 1,AK12-($O12-SUMPRODUCT($CX12:DT12,$BU12:CQ12))*(1-SUM($DZ12:EV12)),CQ12*DT12),$O12*CQ12))</f>
        <v>0</v>
      </c>
      <c r="BP12" s="442">
        <f ca="1">IF($H12="",0,IF($H12=1,IF('Para Adj'!$B$5 = 1,AL12-($O12-SUMPRODUCT($CX12:DU12,$BU12:CR12))*(1-SUM($DZ12:EW12)),CR12*DU12),$O12*CR12))</f>
        <v>-8.1900000000000546</v>
      </c>
      <c r="BQ12" s="442">
        <f ca="1">IF($H12="",0,IF($H12=1,IF('Para Adj'!$B$5 = 1,AM12-($O12-SUMPRODUCT($CX12:DV12,$BU12:CS12))*(1-SUM($DZ12:EX12)),CS12*DV12),$O12*CS12))</f>
        <v>0</v>
      </c>
      <c r="BR12" s="442">
        <f ca="1">IF($H12="",0,IF($H12=1,IF('Para Adj'!$B$5 = 1,AN12-($O12-SUMPRODUCT($CX12:DW12,$BU12:CT12))*(1-SUM($DZ12:EY12)),CT12*DW12),$O12*CT12))</f>
        <v>0</v>
      </c>
      <c r="BS12" s="442">
        <f ca="1">IF($H12="",0,IF($H12=1,IF('Para Adj'!$B$5 = 1,AO12-($O12-SUMPRODUCT($CX12:DX12,$BU12:CU12))*(1-SUM($DZ12:EZ12)),CU12*DX12),$O12*CU12))</f>
        <v>0</v>
      </c>
      <c r="BU12" s="820">
        <f ca="1">IF($B12=0,"",INDEX(Assumptions!G:G,$B12))</f>
        <v>0.5</v>
      </c>
      <c r="BV12" s="820">
        <f ca="1">IF($B12=0,"",INDEX(Assumptions!H:H,$B12))</f>
        <v>0.5</v>
      </c>
      <c r="BW12" s="820">
        <f ca="1">IF($B12=0,"",INDEX(Assumptions!I:I,$B12))</f>
        <v>0.5</v>
      </c>
      <c r="BX12" s="820">
        <f ca="1">IF($B12=0,"",INDEX(Assumptions!J:J,$B12))</f>
        <v>0.5</v>
      </c>
      <c r="BY12" s="820">
        <f ca="1">IF($B12=0,"",INDEX(Assumptions!K:K,$B12))</f>
        <v>0.5</v>
      </c>
      <c r="BZ12" s="820">
        <f ca="1">IF($B12=0,"",INDEX(Assumptions!L:L,$B12))</f>
        <v>0.5</v>
      </c>
      <c r="CA12" s="820">
        <f ca="1">IF($B12=0,"",INDEX(Assumptions!M:M,$B12))</f>
        <v>0.5</v>
      </c>
      <c r="CB12" s="820">
        <f ca="1">IF($B12=0,"",INDEX(Assumptions!N:N,$B12))</f>
        <v>0.5</v>
      </c>
      <c r="CC12" s="820">
        <f ca="1">IF($B12=0,"",INDEX(Assumptions!O:O,$B12))</f>
        <v>0.5</v>
      </c>
      <c r="CD12" s="820">
        <f ca="1">IF($B12=0,"",INDEX(Assumptions!P:P,$B12))</f>
        <v>0.5</v>
      </c>
      <c r="CE12" s="820">
        <f ca="1">IF($B12=0,"",INDEX(Assumptions!Q:Q,$B12))</f>
        <v>0.5</v>
      </c>
      <c r="CF12" s="820">
        <f ca="1">IF($B12=0,"",INDEX(Assumptions!R:R,$B12))</f>
        <v>0.5</v>
      </c>
      <c r="CG12" s="820">
        <f ca="1">IF($B12=0,"",INDEX(Assumptions!S:S,$B12))</f>
        <v>0.5</v>
      </c>
      <c r="CH12" s="820">
        <f ca="1">IF($B12=0,"",INDEX(Assumptions!T:T,$B12))</f>
        <v>0.5</v>
      </c>
      <c r="CI12" s="820">
        <f ca="1">IF($B12=0,"",INDEX(Assumptions!U:U,$B12))</f>
        <v>0.5</v>
      </c>
      <c r="CJ12" s="820">
        <f ca="1">IF($B12=0,"",INDEX(Assumptions!V:V,$B12))</f>
        <v>0.5</v>
      </c>
      <c r="CK12" s="820">
        <f ca="1">IF($B12=0,"",INDEX(Assumptions!W:W,$B12))</f>
        <v>0.5</v>
      </c>
      <c r="CL12" s="820">
        <f ca="1">IF($B12=0,"",INDEX(Assumptions!X:X,$B12))</f>
        <v>0.5</v>
      </c>
      <c r="CM12" s="820">
        <f ca="1">IF($B12=0,"",INDEX(Assumptions!Y:Y,$B12))</f>
        <v>0.5</v>
      </c>
      <c r="CN12" s="820">
        <f ca="1">IF($B12=0,"",INDEX(Assumptions!Z:Z,$B12))</f>
        <v>0.5</v>
      </c>
      <c r="CO12" s="820">
        <f ca="1">IF($B12=0,"",INDEX(Assumptions!AA:AA,$B12))</f>
        <v>0.5</v>
      </c>
      <c r="CP12" s="820">
        <f ca="1">IF($B12=0,"",INDEX(Assumptions!AB:AB,$B12))</f>
        <v>0.5</v>
      </c>
      <c r="CQ12" s="820">
        <f ca="1">IF($B12=0,"",INDEX(Assumptions!AC:AC,$B12))</f>
        <v>0.5</v>
      </c>
      <c r="CR12" s="820">
        <f ca="1">IF($B12=0,"",INDEX(Assumptions!AD:AD,$B12))</f>
        <v>0.5</v>
      </c>
      <c r="CS12" s="820">
        <f ca="1">IF($B12=0,"",INDEX(Assumptions!AE:AE,$B12))</f>
        <v>0.5</v>
      </c>
      <c r="CT12" s="820">
        <f ca="1">IF($B12=0,"",INDEX(Assumptions!AF:AF,$B12))</f>
        <v>0.5</v>
      </c>
      <c r="CU12" s="820">
        <f ca="1">IF($B12=0,"",INDEX(Assumptions!AG:AG,$B12))</f>
        <v>0.5</v>
      </c>
      <c r="CX12" s="442">
        <f>IF($A12="","",INDEX('Data Interface'!G:G,$A12))</f>
        <v>0</v>
      </c>
      <c r="CY12" s="442">
        <f>IF($A12="","",INDEX('Data Interface'!H:H,$A12))</f>
        <v>0</v>
      </c>
      <c r="CZ12" s="442">
        <f>IF($A12="","",INDEX('Data Interface'!I:I,$A12))</f>
        <v>0</v>
      </c>
      <c r="DA12" s="442">
        <f>IF($A12="","",INDEX('Data Interface'!J:J,$A12))</f>
        <v>0</v>
      </c>
      <c r="DB12" s="442">
        <f>IF($A12="","",INDEX('Data Interface'!K:K,$A12))</f>
        <v>0</v>
      </c>
      <c r="DC12" s="442">
        <f>IF($A12="","",INDEX('Data Interface'!L:L,$A12))</f>
        <v>0</v>
      </c>
      <c r="DD12" s="442">
        <f>IF($A12="","",INDEX('Data Interface'!M:M,$A12))</f>
        <v>0</v>
      </c>
      <c r="DE12" s="442">
        <f>IF($A12="","",INDEX('Data Interface'!N:N,$A12))</f>
        <v>0</v>
      </c>
      <c r="DF12" s="442">
        <f>IF($A12="","",INDEX('Data Interface'!O:O,$A12))</f>
        <v>0</v>
      </c>
      <c r="DG12" s="442">
        <f>IF($A12="","",INDEX('Data Interface'!P:P,$A12))</f>
        <v>0</v>
      </c>
      <c r="DH12" s="442">
        <f>IF($A12="","",INDEX('Data Interface'!Q:Q,$A12))</f>
        <v>0</v>
      </c>
      <c r="DI12" s="442">
        <f>IF($A12="","",INDEX('Data Interface'!R:R,$A12))</f>
        <v>0</v>
      </c>
      <c r="DJ12" s="442">
        <f>IF($A12="","",INDEX('Data Interface'!S:S,$A12))</f>
        <v>0</v>
      </c>
      <c r="DK12" s="442">
        <f>IF($A12="","",INDEX('Data Interface'!T:T,$A12))</f>
        <v>0</v>
      </c>
      <c r="DL12" s="442">
        <f>IF($A12="","",INDEX('Data Interface'!U:U,$A12))</f>
        <v>0</v>
      </c>
      <c r="DM12" s="442">
        <f>IF($A12="","",INDEX('Data Interface'!V:V,$A12))</f>
        <v>0</v>
      </c>
      <c r="DN12" s="442">
        <f>IF($A12="","",INDEX('Data Interface'!W:W,$A12))</f>
        <v>-25</v>
      </c>
      <c r="DO12" s="442">
        <f>IF($A12="","",INDEX('Data Interface'!X:X,$A12))</f>
        <v>0</v>
      </c>
      <c r="DP12" s="442">
        <f>IF($A12="","",INDEX('Data Interface'!Y:Y,$A12))</f>
        <v>0</v>
      </c>
      <c r="DQ12" s="442">
        <f>IF($A12="","",INDEX('Data Interface'!Z:Z,$A12))</f>
        <v>0</v>
      </c>
      <c r="DR12" s="442">
        <f>IF($A12="","",INDEX('Data Interface'!AA:AA,$A12))</f>
        <v>0</v>
      </c>
      <c r="DS12" s="442">
        <f>IF($A12="","",INDEX('Data Interface'!AB:AB,$A12))</f>
        <v>-14.999999990000001</v>
      </c>
      <c r="DT12" s="442">
        <f>IF($A12="","",INDEX('Data Interface'!AC:AC,$A12))</f>
        <v>0</v>
      </c>
      <c r="DU12" s="442">
        <f>IF($A12="","",INDEX('Data Interface'!AD:AD,$A12))</f>
        <v>-16.38</v>
      </c>
      <c r="DV12" s="442">
        <f>IF($A12="","",INDEX('Data Interface'!AE:AE,$A12))</f>
        <v>0</v>
      </c>
      <c r="DW12" s="442">
        <f>IF($A12="","",INDEX('Data Interface'!AF:AF,$A12))</f>
        <v>0</v>
      </c>
      <c r="DX12" s="442">
        <f>IF($A12="","",INDEX('Data Interface'!AG:AG,$A12))</f>
        <v>0</v>
      </c>
      <c r="DZ12" s="906">
        <f>IF(OR($B12=0,$A12=0,$H12&lt;&gt;1),"",INDEX(Assumptions!EO:EO,$B12))</f>
        <v>0</v>
      </c>
      <c r="EA12" s="906">
        <f>IF(OR($B12=0,$A12=0,$H12&lt;&gt;1),"",INDEX(Assumptions!EP:EP,$B12))</f>
        <v>0</v>
      </c>
      <c r="EB12" s="906">
        <f>IF(OR($B12=0,$A12=0,$H12&lt;&gt;1),"",INDEX(Assumptions!EQ:EQ,$B12))</f>
        <v>0</v>
      </c>
      <c r="EC12" s="906">
        <f>IF(OR($B12=0,$A12=0,$H12&lt;&gt;1),"",INDEX(Assumptions!ER:ER,$B12))</f>
        <v>0</v>
      </c>
      <c r="ED12" s="906">
        <f>IF(OR($B12=0,$A12=0,$H12&lt;&gt;1),"",INDEX(Assumptions!ES:ES,$B12))</f>
        <v>0</v>
      </c>
      <c r="EE12" s="906">
        <f>IF(OR($B12=0,$A12=0,$H12&lt;&gt;1),"",INDEX(Assumptions!ET:ET,$B12))</f>
        <v>0</v>
      </c>
      <c r="EF12" s="906">
        <f>IF(OR($B12=0,$A12=0,$H12&lt;&gt;1),"",INDEX(Assumptions!EU:EU,$B12))</f>
        <v>0</v>
      </c>
      <c r="EG12" s="906">
        <f>IF(OR($B12=0,$A12=0,$H12&lt;&gt;1),"",INDEX(Assumptions!EV:EV,$B12))</f>
        <v>0</v>
      </c>
      <c r="EH12" s="906">
        <f>IF(OR($B12=0,$A12=0,$H12&lt;&gt;1),"",INDEX(Assumptions!EW:EW,$B12))</f>
        <v>0</v>
      </c>
      <c r="EI12" s="906">
        <f>IF(OR($B12=0,$A12=0,$H12&lt;&gt;1),"",INDEX(Assumptions!EX:EX,$B12))</f>
        <v>0</v>
      </c>
      <c r="EJ12" s="906">
        <f>IF(OR($B12=0,$A12=0,$H12&lt;&gt;1),"",INDEX(Assumptions!EY:EY,$B12))</f>
        <v>0</v>
      </c>
      <c r="EK12" s="906">
        <f>IF(OR($B12=0,$A12=0,$H12&lt;&gt;1),"",INDEX(Assumptions!EZ:EZ,$B12))</f>
        <v>0</v>
      </c>
      <c r="EL12" s="906">
        <f>IF(OR($B12=0,$A12=0,$H12&lt;&gt;1),"",INDEX(Assumptions!FA:FA,$B12))</f>
        <v>0</v>
      </c>
      <c r="EM12" s="906">
        <f>IF(OR($B12=0,$A12=0,$H12&lt;&gt;1),"",INDEX(Assumptions!FB:FB,$B12))</f>
        <v>0</v>
      </c>
      <c r="EN12" s="906">
        <f>IF(OR($B12=0,$A12=0,$H12&lt;&gt;1),"",INDEX(Assumptions!FC:FC,$B12))</f>
        <v>0</v>
      </c>
      <c r="EO12" s="906">
        <f>IF(OR($B12=0,$A12=0,$H12&lt;&gt;1),"",INDEX(Assumptions!FD:FD,$B12))</f>
        <v>0</v>
      </c>
      <c r="EP12" s="906">
        <f>IF(OR($B12=0,$A12=0,$H12&lt;&gt;1),"",INDEX(Assumptions!FE:FE,$B12))</f>
        <v>0</v>
      </c>
      <c r="EQ12" s="906">
        <f>IF(OR($B12=0,$A12=0,$H12&lt;&gt;1),"",INDEX(Assumptions!FF:FF,$B12))</f>
        <v>0</v>
      </c>
      <c r="ER12" s="906">
        <f>IF(OR($B12=0,$A12=0,$H12&lt;&gt;1),"",INDEX(Assumptions!FG:FG,$B12))</f>
        <v>0</v>
      </c>
      <c r="ES12" s="906">
        <f>IF(OR($B12=0,$A12=0,$H12&lt;&gt;1),"",INDEX(Assumptions!FH:FH,$B12))</f>
        <v>0</v>
      </c>
      <c r="ET12" s="906">
        <f>IF(OR($B12=0,$A12=0,$H12&lt;&gt;1),"",INDEX(Assumptions!FI:FI,$B12))</f>
        <v>0</v>
      </c>
      <c r="EU12" s="906">
        <f>IF(OR($B12=0,$A12=0,$H12&lt;&gt;1),"",INDEX(Assumptions!FJ:FJ,$B12))</f>
        <v>0</v>
      </c>
      <c r="EV12" s="906">
        <f>IF(OR($B12=0,$A12=0,$H12&lt;&gt;1),"",INDEX(Assumptions!FK:FK,$B12))</f>
        <v>0</v>
      </c>
      <c r="EW12" s="906">
        <f>IF(OR($B12=0,$A12=0,$H12&lt;&gt;1),"",INDEX(Assumptions!FL:FL,$B12))</f>
        <v>0</v>
      </c>
      <c r="EX12" s="906">
        <f>IF(OR($B12=0,$A12=0,$H12&lt;&gt;1),"",INDEX(Assumptions!FM:FM,$B12))</f>
        <v>0</v>
      </c>
      <c r="EY12" s="906">
        <f>IF(OR($B12=0,$A12=0,$H12&lt;&gt;1),"",INDEX(Assumptions!FN:FN,$B12))</f>
        <v>0</v>
      </c>
      <c r="EZ12" s="906">
        <f>IF(OR($B12=0,$A12=0,$H12&lt;&gt;1),"",INDEX(Assumptions!FO:FO,$B12))</f>
        <v>0</v>
      </c>
      <c r="FB12" s="820" t="str">
        <f t="shared" si="18"/>
        <v/>
      </c>
      <c r="FC12" s="820" t="str">
        <f t="shared" si="19"/>
        <v/>
      </c>
      <c r="FD12" s="820" t="str">
        <f t="shared" si="20"/>
        <v/>
      </c>
      <c r="FE12" s="820" t="str">
        <f t="shared" si="21"/>
        <v/>
      </c>
      <c r="FF12" s="820" t="str">
        <f t="shared" si="22"/>
        <v/>
      </c>
    </row>
    <row r="13" spans="1:162">
      <c r="A13" s="440">
        <f>IFERROR(MATCH(C13,'Data Interface'!B:B,0),0)</f>
        <v>12</v>
      </c>
      <c r="B13" s="440">
        <f>IFERROR(MATCH(C13,Assumptions!$B:$B,0),0)</f>
        <v>6</v>
      </c>
      <c r="C13" s="441" t="s">
        <v>1061</v>
      </c>
      <c r="E13" s="441" t="s">
        <v>1218</v>
      </c>
      <c r="F13" s="440" t="s">
        <v>1467</v>
      </c>
      <c r="G13" s="440" t="str">
        <f>IF(A13=0,"",INDEX('Data Interface'!$C:$C,$A13))</f>
        <v>Time -Secured Non U.S. (380)</v>
      </c>
      <c r="H13" s="440">
        <v>1</v>
      </c>
      <c r="I13" s="819">
        <f t="shared" ca="1" si="10"/>
        <v>0.5</v>
      </c>
      <c r="J13" s="819">
        <f t="shared" ca="1" si="11"/>
        <v>0.5</v>
      </c>
      <c r="K13" s="439" t="str">
        <f t="shared" ca="1" si="12"/>
        <v>50% of Contractual Maturity</v>
      </c>
      <c r="L13" s="439" t="s">
        <v>1146</v>
      </c>
      <c r="M13" s="439" t="s">
        <v>1497</v>
      </c>
      <c r="O13" s="442">
        <f>IF(OR($A13="",$A13=0),0,INDEX('Data Interface'!D:D,$A13))</f>
        <v>-2136.7882296600001</v>
      </c>
      <c r="P13" s="442">
        <f ca="1">$O13-SUM($AS13:AS13)</f>
        <v>-2136.7882296600001</v>
      </c>
      <c r="Q13" s="442">
        <f ca="1">$O13-SUM($AS13:AT13)</f>
        <v>-2136.7882296600001</v>
      </c>
      <c r="R13" s="442">
        <f ca="1">$O13-SUM($AS13:AU13)</f>
        <v>-2136.7882296600001</v>
      </c>
      <c r="S13" s="442">
        <f ca="1">$O13-SUM($AS13:AV13)</f>
        <v>-2136.7882296600001</v>
      </c>
      <c r="T13" s="442">
        <f ca="1">$O13-SUM($AS13:AW13)</f>
        <v>-2136.7882296600001</v>
      </c>
      <c r="U13" s="442">
        <f ca="1">$O13-SUM($AS13:AX13)</f>
        <v>-2136.7882296600001</v>
      </c>
      <c r="V13" s="442">
        <f ca="1">$O13-SUM($AS13:AY13)</f>
        <v>-2136.7882296600001</v>
      </c>
      <c r="W13" s="442">
        <f ca="1">$O13-SUM($AS13:AZ13)</f>
        <v>-2136.7882296600001</v>
      </c>
      <c r="X13" s="442">
        <f ca="1">$O13-SUM($AS13:BA13)</f>
        <v>-2136.7882296600001</v>
      </c>
      <c r="Y13" s="442">
        <f ca="1">$O13-SUM($AS13:BB13)</f>
        <v>-2106.7882296600001</v>
      </c>
      <c r="Z13" s="442">
        <f ca="1">$O13-SUM($AS13:BC13)</f>
        <v>-2106.7882296600001</v>
      </c>
      <c r="AA13" s="442">
        <f ca="1">$O13-SUM($AS13:BD13)</f>
        <v>-2106.7882296600001</v>
      </c>
      <c r="AB13" s="442">
        <f ca="1">$O13-SUM($AS13:BE13)</f>
        <v>-2106.7882296600001</v>
      </c>
      <c r="AC13" s="442">
        <f ca="1">$O13-SUM($AS13:BF13)</f>
        <v>-2106.7882296600001</v>
      </c>
      <c r="AD13" s="442">
        <f ca="1">$O13-SUM($AS13:BG13)</f>
        <v>-2106.7882296600001</v>
      </c>
      <c r="AE13" s="442">
        <f ca="1">$O13-SUM($AS13:BH13)</f>
        <v>-2106.7882296600001</v>
      </c>
      <c r="AF13" s="442">
        <f ca="1">$O13-SUM($AS13:BI13)</f>
        <v>-2106.7882296600001</v>
      </c>
      <c r="AG13" s="442">
        <f ca="1">$O13-SUM($AS13:BJ13)</f>
        <v>-2106.7882296600001</v>
      </c>
      <c r="AH13" s="442">
        <f ca="1">$O13-SUM($AS13:BK13)</f>
        <v>-2106.7882296600001</v>
      </c>
      <c r="AI13" s="442">
        <f ca="1">$O13-SUM($AS13:BL13)</f>
        <v>-2106.7882296600001</v>
      </c>
      <c r="AJ13" s="442">
        <f ca="1">$O13-SUM($AS13:BM13)</f>
        <v>-2106.7882296600001</v>
      </c>
      <c r="AK13" s="442">
        <f ca="1">$O13-SUM($AS13:BN13)</f>
        <v>-2054.2882296600001</v>
      </c>
      <c r="AL13" s="442">
        <f ca="1">$O13-SUM($AS13:BO13)</f>
        <v>-2039.58822966</v>
      </c>
      <c r="AM13" s="442">
        <f ca="1">$O13-SUM($AS13:BP13)</f>
        <v>-2039.58822966</v>
      </c>
      <c r="AN13" s="442">
        <f ca="1">$O13-SUM($AS13:BQ13)</f>
        <v>-2039.58822966</v>
      </c>
      <c r="AO13" s="442">
        <f ca="1">$O13-SUM($AS13:BR13)</f>
        <v>-2039.58822966</v>
      </c>
      <c r="AP13" s="442">
        <f ca="1">$O13-SUM($AS13:BS13)</f>
        <v>-2039.58822966</v>
      </c>
      <c r="AR13" s="439" t="s">
        <v>1201</v>
      </c>
      <c r="AS13" s="820">
        <f ca="1">IF($H13="",0,IF($H13=1,IF('Para Adj'!$B$5 = 1,O13-($O13-SUMPRODUCT($CX13:CX13,$BU13:BU13))*(1-SUM($DZ13:DZ13)),BU13*CX13),$O13*BU13))</f>
        <v>0</v>
      </c>
      <c r="AT13" s="820">
        <f ca="1">IF($H13="",0,IF($H13=1,IF('Para Adj'!$B$5 = 1,P13-($O13-SUMPRODUCT($CX13:CY13,$BU13:BV13))*(1-SUM($DZ13:EA13)),BV13*CY13),$O13*BV13))</f>
        <v>0</v>
      </c>
      <c r="AU13" s="820">
        <f ca="1">IF($H13="",0,IF($H13=1,IF('Para Adj'!$B$5 = 1,Q13-($O13-SUMPRODUCT($CX13:CZ13,$BU13:BW13))*(1-SUM($DZ13:EB13)),BW13*CZ13),$O13*BW13))</f>
        <v>0</v>
      </c>
      <c r="AV13" s="820">
        <f ca="1">IF($H13="",0,IF($H13=1,IF('Para Adj'!$B$5 = 1,R13-($O13-SUMPRODUCT($CX13:DA13,$BU13:BX13))*(1-SUM($DZ13:EC13)),BX13*DA13),$O13*BX13))</f>
        <v>0</v>
      </c>
      <c r="AW13" s="820">
        <f ca="1">IF($H13="",0,IF($H13=1,IF('Para Adj'!$B$5 = 1,S13-($O13-SUMPRODUCT($CX13:DB13,$BU13:BY13))*(1-SUM($DZ13:ED13)),BY13*DB13),$O13*BY13))</f>
        <v>0</v>
      </c>
      <c r="AX13" s="820">
        <f ca="1">IF($H13="",0,IF($H13=1,IF('Para Adj'!$B$5 = 1,T13-($O13-SUMPRODUCT($CX13:DC13,$BU13:BZ13))*(1-SUM($DZ13:EE13)),BZ13*DC13),$O13*BZ13))</f>
        <v>0</v>
      </c>
      <c r="AY13" s="820">
        <f ca="1">IF($H13="",0,IF($H13=1,IF('Para Adj'!$B$5 = 1,U13-($O13-SUMPRODUCT($CX13:DD13,$BU13:CA13))*(1-SUM($DZ13:EF13)),CA13*DD13),$O13*CA13))</f>
        <v>0</v>
      </c>
      <c r="AZ13" s="820">
        <f ca="1">IF($H13="",0,IF($H13=1,IF('Para Adj'!$B$5 = 1,V13-($O13-SUMPRODUCT($CX13:DE13,$BU13:CB13))*(1-SUM($DZ13:EG13)),CB13*DE13),$O13*CB13))</f>
        <v>0</v>
      </c>
      <c r="BA13" s="820">
        <f ca="1">IF($H13="",0,IF($H13=1,IF('Para Adj'!$B$5 = 1,W13-($O13-SUMPRODUCT($CX13:DF13,$BU13:CC13))*(1-SUM($DZ13:EH13)),CC13*DF13),$O13*CC13))</f>
        <v>0</v>
      </c>
      <c r="BB13" s="820">
        <f ca="1">IF($H13="",0,IF($H13=1,IF('Para Adj'!$B$5 = 1,X13-($O13-SUMPRODUCT($CX13:DG13,$BU13:CD13))*(1-SUM($DZ13:EI13)),CD13*DG13),$O13*CD13))</f>
        <v>-30</v>
      </c>
      <c r="BC13" s="820">
        <f ca="1">IF($H13="",0,IF($H13=1,IF('Para Adj'!$B$5 = 1,Y13-($O13-SUMPRODUCT($CX13:DH13,$BU13:CE13))*(1-SUM($DZ13:EJ13)),CE13*DH13),$O13*CE13))</f>
        <v>0</v>
      </c>
      <c r="BD13" s="820">
        <f ca="1">IF($H13="",0,IF($H13=1,IF('Para Adj'!$B$5 = 1,Z13-($O13-SUMPRODUCT($CX13:DI13,$BU13:CF13))*(1-SUM($DZ13:EK13)),CF13*DI13),$O13*CF13))</f>
        <v>0</v>
      </c>
      <c r="BE13" s="820">
        <f ca="1">IF($H13="",0,IF($H13=1,IF('Para Adj'!$B$5 = 1,AA13-($O13-SUMPRODUCT($CX13:DJ13,$BU13:CG13))*(1-SUM($DZ13:EL13)),CG13*DJ13),$O13*CG13))</f>
        <v>0</v>
      </c>
      <c r="BF13" s="820">
        <f ca="1">IF($H13="",0,IF($H13=1,IF('Para Adj'!$B$5 = 1,AB13-($O13-SUMPRODUCT($CX13:DK13,$BU13:CH13))*(1-SUM($DZ13:EM13)),CH13*DK13),$O13*CH13))</f>
        <v>0</v>
      </c>
      <c r="BG13" s="442">
        <f ca="1">IF($H13="",0,IF($H13=1,IF('Para Adj'!$B$5 = 1,AC13-($O13-SUMPRODUCT($CX13:DL13,$BU13:CI13))*(1-SUM($DZ13:EN13)),CI13*DL13),$O13*CI13))</f>
        <v>0</v>
      </c>
      <c r="BH13" s="442">
        <f ca="1">IF($H13="",0,IF($H13=1,IF('Para Adj'!$B$5 = 1,AD13-($O13-SUMPRODUCT($CX13:DM13,$BU13:CJ13))*(1-SUM($DZ13:EO13)),CJ13*DM13),$O13*CJ13))</f>
        <v>0</v>
      </c>
      <c r="BI13" s="442">
        <f ca="1">IF($H13="",0,IF($H13=1,IF('Para Adj'!$B$5 = 1,AE13-($O13-SUMPRODUCT($CX13:DN13,$BU13:CK13))*(1-SUM($DZ13:EP13)),CK13*DN13),$O13*CK13))</f>
        <v>0</v>
      </c>
      <c r="BJ13" s="442">
        <f ca="1">IF($H13="",0,IF($H13=1,IF('Para Adj'!$B$5 = 1,AF13-($O13-SUMPRODUCT($CX13:DO13,$BU13:CL13))*(1-SUM($DZ13:EQ13)),CL13*DO13),$O13*CL13))</f>
        <v>0</v>
      </c>
      <c r="BK13" s="442">
        <f ca="1">IF($H13="",0,IF($H13=1,IF('Para Adj'!$B$5 = 1,AG13-($O13-SUMPRODUCT($CX13:DP13,$BU13:CM13))*(1-SUM($DZ13:ER13)),CM13*DP13),$O13*CM13))</f>
        <v>0</v>
      </c>
      <c r="BL13" s="442">
        <f ca="1">IF($H13="",0,IF($H13=1,IF('Para Adj'!$B$5 = 1,AH13-($O13-SUMPRODUCT($CX13:DQ13,$BU13:CN13))*(1-SUM($DZ13:ES13)),CN13*DQ13),$O13*CN13))</f>
        <v>0</v>
      </c>
      <c r="BM13" s="442">
        <f ca="1">IF($H13="",0,IF($H13=1,IF('Para Adj'!$B$5 = 1,AI13-($O13-SUMPRODUCT($CX13:DR13,$BU13:CO13))*(1-SUM($DZ13:ET13)),CO13*DR13),$O13*CO13))</f>
        <v>0</v>
      </c>
      <c r="BN13" s="442">
        <f ca="1">IF($H13="",0,IF($H13=1,IF('Para Adj'!$B$5 = 1,AJ13-($O13-SUMPRODUCT($CX13:DS13,$BU13:CP13))*(1-SUM($DZ13:EU13)),CP13*DS13),$O13*CP13))</f>
        <v>-52.5</v>
      </c>
      <c r="BO13" s="442">
        <f ca="1">IF($H13="",0,IF($H13=1,IF('Para Adj'!$B$5 = 1,AK13-($O13-SUMPRODUCT($CX13:DT13,$BU13:CQ13))*(1-SUM($DZ13:EV13)),CQ13*DT13),$O13*CQ13))</f>
        <v>-14.700000000000045</v>
      </c>
      <c r="BP13" s="442">
        <f ca="1">IF($H13="",0,IF($H13=1,IF('Para Adj'!$B$5 = 1,AL13-($O13-SUMPRODUCT($CX13:DU13,$BU13:CR13))*(1-SUM($DZ13:EW13)),CR13*DU13),$O13*CR13))</f>
        <v>0</v>
      </c>
      <c r="BQ13" s="442">
        <f ca="1">IF($H13="",0,IF($H13=1,IF('Para Adj'!$B$5 = 1,AM13-($O13-SUMPRODUCT($CX13:DV13,$BU13:CS13))*(1-SUM($DZ13:EX13)),CS13*DV13),$O13*CS13))</f>
        <v>0</v>
      </c>
      <c r="BR13" s="442">
        <f ca="1">IF($H13="",0,IF($H13=1,IF('Para Adj'!$B$5 = 1,AN13-($O13-SUMPRODUCT($CX13:DW13,$BU13:CT13))*(1-SUM($DZ13:EY13)),CT13*DW13),$O13*CT13))</f>
        <v>0</v>
      </c>
      <c r="BS13" s="442">
        <f ca="1">IF($H13="",0,IF($H13=1,IF('Para Adj'!$B$5 = 1,AO13-($O13-SUMPRODUCT($CX13:DX13,$BU13:CU13))*(1-SUM($DZ13:EZ13)),CU13*DX13),$O13*CU13))</f>
        <v>0</v>
      </c>
      <c r="BU13" s="820">
        <f ca="1">IF($B13=0,"",INDEX(Assumptions!G:G,$B13))</f>
        <v>0.5</v>
      </c>
      <c r="BV13" s="820">
        <f ca="1">IF($B13=0,"",INDEX(Assumptions!H:H,$B13))</f>
        <v>0.5</v>
      </c>
      <c r="BW13" s="820">
        <f ca="1">IF($B13=0,"",INDEX(Assumptions!I:I,$B13))</f>
        <v>0.5</v>
      </c>
      <c r="BX13" s="820">
        <f ca="1">IF($B13=0,"",INDEX(Assumptions!J:J,$B13))</f>
        <v>0.5</v>
      </c>
      <c r="BY13" s="820">
        <f ca="1">IF($B13=0,"",INDEX(Assumptions!K:K,$B13))</f>
        <v>0.5</v>
      </c>
      <c r="BZ13" s="820">
        <f ca="1">IF($B13=0,"",INDEX(Assumptions!L:L,$B13))</f>
        <v>0.5</v>
      </c>
      <c r="CA13" s="820">
        <f ca="1">IF($B13=0,"",INDEX(Assumptions!M:M,$B13))</f>
        <v>0.5</v>
      </c>
      <c r="CB13" s="820">
        <f ca="1">IF($B13=0,"",INDEX(Assumptions!N:N,$B13))</f>
        <v>0.5</v>
      </c>
      <c r="CC13" s="820">
        <f ca="1">IF($B13=0,"",INDEX(Assumptions!O:O,$B13))</f>
        <v>0.5</v>
      </c>
      <c r="CD13" s="820">
        <f ca="1">IF($B13=0,"",INDEX(Assumptions!P:P,$B13))</f>
        <v>0.5</v>
      </c>
      <c r="CE13" s="820">
        <f ca="1">IF($B13=0,"",INDEX(Assumptions!Q:Q,$B13))</f>
        <v>0.5</v>
      </c>
      <c r="CF13" s="820">
        <f ca="1">IF($B13=0,"",INDEX(Assumptions!R:R,$B13))</f>
        <v>0.5</v>
      </c>
      <c r="CG13" s="820">
        <f ca="1">IF($B13=0,"",INDEX(Assumptions!S:S,$B13))</f>
        <v>0.5</v>
      </c>
      <c r="CH13" s="820">
        <f ca="1">IF($B13=0,"",INDEX(Assumptions!T:T,$B13))</f>
        <v>0.5</v>
      </c>
      <c r="CI13" s="820">
        <f ca="1">IF($B13=0,"",INDEX(Assumptions!U:U,$B13))</f>
        <v>0.5</v>
      </c>
      <c r="CJ13" s="820">
        <f ca="1">IF($B13=0,"",INDEX(Assumptions!V:V,$B13))</f>
        <v>0.5</v>
      </c>
      <c r="CK13" s="820">
        <f ca="1">IF($B13=0,"",INDEX(Assumptions!W:W,$B13))</f>
        <v>0.5</v>
      </c>
      <c r="CL13" s="820">
        <f ca="1">IF($B13=0,"",INDEX(Assumptions!X:X,$B13))</f>
        <v>0.5</v>
      </c>
      <c r="CM13" s="820">
        <f ca="1">IF($B13=0,"",INDEX(Assumptions!Y:Y,$B13))</f>
        <v>0.5</v>
      </c>
      <c r="CN13" s="820">
        <f ca="1">IF($B13=0,"",INDEX(Assumptions!Z:Z,$B13))</f>
        <v>0.5</v>
      </c>
      <c r="CO13" s="820">
        <f ca="1">IF($B13=0,"",INDEX(Assumptions!AA:AA,$B13))</f>
        <v>0.5</v>
      </c>
      <c r="CP13" s="820">
        <f ca="1">IF($B13=0,"",INDEX(Assumptions!AB:AB,$B13))</f>
        <v>0.5</v>
      </c>
      <c r="CQ13" s="820">
        <f ca="1">IF($B13=0,"",INDEX(Assumptions!AC:AC,$B13))</f>
        <v>0.5</v>
      </c>
      <c r="CR13" s="820">
        <f ca="1">IF($B13=0,"",INDEX(Assumptions!AD:AD,$B13))</f>
        <v>0.5</v>
      </c>
      <c r="CS13" s="820">
        <f ca="1">IF($B13=0,"",INDEX(Assumptions!AE:AE,$B13))</f>
        <v>0.5</v>
      </c>
      <c r="CT13" s="820">
        <f ca="1">IF($B13=0,"",INDEX(Assumptions!AF:AF,$B13))</f>
        <v>0.5</v>
      </c>
      <c r="CU13" s="820">
        <f ca="1">IF($B13=0,"",INDEX(Assumptions!AG:AG,$B13))</f>
        <v>0.5</v>
      </c>
      <c r="CX13" s="442">
        <f>IF($A13="","",INDEX('Data Interface'!G:G,$A13))</f>
        <v>0</v>
      </c>
      <c r="CY13" s="442">
        <f>IF($A13="","",INDEX('Data Interface'!H:H,$A13))</f>
        <v>0</v>
      </c>
      <c r="CZ13" s="442">
        <f>IF($A13="","",INDEX('Data Interface'!I:I,$A13))</f>
        <v>0</v>
      </c>
      <c r="DA13" s="442">
        <f>IF($A13="","",INDEX('Data Interface'!J:J,$A13))</f>
        <v>0</v>
      </c>
      <c r="DB13" s="442">
        <f>IF($A13="","",INDEX('Data Interface'!K:K,$A13))</f>
        <v>0</v>
      </c>
      <c r="DC13" s="442">
        <f>IF($A13="","",INDEX('Data Interface'!L:L,$A13))</f>
        <v>0</v>
      </c>
      <c r="DD13" s="442">
        <f>IF($A13="","",INDEX('Data Interface'!M:M,$A13))</f>
        <v>0</v>
      </c>
      <c r="DE13" s="442">
        <f>IF($A13="","",INDEX('Data Interface'!N:N,$A13))</f>
        <v>0</v>
      </c>
      <c r="DF13" s="442">
        <f>IF($A13="","",INDEX('Data Interface'!O:O,$A13))</f>
        <v>0</v>
      </c>
      <c r="DG13" s="442">
        <f>IF($A13="","",INDEX('Data Interface'!P:P,$A13))</f>
        <v>-60</v>
      </c>
      <c r="DH13" s="442">
        <f>IF($A13="","",INDEX('Data Interface'!Q:Q,$A13))</f>
        <v>0</v>
      </c>
      <c r="DI13" s="442">
        <f>IF($A13="","",INDEX('Data Interface'!R:R,$A13))</f>
        <v>0</v>
      </c>
      <c r="DJ13" s="442">
        <f>IF($A13="","",INDEX('Data Interface'!S:S,$A13))</f>
        <v>0</v>
      </c>
      <c r="DK13" s="442">
        <f>IF($A13="","",INDEX('Data Interface'!T:T,$A13))</f>
        <v>0</v>
      </c>
      <c r="DL13" s="442">
        <f>IF($A13="","",INDEX('Data Interface'!U:U,$A13))</f>
        <v>0</v>
      </c>
      <c r="DM13" s="442">
        <f>IF($A13="","",INDEX('Data Interface'!V:V,$A13))</f>
        <v>0</v>
      </c>
      <c r="DN13" s="442">
        <f>IF($A13="","",INDEX('Data Interface'!W:W,$A13))</f>
        <v>0</v>
      </c>
      <c r="DO13" s="442">
        <f>IF($A13="","",INDEX('Data Interface'!X:X,$A13))</f>
        <v>0</v>
      </c>
      <c r="DP13" s="442">
        <f>IF($A13="","",INDEX('Data Interface'!Y:Y,$A13))</f>
        <v>0</v>
      </c>
      <c r="DQ13" s="442">
        <f>IF($A13="","",INDEX('Data Interface'!Z:Z,$A13))</f>
        <v>0</v>
      </c>
      <c r="DR13" s="442">
        <f>IF($A13="","",INDEX('Data Interface'!AA:AA,$A13))</f>
        <v>0</v>
      </c>
      <c r="DS13" s="442">
        <f>IF($A13="","",INDEX('Data Interface'!AB:AB,$A13))</f>
        <v>-105</v>
      </c>
      <c r="DT13" s="442">
        <f>IF($A13="","",INDEX('Data Interface'!AC:AC,$A13))</f>
        <v>-29.4</v>
      </c>
      <c r="DU13" s="442">
        <f>IF($A13="","",INDEX('Data Interface'!AD:AD,$A13))</f>
        <v>0</v>
      </c>
      <c r="DV13" s="442">
        <f>IF($A13="","",INDEX('Data Interface'!AE:AE,$A13))</f>
        <v>0</v>
      </c>
      <c r="DW13" s="442">
        <f>IF($A13="","",INDEX('Data Interface'!AF:AF,$A13))</f>
        <v>0</v>
      </c>
      <c r="DX13" s="442">
        <f>IF($A13="","",INDEX('Data Interface'!AG:AG,$A13))</f>
        <v>0</v>
      </c>
      <c r="DZ13" s="906">
        <f>IF(OR($B13=0,$A13=0,$H13&lt;&gt;1),"",INDEX(Assumptions!EO:EO,$B13))</f>
        <v>0</v>
      </c>
      <c r="EA13" s="906">
        <f>IF(OR($B13=0,$A13=0,$H13&lt;&gt;1),"",INDEX(Assumptions!EP:EP,$B13))</f>
        <v>0</v>
      </c>
      <c r="EB13" s="906">
        <f>IF(OR($B13=0,$A13=0,$H13&lt;&gt;1),"",INDEX(Assumptions!EQ:EQ,$B13))</f>
        <v>0</v>
      </c>
      <c r="EC13" s="906">
        <f>IF(OR($B13=0,$A13=0,$H13&lt;&gt;1),"",INDEX(Assumptions!ER:ER,$B13))</f>
        <v>0</v>
      </c>
      <c r="ED13" s="906">
        <f>IF(OR($B13=0,$A13=0,$H13&lt;&gt;1),"",INDEX(Assumptions!ES:ES,$B13))</f>
        <v>0</v>
      </c>
      <c r="EE13" s="906">
        <f>IF(OR($B13=0,$A13=0,$H13&lt;&gt;1),"",INDEX(Assumptions!ET:ET,$B13))</f>
        <v>0</v>
      </c>
      <c r="EF13" s="906">
        <f>IF(OR($B13=0,$A13=0,$H13&lt;&gt;1),"",INDEX(Assumptions!EU:EU,$B13))</f>
        <v>0</v>
      </c>
      <c r="EG13" s="906">
        <f>IF(OR($B13=0,$A13=0,$H13&lt;&gt;1),"",INDEX(Assumptions!EV:EV,$B13))</f>
        <v>0</v>
      </c>
      <c r="EH13" s="906">
        <f>IF(OR($B13=0,$A13=0,$H13&lt;&gt;1),"",INDEX(Assumptions!EW:EW,$B13))</f>
        <v>0</v>
      </c>
      <c r="EI13" s="906">
        <f>IF(OR($B13=0,$A13=0,$H13&lt;&gt;1),"",INDEX(Assumptions!EX:EX,$B13))</f>
        <v>0</v>
      </c>
      <c r="EJ13" s="906">
        <f>IF(OR($B13=0,$A13=0,$H13&lt;&gt;1),"",INDEX(Assumptions!EY:EY,$B13))</f>
        <v>0</v>
      </c>
      <c r="EK13" s="906">
        <f>IF(OR($B13=0,$A13=0,$H13&lt;&gt;1),"",INDEX(Assumptions!EZ:EZ,$B13))</f>
        <v>0</v>
      </c>
      <c r="EL13" s="906">
        <f>IF(OR($B13=0,$A13=0,$H13&lt;&gt;1),"",INDEX(Assumptions!FA:FA,$B13))</f>
        <v>0</v>
      </c>
      <c r="EM13" s="906">
        <f>IF(OR($B13=0,$A13=0,$H13&lt;&gt;1),"",INDEX(Assumptions!FB:FB,$B13))</f>
        <v>0</v>
      </c>
      <c r="EN13" s="906">
        <f>IF(OR($B13=0,$A13=0,$H13&lt;&gt;1),"",INDEX(Assumptions!FC:FC,$B13))</f>
        <v>0</v>
      </c>
      <c r="EO13" s="906">
        <f>IF(OR($B13=0,$A13=0,$H13&lt;&gt;1),"",INDEX(Assumptions!FD:FD,$B13))</f>
        <v>0</v>
      </c>
      <c r="EP13" s="906">
        <f>IF(OR($B13=0,$A13=0,$H13&lt;&gt;1),"",INDEX(Assumptions!FE:FE,$B13))</f>
        <v>0</v>
      </c>
      <c r="EQ13" s="906">
        <f>IF(OR($B13=0,$A13=0,$H13&lt;&gt;1),"",INDEX(Assumptions!FF:FF,$B13))</f>
        <v>0</v>
      </c>
      <c r="ER13" s="906">
        <f>IF(OR($B13=0,$A13=0,$H13&lt;&gt;1),"",INDEX(Assumptions!FG:FG,$B13))</f>
        <v>0</v>
      </c>
      <c r="ES13" s="906">
        <f>IF(OR($B13=0,$A13=0,$H13&lt;&gt;1),"",INDEX(Assumptions!FH:FH,$B13))</f>
        <v>0</v>
      </c>
      <c r="ET13" s="906">
        <f>IF(OR($B13=0,$A13=0,$H13&lt;&gt;1),"",INDEX(Assumptions!FI:FI,$B13))</f>
        <v>0</v>
      </c>
      <c r="EU13" s="906">
        <f>IF(OR($B13=0,$A13=0,$H13&lt;&gt;1),"",INDEX(Assumptions!FJ:FJ,$B13))</f>
        <v>0</v>
      </c>
      <c r="EV13" s="906">
        <f>IF(OR($B13=0,$A13=0,$H13&lt;&gt;1),"",INDEX(Assumptions!FK:FK,$B13))</f>
        <v>0</v>
      </c>
      <c r="EW13" s="906">
        <f>IF(OR($B13=0,$A13=0,$H13&lt;&gt;1),"",INDEX(Assumptions!FL:FL,$B13))</f>
        <v>0</v>
      </c>
      <c r="EX13" s="906">
        <f>IF(OR($B13=0,$A13=0,$H13&lt;&gt;1),"",INDEX(Assumptions!FM:FM,$B13))</f>
        <v>0</v>
      </c>
      <c r="EY13" s="906">
        <f>IF(OR($B13=0,$A13=0,$H13&lt;&gt;1),"",INDEX(Assumptions!FN:FN,$B13))</f>
        <v>0</v>
      </c>
      <c r="EZ13" s="906">
        <f>IF(OR($B13=0,$A13=0,$H13&lt;&gt;1),"",INDEX(Assumptions!FO:FO,$B13))</f>
        <v>0</v>
      </c>
      <c r="FB13" s="820" t="str">
        <f t="shared" si="18"/>
        <v/>
      </c>
      <c r="FC13" s="820" t="str">
        <f t="shared" si="19"/>
        <v/>
      </c>
      <c r="FD13" s="820" t="str">
        <f t="shared" si="20"/>
        <v/>
      </c>
      <c r="FE13" s="820" t="str">
        <f t="shared" si="21"/>
        <v/>
      </c>
      <c r="FF13" s="820" t="str">
        <f t="shared" si="22"/>
        <v/>
      </c>
    </row>
    <row r="14" spans="1:162">
      <c r="A14" s="440">
        <f>IFERROR(MATCH(C14,'Data Interface'!B:B,0),0)</f>
        <v>13</v>
      </c>
      <c r="B14" s="440">
        <f>IFERROR(MATCH(C14,Assumptions!$B:$B,0),0)</f>
        <v>7</v>
      </c>
      <c r="C14" s="441" t="s">
        <v>1063</v>
      </c>
      <c r="E14" s="441" t="s">
        <v>1218</v>
      </c>
      <c r="F14" s="440" t="s">
        <v>1467</v>
      </c>
      <c r="G14" s="440" t="str">
        <f>IF(A14=0,"",INDEX('Data Interface'!$C:$C,$A14))</f>
        <v>Time - unsecured U.S. (270)</v>
      </c>
      <c r="H14" s="440">
        <v>1</v>
      </c>
      <c r="I14" s="819">
        <f t="shared" ca="1" si="10"/>
        <v>0.5</v>
      </c>
      <c r="J14" s="819">
        <f t="shared" ca="1" si="11"/>
        <v>0.5</v>
      </c>
      <c r="K14" s="439" t="str">
        <f t="shared" ca="1" si="12"/>
        <v>50% of Contractual Maturity</v>
      </c>
      <c r="L14" s="439" t="s">
        <v>1146</v>
      </c>
      <c r="M14" s="439" t="s">
        <v>1497</v>
      </c>
      <c r="O14" s="442">
        <f>IF(OR($A14="",$A14=0),0,INDEX('Data Interface'!D:D,$A14))</f>
        <v>-929.72933477999993</v>
      </c>
      <c r="P14" s="442">
        <f ca="1">$O14-SUM($AS14:AS14)</f>
        <v>-929.72902574999989</v>
      </c>
      <c r="Q14" s="442">
        <f ca="1">$O14-SUM($AS14:AT14)</f>
        <v>-929.72902574999989</v>
      </c>
      <c r="R14" s="442">
        <f ca="1">$O14-SUM($AS14:AU14)</f>
        <v>-929.72902574999989</v>
      </c>
      <c r="S14" s="442">
        <f ca="1">$O14-SUM($AS14:AV14)</f>
        <v>-929.72902574999989</v>
      </c>
      <c r="T14" s="442">
        <f ca="1">$O14-SUM($AS14:AW14)</f>
        <v>-929.72902574999989</v>
      </c>
      <c r="U14" s="442">
        <f ca="1">$O14-SUM($AS14:AX14)</f>
        <v>-929.72902574999989</v>
      </c>
      <c r="V14" s="442">
        <f ca="1">$O14-SUM($AS14:AY14)</f>
        <v>-929.72902574999989</v>
      </c>
      <c r="W14" s="442">
        <f ca="1">$O14-SUM($AS14:AZ14)</f>
        <v>-929.72902574999989</v>
      </c>
      <c r="X14" s="442">
        <f ca="1">$O14-SUM($AS14:BA14)</f>
        <v>-929.72902574999989</v>
      </c>
      <c r="Y14" s="442">
        <f ca="1">$O14-SUM($AS14:BB14)</f>
        <v>-929.72902574999989</v>
      </c>
      <c r="Z14" s="442">
        <f ca="1">$O14-SUM($AS14:BC14)</f>
        <v>-929.72902574999989</v>
      </c>
      <c r="AA14" s="442">
        <f ca="1">$O14-SUM($AS14:BD14)</f>
        <v>-929.72902574999989</v>
      </c>
      <c r="AB14" s="442">
        <f ca="1">$O14-SUM($AS14:BE14)</f>
        <v>-929.72902574999989</v>
      </c>
      <c r="AC14" s="442">
        <f ca="1">$O14-SUM($AS14:BF14)</f>
        <v>-929.72902574999989</v>
      </c>
      <c r="AD14" s="442">
        <f ca="1">$O14-SUM($AS14:BG14)</f>
        <v>-929.72902574999989</v>
      </c>
      <c r="AE14" s="442">
        <f ca="1">$O14-SUM($AS14:BH14)</f>
        <v>-929.72902574999989</v>
      </c>
      <c r="AF14" s="442">
        <f ca="1">$O14-SUM($AS14:BI14)</f>
        <v>-929.72902574999989</v>
      </c>
      <c r="AG14" s="442">
        <f ca="1">$O14-SUM($AS14:BJ14)</f>
        <v>-929.72902574999989</v>
      </c>
      <c r="AH14" s="442">
        <f ca="1">$O14-SUM($AS14:BK14)</f>
        <v>-929.72902574999989</v>
      </c>
      <c r="AI14" s="442">
        <f ca="1">$O14-SUM($AS14:BL14)</f>
        <v>-929.72902574999989</v>
      </c>
      <c r="AJ14" s="442">
        <f ca="1">$O14-SUM($AS14:BM14)</f>
        <v>-929.72902574999989</v>
      </c>
      <c r="AK14" s="442">
        <f ca="1">$O14-SUM($AS14:BN14)</f>
        <v>-929.72902574999989</v>
      </c>
      <c r="AL14" s="442">
        <f ca="1">$O14-SUM($AS14:BO14)</f>
        <v>-928.53902574999995</v>
      </c>
      <c r="AM14" s="442">
        <f ca="1">$O14-SUM($AS14:BP14)</f>
        <v>-859.85466738999992</v>
      </c>
      <c r="AN14" s="442">
        <f ca="1">$O14-SUM($AS14:BQ14)</f>
        <v>-854.86466738999991</v>
      </c>
      <c r="AO14" s="442">
        <f ca="1">$O14-SUM($AS14:BR14)</f>
        <v>-839.86466738999991</v>
      </c>
      <c r="AP14" s="442">
        <f ca="1">$O14-SUM($AS14:BS14)</f>
        <v>-839.86466738999991</v>
      </c>
      <c r="AR14" s="439" t="s">
        <v>1201</v>
      </c>
      <c r="AS14" s="820">
        <f ca="1">IF($H14="",0,IF($H14=1,IF('Para Adj'!$B$5 = 1,O14-($O14-SUMPRODUCT($CX14:CX14,$BU14:BU14))*(1-SUM($DZ14:DZ14)),BU14*CX14),$O14*BU14))</f>
        <v>-3.0903000003945635E-4</v>
      </c>
      <c r="AT14" s="820">
        <f ca="1">IF($H14="",0,IF($H14=1,IF('Para Adj'!$B$5 = 1,P14-($O14-SUMPRODUCT($CX14:CY14,$BU14:BV14))*(1-SUM($DZ14:EA14)),BV14*CY14),$O14*BV14))</f>
        <v>0</v>
      </c>
      <c r="AU14" s="820">
        <f ca="1">IF($H14="",0,IF($H14=1,IF('Para Adj'!$B$5 = 1,Q14-($O14-SUMPRODUCT($CX14:CZ14,$BU14:BW14))*(1-SUM($DZ14:EB14)),BW14*CZ14),$O14*BW14))</f>
        <v>0</v>
      </c>
      <c r="AV14" s="820">
        <f ca="1">IF($H14="",0,IF($H14=1,IF('Para Adj'!$B$5 = 1,R14-($O14-SUMPRODUCT($CX14:DA14,$BU14:BX14))*(1-SUM($DZ14:EC14)),BX14*DA14),$O14*BX14))</f>
        <v>0</v>
      </c>
      <c r="AW14" s="820">
        <f ca="1">IF($H14="",0,IF($H14=1,IF('Para Adj'!$B$5 = 1,S14-($O14-SUMPRODUCT($CX14:DB14,$BU14:BY14))*(1-SUM($DZ14:ED14)),BY14*DB14),$O14*BY14))</f>
        <v>0</v>
      </c>
      <c r="AX14" s="820">
        <f ca="1">IF($H14="",0,IF($H14=1,IF('Para Adj'!$B$5 = 1,T14-($O14-SUMPRODUCT($CX14:DC14,$BU14:BZ14))*(1-SUM($DZ14:EE14)),BZ14*DC14),$O14*BZ14))</f>
        <v>0</v>
      </c>
      <c r="AY14" s="820">
        <f ca="1">IF($H14="",0,IF($H14=1,IF('Para Adj'!$B$5 = 1,U14-($O14-SUMPRODUCT($CX14:DD14,$BU14:CA14))*(1-SUM($DZ14:EF14)),CA14*DD14),$O14*CA14))</f>
        <v>0</v>
      </c>
      <c r="AZ14" s="820">
        <f ca="1">IF($H14="",0,IF($H14=1,IF('Para Adj'!$B$5 = 1,V14-($O14-SUMPRODUCT($CX14:DE14,$BU14:CB14))*(1-SUM($DZ14:EG14)),CB14*DE14),$O14*CB14))</f>
        <v>0</v>
      </c>
      <c r="BA14" s="820">
        <f ca="1">IF($H14="",0,IF($H14=1,IF('Para Adj'!$B$5 = 1,W14-($O14-SUMPRODUCT($CX14:DF14,$BU14:CC14))*(1-SUM($DZ14:EH14)),CC14*DF14),$O14*CC14))</f>
        <v>0</v>
      </c>
      <c r="BB14" s="820">
        <f ca="1">IF($H14="",0,IF($H14=1,IF('Para Adj'!$B$5 = 1,X14-($O14-SUMPRODUCT($CX14:DG14,$BU14:CD14))*(1-SUM($DZ14:EI14)),CD14*DG14),$O14*CD14))</f>
        <v>0</v>
      </c>
      <c r="BC14" s="820">
        <f ca="1">IF($H14="",0,IF($H14=1,IF('Para Adj'!$B$5 = 1,Y14-($O14-SUMPRODUCT($CX14:DH14,$BU14:CE14))*(1-SUM($DZ14:EJ14)),CE14*DH14),$O14*CE14))</f>
        <v>0</v>
      </c>
      <c r="BD14" s="820">
        <f ca="1">IF($H14="",0,IF($H14=1,IF('Para Adj'!$B$5 = 1,Z14-($O14-SUMPRODUCT($CX14:DI14,$BU14:CF14))*(1-SUM($DZ14:EK14)),CF14*DI14),$O14*CF14))</f>
        <v>0</v>
      </c>
      <c r="BE14" s="820">
        <f ca="1">IF($H14="",0,IF($H14=1,IF('Para Adj'!$B$5 = 1,AA14-($O14-SUMPRODUCT($CX14:DJ14,$BU14:CG14))*(1-SUM($DZ14:EL14)),CG14*DJ14),$O14*CG14))</f>
        <v>0</v>
      </c>
      <c r="BF14" s="820">
        <f ca="1">IF($H14="",0,IF($H14=1,IF('Para Adj'!$B$5 = 1,AB14-($O14-SUMPRODUCT($CX14:DK14,$BU14:CH14))*(1-SUM($DZ14:EM14)),CH14*DK14),$O14*CH14))</f>
        <v>0</v>
      </c>
      <c r="BG14" s="442">
        <f ca="1">IF($H14="",0,IF($H14=1,IF('Para Adj'!$B$5 = 1,AC14-($O14-SUMPRODUCT($CX14:DL14,$BU14:CI14))*(1-SUM($DZ14:EN14)),CI14*DL14),$O14*CI14))</f>
        <v>0</v>
      </c>
      <c r="BH14" s="442">
        <f ca="1">IF($H14="",0,IF($H14=1,IF('Para Adj'!$B$5 = 1,AD14-($O14-SUMPRODUCT($CX14:DM14,$BU14:CJ14))*(1-SUM($DZ14:EO14)),CJ14*DM14),$O14*CJ14))</f>
        <v>0</v>
      </c>
      <c r="BI14" s="442">
        <f ca="1">IF($H14="",0,IF($H14=1,IF('Para Adj'!$B$5 = 1,AE14-($O14-SUMPRODUCT($CX14:DN14,$BU14:CK14))*(1-SUM($DZ14:EP14)),CK14*DN14),$O14*CK14))</f>
        <v>0</v>
      </c>
      <c r="BJ14" s="442">
        <f ca="1">IF($H14="",0,IF($H14=1,IF('Para Adj'!$B$5 = 1,AF14-($O14-SUMPRODUCT($CX14:DO14,$BU14:CL14))*(1-SUM($DZ14:EQ14)),CL14*DO14),$O14*CL14))</f>
        <v>0</v>
      </c>
      <c r="BK14" s="442">
        <f ca="1">IF($H14="",0,IF($H14=1,IF('Para Adj'!$B$5 = 1,AG14-($O14-SUMPRODUCT($CX14:DP14,$BU14:CM14))*(1-SUM($DZ14:ER14)),CM14*DP14),$O14*CM14))</f>
        <v>0</v>
      </c>
      <c r="BL14" s="442">
        <f ca="1">IF($H14="",0,IF($H14=1,IF('Para Adj'!$B$5 = 1,AH14-($O14-SUMPRODUCT($CX14:DQ14,$BU14:CN14))*(1-SUM($DZ14:ES14)),CN14*DQ14),$O14*CN14))</f>
        <v>0</v>
      </c>
      <c r="BM14" s="442">
        <f ca="1">IF($H14="",0,IF($H14=1,IF('Para Adj'!$B$5 = 1,AI14-($O14-SUMPRODUCT($CX14:DR14,$BU14:CO14))*(1-SUM($DZ14:ET14)),CO14*DR14),$O14*CO14))</f>
        <v>0</v>
      </c>
      <c r="BN14" s="442">
        <f ca="1">IF($H14="",0,IF($H14=1,IF('Para Adj'!$B$5 = 1,AJ14-($O14-SUMPRODUCT($CX14:DS14,$BU14:CP14))*(1-SUM($DZ14:EU14)),CP14*DS14),$O14*CP14))</f>
        <v>0</v>
      </c>
      <c r="BO14" s="442">
        <f ca="1">IF($H14="",0,IF($H14=1,IF('Para Adj'!$B$5 = 1,AK14-($O14-SUMPRODUCT($CX14:DT14,$BU14:CQ14))*(1-SUM($DZ14:EV14)),CQ14*DT14),$O14*CQ14))</f>
        <v>-1.1899999999999409</v>
      </c>
      <c r="BP14" s="442">
        <f ca="1">IF($H14="",0,IF($H14=1,IF('Para Adj'!$B$5 = 1,AL14-($O14-SUMPRODUCT($CX14:DU14,$BU14:CR14))*(1-SUM($DZ14:EW14)),CR14*DU14),$O14*CR14))</f>
        <v>-68.684358360000033</v>
      </c>
      <c r="BQ14" s="442">
        <f ca="1">IF($H14="",0,IF($H14=1,IF('Para Adj'!$B$5 = 1,AM14-($O14-SUMPRODUCT($CX14:DV14,$BU14:CS14))*(1-SUM($DZ14:EX14)),CS14*DV14),$O14*CS14))</f>
        <v>-4.9900000000000091</v>
      </c>
      <c r="BR14" s="442">
        <f ca="1">IF($H14="",0,IF($H14=1,IF('Para Adj'!$B$5 = 1,AN14-($O14-SUMPRODUCT($CX14:DW14,$BU14:CT14))*(1-SUM($DZ14:EY14)),CT14*DW14),$O14*CT14))</f>
        <v>-15</v>
      </c>
      <c r="BS14" s="442">
        <f ca="1">IF($H14="",0,IF($H14=1,IF('Para Adj'!$B$5 = 1,AO14-($O14-SUMPRODUCT($CX14:DX14,$BU14:CU14))*(1-SUM($DZ14:EZ14)),CU14*DX14),$O14*CU14))</f>
        <v>0</v>
      </c>
      <c r="BU14" s="820">
        <f ca="1">IF($B14=0,"",INDEX(Assumptions!G:G,$B14))</f>
        <v>0.5</v>
      </c>
      <c r="BV14" s="820">
        <f ca="1">IF($B14=0,"",INDEX(Assumptions!H:H,$B14))</f>
        <v>0.5</v>
      </c>
      <c r="BW14" s="820">
        <f ca="1">IF($B14=0,"",INDEX(Assumptions!I:I,$B14))</f>
        <v>0.5</v>
      </c>
      <c r="BX14" s="820">
        <f ca="1">IF($B14=0,"",INDEX(Assumptions!J:J,$B14))</f>
        <v>0.5</v>
      </c>
      <c r="BY14" s="820">
        <f ca="1">IF($B14=0,"",INDEX(Assumptions!K:K,$B14))</f>
        <v>0.5</v>
      </c>
      <c r="BZ14" s="820">
        <f ca="1">IF($B14=0,"",INDEX(Assumptions!L:L,$B14))</f>
        <v>0.5</v>
      </c>
      <c r="CA14" s="820">
        <f ca="1">IF($B14=0,"",INDEX(Assumptions!M:M,$B14))</f>
        <v>0.5</v>
      </c>
      <c r="CB14" s="820">
        <f ca="1">IF($B14=0,"",INDEX(Assumptions!N:N,$B14))</f>
        <v>0.5</v>
      </c>
      <c r="CC14" s="820">
        <f ca="1">IF($B14=0,"",INDEX(Assumptions!O:O,$B14))</f>
        <v>0.5</v>
      </c>
      <c r="CD14" s="820">
        <f ca="1">IF($B14=0,"",INDEX(Assumptions!P:P,$B14))</f>
        <v>0.5</v>
      </c>
      <c r="CE14" s="820">
        <f ca="1">IF($B14=0,"",INDEX(Assumptions!Q:Q,$B14))</f>
        <v>0.5</v>
      </c>
      <c r="CF14" s="820">
        <f ca="1">IF($B14=0,"",INDEX(Assumptions!R:R,$B14))</f>
        <v>0.5</v>
      </c>
      <c r="CG14" s="820">
        <f ca="1">IF($B14=0,"",INDEX(Assumptions!S:S,$B14))</f>
        <v>0.5</v>
      </c>
      <c r="CH14" s="820">
        <f ca="1">IF($B14=0,"",INDEX(Assumptions!T:T,$B14))</f>
        <v>0.5</v>
      </c>
      <c r="CI14" s="820">
        <f ca="1">IF($B14=0,"",INDEX(Assumptions!U:U,$B14))</f>
        <v>0.5</v>
      </c>
      <c r="CJ14" s="820">
        <f ca="1">IF($B14=0,"",INDEX(Assumptions!V:V,$B14))</f>
        <v>0.5</v>
      </c>
      <c r="CK14" s="820">
        <f ca="1">IF($B14=0,"",INDEX(Assumptions!W:W,$B14))</f>
        <v>0.5</v>
      </c>
      <c r="CL14" s="820">
        <f ca="1">IF($B14=0,"",INDEX(Assumptions!X:X,$B14))</f>
        <v>0.5</v>
      </c>
      <c r="CM14" s="820">
        <f ca="1">IF($B14=0,"",INDEX(Assumptions!Y:Y,$B14))</f>
        <v>0.5</v>
      </c>
      <c r="CN14" s="820">
        <f ca="1">IF($B14=0,"",INDEX(Assumptions!Z:Z,$B14))</f>
        <v>0.5</v>
      </c>
      <c r="CO14" s="820">
        <f ca="1">IF($B14=0,"",INDEX(Assumptions!AA:AA,$B14))</f>
        <v>0.5</v>
      </c>
      <c r="CP14" s="820">
        <f ca="1">IF($B14=0,"",INDEX(Assumptions!AB:AB,$B14))</f>
        <v>0.5</v>
      </c>
      <c r="CQ14" s="820">
        <f ca="1">IF($B14=0,"",INDEX(Assumptions!AC:AC,$B14))</f>
        <v>0.5</v>
      </c>
      <c r="CR14" s="820">
        <f ca="1">IF($B14=0,"",INDEX(Assumptions!AD:AD,$B14))</f>
        <v>0.5</v>
      </c>
      <c r="CS14" s="820">
        <f ca="1">IF($B14=0,"",INDEX(Assumptions!AE:AE,$B14))</f>
        <v>0.5</v>
      </c>
      <c r="CT14" s="820">
        <f ca="1">IF($B14=0,"",INDEX(Assumptions!AF:AF,$B14))</f>
        <v>0.5</v>
      </c>
      <c r="CU14" s="820">
        <f ca="1">IF($B14=0,"",INDEX(Assumptions!AG:AG,$B14))</f>
        <v>0.5</v>
      </c>
      <c r="CX14" s="442">
        <f>IF($A14="","",INDEX('Data Interface'!G:G,$A14))</f>
        <v>-6.1805999999999992E-4</v>
      </c>
      <c r="CY14" s="442">
        <f>IF($A14="","",INDEX('Data Interface'!H:H,$A14))</f>
        <v>0</v>
      </c>
      <c r="CZ14" s="442">
        <f>IF($A14="","",INDEX('Data Interface'!I:I,$A14))</f>
        <v>0</v>
      </c>
      <c r="DA14" s="442">
        <f>IF($A14="","",INDEX('Data Interface'!J:J,$A14))</f>
        <v>0</v>
      </c>
      <c r="DB14" s="442">
        <f>IF($A14="","",INDEX('Data Interface'!K:K,$A14))</f>
        <v>0</v>
      </c>
      <c r="DC14" s="442">
        <f>IF($A14="","",INDEX('Data Interface'!L:L,$A14))</f>
        <v>0</v>
      </c>
      <c r="DD14" s="442">
        <f>IF($A14="","",INDEX('Data Interface'!M:M,$A14))</f>
        <v>0</v>
      </c>
      <c r="DE14" s="442">
        <f>IF($A14="","",INDEX('Data Interface'!N:N,$A14))</f>
        <v>0</v>
      </c>
      <c r="DF14" s="442">
        <f>IF($A14="","",INDEX('Data Interface'!O:O,$A14))</f>
        <v>0</v>
      </c>
      <c r="DG14" s="442">
        <f>IF($A14="","",INDEX('Data Interface'!P:P,$A14))</f>
        <v>0</v>
      </c>
      <c r="DH14" s="442">
        <f>IF($A14="","",INDEX('Data Interface'!Q:Q,$A14))</f>
        <v>0</v>
      </c>
      <c r="DI14" s="442">
        <f>IF($A14="","",INDEX('Data Interface'!R:R,$A14))</f>
        <v>0</v>
      </c>
      <c r="DJ14" s="442">
        <f>IF($A14="","",INDEX('Data Interface'!S:S,$A14))</f>
        <v>0</v>
      </c>
      <c r="DK14" s="442">
        <f>IF($A14="","",INDEX('Data Interface'!T:T,$A14))</f>
        <v>0</v>
      </c>
      <c r="DL14" s="442">
        <f>IF($A14="","",INDEX('Data Interface'!U:U,$A14))</f>
        <v>0</v>
      </c>
      <c r="DM14" s="442">
        <f>IF($A14="","",INDEX('Data Interface'!V:V,$A14))</f>
        <v>0</v>
      </c>
      <c r="DN14" s="442">
        <f>IF($A14="","",INDEX('Data Interface'!W:W,$A14))</f>
        <v>0</v>
      </c>
      <c r="DO14" s="442">
        <f>IF($A14="","",INDEX('Data Interface'!X:X,$A14))</f>
        <v>0</v>
      </c>
      <c r="DP14" s="442">
        <f>IF($A14="","",INDEX('Data Interface'!Y:Y,$A14))</f>
        <v>0</v>
      </c>
      <c r="DQ14" s="442">
        <f>IF($A14="","",INDEX('Data Interface'!Z:Z,$A14))</f>
        <v>0</v>
      </c>
      <c r="DR14" s="442">
        <f>IF($A14="","",INDEX('Data Interface'!AA:AA,$A14))</f>
        <v>0</v>
      </c>
      <c r="DS14" s="442">
        <f>IF($A14="","",INDEX('Data Interface'!AB:AB,$A14))</f>
        <v>0</v>
      </c>
      <c r="DT14" s="442">
        <f>IF($A14="","",INDEX('Data Interface'!AC:AC,$A14))</f>
        <v>-2.38</v>
      </c>
      <c r="DU14" s="442">
        <f>IF($A14="","",INDEX('Data Interface'!AD:AD,$A14))</f>
        <v>-137.36871672000001</v>
      </c>
      <c r="DV14" s="442">
        <f>IF($A14="","",INDEX('Data Interface'!AE:AE,$A14))</f>
        <v>-9.98</v>
      </c>
      <c r="DW14" s="442">
        <f>IF($A14="","",INDEX('Data Interface'!AF:AF,$A14))</f>
        <v>-30</v>
      </c>
      <c r="DX14" s="442">
        <f>IF($A14="","",INDEX('Data Interface'!AG:AG,$A14))</f>
        <v>0</v>
      </c>
      <c r="DZ14" s="906">
        <f>IF(OR($B14=0,$A14=0,$H14&lt;&gt;1),"",INDEX(Assumptions!EO:EO,$B14))</f>
        <v>0</v>
      </c>
      <c r="EA14" s="906">
        <f>IF(OR($B14=0,$A14=0,$H14&lt;&gt;1),"",INDEX(Assumptions!EP:EP,$B14))</f>
        <v>0</v>
      </c>
      <c r="EB14" s="906">
        <f>IF(OR($B14=0,$A14=0,$H14&lt;&gt;1),"",INDEX(Assumptions!EQ:EQ,$B14))</f>
        <v>0</v>
      </c>
      <c r="EC14" s="906">
        <f>IF(OR($B14=0,$A14=0,$H14&lt;&gt;1),"",INDEX(Assumptions!ER:ER,$B14))</f>
        <v>0</v>
      </c>
      <c r="ED14" s="906">
        <f>IF(OR($B14=0,$A14=0,$H14&lt;&gt;1),"",INDEX(Assumptions!ES:ES,$B14))</f>
        <v>0</v>
      </c>
      <c r="EE14" s="906">
        <f>IF(OR($B14=0,$A14=0,$H14&lt;&gt;1),"",INDEX(Assumptions!ET:ET,$B14))</f>
        <v>0</v>
      </c>
      <c r="EF14" s="906">
        <f>IF(OR($B14=0,$A14=0,$H14&lt;&gt;1),"",INDEX(Assumptions!EU:EU,$B14))</f>
        <v>0</v>
      </c>
      <c r="EG14" s="906">
        <f>IF(OR($B14=0,$A14=0,$H14&lt;&gt;1),"",INDEX(Assumptions!EV:EV,$B14))</f>
        <v>0</v>
      </c>
      <c r="EH14" s="906">
        <f>IF(OR($B14=0,$A14=0,$H14&lt;&gt;1),"",INDEX(Assumptions!EW:EW,$B14))</f>
        <v>0</v>
      </c>
      <c r="EI14" s="906">
        <f>IF(OR($B14=0,$A14=0,$H14&lt;&gt;1),"",INDEX(Assumptions!EX:EX,$B14))</f>
        <v>0</v>
      </c>
      <c r="EJ14" s="906">
        <f>IF(OR($B14=0,$A14=0,$H14&lt;&gt;1),"",INDEX(Assumptions!EY:EY,$B14))</f>
        <v>0</v>
      </c>
      <c r="EK14" s="906">
        <f>IF(OR($B14=0,$A14=0,$H14&lt;&gt;1),"",INDEX(Assumptions!EZ:EZ,$B14))</f>
        <v>0</v>
      </c>
      <c r="EL14" s="906">
        <f>IF(OR($B14=0,$A14=0,$H14&lt;&gt;1),"",INDEX(Assumptions!FA:FA,$B14))</f>
        <v>0</v>
      </c>
      <c r="EM14" s="906">
        <f>IF(OR($B14=0,$A14=0,$H14&lt;&gt;1),"",INDEX(Assumptions!FB:FB,$B14))</f>
        <v>0</v>
      </c>
      <c r="EN14" s="906">
        <f>IF(OR($B14=0,$A14=0,$H14&lt;&gt;1),"",INDEX(Assumptions!FC:FC,$B14))</f>
        <v>0</v>
      </c>
      <c r="EO14" s="906">
        <f>IF(OR($B14=0,$A14=0,$H14&lt;&gt;1),"",INDEX(Assumptions!FD:FD,$B14))</f>
        <v>0</v>
      </c>
      <c r="EP14" s="906">
        <f>IF(OR($B14=0,$A14=0,$H14&lt;&gt;1),"",INDEX(Assumptions!FE:FE,$B14))</f>
        <v>0</v>
      </c>
      <c r="EQ14" s="906">
        <f>IF(OR($B14=0,$A14=0,$H14&lt;&gt;1),"",INDEX(Assumptions!FF:FF,$B14))</f>
        <v>0</v>
      </c>
      <c r="ER14" s="906">
        <f>IF(OR($B14=0,$A14=0,$H14&lt;&gt;1),"",INDEX(Assumptions!FG:FG,$B14))</f>
        <v>0</v>
      </c>
      <c r="ES14" s="906">
        <f>IF(OR($B14=0,$A14=0,$H14&lt;&gt;1),"",INDEX(Assumptions!FH:FH,$B14))</f>
        <v>0</v>
      </c>
      <c r="ET14" s="906">
        <f>IF(OR($B14=0,$A14=0,$H14&lt;&gt;1),"",INDEX(Assumptions!FI:FI,$B14))</f>
        <v>0</v>
      </c>
      <c r="EU14" s="906">
        <f>IF(OR($B14=0,$A14=0,$H14&lt;&gt;1),"",INDEX(Assumptions!FJ:FJ,$B14))</f>
        <v>0</v>
      </c>
      <c r="EV14" s="906">
        <f>IF(OR($B14=0,$A14=0,$H14&lt;&gt;1),"",INDEX(Assumptions!FK:FK,$B14))</f>
        <v>0</v>
      </c>
      <c r="EW14" s="906">
        <f>IF(OR($B14=0,$A14=0,$H14&lt;&gt;1),"",INDEX(Assumptions!FL:FL,$B14))</f>
        <v>0</v>
      </c>
      <c r="EX14" s="906">
        <f>IF(OR($B14=0,$A14=0,$H14&lt;&gt;1),"",INDEX(Assumptions!FM:FM,$B14))</f>
        <v>0</v>
      </c>
      <c r="EY14" s="906">
        <f>IF(OR($B14=0,$A14=0,$H14&lt;&gt;1),"",INDEX(Assumptions!FN:FN,$B14))</f>
        <v>0</v>
      </c>
      <c r="EZ14" s="906">
        <f>IF(OR($B14=0,$A14=0,$H14&lt;&gt;1),"",INDEX(Assumptions!FO:FO,$B14))</f>
        <v>0</v>
      </c>
      <c r="FB14" s="820" t="str">
        <f t="shared" si="18"/>
        <v/>
      </c>
      <c r="FC14" s="820" t="str">
        <f t="shared" si="19"/>
        <v/>
      </c>
      <c r="FD14" s="820" t="str">
        <f t="shared" si="20"/>
        <v/>
      </c>
      <c r="FE14" s="820" t="str">
        <f t="shared" si="21"/>
        <v/>
      </c>
      <c r="FF14" s="820" t="str">
        <f t="shared" si="22"/>
        <v/>
      </c>
    </row>
    <row r="15" spans="1:162">
      <c r="A15" s="440">
        <f>IFERROR(MATCH(C15,'Data Interface'!B:B,0),0)</f>
        <v>14</v>
      </c>
      <c r="B15" s="440">
        <f>IFERROR(MATCH(C15,Assumptions!$B:$B,0),0)</f>
        <v>8</v>
      </c>
      <c r="C15" s="441" t="s">
        <v>1064</v>
      </c>
      <c r="E15" s="441" t="s">
        <v>1218</v>
      </c>
      <c r="F15" s="440" t="s">
        <v>1467</v>
      </c>
      <c r="G15" s="440" t="str">
        <f>IF(A15=0,"",INDEX('Data Interface'!$C:$C,$A15))</f>
        <v>Time - secured U.S. (310)</v>
      </c>
      <c r="H15" s="440">
        <v>1</v>
      </c>
      <c r="I15" s="819">
        <f t="shared" ca="1" si="10"/>
        <v>0.5</v>
      </c>
      <c r="J15" s="819">
        <f t="shared" ca="1" si="11"/>
        <v>0.5</v>
      </c>
      <c r="K15" s="439" t="str">
        <f t="shared" ca="1" si="12"/>
        <v>50% of Contractual Maturity</v>
      </c>
      <c r="L15" s="439" t="s">
        <v>1146</v>
      </c>
      <c r="M15" s="439" t="s">
        <v>1497</v>
      </c>
      <c r="O15" s="442">
        <f>IF(OR($A15="",$A15=0),0,INDEX('Data Interface'!D:D,$A15))</f>
        <v>-1872.3040158399999</v>
      </c>
      <c r="P15" s="442">
        <f ca="1">$O15-SUM($AS15:AS15)</f>
        <v>-1872.3040158399999</v>
      </c>
      <c r="Q15" s="442">
        <f ca="1">$O15-SUM($AS15:AT15)</f>
        <v>-1872.3040158399999</v>
      </c>
      <c r="R15" s="442">
        <f ca="1">$O15-SUM($AS15:AU15)</f>
        <v>-1872.3040158399999</v>
      </c>
      <c r="S15" s="442">
        <f ca="1">$O15-SUM($AS15:AV15)</f>
        <v>-1872.3040158399999</v>
      </c>
      <c r="T15" s="442">
        <f ca="1">$O15-SUM($AS15:AW15)</f>
        <v>-1872.3040158399999</v>
      </c>
      <c r="U15" s="442">
        <f ca="1">$O15-SUM($AS15:AX15)</f>
        <v>-1872.3040158399999</v>
      </c>
      <c r="V15" s="442">
        <f ca="1">$O15-SUM($AS15:AY15)</f>
        <v>-1872.3040158399999</v>
      </c>
      <c r="W15" s="442">
        <f ca="1">$O15-SUM($AS15:AZ15)</f>
        <v>-1872.3040158399999</v>
      </c>
      <c r="X15" s="442">
        <f ca="1">$O15-SUM($AS15:BA15)</f>
        <v>-1872.3040158399999</v>
      </c>
      <c r="Y15" s="442">
        <f ca="1">$O15-SUM($AS15:BB15)</f>
        <v>-1872.3040158399999</v>
      </c>
      <c r="Z15" s="442">
        <f ca="1">$O15-SUM($AS15:BC15)</f>
        <v>-1872.3040158399999</v>
      </c>
      <c r="AA15" s="442">
        <f ca="1">$O15-SUM($AS15:BD15)</f>
        <v>-1872.3040158399999</v>
      </c>
      <c r="AB15" s="442">
        <f ca="1">$O15-SUM($AS15:BE15)</f>
        <v>-1872.3040158399999</v>
      </c>
      <c r="AC15" s="442">
        <f ca="1">$O15-SUM($AS15:BF15)</f>
        <v>-1872.3040158399999</v>
      </c>
      <c r="AD15" s="442">
        <f ca="1">$O15-SUM($AS15:BG15)</f>
        <v>-1595.48401584</v>
      </c>
      <c r="AE15" s="442">
        <f ca="1">$O15-SUM($AS15:BH15)</f>
        <v>-1595.48401584</v>
      </c>
      <c r="AF15" s="442">
        <f ca="1">$O15-SUM($AS15:BI15)</f>
        <v>-1550.73401584</v>
      </c>
      <c r="AG15" s="442">
        <f ca="1">$O15-SUM($AS15:BJ15)</f>
        <v>-1550.73401584</v>
      </c>
      <c r="AH15" s="442">
        <f ca="1">$O15-SUM($AS15:BK15)</f>
        <v>-1504.85901584</v>
      </c>
      <c r="AI15" s="442">
        <f ca="1">$O15-SUM($AS15:BL15)</f>
        <v>-1460.3523970449999</v>
      </c>
      <c r="AJ15" s="442">
        <f ca="1">$O15-SUM($AS15:BM15)</f>
        <v>-1460.3523970449999</v>
      </c>
      <c r="AK15" s="442">
        <f ca="1">$O15-SUM($AS15:BN15)</f>
        <v>-1434.023647045</v>
      </c>
      <c r="AL15" s="442">
        <f ca="1">$O15-SUM($AS15:BO15)</f>
        <v>-1408.023647045</v>
      </c>
      <c r="AM15" s="442">
        <f ca="1">$O15-SUM($AS15:BP15)</f>
        <v>-1408.023647045</v>
      </c>
      <c r="AN15" s="442">
        <f ca="1">$O15-SUM($AS15:BQ15)</f>
        <v>-1403.023647045</v>
      </c>
      <c r="AO15" s="442">
        <f ca="1">$O15-SUM($AS15:BR15)</f>
        <v>-1403.023647045</v>
      </c>
      <c r="AP15" s="442">
        <f ca="1">$O15-SUM($AS15:BS15)</f>
        <v>-1391.0736470449999</v>
      </c>
      <c r="AR15" s="439" t="s">
        <v>1201</v>
      </c>
      <c r="AS15" s="820">
        <f ca="1">IF($H15="",0,IF($H15=1,IF('Para Adj'!$B$5 = 1,O15-($O15-SUMPRODUCT($CX15:CX15,$BU15:BU15))*(1-SUM($DZ15:DZ15)),BU15*CX15),$O15*BU15))</f>
        <v>0</v>
      </c>
      <c r="AT15" s="820">
        <f ca="1">IF($H15="",0,IF($H15=1,IF('Para Adj'!$B$5 = 1,P15-($O15-SUMPRODUCT($CX15:CY15,$BU15:BV15))*(1-SUM($DZ15:EA15)),BV15*CY15),$O15*BV15))</f>
        <v>0</v>
      </c>
      <c r="AU15" s="820">
        <f ca="1">IF($H15="",0,IF($H15=1,IF('Para Adj'!$B$5 = 1,Q15-($O15-SUMPRODUCT($CX15:CZ15,$BU15:BW15))*(1-SUM($DZ15:EB15)),BW15*CZ15),$O15*BW15))</f>
        <v>0</v>
      </c>
      <c r="AV15" s="820">
        <f ca="1">IF($H15="",0,IF($H15=1,IF('Para Adj'!$B$5 = 1,R15-($O15-SUMPRODUCT($CX15:DA15,$BU15:BX15))*(1-SUM($DZ15:EC15)),BX15*DA15),$O15*BX15))</f>
        <v>0</v>
      </c>
      <c r="AW15" s="820">
        <f ca="1">IF($H15="",0,IF($H15=1,IF('Para Adj'!$B$5 = 1,S15-($O15-SUMPRODUCT($CX15:DB15,$BU15:BY15))*(1-SUM($DZ15:ED15)),BY15*DB15),$O15*BY15))</f>
        <v>0</v>
      </c>
      <c r="AX15" s="820">
        <f ca="1">IF($H15="",0,IF($H15=1,IF('Para Adj'!$B$5 = 1,T15-($O15-SUMPRODUCT($CX15:DC15,$BU15:BZ15))*(1-SUM($DZ15:EE15)),BZ15*DC15),$O15*BZ15))</f>
        <v>0</v>
      </c>
      <c r="AY15" s="820">
        <f ca="1">IF($H15="",0,IF($H15=1,IF('Para Adj'!$B$5 = 1,U15-($O15-SUMPRODUCT($CX15:DD15,$BU15:CA15))*(1-SUM($DZ15:EF15)),CA15*DD15),$O15*CA15))</f>
        <v>0</v>
      </c>
      <c r="AZ15" s="820">
        <f ca="1">IF($H15="",0,IF($H15=1,IF('Para Adj'!$B$5 = 1,V15-($O15-SUMPRODUCT($CX15:DE15,$BU15:CB15))*(1-SUM($DZ15:EG15)),CB15*DE15),$O15*CB15))</f>
        <v>0</v>
      </c>
      <c r="BA15" s="820">
        <f ca="1">IF($H15="",0,IF($H15=1,IF('Para Adj'!$B$5 = 1,W15-($O15-SUMPRODUCT($CX15:DF15,$BU15:CC15))*(1-SUM($DZ15:EH15)),CC15*DF15),$O15*CC15))</f>
        <v>0</v>
      </c>
      <c r="BB15" s="820">
        <f ca="1">IF($H15="",0,IF($H15=1,IF('Para Adj'!$B$5 = 1,X15-($O15-SUMPRODUCT($CX15:DG15,$BU15:CD15))*(1-SUM($DZ15:EI15)),CD15*DG15),$O15*CD15))</f>
        <v>0</v>
      </c>
      <c r="BC15" s="820">
        <f ca="1">IF($H15="",0,IF($H15=1,IF('Para Adj'!$B$5 = 1,Y15-($O15-SUMPRODUCT($CX15:DH15,$BU15:CE15))*(1-SUM($DZ15:EJ15)),CE15*DH15),$O15*CE15))</f>
        <v>0</v>
      </c>
      <c r="BD15" s="820">
        <f ca="1">IF($H15="",0,IF($H15=1,IF('Para Adj'!$B$5 = 1,Z15-($O15-SUMPRODUCT($CX15:DI15,$BU15:CF15))*(1-SUM($DZ15:EK15)),CF15*DI15),$O15*CF15))</f>
        <v>0</v>
      </c>
      <c r="BE15" s="820">
        <f ca="1">IF($H15="",0,IF($H15=1,IF('Para Adj'!$B$5 = 1,AA15-($O15-SUMPRODUCT($CX15:DJ15,$BU15:CG15))*(1-SUM($DZ15:EL15)),CG15*DJ15),$O15*CG15))</f>
        <v>0</v>
      </c>
      <c r="BF15" s="820">
        <f ca="1">IF($H15="",0,IF($H15=1,IF('Para Adj'!$B$5 = 1,AB15-($O15-SUMPRODUCT($CX15:DK15,$BU15:CH15))*(1-SUM($DZ15:EM15)),CH15*DK15),$O15*CH15))</f>
        <v>0</v>
      </c>
      <c r="BG15" s="442">
        <f ca="1">IF($H15="",0,IF($H15=1,IF('Para Adj'!$B$5 = 1,AC15-($O15-SUMPRODUCT($CX15:DL15,$BU15:CI15))*(1-SUM($DZ15:EN15)),CI15*DL15),$O15*CI15))</f>
        <v>-276.81999999999994</v>
      </c>
      <c r="BH15" s="442">
        <f ca="1">IF($H15="",0,IF($H15=1,IF('Para Adj'!$B$5 = 1,AD15-($O15-SUMPRODUCT($CX15:DM15,$BU15:CJ15))*(1-SUM($DZ15:EO15)),CJ15*DM15),$O15*CJ15))</f>
        <v>0</v>
      </c>
      <c r="BI15" s="442">
        <f ca="1">IF($H15="",0,IF($H15=1,IF('Para Adj'!$B$5 = 1,AE15-($O15-SUMPRODUCT($CX15:DN15,$BU15:CK15))*(1-SUM($DZ15:EP15)),CK15*DN15),$O15*CK15))</f>
        <v>-44.75</v>
      </c>
      <c r="BJ15" s="442">
        <f ca="1">IF($H15="",0,IF($H15=1,IF('Para Adj'!$B$5 = 1,AF15-($O15-SUMPRODUCT($CX15:DO15,$BU15:CL15))*(1-SUM($DZ15:EQ15)),CL15*DO15),$O15*CL15))</f>
        <v>0</v>
      </c>
      <c r="BK15" s="442">
        <f ca="1">IF($H15="",0,IF($H15=1,IF('Para Adj'!$B$5 = 1,AG15-($O15-SUMPRODUCT($CX15:DP15,$BU15:CM15))*(1-SUM($DZ15:ER15)),CM15*DP15),$O15*CM15))</f>
        <v>-45.875</v>
      </c>
      <c r="BL15" s="442">
        <f ca="1">IF($H15="",0,IF($H15=1,IF('Para Adj'!$B$5 = 1,AH15-($O15-SUMPRODUCT($CX15:DQ15,$BU15:CN15))*(1-SUM($DZ15:ES15)),CN15*DQ15),$O15*CN15))</f>
        <v>-44.506618795000122</v>
      </c>
      <c r="BM15" s="442">
        <f ca="1">IF($H15="",0,IF($H15=1,IF('Para Adj'!$B$5 = 1,AI15-($O15-SUMPRODUCT($CX15:DR15,$BU15:CO15))*(1-SUM($DZ15:ET15)),CO15*DR15),$O15*CO15))</f>
        <v>0</v>
      </c>
      <c r="BN15" s="442">
        <f ca="1">IF($H15="",0,IF($H15=1,IF('Para Adj'!$B$5 = 1,AJ15-($O15-SUMPRODUCT($CX15:DS15,$BU15:CP15))*(1-SUM($DZ15:EU15)),CP15*DS15),$O15*CP15))</f>
        <v>-26.3287499999999</v>
      </c>
      <c r="BO15" s="442">
        <f ca="1">IF($H15="",0,IF($H15=1,IF('Para Adj'!$B$5 = 1,AK15-($O15-SUMPRODUCT($CX15:DT15,$BU15:CQ15))*(1-SUM($DZ15:EV15)),CQ15*DT15),$O15*CQ15))</f>
        <v>-26</v>
      </c>
      <c r="BP15" s="442">
        <f ca="1">IF($H15="",0,IF($H15=1,IF('Para Adj'!$B$5 = 1,AL15-($O15-SUMPRODUCT($CX15:DU15,$BU15:CR15))*(1-SUM($DZ15:EW15)),CR15*DU15),$O15*CR15))</f>
        <v>0</v>
      </c>
      <c r="BQ15" s="442">
        <f ca="1">IF($H15="",0,IF($H15=1,IF('Para Adj'!$B$5 = 1,AM15-($O15-SUMPRODUCT($CX15:DV15,$BU15:CS15))*(1-SUM($DZ15:EX15)),CS15*DV15),$O15*CS15))</f>
        <v>-5</v>
      </c>
      <c r="BR15" s="442">
        <f ca="1">IF($H15="",0,IF($H15=1,IF('Para Adj'!$B$5 = 1,AN15-($O15-SUMPRODUCT($CX15:DW15,$BU15:CT15))*(1-SUM($DZ15:EY15)),CT15*DW15),$O15*CT15))</f>
        <v>0</v>
      </c>
      <c r="BS15" s="442">
        <f ca="1">IF($H15="",0,IF($H15=1,IF('Para Adj'!$B$5 = 1,AO15-($O15-SUMPRODUCT($CX15:DX15,$BU15:CU15))*(1-SUM($DZ15:EZ15)),CU15*DX15),$O15*CU15))</f>
        <v>-11.950000000000045</v>
      </c>
      <c r="BU15" s="820">
        <f ca="1">IF($B15=0,"",INDEX(Assumptions!G:G,$B15))</f>
        <v>0.5</v>
      </c>
      <c r="BV15" s="820">
        <f ca="1">IF($B15=0,"",INDEX(Assumptions!H:H,$B15))</f>
        <v>0.5</v>
      </c>
      <c r="BW15" s="820">
        <f ca="1">IF($B15=0,"",INDEX(Assumptions!I:I,$B15))</f>
        <v>0.5</v>
      </c>
      <c r="BX15" s="820">
        <f ca="1">IF($B15=0,"",INDEX(Assumptions!J:J,$B15))</f>
        <v>0.5</v>
      </c>
      <c r="BY15" s="820">
        <f ca="1">IF($B15=0,"",INDEX(Assumptions!K:K,$B15))</f>
        <v>0.5</v>
      </c>
      <c r="BZ15" s="820">
        <f ca="1">IF($B15=0,"",INDEX(Assumptions!L:L,$B15))</f>
        <v>0.5</v>
      </c>
      <c r="CA15" s="820">
        <f ca="1">IF($B15=0,"",INDEX(Assumptions!M:M,$B15))</f>
        <v>0.5</v>
      </c>
      <c r="CB15" s="820">
        <f ca="1">IF($B15=0,"",INDEX(Assumptions!N:N,$B15))</f>
        <v>0.5</v>
      </c>
      <c r="CC15" s="820">
        <f ca="1">IF($B15=0,"",INDEX(Assumptions!O:O,$B15))</f>
        <v>0.5</v>
      </c>
      <c r="CD15" s="820">
        <f ca="1">IF($B15=0,"",INDEX(Assumptions!P:P,$B15))</f>
        <v>0.5</v>
      </c>
      <c r="CE15" s="820">
        <f ca="1">IF($B15=0,"",INDEX(Assumptions!Q:Q,$B15))</f>
        <v>0.5</v>
      </c>
      <c r="CF15" s="820">
        <f ca="1">IF($B15=0,"",INDEX(Assumptions!R:R,$B15))</f>
        <v>0.5</v>
      </c>
      <c r="CG15" s="820">
        <f ca="1">IF($B15=0,"",INDEX(Assumptions!S:S,$B15))</f>
        <v>0.5</v>
      </c>
      <c r="CH15" s="820">
        <f ca="1">IF($B15=0,"",INDEX(Assumptions!T:T,$B15))</f>
        <v>0.5</v>
      </c>
      <c r="CI15" s="820">
        <f ca="1">IF($B15=0,"",INDEX(Assumptions!U:U,$B15))</f>
        <v>0.5</v>
      </c>
      <c r="CJ15" s="820">
        <f ca="1">IF($B15=0,"",INDEX(Assumptions!V:V,$B15))</f>
        <v>0.5</v>
      </c>
      <c r="CK15" s="820">
        <f ca="1">IF($B15=0,"",INDEX(Assumptions!W:W,$B15))</f>
        <v>0.5</v>
      </c>
      <c r="CL15" s="820">
        <f ca="1">IF($B15=0,"",INDEX(Assumptions!X:X,$B15))</f>
        <v>0.5</v>
      </c>
      <c r="CM15" s="820">
        <f ca="1">IF($B15=0,"",INDEX(Assumptions!Y:Y,$B15))</f>
        <v>0.5</v>
      </c>
      <c r="CN15" s="820">
        <f ca="1">IF($B15=0,"",INDEX(Assumptions!Z:Z,$B15))</f>
        <v>0.5</v>
      </c>
      <c r="CO15" s="820">
        <f ca="1">IF($B15=0,"",INDEX(Assumptions!AA:AA,$B15))</f>
        <v>0.5</v>
      </c>
      <c r="CP15" s="820">
        <f ca="1">IF($B15=0,"",INDEX(Assumptions!AB:AB,$B15))</f>
        <v>0.5</v>
      </c>
      <c r="CQ15" s="820">
        <f ca="1">IF($B15=0,"",INDEX(Assumptions!AC:AC,$B15))</f>
        <v>0.5</v>
      </c>
      <c r="CR15" s="820">
        <f ca="1">IF($B15=0,"",INDEX(Assumptions!AD:AD,$B15))</f>
        <v>0.5</v>
      </c>
      <c r="CS15" s="820">
        <f ca="1">IF($B15=0,"",INDEX(Assumptions!AE:AE,$B15))</f>
        <v>0.5</v>
      </c>
      <c r="CT15" s="820">
        <f ca="1">IF($B15=0,"",INDEX(Assumptions!AF:AF,$B15))</f>
        <v>0.5</v>
      </c>
      <c r="CU15" s="820">
        <f ca="1">IF($B15=0,"",INDEX(Assumptions!AG:AG,$B15))</f>
        <v>0.5</v>
      </c>
      <c r="CX15" s="442">
        <f>IF($A15="","",INDEX('Data Interface'!G:G,$A15))</f>
        <v>0</v>
      </c>
      <c r="CY15" s="442">
        <f>IF($A15="","",INDEX('Data Interface'!H:H,$A15))</f>
        <v>0</v>
      </c>
      <c r="CZ15" s="442">
        <f>IF($A15="","",INDEX('Data Interface'!I:I,$A15))</f>
        <v>0</v>
      </c>
      <c r="DA15" s="442">
        <f>IF($A15="","",INDEX('Data Interface'!J:J,$A15))</f>
        <v>0</v>
      </c>
      <c r="DB15" s="442">
        <f>IF($A15="","",INDEX('Data Interface'!K:K,$A15))</f>
        <v>0</v>
      </c>
      <c r="DC15" s="442">
        <f>IF($A15="","",INDEX('Data Interface'!L:L,$A15))</f>
        <v>0</v>
      </c>
      <c r="DD15" s="442">
        <f>IF($A15="","",INDEX('Data Interface'!M:M,$A15))</f>
        <v>0</v>
      </c>
      <c r="DE15" s="442">
        <f>IF($A15="","",INDEX('Data Interface'!N:N,$A15))</f>
        <v>0</v>
      </c>
      <c r="DF15" s="442">
        <f>IF($A15="","",INDEX('Data Interface'!O:O,$A15))</f>
        <v>0</v>
      </c>
      <c r="DG15" s="442">
        <f>IF($A15="","",INDEX('Data Interface'!P:P,$A15))</f>
        <v>0</v>
      </c>
      <c r="DH15" s="442">
        <f>IF($A15="","",INDEX('Data Interface'!Q:Q,$A15))</f>
        <v>0</v>
      </c>
      <c r="DI15" s="442">
        <f>IF($A15="","",INDEX('Data Interface'!R:R,$A15))</f>
        <v>0</v>
      </c>
      <c r="DJ15" s="442">
        <f>IF($A15="","",INDEX('Data Interface'!S:S,$A15))</f>
        <v>0</v>
      </c>
      <c r="DK15" s="442">
        <f>IF($A15="","",INDEX('Data Interface'!T:T,$A15))</f>
        <v>0</v>
      </c>
      <c r="DL15" s="442">
        <f>IF($A15="","",INDEX('Data Interface'!U:U,$A15))</f>
        <v>-553.64</v>
      </c>
      <c r="DM15" s="442">
        <f>IF($A15="","",INDEX('Data Interface'!V:V,$A15))</f>
        <v>0</v>
      </c>
      <c r="DN15" s="442">
        <f>IF($A15="","",INDEX('Data Interface'!W:W,$A15))</f>
        <v>-89.5</v>
      </c>
      <c r="DO15" s="442">
        <f>IF($A15="","",INDEX('Data Interface'!X:X,$A15))</f>
        <v>0</v>
      </c>
      <c r="DP15" s="442">
        <f>IF($A15="","",INDEX('Data Interface'!Y:Y,$A15))</f>
        <v>-91.75</v>
      </c>
      <c r="DQ15" s="442">
        <f>IF($A15="","",INDEX('Data Interface'!Z:Z,$A15))</f>
        <v>-89.013237589999989</v>
      </c>
      <c r="DR15" s="442">
        <f>IF($A15="","",INDEX('Data Interface'!AA:AA,$A15))</f>
        <v>0</v>
      </c>
      <c r="DS15" s="442">
        <f>IF($A15="","",INDEX('Data Interface'!AB:AB,$A15))</f>
        <v>-52.657499999999999</v>
      </c>
      <c r="DT15" s="442">
        <f>IF($A15="","",INDEX('Data Interface'!AC:AC,$A15))</f>
        <v>-52</v>
      </c>
      <c r="DU15" s="442">
        <f>IF($A15="","",INDEX('Data Interface'!AD:AD,$A15))</f>
        <v>0</v>
      </c>
      <c r="DV15" s="442">
        <f>IF($A15="","",INDEX('Data Interface'!AE:AE,$A15))</f>
        <v>-10</v>
      </c>
      <c r="DW15" s="442">
        <f>IF($A15="","",INDEX('Data Interface'!AF:AF,$A15))</f>
        <v>0</v>
      </c>
      <c r="DX15" s="442">
        <f>IF($A15="","",INDEX('Data Interface'!AG:AG,$A15))</f>
        <v>-23.9</v>
      </c>
      <c r="DZ15" s="906">
        <f>IF(OR($B15=0,$A15=0,$H15&lt;&gt;1),"",INDEX(Assumptions!EO:EO,$B15))</f>
        <v>0</v>
      </c>
      <c r="EA15" s="906">
        <f>IF(OR($B15=0,$A15=0,$H15&lt;&gt;1),"",INDEX(Assumptions!EP:EP,$B15))</f>
        <v>0</v>
      </c>
      <c r="EB15" s="906">
        <f>IF(OR($B15=0,$A15=0,$H15&lt;&gt;1),"",INDEX(Assumptions!EQ:EQ,$B15))</f>
        <v>0</v>
      </c>
      <c r="EC15" s="906">
        <f>IF(OR($B15=0,$A15=0,$H15&lt;&gt;1),"",INDEX(Assumptions!ER:ER,$B15))</f>
        <v>0</v>
      </c>
      <c r="ED15" s="906">
        <f>IF(OR($B15=0,$A15=0,$H15&lt;&gt;1),"",INDEX(Assumptions!ES:ES,$B15))</f>
        <v>0</v>
      </c>
      <c r="EE15" s="906">
        <f>IF(OR($B15=0,$A15=0,$H15&lt;&gt;1),"",INDEX(Assumptions!ET:ET,$B15))</f>
        <v>0</v>
      </c>
      <c r="EF15" s="906">
        <f>IF(OR($B15=0,$A15=0,$H15&lt;&gt;1),"",INDEX(Assumptions!EU:EU,$B15))</f>
        <v>0</v>
      </c>
      <c r="EG15" s="906">
        <f>IF(OR($B15=0,$A15=0,$H15&lt;&gt;1),"",INDEX(Assumptions!EV:EV,$B15))</f>
        <v>0</v>
      </c>
      <c r="EH15" s="906">
        <f>IF(OR($B15=0,$A15=0,$H15&lt;&gt;1),"",INDEX(Assumptions!EW:EW,$B15))</f>
        <v>0</v>
      </c>
      <c r="EI15" s="906">
        <f>IF(OR($B15=0,$A15=0,$H15&lt;&gt;1),"",INDEX(Assumptions!EX:EX,$B15))</f>
        <v>0</v>
      </c>
      <c r="EJ15" s="906">
        <f>IF(OR($B15=0,$A15=0,$H15&lt;&gt;1),"",INDEX(Assumptions!EY:EY,$B15))</f>
        <v>0</v>
      </c>
      <c r="EK15" s="906">
        <f>IF(OR($B15=0,$A15=0,$H15&lt;&gt;1),"",INDEX(Assumptions!EZ:EZ,$B15))</f>
        <v>0</v>
      </c>
      <c r="EL15" s="906">
        <f>IF(OR($B15=0,$A15=0,$H15&lt;&gt;1),"",INDEX(Assumptions!FA:FA,$B15))</f>
        <v>0</v>
      </c>
      <c r="EM15" s="906">
        <f>IF(OR($B15=0,$A15=0,$H15&lt;&gt;1),"",INDEX(Assumptions!FB:FB,$B15))</f>
        <v>0</v>
      </c>
      <c r="EN15" s="906">
        <f>IF(OR($B15=0,$A15=0,$H15&lt;&gt;1),"",INDEX(Assumptions!FC:FC,$B15))</f>
        <v>0</v>
      </c>
      <c r="EO15" s="906">
        <f>IF(OR($B15=0,$A15=0,$H15&lt;&gt;1),"",INDEX(Assumptions!FD:FD,$B15))</f>
        <v>0</v>
      </c>
      <c r="EP15" s="906">
        <f>IF(OR($B15=0,$A15=0,$H15&lt;&gt;1),"",INDEX(Assumptions!FE:FE,$B15))</f>
        <v>0</v>
      </c>
      <c r="EQ15" s="906">
        <f>IF(OR($B15=0,$A15=0,$H15&lt;&gt;1),"",INDEX(Assumptions!FF:FF,$B15))</f>
        <v>0</v>
      </c>
      <c r="ER15" s="906">
        <f>IF(OR($B15=0,$A15=0,$H15&lt;&gt;1),"",INDEX(Assumptions!FG:FG,$B15))</f>
        <v>0</v>
      </c>
      <c r="ES15" s="906">
        <f>IF(OR($B15=0,$A15=0,$H15&lt;&gt;1),"",INDEX(Assumptions!FH:FH,$B15))</f>
        <v>0</v>
      </c>
      <c r="ET15" s="906">
        <f>IF(OR($B15=0,$A15=0,$H15&lt;&gt;1),"",INDEX(Assumptions!FI:FI,$B15))</f>
        <v>0</v>
      </c>
      <c r="EU15" s="906">
        <f>IF(OR($B15=0,$A15=0,$H15&lt;&gt;1),"",INDEX(Assumptions!FJ:FJ,$B15))</f>
        <v>0</v>
      </c>
      <c r="EV15" s="906">
        <f>IF(OR($B15=0,$A15=0,$H15&lt;&gt;1),"",INDEX(Assumptions!FK:FK,$B15))</f>
        <v>0</v>
      </c>
      <c r="EW15" s="906">
        <f>IF(OR($B15=0,$A15=0,$H15&lt;&gt;1),"",INDEX(Assumptions!FL:FL,$B15))</f>
        <v>0</v>
      </c>
      <c r="EX15" s="906">
        <f>IF(OR($B15=0,$A15=0,$H15&lt;&gt;1),"",INDEX(Assumptions!FM:FM,$B15))</f>
        <v>0</v>
      </c>
      <c r="EY15" s="906">
        <f>IF(OR($B15=0,$A15=0,$H15&lt;&gt;1),"",INDEX(Assumptions!FN:FN,$B15))</f>
        <v>0</v>
      </c>
      <c r="EZ15" s="906">
        <f>IF(OR($B15=0,$A15=0,$H15&lt;&gt;1),"",INDEX(Assumptions!FO:FO,$B15))</f>
        <v>0</v>
      </c>
      <c r="FB15" s="820" t="str">
        <f t="shared" si="18"/>
        <v/>
      </c>
      <c r="FC15" s="820" t="str">
        <f t="shared" si="19"/>
        <v/>
      </c>
      <c r="FD15" s="820" t="str">
        <f t="shared" si="20"/>
        <v/>
      </c>
      <c r="FE15" s="820" t="str">
        <f t="shared" si="21"/>
        <v/>
      </c>
      <c r="FF15" s="820" t="str">
        <f t="shared" si="22"/>
        <v/>
      </c>
    </row>
    <row r="16" spans="1:162">
      <c r="A16" s="440">
        <f>IFERROR(MATCH(C16,'Data Interface'!B:B,0),0)</f>
        <v>15</v>
      </c>
      <c r="B16" s="440">
        <f>IFERROR(MATCH(C16,Assumptions!$B:$B,0),0)</f>
        <v>9</v>
      </c>
      <c r="C16" s="441">
        <v>5.3</v>
      </c>
      <c r="E16" s="441" t="s">
        <v>1218</v>
      </c>
      <c r="F16" s="440" t="s">
        <v>30</v>
      </c>
      <c r="G16" s="440" t="str">
        <f>IF(A16=0,"",INDEX('Data Interface'!$C:$C,$A16))</f>
        <v>Mortgage (Commercial and Retail)</v>
      </c>
      <c r="H16" s="440">
        <v>1</v>
      </c>
      <c r="I16" s="819">
        <f t="shared" ca="1" si="10"/>
        <v>0.5</v>
      </c>
      <c r="J16" s="819">
        <f t="shared" ca="1" si="11"/>
        <v>0.5</v>
      </c>
      <c r="K16" s="439" t="str">
        <f t="shared" ca="1" si="12"/>
        <v>50% of Contractual Maturity</v>
      </c>
      <c r="L16" s="439" t="s">
        <v>1146</v>
      </c>
      <c r="M16" s="439" t="s">
        <v>1497</v>
      </c>
      <c r="O16" s="442">
        <f>IF(OR($A16="",$A16=0),0,INDEX('Data Interface'!D:D,$A16))</f>
        <v>-6249.8529878100026</v>
      </c>
      <c r="P16" s="442">
        <f ca="1">$O16-SUM($AS16:AS16)</f>
        <v>-6242.6562931600029</v>
      </c>
      <c r="Q16" s="442">
        <f ca="1">$O16-SUM($AS16:AT16)</f>
        <v>-6242.6562931600029</v>
      </c>
      <c r="R16" s="442">
        <f ca="1">$O16-SUM($AS16:AU16)</f>
        <v>-6242.6562931600029</v>
      </c>
      <c r="S16" s="442">
        <f ca="1">$O16-SUM($AS16:AV16)</f>
        <v>-6242.6562931600029</v>
      </c>
      <c r="T16" s="442">
        <f ca="1">$O16-SUM($AS16:AW16)</f>
        <v>-6242.6562931600029</v>
      </c>
      <c r="U16" s="442">
        <f ca="1">$O16-SUM($AS16:AX16)</f>
        <v>-6242.6562931600029</v>
      </c>
      <c r="V16" s="442">
        <f ca="1">$O16-SUM($AS16:AY16)</f>
        <v>-6242.6562931600029</v>
      </c>
      <c r="W16" s="442">
        <f ca="1">$O16-SUM($AS16:AZ16)</f>
        <v>-6242.6562931600029</v>
      </c>
      <c r="X16" s="442">
        <f ca="1">$O16-SUM($AS16:BA16)</f>
        <v>-6242.6562931600029</v>
      </c>
      <c r="Y16" s="442">
        <f ca="1">$O16-SUM($AS16:BB16)</f>
        <v>-6242.6562931600029</v>
      </c>
      <c r="Z16" s="442">
        <f ca="1">$O16-SUM($AS16:BC16)</f>
        <v>-6242.6562931600029</v>
      </c>
      <c r="AA16" s="442">
        <f ca="1">$O16-SUM($AS16:BD16)</f>
        <v>-6242.6562931600029</v>
      </c>
      <c r="AB16" s="442">
        <f ca="1">$O16-SUM($AS16:BE16)</f>
        <v>-6242.6562931600029</v>
      </c>
      <c r="AC16" s="442">
        <f ca="1">$O16-SUM($AS16:BF16)</f>
        <v>-6242.6562931600029</v>
      </c>
      <c r="AD16" s="442">
        <f ca="1">$O16-SUM($AS16:BG16)</f>
        <v>-6040.3115754100027</v>
      </c>
      <c r="AE16" s="442">
        <f ca="1">$O16-SUM($AS16:BH16)</f>
        <v>-6040.3115754100027</v>
      </c>
      <c r="AF16" s="442">
        <f ca="1">$O16-SUM($AS16:BI16)</f>
        <v>-6000.6934116100028</v>
      </c>
      <c r="AG16" s="442">
        <f ca="1">$O16-SUM($AS16:BJ16)</f>
        <v>-5981.6934116100028</v>
      </c>
      <c r="AH16" s="442">
        <f ca="1">$O16-SUM($AS16:BK16)</f>
        <v>-5861.6934116100028</v>
      </c>
      <c r="AI16" s="442">
        <f ca="1">$O16-SUM($AS16:BL16)</f>
        <v>-5767.4234910450023</v>
      </c>
      <c r="AJ16" s="442">
        <f ca="1">$O16-SUM($AS16:BM16)</f>
        <v>-5767.4234910450023</v>
      </c>
      <c r="AK16" s="442">
        <f ca="1">$O16-SUM($AS16:BN16)</f>
        <v>-5767.4234910450023</v>
      </c>
      <c r="AL16" s="442">
        <f ca="1">$O16-SUM($AS16:BO16)</f>
        <v>-5759.3024934850027</v>
      </c>
      <c r="AM16" s="442">
        <f ca="1">$O16-SUM($AS16:BP16)</f>
        <v>-5459.3024934850027</v>
      </c>
      <c r="AN16" s="442">
        <f ca="1">$O16-SUM($AS16:BQ16)</f>
        <v>-5457.5027322650021</v>
      </c>
      <c r="AO16" s="442">
        <f ca="1">$O16-SUM($AS16:BR16)</f>
        <v>-5457.5027322650021</v>
      </c>
      <c r="AP16" s="442">
        <f ca="1">$O16-SUM($AS16:BS16)</f>
        <v>-5457.5027322650021</v>
      </c>
      <c r="AR16" s="439" t="s">
        <v>1201</v>
      </c>
      <c r="AS16" s="820">
        <f ca="1">IF($H16="",0,IF($H16=1,IF('Para Adj'!$B$5 = 1,O16-($O16-SUMPRODUCT($CX16:CX16,$BU16:BU16))*(1-SUM($DZ16:DZ16)),BU16*CX16),$O16*BU16))</f>
        <v>-7.1966946499996993</v>
      </c>
      <c r="AT16" s="820">
        <f ca="1">IF($H16="",0,IF($H16=1,IF('Para Adj'!$B$5 = 1,P16-($O16-SUMPRODUCT($CX16:CY16,$BU16:BV16))*(1-SUM($DZ16:EA16)),BV16*CY16),$O16*BV16))</f>
        <v>0</v>
      </c>
      <c r="AU16" s="820">
        <f ca="1">IF($H16="",0,IF($H16=1,IF('Para Adj'!$B$5 = 1,Q16-($O16-SUMPRODUCT($CX16:CZ16,$BU16:BW16))*(1-SUM($DZ16:EB16)),BW16*CZ16),$O16*BW16))</f>
        <v>0</v>
      </c>
      <c r="AV16" s="820">
        <f ca="1">IF($H16="",0,IF($H16=1,IF('Para Adj'!$B$5 = 1,R16-($O16-SUMPRODUCT($CX16:DA16,$BU16:BX16))*(1-SUM($DZ16:EC16)),BX16*DA16),$O16*BX16))</f>
        <v>0</v>
      </c>
      <c r="AW16" s="820">
        <f ca="1">IF($H16="",0,IF($H16=1,IF('Para Adj'!$B$5 = 1,S16-($O16-SUMPRODUCT($CX16:DB16,$BU16:BY16))*(1-SUM($DZ16:ED16)),BY16*DB16),$O16*BY16))</f>
        <v>0</v>
      </c>
      <c r="AX16" s="820">
        <f ca="1">IF($H16="",0,IF($H16=1,IF('Para Adj'!$B$5 = 1,T16-($O16-SUMPRODUCT($CX16:DC16,$BU16:BZ16))*(1-SUM($DZ16:EE16)),BZ16*DC16),$O16*BZ16))</f>
        <v>0</v>
      </c>
      <c r="AY16" s="820">
        <f ca="1">IF($H16="",0,IF($H16=1,IF('Para Adj'!$B$5 = 1,U16-($O16-SUMPRODUCT($CX16:DD16,$BU16:CA16))*(1-SUM($DZ16:EF16)),CA16*DD16),$O16*CA16))</f>
        <v>0</v>
      </c>
      <c r="AZ16" s="820">
        <f ca="1">IF($H16="",0,IF($H16=1,IF('Para Adj'!$B$5 = 1,V16-($O16-SUMPRODUCT($CX16:DE16,$BU16:CB16))*(1-SUM($DZ16:EG16)),CB16*DE16),$O16*CB16))</f>
        <v>0</v>
      </c>
      <c r="BA16" s="820">
        <f ca="1">IF($H16="",0,IF($H16=1,IF('Para Adj'!$B$5 = 1,W16-($O16-SUMPRODUCT($CX16:DF16,$BU16:CC16))*(1-SUM($DZ16:EH16)),CC16*DF16),$O16*CC16))</f>
        <v>0</v>
      </c>
      <c r="BB16" s="820">
        <f ca="1">IF($H16="",0,IF($H16=1,IF('Para Adj'!$B$5 = 1,X16-($O16-SUMPRODUCT($CX16:DG16,$BU16:CD16))*(1-SUM($DZ16:EI16)),CD16*DG16),$O16*CD16))</f>
        <v>0</v>
      </c>
      <c r="BC16" s="820">
        <f ca="1">IF($H16="",0,IF($H16=1,IF('Para Adj'!$B$5 = 1,Y16-($O16-SUMPRODUCT($CX16:DH16,$BU16:CE16))*(1-SUM($DZ16:EJ16)),CE16*DH16),$O16*CE16))</f>
        <v>0</v>
      </c>
      <c r="BD16" s="820">
        <f ca="1">IF($H16="",0,IF($H16=1,IF('Para Adj'!$B$5 = 1,Z16-($O16-SUMPRODUCT($CX16:DI16,$BU16:CF16))*(1-SUM($DZ16:EK16)),CF16*DI16),$O16*CF16))</f>
        <v>0</v>
      </c>
      <c r="BE16" s="820">
        <f ca="1">IF($H16="",0,IF($H16=1,IF('Para Adj'!$B$5 = 1,AA16-($O16-SUMPRODUCT($CX16:DJ16,$BU16:CG16))*(1-SUM($DZ16:EL16)),CG16*DJ16),$O16*CG16))</f>
        <v>0</v>
      </c>
      <c r="BF16" s="820">
        <f ca="1">IF($H16="",0,IF($H16=1,IF('Para Adj'!$B$5 = 1,AB16-($O16-SUMPRODUCT($CX16:DK16,$BU16:CH16))*(1-SUM($DZ16:EM16)),CH16*DK16),$O16*CH16))</f>
        <v>0</v>
      </c>
      <c r="BG16" s="442">
        <f ca="1">IF($H16="",0,IF($H16=1,IF('Para Adj'!$B$5 = 1,AC16-($O16-SUMPRODUCT($CX16:DL16,$BU16:CI16))*(1-SUM($DZ16:EN16)),CI16*DL16),$O16*CI16))</f>
        <v>-202.3447177500002</v>
      </c>
      <c r="BH16" s="442">
        <f ca="1">IF($H16="",0,IF($H16=1,IF('Para Adj'!$B$5 = 1,AD16-($O16-SUMPRODUCT($CX16:DM16,$BU16:CJ16))*(1-SUM($DZ16:EO16)),CJ16*DM16),$O16*CJ16))</f>
        <v>0</v>
      </c>
      <c r="BI16" s="442">
        <f ca="1">IF($H16="",0,IF($H16=1,IF('Para Adj'!$B$5 = 1,AE16-($O16-SUMPRODUCT($CX16:DN16,$BU16:CK16))*(1-SUM($DZ16:EP16)),CK16*DN16),$O16*CK16))</f>
        <v>-39.61816379999982</v>
      </c>
      <c r="BJ16" s="442">
        <f ca="1">IF($H16="",0,IF($H16=1,IF('Para Adj'!$B$5 = 1,AF16-($O16-SUMPRODUCT($CX16:DO16,$BU16:CL16))*(1-SUM($DZ16:EQ16)),CL16*DO16),$O16*CL16))</f>
        <v>-19</v>
      </c>
      <c r="BK16" s="442">
        <f ca="1">IF($H16="",0,IF($H16=1,IF('Para Adj'!$B$5 = 1,AG16-($O16-SUMPRODUCT($CX16:DP16,$BU16:CM16))*(1-SUM($DZ16:ER16)),CM16*DP16),$O16*CM16))</f>
        <v>-120</v>
      </c>
      <c r="BL16" s="442">
        <f ca="1">IF($H16="",0,IF($H16=1,IF('Para Adj'!$B$5 = 1,AH16-($O16-SUMPRODUCT($CX16:DQ16,$BU16:CN16))*(1-SUM($DZ16:ES16)),CN16*DQ16),$O16*CN16))</f>
        <v>-94.269920565000575</v>
      </c>
      <c r="BM16" s="442">
        <f ca="1">IF($H16="",0,IF($H16=1,IF('Para Adj'!$B$5 = 1,AI16-($O16-SUMPRODUCT($CX16:DR16,$BU16:CO16))*(1-SUM($DZ16:ET16)),CO16*DR16),$O16*CO16))</f>
        <v>0</v>
      </c>
      <c r="BN16" s="442">
        <f ca="1">IF($H16="",0,IF($H16=1,IF('Para Adj'!$B$5 = 1,AJ16-($O16-SUMPRODUCT($CX16:DS16,$BU16:CP16))*(1-SUM($DZ16:EU16)),CP16*DS16),$O16*CP16))</f>
        <v>0</v>
      </c>
      <c r="BO16" s="442">
        <f ca="1">IF($H16="",0,IF($H16=1,IF('Para Adj'!$B$5 = 1,AK16-($O16-SUMPRODUCT($CX16:DT16,$BU16:CQ16))*(1-SUM($DZ16:EV16)),CQ16*DT16),$O16*CQ16))</f>
        <v>-8.1209975599995232</v>
      </c>
      <c r="BP16" s="442">
        <f ca="1">IF($H16="",0,IF($H16=1,IF('Para Adj'!$B$5 = 1,AL16-($O16-SUMPRODUCT($CX16:DU16,$BU16:CR16))*(1-SUM($DZ16:EW16)),CR16*DU16),$O16*CR16))</f>
        <v>-300</v>
      </c>
      <c r="BQ16" s="442">
        <f ca="1">IF($H16="",0,IF($H16=1,IF('Para Adj'!$B$5 = 1,AM16-($O16-SUMPRODUCT($CX16:DV16,$BU16:CS16))*(1-SUM($DZ16:EX16)),CS16*DV16),$O16*CS16))</f>
        <v>-1.7997612200006188</v>
      </c>
      <c r="BR16" s="442">
        <f ca="1">IF($H16="",0,IF($H16=1,IF('Para Adj'!$B$5 = 1,AN16-($O16-SUMPRODUCT($CX16:DW16,$BU16:CT16))*(1-SUM($DZ16:EY16)),CT16*DW16),$O16*CT16))</f>
        <v>0</v>
      </c>
      <c r="BS16" s="442">
        <f ca="1">IF($H16="",0,IF($H16=1,IF('Para Adj'!$B$5 = 1,AO16-($O16-SUMPRODUCT($CX16:DX16,$BU16:CU16))*(1-SUM($DZ16:EZ16)),CU16*DX16),$O16*CU16))</f>
        <v>0</v>
      </c>
      <c r="BU16" s="820">
        <f ca="1">IF($B16=0,"",INDEX(Assumptions!G:G,$B16))</f>
        <v>0.5</v>
      </c>
      <c r="BV16" s="820">
        <f ca="1">IF($B16=0,"",INDEX(Assumptions!H:H,$B16))</f>
        <v>0.5</v>
      </c>
      <c r="BW16" s="820">
        <f ca="1">IF($B16=0,"",INDEX(Assumptions!I:I,$B16))</f>
        <v>0.5</v>
      </c>
      <c r="BX16" s="820">
        <f ca="1">IF($B16=0,"",INDEX(Assumptions!J:J,$B16))</f>
        <v>0.5</v>
      </c>
      <c r="BY16" s="820">
        <f ca="1">IF($B16=0,"",INDEX(Assumptions!K:K,$B16))</f>
        <v>0.5</v>
      </c>
      <c r="BZ16" s="820">
        <f ca="1">IF($B16=0,"",INDEX(Assumptions!L:L,$B16))</f>
        <v>0.5</v>
      </c>
      <c r="CA16" s="820">
        <f ca="1">IF($B16=0,"",INDEX(Assumptions!M:M,$B16))</f>
        <v>0.5</v>
      </c>
      <c r="CB16" s="820">
        <f ca="1">IF($B16=0,"",INDEX(Assumptions!N:N,$B16))</f>
        <v>0.5</v>
      </c>
      <c r="CC16" s="820">
        <f ca="1">IF($B16=0,"",INDEX(Assumptions!O:O,$B16))</f>
        <v>0.5</v>
      </c>
      <c r="CD16" s="820">
        <f ca="1">IF($B16=0,"",INDEX(Assumptions!P:P,$B16))</f>
        <v>0.5</v>
      </c>
      <c r="CE16" s="820">
        <f ca="1">IF($B16=0,"",INDEX(Assumptions!Q:Q,$B16))</f>
        <v>0.5</v>
      </c>
      <c r="CF16" s="820">
        <f ca="1">IF($B16=0,"",INDEX(Assumptions!R:R,$B16))</f>
        <v>0.5</v>
      </c>
      <c r="CG16" s="820">
        <f ca="1">IF($B16=0,"",INDEX(Assumptions!S:S,$B16))</f>
        <v>0.5</v>
      </c>
      <c r="CH16" s="820">
        <f ca="1">IF($B16=0,"",INDEX(Assumptions!T:T,$B16))</f>
        <v>0.5</v>
      </c>
      <c r="CI16" s="820">
        <f ca="1">IF($B16=0,"",INDEX(Assumptions!U:U,$B16))</f>
        <v>0.5</v>
      </c>
      <c r="CJ16" s="820">
        <f ca="1">IF($B16=0,"",INDEX(Assumptions!V:V,$B16))</f>
        <v>0.5</v>
      </c>
      <c r="CK16" s="820">
        <f ca="1">IF($B16=0,"",INDEX(Assumptions!W:W,$B16))</f>
        <v>0.5</v>
      </c>
      <c r="CL16" s="820">
        <f ca="1">IF($B16=0,"",INDEX(Assumptions!X:X,$B16))</f>
        <v>0.5</v>
      </c>
      <c r="CM16" s="820">
        <f ca="1">IF($B16=0,"",INDEX(Assumptions!Y:Y,$B16))</f>
        <v>0.5</v>
      </c>
      <c r="CN16" s="820">
        <f ca="1">IF($B16=0,"",INDEX(Assumptions!Z:Z,$B16))</f>
        <v>0.5</v>
      </c>
      <c r="CO16" s="820">
        <f ca="1">IF($B16=0,"",INDEX(Assumptions!AA:AA,$B16))</f>
        <v>0.5</v>
      </c>
      <c r="CP16" s="820">
        <f ca="1">IF($B16=0,"",INDEX(Assumptions!AB:AB,$B16))</f>
        <v>0.5</v>
      </c>
      <c r="CQ16" s="820">
        <f ca="1">IF($B16=0,"",INDEX(Assumptions!AC:AC,$B16))</f>
        <v>0.5</v>
      </c>
      <c r="CR16" s="820">
        <f ca="1">IF($B16=0,"",INDEX(Assumptions!AD:AD,$B16))</f>
        <v>0.5</v>
      </c>
      <c r="CS16" s="820">
        <f ca="1">IF($B16=0,"",INDEX(Assumptions!AE:AE,$B16))</f>
        <v>0.5</v>
      </c>
      <c r="CT16" s="820">
        <f ca="1">IF($B16=0,"",INDEX(Assumptions!AF:AF,$B16))</f>
        <v>0.5</v>
      </c>
      <c r="CU16" s="820">
        <f ca="1">IF($B16=0,"",INDEX(Assumptions!AG:AG,$B16))</f>
        <v>0.5</v>
      </c>
      <c r="CX16" s="442">
        <f>IF($A16="","",INDEX('Data Interface'!G:G,$A16))</f>
        <v>-14.393389300000001</v>
      </c>
      <c r="CY16" s="442">
        <f>IF($A16="","",INDEX('Data Interface'!H:H,$A16))</f>
        <v>0</v>
      </c>
      <c r="CZ16" s="442">
        <f>IF($A16="","",INDEX('Data Interface'!I:I,$A16))</f>
        <v>0</v>
      </c>
      <c r="DA16" s="442">
        <f>IF($A16="","",INDEX('Data Interface'!J:J,$A16))</f>
        <v>0</v>
      </c>
      <c r="DB16" s="442">
        <f>IF($A16="","",INDEX('Data Interface'!K:K,$A16))</f>
        <v>0</v>
      </c>
      <c r="DC16" s="442">
        <f>IF($A16="","",INDEX('Data Interface'!L:L,$A16))</f>
        <v>0</v>
      </c>
      <c r="DD16" s="442">
        <f>IF($A16="","",INDEX('Data Interface'!M:M,$A16))</f>
        <v>0</v>
      </c>
      <c r="DE16" s="442">
        <f>IF($A16="","",INDEX('Data Interface'!N:N,$A16))</f>
        <v>0</v>
      </c>
      <c r="DF16" s="442">
        <f>IF($A16="","",INDEX('Data Interface'!O:O,$A16))</f>
        <v>0</v>
      </c>
      <c r="DG16" s="442">
        <f>IF($A16="","",INDEX('Data Interface'!P:P,$A16))</f>
        <v>0</v>
      </c>
      <c r="DH16" s="442">
        <f>IF($A16="","",INDEX('Data Interface'!Q:Q,$A16))</f>
        <v>0</v>
      </c>
      <c r="DI16" s="442">
        <f>IF($A16="","",INDEX('Data Interface'!R:R,$A16))</f>
        <v>0</v>
      </c>
      <c r="DJ16" s="442">
        <f>IF($A16="","",INDEX('Data Interface'!S:S,$A16))</f>
        <v>0</v>
      </c>
      <c r="DK16" s="442">
        <f>IF($A16="","",INDEX('Data Interface'!T:T,$A16))</f>
        <v>0</v>
      </c>
      <c r="DL16" s="442">
        <f>IF($A16="","",INDEX('Data Interface'!U:U,$A16))</f>
        <v>-404.6894355</v>
      </c>
      <c r="DM16" s="442">
        <f>IF($A16="","",INDEX('Data Interface'!V:V,$A16))</f>
        <v>0</v>
      </c>
      <c r="DN16" s="442">
        <f>IF($A16="","",INDEX('Data Interface'!W:W,$A16))</f>
        <v>-79.236327599999996</v>
      </c>
      <c r="DO16" s="442">
        <f>IF($A16="","",INDEX('Data Interface'!X:X,$A16))</f>
        <v>-38</v>
      </c>
      <c r="DP16" s="442">
        <f>IF($A16="","",INDEX('Data Interface'!Y:Y,$A16))</f>
        <v>-240</v>
      </c>
      <c r="DQ16" s="442">
        <f>IF($A16="","",INDEX('Data Interface'!Z:Z,$A16))</f>
        <v>-188.53984112999999</v>
      </c>
      <c r="DR16" s="442">
        <f>IF($A16="","",INDEX('Data Interface'!AA:AA,$A16))</f>
        <v>0</v>
      </c>
      <c r="DS16" s="442">
        <f>IF($A16="","",INDEX('Data Interface'!AB:AB,$A16))</f>
        <v>0</v>
      </c>
      <c r="DT16" s="442">
        <f>IF($A16="","",INDEX('Data Interface'!AC:AC,$A16))</f>
        <v>-16.241995119999999</v>
      </c>
      <c r="DU16" s="442">
        <f>IF($A16="","",INDEX('Data Interface'!AD:AD,$A16))</f>
        <v>-600</v>
      </c>
      <c r="DV16" s="442">
        <f>IF($A16="","",INDEX('Data Interface'!AE:AE,$A16))</f>
        <v>-3.5995224399999999</v>
      </c>
      <c r="DW16" s="442">
        <f>IF($A16="","",INDEX('Data Interface'!AF:AF,$A16))</f>
        <v>0</v>
      </c>
      <c r="DX16" s="442">
        <f>IF($A16="","",INDEX('Data Interface'!AG:AG,$A16))</f>
        <v>0</v>
      </c>
      <c r="DZ16" s="906">
        <f>IF(OR($B16=0,$A16=0,$H16&lt;&gt;1),"",INDEX(Assumptions!EO:EO,$B16))</f>
        <v>0</v>
      </c>
      <c r="EA16" s="906">
        <f>IF(OR($B16=0,$A16=0,$H16&lt;&gt;1),"",INDEX(Assumptions!EP:EP,$B16))</f>
        <v>0</v>
      </c>
      <c r="EB16" s="906">
        <f>IF(OR($B16=0,$A16=0,$H16&lt;&gt;1),"",INDEX(Assumptions!EQ:EQ,$B16))</f>
        <v>0</v>
      </c>
      <c r="EC16" s="906">
        <f>IF(OR($B16=0,$A16=0,$H16&lt;&gt;1),"",INDEX(Assumptions!ER:ER,$B16))</f>
        <v>0</v>
      </c>
      <c r="ED16" s="906">
        <f>IF(OR($B16=0,$A16=0,$H16&lt;&gt;1),"",INDEX(Assumptions!ES:ES,$B16))</f>
        <v>0</v>
      </c>
      <c r="EE16" s="906">
        <f>IF(OR($B16=0,$A16=0,$H16&lt;&gt;1),"",INDEX(Assumptions!ET:ET,$B16))</f>
        <v>0</v>
      </c>
      <c r="EF16" s="906">
        <f>IF(OR($B16=0,$A16=0,$H16&lt;&gt;1),"",INDEX(Assumptions!EU:EU,$B16))</f>
        <v>0</v>
      </c>
      <c r="EG16" s="906">
        <f>IF(OR($B16=0,$A16=0,$H16&lt;&gt;1),"",INDEX(Assumptions!EV:EV,$B16))</f>
        <v>0</v>
      </c>
      <c r="EH16" s="906">
        <f>IF(OR($B16=0,$A16=0,$H16&lt;&gt;1),"",INDEX(Assumptions!EW:EW,$B16))</f>
        <v>0</v>
      </c>
      <c r="EI16" s="906">
        <f>IF(OR($B16=0,$A16=0,$H16&lt;&gt;1),"",INDEX(Assumptions!EX:EX,$B16))</f>
        <v>0</v>
      </c>
      <c r="EJ16" s="906">
        <f>IF(OR($B16=0,$A16=0,$H16&lt;&gt;1),"",INDEX(Assumptions!EY:EY,$B16))</f>
        <v>0</v>
      </c>
      <c r="EK16" s="906">
        <f>IF(OR($B16=0,$A16=0,$H16&lt;&gt;1),"",INDEX(Assumptions!EZ:EZ,$B16))</f>
        <v>0</v>
      </c>
      <c r="EL16" s="906">
        <f>IF(OR($B16=0,$A16=0,$H16&lt;&gt;1),"",INDEX(Assumptions!FA:FA,$B16))</f>
        <v>0</v>
      </c>
      <c r="EM16" s="906">
        <f>IF(OR($B16=0,$A16=0,$H16&lt;&gt;1),"",INDEX(Assumptions!FB:FB,$B16))</f>
        <v>0</v>
      </c>
      <c r="EN16" s="906">
        <f>IF(OR($B16=0,$A16=0,$H16&lt;&gt;1),"",INDEX(Assumptions!FC:FC,$B16))</f>
        <v>0</v>
      </c>
      <c r="EO16" s="906">
        <f>IF(OR($B16=0,$A16=0,$H16&lt;&gt;1),"",INDEX(Assumptions!FD:FD,$B16))</f>
        <v>0</v>
      </c>
      <c r="EP16" s="906">
        <f>IF(OR($B16=0,$A16=0,$H16&lt;&gt;1),"",INDEX(Assumptions!FE:FE,$B16))</f>
        <v>0</v>
      </c>
      <c r="EQ16" s="906">
        <f>IF(OR($B16=0,$A16=0,$H16&lt;&gt;1),"",INDEX(Assumptions!FF:FF,$B16))</f>
        <v>0</v>
      </c>
      <c r="ER16" s="906">
        <f>IF(OR($B16=0,$A16=0,$H16&lt;&gt;1),"",INDEX(Assumptions!FG:FG,$B16))</f>
        <v>0</v>
      </c>
      <c r="ES16" s="906">
        <f>IF(OR($B16=0,$A16=0,$H16&lt;&gt;1),"",INDEX(Assumptions!FH:FH,$B16))</f>
        <v>0</v>
      </c>
      <c r="ET16" s="906">
        <f>IF(OR($B16=0,$A16=0,$H16&lt;&gt;1),"",INDEX(Assumptions!FI:FI,$B16))</f>
        <v>0</v>
      </c>
      <c r="EU16" s="906">
        <f>IF(OR($B16=0,$A16=0,$H16&lt;&gt;1),"",INDEX(Assumptions!FJ:FJ,$B16))</f>
        <v>0</v>
      </c>
      <c r="EV16" s="906">
        <f>IF(OR($B16=0,$A16=0,$H16&lt;&gt;1),"",INDEX(Assumptions!FK:FK,$B16))</f>
        <v>0</v>
      </c>
      <c r="EW16" s="906">
        <f>IF(OR($B16=0,$A16=0,$H16&lt;&gt;1),"",INDEX(Assumptions!FL:FL,$B16))</f>
        <v>0</v>
      </c>
      <c r="EX16" s="906">
        <f>IF(OR($B16=0,$A16=0,$H16&lt;&gt;1),"",INDEX(Assumptions!FM:FM,$B16))</f>
        <v>0</v>
      </c>
      <c r="EY16" s="906">
        <f>IF(OR($B16=0,$A16=0,$H16&lt;&gt;1),"",INDEX(Assumptions!FN:FN,$B16))</f>
        <v>0</v>
      </c>
      <c r="EZ16" s="906">
        <f>IF(OR($B16=0,$A16=0,$H16&lt;&gt;1),"",INDEX(Assumptions!FO:FO,$B16))</f>
        <v>0</v>
      </c>
      <c r="FB16" s="820" t="str">
        <f t="shared" si="18"/>
        <v/>
      </c>
      <c r="FC16" s="820" t="str">
        <f t="shared" si="19"/>
        <v/>
      </c>
      <c r="FD16" s="820" t="str">
        <f t="shared" si="20"/>
        <v/>
      </c>
      <c r="FE16" s="820" t="str">
        <f t="shared" si="21"/>
        <v/>
      </c>
      <c r="FF16" s="820" t="str">
        <f t="shared" si="22"/>
        <v/>
      </c>
    </row>
    <row r="17" spans="1:162">
      <c r="A17" s="440">
        <f>IFERROR(MATCH(C17,'Data Interface'!B:B,0),0)</f>
        <v>16</v>
      </c>
      <c r="B17" s="440">
        <f>IFERROR(MATCH(C17,Assumptions!$B:$B,0),0)</f>
        <v>10</v>
      </c>
      <c r="C17" s="441" t="s">
        <v>1066</v>
      </c>
      <c r="E17" s="441" t="s">
        <v>1218</v>
      </c>
      <c r="F17" s="440" t="s">
        <v>993</v>
      </c>
      <c r="G17" s="440" t="str">
        <f>IF(A17=0,"",INDEX('Data Interface'!$C:$C,$A17))</f>
        <v>Trade Finance - IB &amp; Affiliates</v>
      </c>
      <c r="H17" s="440">
        <v>1</v>
      </c>
      <c r="I17" s="819">
        <f t="shared" ca="1" si="10"/>
        <v>0.5</v>
      </c>
      <c r="J17" s="819">
        <f t="shared" ca="1" si="11"/>
        <v>0.5</v>
      </c>
      <c r="K17" s="439" t="str">
        <f t="shared" ca="1" si="12"/>
        <v>50% of Contractual Maturity</v>
      </c>
      <c r="L17" s="439" t="s">
        <v>1147</v>
      </c>
      <c r="M17" s="439" t="s">
        <v>1522</v>
      </c>
      <c r="O17" s="442">
        <f>IF(OR($A17="",$A17=0),0,INDEX('Data Interface'!D:D,$A17))</f>
        <v>-191.75120747000003</v>
      </c>
      <c r="P17" s="442">
        <f ca="1">$O17-SUM($AS17:AS17)</f>
        <v>-191.75120746500002</v>
      </c>
      <c r="Q17" s="442">
        <f ca="1">$O17-SUM($AS17:AT17)</f>
        <v>-191.75120746500002</v>
      </c>
      <c r="R17" s="442">
        <f ca="1">$O17-SUM($AS17:AU17)</f>
        <v>-191.75120746500002</v>
      </c>
      <c r="S17" s="442">
        <f ca="1">$O17-SUM($AS17:AV17)</f>
        <v>-191.54103531500002</v>
      </c>
      <c r="T17" s="442">
        <f ca="1">$O17-SUM($AS17:AW17)</f>
        <v>-191.54103531500002</v>
      </c>
      <c r="U17" s="442">
        <f ca="1">$O17-SUM($AS17:AX17)</f>
        <v>-191.54103531500002</v>
      </c>
      <c r="V17" s="442">
        <f ca="1">$O17-SUM($AS17:AY17)</f>
        <v>-190.35892931500001</v>
      </c>
      <c r="W17" s="442">
        <f ca="1">$O17-SUM($AS17:AZ17)</f>
        <v>-183.26971503000001</v>
      </c>
      <c r="X17" s="442">
        <f ca="1">$O17-SUM($AS17:BA17)</f>
        <v>-177.51971503000001</v>
      </c>
      <c r="Y17" s="442">
        <f ca="1">$O17-SUM($AS17:BB17)</f>
        <v>-177.51971503000001</v>
      </c>
      <c r="Z17" s="442">
        <f ca="1">$O17-SUM($AS17:BC17)</f>
        <v>-177.51971503000001</v>
      </c>
      <c r="AA17" s="442">
        <f ca="1">$O17-SUM($AS17:BD17)</f>
        <v>-177.51971503000001</v>
      </c>
      <c r="AB17" s="442">
        <f ca="1">$O17-SUM($AS17:BE17)</f>
        <v>-177.51971503000001</v>
      </c>
      <c r="AC17" s="442">
        <f ca="1">$O17-SUM($AS17:BF17)</f>
        <v>-161.84738332500001</v>
      </c>
      <c r="AD17" s="442">
        <f ca="1">$O17-SUM($AS17:BG17)</f>
        <v>-160.73647659000002</v>
      </c>
      <c r="AE17" s="442">
        <f ca="1">$O17-SUM($AS17:BH17)</f>
        <v>-147.13593123500002</v>
      </c>
      <c r="AF17" s="442">
        <f ca="1">$O17-SUM($AS17:BI17)</f>
        <v>-145.33753095500003</v>
      </c>
      <c r="AG17" s="442">
        <f ca="1">$O17-SUM($AS17:BJ17)</f>
        <v>-124.82693230500001</v>
      </c>
      <c r="AH17" s="442">
        <f ca="1">$O17-SUM($AS17:BK17)</f>
        <v>-120.33580787500001</v>
      </c>
      <c r="AI17" s="442">
        <f ca="1">$O17-SUM($AS17:BL17)</f>
        <v>-120.33580787500001</v>
      </c>
      <c r="AJ17" s="442">
        <f ca="1">$O17-SUM($AS17:BM17)</f>
        <v>-66.924275165000012</v>
      </c>
      <c r="AK17" s="442">
        <f ca="1">$O17-SUM($AS17:BN17)</f>
        <v>-66.924275165000012</v>
      </c>
      <c r="AL17" s="442">
        <f ca="1">$O17-SUM($AS17:BO17)</f>
        <v>-66.924275165000012</v>
      </c>
      <c r="AM17" s="442">
        <f ca="1">$O17-SUM($AS17:BP17)</f>
        <v>-66.924275165000012</v>
      </c>
      <c r="AN17" s="442">
        <f ca="1">$O17-SUM($AS17:BQ17)</f>
        <v>-66.924275165000012</v>
      </c>
      <c r="AO17" s="442">
        <f ca="1">$O17-SUM($AS17:BR17)</f>
        <v>-66.924275165000012</v>
      </c>
      <c r="AP17" s="442">
        <f ca="1">$O17-SUM($AS17:BS17)</f>
        <v>-66.924275165000012</v>
      </c>
      <c r="AR17" s="439" t="s">
        <v>1201</v>
      </c>
      <c r="AS17" s="442">
        <f ca="1">IF($H17="",0,IF($H17=1,IF('Para Adj'!$B$5 = 1,O17-($O17-SUMPRODUCT($CX17:CX17,$BU17:BU17))*(1-SUM($DZ17:DZ17)),BU17*CX17),$O17*BU17))</f>
        <v>-5.0000039664155338E-9</v>
      </c>
      <c r="AT17" s="442">
        <f ca="1">IF($H17="",0,IF($H17=1,IF('Para Adj'!$B$5 = 1,P17-($O17-SUMPRODUCT($CX17:CY17,$BU17:BV17))*(1-SUM($DZ17:EA17)),BV17*CY17),$O17*BV17))</f>
        <v>0</v>
      </c>
      <c r="AU17" s="442">
        <f ca="1">IF($H17="",0,IF($H17=1,IF('Para Adj'!$B$5 = 1,Q17-($O17-SUMPRODUCT($CX17:CZ17,$BU17:BW17))*(1-SUM($DZ17:EB17)),BW17*CZ17),$O17*BW17))</f>
        <v>0</v>
      </c>
      <c r="AV17" s="442">
        <f ca="1">IF($H17="",0,IF($H17=1,IF('Para Adj'!$B$5 = 1,R17-($O17-SUMPRODUCT($CX17:DA17,$BU17:BX17))*(1-SUM($DZ17:EC17)),BX17*DA17),$O17*BX17))</f>
        <v>-0.21017215000000533</v>
      </c>
      <c r="AW17" s="442">
        <f ca="1">IF($H17="",0,IF($H17=1,IF('Para Adj'!$B$5 = 1,S17-($O17-SUMPRODUCT($CX17:DB17,$BU17:BY17))*(1-SUM($DZ17:ED17)),BY17*DB17),$O17*BY17))</f>
        <v>0</v>
      </c>
      <c r="AX17" s="442">
        <f ca="1">IF($H17="",0,IF($H17=1,IF('Para Adj'!$B$5 = 1,T17-($O17-SUMPRODUCT($CX17:DC17,$BU17:BZ17))*(1-SUM($DZ17:EE17)),BZ17*DC17),$O17*BZ17))</f>
        <v>0</v>
      </c>
      <c r="AY17" s="442">
        <f ca="1">IF($H17="",0,IF($H17=1,IF('Para Adj'!$B$5 = 1,U17-($O17-SUMPRODUCT($CX17:DD17,$BU17:CA17))*(1-SUM($DZ17:EF17)),CA17*DD17),$O17*CA17))</f>
        <v>-1.1821060000000045</v>
      </c>
      <c r="AZ17" s="442">
        <f ca="1">IF($H17="",0,IF($H17=1,IF('Para Adj'!$B$5 = 1,V17-($O17-SUMPRODUCT($CX17:DE17,$BU17:CB17))*(1-SUM($DZ17:EG17)),CB17*DE17),$O17*CB17))</f>
        <v>-7.0892142849999971</v>
      </c>
      <c r="BA17" s="442">
        <f ca="1">IF($H17="",0,IF($H17=1,IF('Para Adj'!$B$5 = 1,W17-($O17-SUMPRODUCT($CX17:DF17,$BU17:CC17))*(1-SUM($DZ17:EH17)),CC17*DF17),$O17*CC17))</f>
        <v>-5.75</v>
      </c>
      <c r="BB17" s="442">
        <f ca="1">IF($H17="",0,IF($H17=1,IF('Para Adj'!$B$5 = 1,X17-($O17-SUMPRODUCT($CX17:DG17,$BU17:CD17))*(1-SUM($DZ17:EI17)),CD17*DG17),$O17*CD17))</f>
        <v>0</v>
      </c>
      <c r="BC17" s="442">
        <f ca="1">IF($H17="",0,IF($H17=1,IF('Para Adj'!$B$5 = 1,Y17-($O17-SUMPRODUCT($CX17:DH17,$BU17:CE17))*(1-SUM($DZ17:EJ17)),CE17*DH17),$O17*CE17))</f>
        <v>0</v>
      </c>
      <c r="BD17" s="442">
        <f ca="1">IF($H17="",0,IF($H17=1,IF('Para Adj'!$B$5 = 1,Z17-($O17-SUMPRODUCT($CX17:DI17,$BU17:CF17))*(1-SUM($DZ17:EK17)),CF17*DI17),$O17*CF17))</f>
        <v>0</v>
      </c>
      <c r="BE17" s="442">
        <f ca="1">IF($H17="",0,IF($H17=1,IF('Para Adj'!$B$5 = 1,AA17-($O17-SUMPRODUCT($CX17:DJ17,$BU17:CG17))*(1-SUM($DZ17:EL17)),CG17*DJ17),$O17*CG17))</f>
        <v>0</v>
      </c>
      <c r="BF17" s="442">
        <f ca="1">IF($H17="",0,IF($H17=1,IF('Para Adj'!$B$5 = 1,AB17-($O17-SUMPRODUCT($CX17:DK17,$BU17:CH17))*(1-SUM($DZ17:EM17)),CH17*DK17),$O17*CH17))</f>
        <v>-15.672331705000005</v>
      </c>
      <c r="BG17" s="442">
        <f ca="1">IF($H17="",0,IF($H17=1,IF('Para Adj'!$B$5 = 1,AC17-($O17-SUMPRODUCT($CX17:DL17,$BU17:CI17))*(1-SUM($DZ17:EN17)),CI17*DL17),$O17*CI17))</f>
        <v>-1.1109067349999862</v>
      </c>
      <c r="BH17" s="442">
        <f ca="1">IF($H17="",0,IF($H17=1,IF('Para Adj'!$B$5 = 1,AD17-($O17-SUMPRODUCT($CX17:DM17,$BU17:CJ17))*(1-SUM($DZ17:EO17)),CJ17*DM17),$O17*CJ17))</f>
        <v>-13.600545355000008</v>
      </c>
      <c r="BI17" s="442">
        <f ca="1">IF($H17="",0,IF($H17=1,IF('Para Adj'!$B$5 = 1,AE17-($O17-SUMPRODUCT($CX17:DN17,$BU17:CK17))*(1-SUM($DZ17:EP17)),CK17*DN17),$O17*CK17))</f>
        <v>-1.7984002799999814</v>
      </c>
      <c r="BJ17" s="442">
        <f ca="1">IF($H17="",0,IF($H17=1,IF('Para Adj'!$B$5 = 1,AF17-($O17-SUMPRODUCT($CX17:DO17,$BU17:CL17))*(1-SUM($DZ17:EQ17)),CL17*DO17),$O17*CL17))</f>
        <v>-20.51059865000002</v>
      </c>
      <c r="BK17" s="442">
        <f ca="1">IF($H17="",0,IF($H17=1,IF('Para Adj'!$B$5 = 1,AG17-($O17-SUMPRODUCT($CX17:DP17,$BU17:CM17))*(1-SUM($DZ17:ER17)),CM17*DP17),$O17*CM17))</f>
        <v>-4.4911244299999993</v>
      </c>
      <c r="BL17" s="442">
        <f ca="1">IF($H17="",0,IF($H17=1,IF('Para Adj'!$B$5 = 1,AH17-($O17-SUMPRODUCT($CX17:DQ17,$BU17:CN17))*(1-SUM($DZ17:ES17)),CN17*DQ17),$O17*CN17))</f>
        <v>0</v>
      </c>
      <c r="BM17" s="442">
        <f ca="1">IF($H17="",0,IF($H17=1,IF('Para Adj'!$B$5 = 1,AI17-($O17-SUMPRODUCT($CX17:DR17,$BU17:CO17))*(1-SUM($DZ17:ET17)),CO17*DR17),$O17*CO17))</f>
        <v>-53.411532710000003</v>
      </c>
      <c r="BN17" s="442">
        <f ca="1">IF($H17="",0,IF($H17=1,IF('Para Adj'!$B$5 = 1,AJ17-($O17-SUMPRODUCT($CX17:DS17,$BU17:CP17))*(1-SUM($DZ17:EU17)),CP17*DS17),$O17*CP17))</f>
        <v>0</v>
      </c>
      <c r="BO17" s="442">
        <f ca="1">IF($H17="",0,IF($H17=1,IF('Para Adj'!$B$5 = 1,AK17-($O17-SUMPRODUCT($CX17:DT17,$BU17:CQ17))*(1-SUM($DZ17:EV17)),CQ17*DT17),$O17*CQ17))</f>
        <v>0</v>
      </c>
      <c r="BP17" s="442">
        <f ca="1">IF($H17="",0,IF($H17=1,IF('Para Adj'!$B$5 = 1,AL17-($O17-SUMPRODUCT($CX17:DU17,$BU17:CR17))*(1-SUM($DZ17:EW17)),CR17*DU17),$O17*CR17))</f>
        <v>0</v>
      </c>
      <c r="BQ17" s="442">
        <f ca="1">IF($H17="",0,IF($H17=1,IF('Para Adj'!$B$5 = 1,AM17-($O17-SUMPRODUCT($CX17:DV17,$BU17:CS17))*(1-SUM($DZ17:EX17)),CS17*DV17),$O17*CS17))</f>
        <v>0</v>
      </c>
      <c r="BR17" s="442">
        <f ca="1">IF($H17="",0,IF($H17=1,IF('Para Adj'!$B$5 = 1,AN17-($O17-SUMPRODUCT($CX17:DW17,$BU17:CT17))*(1-SUM($DZ17:EY17)),CT17*DW17),$O17*CT17))</f>
        <v>0</v>
      </c>
      <c r="BS17" s="442">
        <f ca="1">IF($H17="",0,IF($H17=1,IF('Para Adj'!$B$5 = 1,AO17-($O17-SUMPRODUCT($CX17:DX17,$BU17:CU17))*(1-SUM($DZ17:EZ17)),CU17*DX17),$O17*CU17))</f>
        <v>0</v>
      </c>
      <c r="BU17" s="820">
        <f ca="1">IF($B17=0,"",INDEX(Assumptions!G:G,$B17))</f>
        <v>0.5</v>
      </c>
      <c r="BV17" s="820">
        <f ca="1">IF($B17=0,"",INDEX(Assumptions!H:H,$B17))</f>
        <v>0.5</v>
      </c>
      <c r="BW17" s="820">
        <f ca="1">IF($B17=0,"",INDEX(Assumptions!I:I,$B17))</f>
        <v>0.5</v>
      </c>
      <c r="BX17" s="820">
        <f ca="1">IF($B17=0,"",INDEX(Assumptions!J:J,$B17))</f>
        <v>0.5</v>
      </c>
      <c r="BY17" s="820">
        <f ca="1">IF($B17=0,"",INDEX(Assumptions!K:K,$B17))</f>
        <v>0.5</v>
      </c>
      <c r="BZ17" s="820">
        <f ca="1">IF($B17=0,"",INDEX(Assumptions!L:L,$B17))</f>
        <v>0.5</v>
      </c>
      <c r="CA17" s="820">
        <f ca="1">IF($B17=0,"",INDEX(Assumptions!M:M,$B17))</f>
        <v>0.5</v>
      </c>
      <c r="CB17" s="820">
        <f ca="1">IF($B17=0,"",INDEX(Assumptions!N:N,$B17))</f>
        <v>0.5</v>
      </c>
      <c r="CC17" s="820">
        <f ca="1">IF($B17=0,"",INDEX(Assumptions!O:O,$B17))</f>
        <v>0.5</v>
      </c>
      <c r="CD17" s="820">
        <f ca="1">IF($B17=0,"",INDEX(Assumptions!P:P,$B17))</f>
        <v>0.5</v>
      </c>
      <c r="CE17" s="820">
        <f ca="1">IF($B17=0,"",INDEX(Assumptions!Q:Q,$B17))</f>
        <v>0.5</v>
      </c>
      <c r="CF17" s="820">
        <f ca="1">IF($B17=0,"",INDEX(Assumptions!R:R,$B17))</f>
        <v>0.5</v>
      </c>
      <c r="CG17" s="820">
        <f ca="1">IF($B17=0,"",INDEX(Assumptions!S:S,$B17))</f>
        <v>0.5</v>
      </c>
      <c r="CH17" s="820">
        <f ca="1">IF($B17=0,"",INDEX(Assumptions!T:T,$B17))</f>
        <v>0.5</v>
      </c>
      <c r="CI17" s="820">
        <f ca="1">IF($B17=0,"",INDEX(Assumptions!U:U,$B17))</f>
        <v>0.5</v>
      </c>
      <c r="CJ17" s="820">
        <f ca="1">IF($B17=0,"",INDEX(Assumptions!V:V,$B17))</f>
        <v>0.5</v>
      </c>
      <c r="CK17" s="820">
        <f ca="1">IF($B17=0,"",INDEX(Assumptions!W:W,$B17))</f>
        <v>0.5</v>
      </c>
      <c r="CL17" s="820">
        <f ca="1">IF($B17=0,"",INDEX(Assumptions!X:X,$B17))</f>
        <v>0.5</v>
      </c>
      <c r="CM17" s="820">
        <f ca="1">IF($B17=0,"",INDEX(Assumptions!Y:Y,$B17))</f>
        <v>1</v>
      </c>
      <c r="CN17" s="820">
        <f ca="1">IF($B17=0,"",INDEX(Assumptions!Z:Z,$B17))</f>
        <v>1</v>
      </c>
      <c r="CO17" s="820">
        <f ca="1">IF($B17=0,"",INDEX(Assumptions!AA:AA,$B17))</f>
        <v>1</v>
      </c>
      <c r="CP17" s="820">
        <f ca="1">IF($B17=0,"",INDEX(Assumptions!AB:AB,$B17))</f>
        <v>1</v>
      </c>
      <c r="CQ17" s="820">
        <f ca="1">IF($B17=0,"",INDEX(Assumptions!AC:AC,$B17))</f>
        <v>1</v>
      </c>
      <c r="CR17" s="820">
        <f ca="1">IF($B17=0,"",INDEX(Assumptions!AD:AD,$B17))</f>
        <v>1</v>
      </c>
      <c r="CS17" s="820">
        <f ca="1">IF($B17=0,"",INDEX(Assumptions!AE:AE,$B17))</f>
        <v>1</v>
      </c>
      <c r="CT17" s="820">
        <f ca="1">IF($B17=0,"",INDEX(Assumptions!AF:AF,$B17))</f>
        <v>1</v>
      </c>
      <c r="CU17" s="820">
        <f ca="1">IF($B17=0,"",INDEX(Assumptions!AG:AG,$B17))</f>
        <v>1</v>
      </c>
      <c r="CX17" s="442">
        <f>IF($A17="","",INDEX('Data Interface'!G:G,$A17))</f>
        <v>-1E-8</v>
      </c>
      <c r="CY17" s="442">
        <f>IF($A17="","",INDEX('Data Interface'!H:H,$A17))</f>
        <v>0</v>
      </c>
      <c r="CZ17" s="442">
        <f>IF($A17="","",INDEX('Data Interface'!I:I,$A17))</f>
        <v>0</v>
      </c>
      <c r="DA17" s="442">
        <f>IF($A17="","",INDEX('Data Interface'!J:J,$A17))</f>
        <v>-0.4203443</v>
      </c>
      <c r="DB17" s="442">
        <f>IF($A17="","",INDEX('Data Interface'!K:K,$A17))</f>
        <v>0</v>
      </c>
      <c r="DC17" s="442">
        <f>IF($A17="","",INDEX('Data Interface'!L:L,$A17))</f>
        <v>0</v>
      </c>
      <c r="DD17" s="442">
        <f>IF($A17="","",INDEX('Data Interface'!M:M,$A17))</f>
        <v>-2.3642120000000002</v>
      </c>
      <c r="DE17" s="442">
        <f>IF($A17="","",INDEX('Data Interface'!N:N,$A17))</f>
        <v>-14.178428569999999</v>
      </c>
      <c r="DF17" s="442">
        <f>IF($A17="","",INDEX('Data Interface'!O:O,$A17))</f>
        <v>-11.5</v>
      </c>
      <c r="DG17" s="442">
        <f>IF($A17="","",INDEX('Data Interface'!P:P,$A17))</f>
        <v>0</v>
      </c>
      <c r="DH17" s="442">
        <f>IF($A17="","",INDEX('Data Interface'!Q:Q,$A17))</f>
        <v>0</v>
      </c>
      <c r="DI17" s="442">
        <f>IF($A17="","",INDEX('Data Interface'!R:R,$A17))</f>
        <v>0</v>
      </c>
      <c r="DJ17" s="442">
        <f>IF($A17="","",INDEX('Data Interface'!S:S,$A17))</f>
        <v>0</v>
      </c>
      <c r="DK17" s="442">
        <f>IF($A17="","",INDEX('Data Interface'!T:T,$A17))</f>
        <v>-31.344663409999999</v>
      </c>
      <c r="DL17" s="442">
        <f>IF($A17="","",INDEX('Data Interface'!U:U,$A17))</f>
        <v>-2.2218134700000003</v>
      </c>
      <c r="DM17" s="442">
        <f>IF($A17="","",INDEX('Data Interface'!V:V,$A17))</f>
        <v>-27.201090710000006</v>
      </c>
      <c r="DN17" s="442">
        <f>IF($A17="","",INDEX('Data Interface'!W:W,$A17))</f>
        <v>-3.5968005600000006</v>
      </c>
      <c r="DO17" s="442">
        <f>IF($A17="","",INDEX('Data Interface'!X:X,$A17))</f>
        <v>-41.021197299999997</v>
      </c>
      <c r="DP17" s="442">
        <f>IF($A17="","",INDEX('Data Interface'!Y:Y,$A17))</f>
        <v>-4.4911244299999993</v>
      </c>
      <c r="DQ17" s="442">
        <f>IF($A17="","",INDEX('Data Interface'!Z:Z,$A17))</f>
        <v>0</v>
      </c>
      <c r="DR17" s="442">
        <f>IF($A17="","",INDEX('Data Interface'!AA:AA,$A17))</f>
        <v>-53.411532710000003</v>
      </c>
      <c r="DS17" s="442">
        <f>IF($A17="","",INDEX('Data Interface'!AB:AB,$A17))</f>
        <v>0</v>
      </c>
      <c r="DT17" s="442">
        <f>IF($A17="","",INDEX('Data Interface'!AC:AC,$A17))</f>
        <v>0</v>
      </c>
      <c r="DU17" s="442">
        <f>IF($A17="","",INDEX('Data Interface'!AD:AD,$A17))</f>
        <v>0</v>
      </c>
      <c r="DV17" s="442">
        <f>IF($A17="","",INDEX('Data Interface'!AE:AE,$A17))</f>
        <v>0</v>
      </c>
      <c r="DW17" s="442">
        <f>IF($A17="","",INDEX('Data Interface'!AF:AF,$A17))</f>
        <v>0</v>
      </c>
      <c r="DX17" s="442">
        <f>IF($A17="","",INDEX('Data Interface'!AG:AG,$A17))</f>
        <v>0</v>
      </c>
      <c r="DZ17" s="906">
        <f>IF(OR($B17=0,$A17=0,$H17&lt;&gt;1),"",INDEX(Assumptions!EO:EO,$B17))</f>
        <v>0</v>
      </c>
      <c r="EA17" s="906">
        <f>IF(OR($B17=0,$A17=0,$H17&lt;&gt;1),"",INDEX(Assumptions!EP:EP,$B17))</f>
        <v>0</v>
      </c>
      <c r="EB17" s="906">
        <f>IF(OR($B17=0,$A17=0,$H17&lt;&gt;1),"",INDEX(Assumptions!EQ:EQ,$B17))</f>
        <v>0</v>
      </c>
      <c r="EC17" s="906">
        <f>IF(OR($B17=0,$A17=0,$H17&lt;&gt;1),"",INDEX(Assumptions!ER:ER,$B17))</f>
        <v>0</v>
      </c>
      <c r="ED17" s="906">
        <f>IF(OR($B17=0,$A17=0,$H17&lt;&gt;1),"",INDEX(Assumptions!ES:ES,$B17))</f>
        <v>0</v>
      </c>
      <c r="EE17" s="906">
        <f>IF(OR($B17=0,$A17=0,$H17&lt;&gt;1),"",INDEX(Assumptions!ET:ET,$B17))</f>
        <v>0</v>
      </c>
      <c r="EF17" s="906">
        <f>IF(OR($B17=0,$A17=0,$H17&lt;&gt;1),"",INDEX(Assumptions!EU:EU,$B17))</f>
        <v>0</v>
      </c>
      <c r="EG17" s="906">
        <f>IF(OR($B17=0,$A17=0,$H17&lt;&gt;1),"",INDEX(Assumptions!EV:EV,$B17))</f>
        <v>0</v>
      </c>
      <c r="EH17" s="906">
        <f>IF(OR($B17=0,$A17=0,$H17&lt;&gt;1),"",INDEX(Assumptions!EW:EW,$B17))</f>
        <v>0</v>
      </c>
      <c r="EI17" s="906">
        <f>IF(OR($B17=0,$A17=0,$H17&lt;&gt;1),"",INDEX(Assumptions!EX:EX,$B17))</f>
        <v>0</v>
      </c>
      <c r="EJ17" s="906">
        <f>IF(OR($B17=0,$A17=0,$H17&lt;&gt;1),"",INDEX(Assumptions!EY:EY,$B17))</f>
        <v>0</v>
      </c>
      <c r="EK17" s="906">
        <f>IF(OR($B17=0,$A17=0,$H17&lt;&gt;1),"",INDEX(Assumptions!EZ:EZ,$B17))</f>
        <v>0</v>
      </c>
      <c r="EL17" s="906">
        <f>IF(OR($B17=0,$A17=0,$H17&lt;&gt;1),"",INDEX(Assumptions!FA:FA,$B17))</f>
        <v>0</v>
      </c>
      <c r="EM17" s="906">
        <f>IF(OR($B17=0,$A17=0,$H17&lt;&gt;1),"",INDEX(Assumptions!FB:FB,$B17))</f>
        <v>0</v>
      </c>
      <c r="EN17" s="906">
        <f>IF(OR($B17=0,$A17=0,$H17&lt;&gt;1),"",INDEX(Assumptions!FC:FC,$B17))</f>
        <v>0</v>
      </c>
      <c r="EO17" s="906">
        <f>IF(OR($B17=0,$A17=0,$H17&lt;&gt;1),"",INDEX(Assumptions!FD:FD,$B17))</f>
        <v>0</v>
      </c>
      <c r="EP17" s="906">
        <f>IF(OR($B17=0,$A17=0,$H17&lt;&gt;1),"",INDEX(Assumptions!FE:FE,$B17))</f>
        <v>0</v>
      </c>
      <c r="EQ17" s="906">
        <f>IF(OR($B17=0,$A17=0,$H17&lt;&gt;1),"",INDEX(Assumptions!FF:FF,$B17))</f>
        <v>0</v>
      </c>
      <c r="ER17" s="906">
        <f>IF(OR($B17=0,$A17=0,$H17&lt;&gt;1),"",INDEX(Assumptions!FG:FG,$B17))</f>
        <v>0</v>
      </c>
      <c r="ES17" s="906">
        <f>IF(OR($B17=0,$A17=0,$H17&lt;&gt;1),"",INDEX(Assumptions!FH:FH,$B17))</f>
        <v>0</v>
      </c>
      <c r="ET17" s="906">
        <f>IF(OR($B17=0,$A17=0,$H17&lt;&gt;1),"",INDEX(Assumptions!FI:FI,$B17))</f>
        <v>0</v>
      </c>
      <c r="EU17" s="906">
        <f>IF(OR($B17=0,$A17=0,$H17&lt;&gt;1),"",INDEX(Assumptions!FJ:FJ,$B17))</f>
        <v>0</v>
      </c>
      <c r="EV17" s="906">
        <f>IF(OR($B17=0,$A17=0,$H17&lt;&gt;1),"",INDEX(Assumptions!FK:FK,$B17))</f>
        <v>0</v>
      </c>
      <c r="EW17" s="906">
        <f>IF(OR($B17=0,$A17=0,$H17&lt;&gt;1),"",INDEX(Assumptions!FL:FL,$B17))</f>
        <v>0</v>
      </c>
      <c r="EX17" s="906">
        <f>IF(OR($B17=0,$A17=0,$H17&lt;&gt;1),"",INDEX(Assumptions!FM:FM,$B17))</f>
        <v>0</v>
      </c>
      <c r="EY17" s="906">
        <f>IF(OR($B17=0,$A17=0,$H17&lt;&gt;1),"",INDEX(Assumptions!FN:FN,$B17))</f>
        <v>0</v>
      </c>
      <c r="EZ17" s="906">
        <f>IF(OR($B17=0,$A17=0,$H17&lt;&gt;1),"",INDEX(Assumptions!FO:FO,$B17))</f>
        <v>0</v>
      </c>
      <c r="FB17" s="820" t="str">
        <f t="shared" si="18"/>
        <v/>
      </c>
      <c r="FC17" s="820" t="str">
        <f t="shared" si="19"/>
        <v/>
      </c>
      <c r="FD17" s="820" t="str">
        <f t="shared" si="20"/>
        <v/>
      </c>
      <c r="FE17" s="820" t="str">
        <f t="shared" si="21"/>
        <v/>
      </c>
      <c r="FF17" s="820" t="str">
        <f t="shared" si="22"/>
        <v/>
      </c>
    </row>
    <row r="18" spans="1:162">
      <c r="A18" s="440">
        <f>IFERROR(MATCH(C18,'Data Interface'!B:B,0),0)</f>
        <v>17</v>
      </c>
      <c r="B18" s="440">
        <f>IFERROR(MATCH(C18,Assumptions!$B:$B,0),0)</f>
        <v>11</v>
      </c>
      <c r="C18" s="441" t="s">
        <v>1067</v>
      </c>
      <c r="E18" s="441" t="s">
        <v>1218</v>
      </c>
      <c r="F18" s="440" t="s">
        <v>993</v>
      </c>
      <c r="G18" s="440" t="str">
        <f>IF(A18=0,"",INDEX('Data Interface'!$C:$C,$A18))</f>
        <v>Trade Finance - 3rd Parties</v>
      </c>
      <c r="H18" s="440">
        <v>1</v>
      </c>
      <c r="I18" s="819">
        <f t="shared" ca="1" si="10"/>
        <v>0.5</v>
      </c>
      <c r="J18" s="819">
        <f t="shared" ca="1" si="11"/>
        <v>0.5</v>
      </c>
      <c r="K18" s="439" t="str">
        <f t="shared" ca="1" si="12"/>
        <v>50% of Contractual Maturity</v>
      </c>
      <c r="L18" s="439" t="s">
        <v>1146</v>
      </c>
      <c r="M18" s="439" t="s">
        <v>1499</v>
      </c>
      <c r="O18" s="442">
        <f>IF(OR($A18="",$A18=0),0,INDEX('Data Interface'!D:D,$A18))</f>
        <v>-2643.1710078999999</v>
      </c>
      <c r="P18" s="442">
        <f ca="1">$O18-SUM($AS18:AS18)</f>
        <v>-2643.1710078999999</v>
      </c>
      <c r="Q18" s="442">
        <f ca="1">$O18-SUM($AS18:AT18)</f>
        <v>-2643.1710078999999</v>
      </c>
      <c r="R18" s="442">
        <f ca="1">$O18-SUM($AS18:AU18)</f>
        <v>-2642.9943295799999</v>
      </c>
      <c r="S18" s="442">
        <f ca="1">$O18-SUM($AS18:AV18)</f>
        <v>-2642.8031987999998</v>
      </c>
      <c r="T18" s="442">
        <f ca="1">$O18-SUM($AS18:AW18)</f>
        <v>-2642.8031987999998</v>
      </c>
      <c r="U18" s="442">
        <f ca="1">$O18-SUM($AS18:AX18)</f>
        <v>-2642.8031987999998</v>
      </c>
      <c r="V18" s="442">
        <f ca="1">$O18-SUM($AS18:AY18)</f>
        <v>-2610.6695469699998</v>
      </c>
      <c r="W18" s="442">
        <f ca="1">$O18-SUM($AS18:AZ18)</f>
        <v>-2610.6695469699998</v>
      </c>
      <c r="X18" s="442">
        <f ca="1">$O18-SUM($AS18:BA18)</f>
        <v>-2575.3567638199997</v>
      </c>
      <c r="Y18" s="442">
        <f ca="1">$O18-SUM($AS18:BB18)</f>
        <v>-2575.1622263300001</v>
      </c>
      <c r="Z18" s="442">
        <f ca="1">$O18-SUM($AS18:BC18)</f>
        <v>-2575.1376417050001</v>
      </c>
      <c r="AA18" s="442">
        <f ca="1">$O18-SUM($AS18:BD18)</f>
        <v>-2575.1376417050001</v>
      </c>
      <c r="AB18" s="442">
        <f ca="1">$O18-SUM($AS18:BE18)</f>
        <v>-2575.1376417050001</v>
      </c>
      <c r="AC18" s="442">
        <f ca="1">$O18-SUM($AS18:BF18)</f>
        <v>-2574.3165363849998</v>
      </c>
      <c r="AD18" s="442">
        <f ca="1">$O18-SUM($AS18:BG18)</f>
        <v>-2522.8233477399999</v>
      </c>
      <c r="AE18" s="442">
        <f ca="1">$O18-SUM($AS18:BH18)</f>
        <v>-2505.7694709449997</v>
      </c>
      <c r="AF18" s="442">
        <f ca="1">$O18-SUM($AS18:BI18)</f>
        <v>-2468.4528152899998</v>
      </c>
      <c r="AG18" s="442">
        <f ca="1">$O18-SUM($AS18:BJ18)</f>
        <v>-2354.69979259</v>
      </c>
      <c r="AH18" s="442">
        <f ca="1">$O18-SUM($AS18:BK18)</f>
        <v>-2215.6674106599999</v>
      </c>
      <c r="AI18" s="442">
        <f ca="1">$O18-SUM($AS18:BL18)</f>
        <v>-2086.9950730400001</v>
      </c>
      <c r="AJ18" s="442">
        <f ca="1">$O18-SUM($AS18:BM18)</f>
        <v>-1763.6027674300001</v>
      </c>
      <c r="AK18" s="442">
        <f ca="1">$O18-SUM($AS18:BN18)</f>
        <v>-1471.8847560500001</v>
      </c>
      <c r="AL18" s="442">
        <f ca="1">$O18-SUM($AS18:BO18)</f>
        <v>-1254.08459109</v>
      </c>
      <c r="AM18" s="442">
        <f ca="1">$O18-SUM($AS18:BP18)</f>
        <v>-714.28580510999996</v>
      </c>
      <c r="AN18" s="442">
        <f ca="1">$O18-SUM($AS18:BQ18)</f>
        <v>-628.68571455000006</v>
      </c>
      <c r="AO18" s="442">
        <f ca="1">$O18-SUM($AS18:BR18)</f>
        <v>-331.17536129000018</v>
      </c>
      <c r="AP18" s="442">
        <f ca="1">$O18-SUM($AS18:BS18)</f>
        <v>-288.47121531000039</v>
      </c>
      <c r="AR18" s="439" t="s">
        <v>1201</v>
      </c>
      <c r="AS18" s="820">
        <f ca="1">IF($H18="",0,IF($H18=1,IF('Para Adj'!$B$5 = 1,O18-($O18-SUMPRODUCT($CX18:CX18,$BU18:BU18))*(1-SUM($DZ18:DZ18)),BU18*CX18),$O18*BU18))</f>
        <v>0</v>
      </c>
      <c r="AT18" s="820">
        <f ca="1">IF($H18="",0,IF($H18=1,IF('Para Adj'!$B$5 = 1,P18-($O18-SUMPRODUCT($CX18:CY18,$BU18:BV18))*(1-SUM($DZ18:EA18)),BV18*CY18),$O18*BV18))</f>
        <v>0</v>
      </c>
      <c r="AU18" s="820">
        <f ca="1">IF($H18="",0,IF($H18=1,IF('Para Adj'!$B$5 = 1,Q18-($O18-SUMPRODUCT($CX18:CZ18,$BU18:BW18))*(1-SUM($DZ18:EB18)),BW18*CZ18),$O18*BW18))</f>
        <v>-0.17667832000006456</v>
      </c>
      <c r="AV18" s="820">
        <f ca="1">IF($H18="",0,IF($H18=1,IF('Para Adj'!$B$5 = 1,R18-($O18-SUMPRODUCT($CX18:DA18,$BU18:BX18))*(1-SUM($DZ18:EC18)),BX18*DA18),$O18*BX18))</f>
        <v>-0.19113078000009409</v>
      </c>
      <c r="AW18" s="820">
        <f ca="1">IF($H18="",0,IF($H18=1,IF('Para Adj'!$B$5 = 1,S18-($O18-SUMPRODUCT($CX18:DB18,$BU18:BY18))*(1-SUM($DZ18:ED18)),BY18*DB18),$O18*BY18))</f>
        <v>0</v>
      </c>
      <c r="AX18" s="820">
        <f ca="1">IF($H18="",0,IF($H18=1,IF('Para Adj'!$B$5 = 1,T18-($O18-SUMPRODUCT($CX18:DC18,$BU18:BZ18))*(1-SUM($DZ18:EE18)),BZ18*DC18),$O18*BZ18))</f>
        <v>0</v>
      </c>
      <c r="AY18" s="820">
        <f ca="1">IF($H18="",0,IF($H18=1,IF('Para Adj'!$B$5 = 1,U18-($O18-SUMPRODUCT($CX18:DD18,$BU18:CA18))*(1-SUM($DZ18:EF18)),CA18*DD18),$O18*CA18))</f>
        <v>-32.133651829999963</v>
      </c>
      <c r="AZ18" s="820">
        <f ca="1">IF($H18="",0,IF($H18=1,IF('Para Adj'!$B$5 = 1,V18-($O18-SUMPRODUCT($CX18:DE18,$BU18:CB18))*(1-SUM($DZ18:EG18)),CB18*DE18),$O18*CB18))</f>
        <v>0</v>
      </c>
      <c r="BA18" s="820">
        <f ca="1">IF($H18="",0,IF($H18=1,IF('Para Adj'!$B$5 = 1,W18-($O18-SUMPRODUCT($CX18:DF18,$BU18:CC18))*(1-SUM($DZ18:EH18)),CC18*DF18),$O18*CC18))</f>
        <v>-35.312783150000087</v>
      </c>
      <c r="BB18" s="820">
        <f ca="1">IF($H18="",0,IF($H18=1,IF('Para Adj'!$B$5 = 1,X18-($O18-SUMPRODUCT($CX18:DG18,$BU18:CD18))*(1-SUM($DZ18:EI18)),CD18*DG18),$O18*CD18))</f>
        <v>-0.19453748999967502</v>
      </c>
      <c r="BC18" s="820">
        <f ca="1">IF($H18="",0,IF($H18=1,IF('Para Adj'!$B$5 = 1,Y18-($O18-SUMPRODUCT($CX18:DH18,$BU18:CE18))*(1-SUM($DZ18:EJ18)),CE18*DH18),$O18*CE18))</f>
        <v>-2.4584624999988591E-2</v>
      </c>
      <c r="BD18" s="820">
        <f ca="1">IF($H18="",0,IF($H18=1,IF('Para Adj'!$B$5 = 1,Z18-($O18-SUMPRODUCT($CX18:DI18,$BU18:CF18))*(1-SUM($DZ18:EK18)),CF18*DI18),$O18*CF18))</f>
        <v>0</v>
      </c>
      <c r="BE18" s="820">
        <f ca="1">IF($H18="",0,IF($H18=1,IF('Para Adj'!$B$5 = 1,AA18-($O18-SUMPRODUCT($CX18:DJ18,$BU18:CG18))*(1-SUM($DZ18:EL18)),CG18*DJ18),$O18*CG18))</f>
        <v>0</v>
      </c>
      <c r="BF18" s="820">
        <f ca="1">IF($H18="",0,IF($H18=1,IF('Para Adj'!$B$5 = 1,AB18-($O18-SUMPRODUCT($CX18:DK18,$BU18:CH18))*(1-SUM($DZ18:EM18)),CH18*DK18),$O18*CH18))</f>
        <v>-0.8211053200002425</v>
      </c>
      <c r="BG18" s="442">
        <f ca="1">IF($H18="",0,IF($H18=1,IF('Para Adj'!$B$5 = 1,AC18-($O18-SUMPRODUCT($CX18:DL18,$BU18:CI18))*(1-SUM($DZ18:EN18)),CI18*DL18),$O18*CI18))</f>
        <v>-51.493188644999918</v>
      </c>
      <c r="BH18" s="442">
        <f ca="1">IF($H18="",0,IF($H18=1,IF('Para Adj'!$B$5 = 1,AD18-($O18-SUMPRODUCT($CX18:DM18,$BU18:CJ18))*(1-SUM($DZ18:EO18)),CJ18*DM18),$O18*CJ18))</f>
        <v>-17.053876795000178</v>
      </c>
      <c r="BI18" s="442">
        <f ca="1">IF($H18="",0,IF($H18=1,IF('Para Adj'!$B$5 = 1,AE18-($O18-SUMPRODUCT($CX18:DN18,$BU18:CK18))*(1-SUM($DZ18:EP18)),CK18*DN18),$O18*CK18))</f>
        <v>-37.316655654999977</v>
      </c>
      <c r="BJ18" s="442">
        <f ca="1">IF($H18="",0,IF($H18=1,IF('Para Adj'!$B$5 = 1,AF18-($O18-SUMPRODUCT($CX18:DO18,$BU18:CL18))*(1-SUM($DZ18:EQ18)),CL18*DO18),$O18*CL18))</f>
        <v>-113.75302269999975</v>
      </c>
      <c r="BK18" s="442">
        <f ca="1">IF($H18="",0,IF($H18=1,IF('Para Adj'!$B$5 = 1,AG18-($O18-SUMPRODUCT($CX18:DP18,$BU18:CM18))*(1-SUM($DZ18:ER18)),CM18*DP18),$O18*CM18))</f>
        <v>-139.03238193000016</v>
      </c>
      <c r="BL18" s="442">
        <f ca="1">IF($H18="",0,IF($H18=1,IF('Para Adj'!$B$5 = 1,AH18-($O18-SUMPRODUCT($CX18:DQ18,$BU18:CN18))*(1-SUM($DZ18:ES18)),CN18*DQ18),$O18*CN18))</f>
        <v>-128.67233761999978</v>
      </c>
      <c r="BM18" s="442">
        <f ca="1">IF($H18="",0,IF($H18=1,IF('Para Adj'!$B$5 = 1,AI18-($O18-SUMPRODUCT($CX18:DR18,$BU18:CO18))*(1-SUM($DZ18:ET18)),CO18*DR18),$O18*CO18))</f>
        <v>-323.39230560999999</v>
      </c>
      <c r="BN18" s="442">
        <f ca="1">IF($H18="",0,IF($H18=1,IF('Para Adj'!$B$5 = 1,AJ18-($O18-SUMPRODUCT($CX18:DS18,$BU18:CP18))*(1-SUM($DZ18:EU18)),CP18*DS18),$O18*CP18))</f>
        <v>-291.71801138000001</v>
      </c>
      <c r="BO18" s="442">
        <f ca="1">IF($H18="",0,IF($H18=1,IF('Para Adj'!$B$5 = 1,AK18-($O18-SUMPRODUCT($CX18:DT18,$BU18:CQ18))*(1-SUM($DZ18:EV18)),CQ18*DT18),$O18*CQ18))</f>
        <v>-217.80016496000007</v>
      </c>
      <c r="BP18" s="442">
        <f ca="1">IF($H18="",0,IF($H18=1,IF('Para Adj'!$B$5 = 1,AL18-($O18-SUMPRODUCT($CX18:DU18,$BU18:CR18))*(1-SUM($DZ18:EW18)),CR18*DU18),$O18*CR18))</f>
        <v>-539.79878598000005</v>
      </c>
      <c r="BQ18" s="442">
        <f ca="1">IF($H18="",0,IF($H18=1,IF('Para Adj'!$B$5 = 1,AM18-($O18-SUMPRODUCT($CX18:DV18,$BU18:CS18))*(1-SUM($DZ18:EX18)),CS18*DV18),$O18*CS18))</f>
        <v>-85.600090559999899</v>
      </c>
      <c r="BR18" s="442">
        <f ca="1">IF($H18="",0,IF($H18=1,IF('Para Adj'!$B$5 = 1,AN18-($O18-SUMPRODUCT($CX18:DW18,$BU18:CT18))*(1-SUM($DZ18:EY18)),CT18*DW18),$O18*CT18))</f>
        <v>-297.51035325999987</v>
      </c>
      <c r="BS18" s="442">
        <f ca="1">IF($H18="",0,IF($H18=1,IF('Para Adj'!$B$5 = 1,AO18-($O18-SUMPRODUCT($CX18:DX18,$BU18:CU18))*(1-SUM($DZ18:EZ18)),CU18*DX18),$O18*CU18))</f>
        <v>-42.704145979999794</v>
      </c>
      <c r="BU18" s="820">
        <f ca="1">IF($B18=0,"",INDEX(Assumptions!G:G,$B18))</f>
        <v>0.5</v>
      </c>
      <c r="BV18" s="820">
        <f ca="1">IF($B18=0,"",INDEX(Assumptions!H:H,$B18))</f>
        <v>0.5</v>
      </c>
      <c r="BW18" s="820">
        <f ca="1">IF($B18=0,"",INDEX(Assumptions!I:I,$B18))</f>
        <v>0.5</v>
      </c>
      <c r="BX18" s="820">
        <f ca="1">IF($B18=0,"",INDEX(Assumptions!J:J,$B18))</f>
        <v>0.5</v>
      </c>
      <c r="BY18" s="820">
        <f ca="1">IF($B18=0,"",INDEX(Assumptions!K:K,$B18))</f>
        <v>0.5</v>
      </c>
      <c r="BZ18" s="820">
        <f ca="1">IF($B18=0,"",INDEX(Assumptions!L:L,$B18))</f>
        <v>0.5</v>
      </c>
      <c r="CA18" s="820">
        <f ca="1">IF($B18=0,"",INDEX(Assumptions!M:M,$B18))</f>
        <v>0.5</v>
      </c>
      <c r="CB18" s="820">
        <f ca="1">IF($B18=0,"",INDEX(Assumptions!N:N,$B18))</f>
        <v>0.5</v>
      </c>
      <c r="CC18" s="820">
        <f ca="1">IF($B18=0,"",INDEX(Assumptions!O:O,$B18))</f>
        <v>0.5</v>
      </c>
      <c r="CD18" s="820">
        <f ca="1">IF($B18=0,"",INDEX(Assumptions!P:P,$B18))</f>
        <v>0.5</v>
      </c>
      <c r="CE18" s="820">
        <f ca="1">IF($B18=0,"",INDEX(Assumptions!Q:Q,$B18))</f>
        <v>0.5</v>
      </c>
      <c r="CF18" s="820">
        <f ca="1">IF($B18=0,"",INDEX(Assumptions!R:R,$B18))</f>
        <v>0.5</v>
      </c>
      <c r="CG18" s="820">
        <f ca="1">IF($B18=0,"",INDEX(Assumptions!S:S,$B18))</f>
        <v>0.5</v>
      </c>
      <c r="CH18" s="820">
        <f ca="1">IF($B18=0,"",INDEX(Assumptions!T:T,$B18))</f>
        <v>0.5</v>
      </c>
      <c r="CI18" s="820">
        <f ca="1">IF($B18=0,"",INDEX(Assumptions!U:U,$B18))</f>
        <v>0.5</v>
      </c>
      <c r="CJ18" s="820">
        <f ca="1">IF($B18=0,"",INDEX(Assumptions!V:V,$B18))</f>
        <v>0.5</v>
      </c>
      <c r="CK18" s="820">
        <f ca="1">IF($B18=0,"",INDEX(Assumptions!W:W,$B18))</f>
        <v>0.5</v>
      </c>
      <c r="CL18" s="820">
        <f ca="1">IF($B18=0,"",INDEX(Assumptions!X:X,$B18))</f>
        <v>0.5</v>
      </c>
      <c r="CM18" s="820">
        <f ca="1">IF($B18=0,"",INDEX(Assumptions!Y:Y,$B18))</f>
        <v>1</v>
      </c>
      <c r="CN18" s="820">
        <f ca="1">IF($B18=0,"",INDEX(Assumptions!Z:Z,$B18))</f>
        <v>1</v>
      </c>
      <c r="CO18" s="820">
        <f ca="1">IF($B18=0,"",INDEX(Assumptions!AA:AA,$B18))</f>
        <v>1</v>
      </c>
      <c r="CP18" s="820">
        <f ca="1">IF($B18=0,"",INDEX(Assumptions!AB:AB,$B18))</f>
        <v>1</v>
      </c>
      <c r="CQ18" s="820">
        <f ca="1">IF($B18=0,"",INDEX(Assumptions!AC:AC,$B18))</f>
        <v>1</v>
      </c>
      <c r="CR18" s="820">
        <f ca="1">IF($B18=0,"",INDEX(Assumptions!AD:AD,$B18))</f>
        <v>1</v>
      </c>
      <c r="CS18" s="820">
        <f ca="1">IF($B18=0,"",INDEX(Assumptions!AE:AE,$B18))</f>
        <v>1</v>
      </c>
      <c r="CT18" s="820">
        <f ca="1">IF($B18=0,"",INDEX(Assumptions!AF:AF,$B18))</f>
        <v>1</v>
      </c>
      <c r="CU18" s="820">
        <f ca="1">IF($B18=0,"",INDEX(Assumptions!AG:AG,$B18))</f>
        <v>1</v>
      </c>
      <c r="CX18" s="442">
        <f>IF($A18="","",INDEX('Data Interface'!G:G,$A18))</f>
        <v>0</v>
      </c>
      <c r="CY18" s="442">
        <f>IF($A18="","",INDEX('Data Interface'!H:H,$A18))</f>
        <v>0</v>
      </c>
      <c r="CZ18" s="442">
        <f>IF($A18="","",INDEX('Data Interface'!I:I,$A18))</f>
        <v>-0.35335664</v>
      </c>
      <c r="DA18" s="442">
        <f>IF($A18="","",INDEX('Data Interface'!J:J,$A18))</f>
        <v>-0.38226156</v>
      </c>
      <c r="DB18" s="442">
        <f>IF($A18="","",INDEX('Data Interface'!K:K,$A18))</f>
        <v>0</v>
      </c>
      <c r="DC18" s="442">
        <f>IF($A18="","",INDEX('Data Interface'!L:L,$A18))</f>
        <v>0</v>
      </c>
      <c r="DD18" s="442">
        <f>IF($A18="","",INDEX('Data Interface'!M:M,$A18))</f>
        <v>-64.267303659999996</v>
      </c>
      <c r="DE18" s="442">
        <f>IF($A18="","",INDEX('Data Interface'!N:N,$A18))</f>
        <v>0</v>
      </c>
      <c r="DF18" s="442">
        <f>IF($A18="","",INDEX('Data Interface'!O:O,$A18))</f>
        <v>-70.625566300000003</v>
      </c>
      <c r="DG18" s="442">
        <f>IF($A18="","",INDEX('Data Interface'!P:P,$A18))</f>
        <v>-0.38907497999999996</v>
      </c>
      <c r="DH18" s="442">
        <f>IF($A18="","",INDEX('Data Interface'!Q:Q,$A18))</f>
        <v>-4.9169249999999998E-2</v>
      </c>
      <c r="DI18" s="442">
        <f>IF($A18="","",INDEX('Data Interface'!R:R,$A18))</f>
        <v>0</v>
      </c>
      <c r="DJ18" s="442">
        <f>IF($A18="","",INDEX('Data Interface'!S:S,$A18))</f>
        <v>0</v>
      </c>
      <c r="DK18" s="442">
        <f>IF($A18="","",INDEX('Data Interface'!T:T,$A18))</f>
        <v>-1.6422106400000001</v>
      </c>
      <c r="DL18" s="442">
        <f>IF($A18="","",INDEX('Data Interface'!U:U,$A18))</f>
        <v>-102.98637729000001</v>
      </c>
      <c r="DM18" s="442">
        <f>IF($A18="","",INDEX('Data Interface'!V:V,$A18))</f>
        <v>-34.107753589999994</v>
      </c>
      <c r="DN18" s="442">
        <f>IF($A18="","",INDEX('Data Interface'!W:W,$A18))</f>
        <v>-74.633311309999996</v>
      </c>
      <c r="DO18" s="442">
        <f>IF($A18="","",INDEX('Data Interface'!X:X,$A18))</f>
        <v>-227.50604539999998</v>
      </c>
      <c r="DP18" s="442">
        <f>IF($A18="","",INDEX('Data Interface'!Y:Y,$A18))</f>
        <v>-139.03238193000001</v>
      </c>
      <c r="DQ18" s="442">
        <f>IF($A18="","",INDEX('Data Interface'!Z:Z,$A18))</f>
        <v>-128.67233762000001</v>
      </c>
      <c r="DR18" s="442">
        <f>IF($A18="","",INDEX('Data Interface'!AA:AA,$A18))</f>
        <v>-323.39230560999994</v>
      </c>
      <c r="DS18" s="442">
        <f>IF($A18="","",INDEX('Data Interface'!AB:AB,$A18))</f>
        <v>-291.71801137999995</v>
      </c>
      <c r="DT18" s="442">
        <f>IF($A18="","",INDEX('Data Interface'!AC:AC,$A18))</f>
        <v>-217.80016496000002</v>
      </c>
      <c r="DU18" s="442">
        <f>IF($A18="","",INDEX('Data Interface'!AD:AD,$A18))</f>
        <v>-539.79878598000005</v>
      </c>
      <c r="DV18" s="442">
        <f>IF($A18="","",INDEX('Data Interface'!AE:AE,$A18))</f>
        <v>-85.600090559999998</v>
      </c>
      <c r="DW18" s="442">
        <f>IF($A18="","",INDEX('Data Interface'!AF:AF,$A18))</f>
        <v>-297.51035325999999</v>
      </c>
      <c r="DX18" s="442">
        <f>IF($A18="","",INDEX('Data Interface'!AG:AG,$A18))</f>
        <v>-42.70414598</v>
      </c>
      <c r="DZ18" s="906">
        <f>IF(OR($B18=0,$A18=0,$H18&lt;&gt;1),"",INDEX(Assumptions!EO:EO,$B18))</f>
        <v>0</v>
      </c>
      <c r="EA18" s="906">
        <f>IF(OR($B18=0,$A18=0,$H18&lt;&gt;1),"",INDEX(Assumptions!EP:EP,$B18))</f>
        <v>0</v>
      </c>
      <c r="EB18" s="906">
        <f>IF(OR($B18=0,$A18=0,$H18&lt;&gt;1),"",INDEX(Assumptions!EQ:EQ,$B18))</f>
        <v>0</v>
      </c>
      <c r="EC18" s="906">
        <f>IF(OR($B18=0,$A18=0,$H18&lt;&gt;1),"",INDEX(Assumptions!ER:ER,$B18))</f>
        <v>0</v>
      </c>
      <c r="ED18" s="906">
        <f>IF(OR($B18=0,$A18=0,$H18&lt;&gt;1),"",INDEX(Assumptions!ES:ES,$B18))</f>
        <v>0</v>
      </c>
      <c r="EE18" s="906">
        <f>IF(OR($B18=0,$A18=0,$H18&lt;&gt;1),"",INDEX(Assumptions!ET:ET,$B18))</f>
        <v>0</v>
      </c>
      <c r="EF18" s="906">
        <f>IF(OR($B18=0,$A18=0,$H18&lt;&gt;1),"",INDEX(Assumptions!EU:EU,$B18))</f>
        <v>0</v>
      </c>
      <c r="EG18" s="906">
        <f>IF(OR($B18=0,$A18=0,$H18&lt;&gt;1),"",INDEX(Assumptions!EV:EV,$B18))</f>
        <v>0</v>
      </c>
      <c r="EH18" s="906">
        <f>IF(OR($B18=0,$A18=0,$H18&lt;&gt;1),"",INDEX(Assumptions!EW:EW,$B18))</f>
        <v>0</v>
      </c>
      <c r="EI18" s="906">
        <f>IF(OR($B18=0,$A18=0,$H18&lt;&gt;1),"",INDEX(Assumptions!EX:EX,$B18))</f>
        <v>0</v>
      </c>
      <c r="EJ18" s="906">
        <f>IF(OR($B18=0,$A18=0,$H18&lt;&gt;1),"",INDEX(Assumptions!EY:EY,$B18))</f>
        <v>0</v>
      </c>
      <c r="EK18" s="906">
        <f>IF(OR($B18=0,$A18=0,$H18&lt;&gt;1),"",INDEX(Assumptions!EZ:EZ,$B18))</f>
        <v>0</v>
      </c>
      <c r="EL18" s="906">
        <f>IF(OR($B18=0,$A18=0,$H18&lt;&gt;1),"",INDEX(Assumptions!FA:FA,$B18))</f>
        <v>0</v>
      </c>
      <c r="EM18" s="906">
        <f>IF(OR($B18=0,$A18=0,$H18&lt;&gt;1),"",INDEX(Assumptions!FB:FB,$B18))</f>
        <v>0</v>
      </c>
      <c r="EN18" s="906">
        <f>IF(OR($B18=0,$A18=0,$H18&lt;&gt;1),"",INDEX(Assumptions!FC:FC,$B18))</f>
        <v>0</v>
      </c>
      <c r="EO18" s="906">
        <f>IF(OR($B18=0,$A18=0,$H18&lt;&gt;1),"",INDEX(Assumptions!FD:FD,$B18))</f>
        <v>0</v>
      </c>
      <c r="EP18" s="906">
        <f>IF(OR($B18=0,$A18=0,$H18&lt;&gt;1),"",INDEX(Assumptions!FE:FE,$B18))</f>
        <v>0</v>
      </c>
      <c r="EQ18" s="906">
        <f>IF(OR($B18=0,$A18=0,$H18&lt;&gt;1),"",INDEX(Assumptions!FF:FF,$B18))</f>
        <v>0</v>
      </c>
      <c r="ER18" s="906">
        <f>IF(OR($B18=0,$A18=0,$H18&lt;&gt;1),"",INDEX(Assumptions!FG:FG,$B18))</f>
        <v>0</v>
      </c>
      <c r="ES18" s="906">
        <f>IF(OR($B18=0,$A18=0,$H18&lt;&gt;1),"",INDEX(Assumptions!FH:FH,$B18))</f>
        <v>0</v>
      </c>
      <c r="ET18" s="906">
        <f>IF(OR($B18=0,$A18=0,$H18&lt;&gt;1),"",INDEX(Assumptions!FI:FI,$B18))</f>
        <v>0</v>
      </c>
      <c r="EU18" s="906">
        <f>IF(OR($B18=0,$A18=0,$H18&lt;&gt;1),"",INDEX(Assumptions!FJ:FJ,$B18))</f>
        <v>0</v>
      </c>
      <c r="EV18" s="906">
        <f>IF(OR($B18=0,$A18=0,$H18&lt;&gt;1),"",INDEX(Assumptions!FK:FK,$B18))</f>
        <v>0</v>
      </c>
      <c r="EW18" s="906">
        <f>IF(OR($B18=0,$A18=0,$H18&lt;&gt;1),"",INDEX(Assumptions!FL:FL,$B18))</f>
        <v>0</v>
      </c>
      <c r="EX18" s="906">
        <f>IF(OR($B18=0,$A18=0,$H18&lt;&gt;1),"",INDEX(Assumptions!FM:FM,$B18))</f>
        <v>0</v>
      </c>
      <c r="EY18" s="906">
        <f>IF(OR($B18=0,$A18=0,$H18&lt;&gt;1),"",INDEX(Assumptions!FN:FN,$B18))</f>
        <v>0</v>
      </c>
      <c r="EZ18" s="906">
        <f>IF(OR($B18=0,$A18=0,$H18&lt;&gt;1),"",INDEX(Assumptions!FO:FO,$B18))</f>
        <v>0</v>
      </c>
      <c r="FB18" s="820" t="str">
        <f t="shared" si="18"/>
        <v/>
      </c>
      <c r="FC18" s="820" t="str">
        <f t="shared" si="19"/>
        <v/>
      </c>
      <c r="FD18" s="820" t="str">
        <f t="shared" si="20"/>
        <v/>
      </c>
      <c r="FE18" s="820" t="str">
        <f t="shared" si="21"/>
        <v/>
      </c>
      <c r="FF18" s="820" t="str">
        <f t="shared" si="22"/>
        <v/>
      </c>
    </row>
    <row r="19" spans="1:162">
      <c r="A19" s="440">
        <f>IFERROR(MATCH(C19,'Data Interface'!B:B,0),0)</f>
        <v>18</v>
      </c>
      <c r="B19" s="440">
        <f>IFERROR(MATCH(C19,Assumptions!$B:$B,0),0)</f>
        <v>12</v>
      </c>
      <c r="C19" s="441" t="s">
        <v>1156</v>
      </c>
      <c r="E19" s="441" t="s">
        <v>1218</v>
      </c>
      <c r="F19" s="440" t="s">
        <v>993</v>
      </c>
      <c r="G19" s="440" t="str">
        <f>IF(A19=0,"",INDEX('Data Interface'!$C:$C,$A19))</f>
        <v xml:space="preserve">Trade Finance - Non FI </v>
      </c>
      <c r="H19" s="440">
        <v>1</v>
      </c>
      <c r="I19" s="819">
        <f t="shared" ca="1" si="10"/>
        <v>1</v>
      </c>
      <c r="J19" s="819">
        <f t="shared" ca="1" si="11"/>
        <v>1</v>
      </c>
      <c r="K19" s="439" t="str">
        <f t="shared" ca="1" si="12"/>
        <v>100% of Contractual Maturity</v>
      </c>
      <c r="L19" s="439" t="s">
        <v>1146</v>
      </c>
      <c r="M19" s="439" t="s">
        <v>1499</v>
      </c>
      <c r="O19" s="442">
        <f>IF(OR($A19="",$A19=0),0,INDEX('Data Interface'!D:D,$A19))</f>
        <v>-1550.08623592</v>
      </c>
      <c r="P19" s="442">
        <f ca="1">$O19-SUM($AS19:AS19)</f>
        <v>-1550.08623592</v>
      </c>
      <c r="Q19" s="442">
        <f ca="1">$O19-SUM($AS19:AT19)</f>
        <v>-1547.7251596600001</v>
      </c>
      <c r="R19" s="442">
        <f ca="1">$O19-SUM($AS19:AU19)</f>
        <v>-1546.2877436599999</v>
      </c>
      <c r="S19" s="442">
        <f ca="1">$O19-SUM($AS19:AV19)</f>
        <v>-1545.4121405200001</v>
      </c>
      <c r="T19" s="442">
        <f ca="1">$O19-SUM($AS19:AW19)</f>
        <v>-1545.4121405200001</v>
      </c>
      <c r="U19" s="442">
        <f ca="1">$O19-SUM($AS19:AX19)</f>
        <v>-1545.4121405200001</v>
      </c>
      <c r="V19" s="442">
        <f ca="1">$O19-SUM($AS19:AY19)</f>
        <v>-1538.6381530200001</v>
      </c>
      <c r="W19" s="442">
        <f ca="1">$O19-SUM($AS19:AZ19)</f>
        <v>-1538.6381530200001</v>
      </c>
      <c r="X19" s="442">
        <f ca="1">$O19-SUM($AS19:BA19)</f>
        <v>-1538.6381530200001</v>
      </c>
      <c r="Y19" s="442">
        <f ca="1">$O19-SUM($AS19:BB19)</f>
        <v>-1538.6381530200001</v>
      </c>
      <c r="Z19" s="442">
        <f ca="1">$O19-SUM($AS19:BC19)</f>
        <v>-1526.4025609100001</v>
      </c>
      <c r="AA19" s="442">
        <f ca="1">$O19-SUM($AS19:BD19)</f>
        <v>-1526.4025609100001</v>
      </c>
      <c r="AB19" s="442">
        <f ca="1">$O19-SUM($AS19:BE19)</f>
        <v>-1526.4025609100001</v>
      </c>
      <c r="AC19" s="442">
        <f ca="1">$O19-SUM($AS19:BF19)</f>
        <v>-1511.04301839</v>
      </c>
      <c r="AD19" s="442">
        <f ca="1">$O19-SUM($AS19:BG19)</f>
        <v>-1491.9484244800001</v>
      </c>
      <c r="AE19" s="442">
        <f ca="1">$O19-SUM($AS19:BH19)</f>
        <v>-1451.03435023</v>
      </c>
      <c r="AF19" s="442">
        <f ca="1">$O19-SUM($AS19:BI19)</f>
        <v>-1067.5028848300001</v>
      </c>
      <c r="AG19" s="442">
        <f ca="1">$O19-SUM($AS19:BJ19)</f>
        <v>-625.45770446000006</v>
      </c>
      <c r="AH19" s="442">
        <f ca="1">$O19-SUM($AS19:BK19)</f>
        <v>-443.42744743999992</v>
      </c>
      <c r="AI19" s="442">
        <f ca="1">$O19-SUM($AS19:BL19)</f>
        <v>-268.89937830999997</v>
      </c>
      <c r="AJ19" s="442">
        <f ca="1">$O19-SUM($AS19:BM19)</f>
        <v>-241.40024401999995</v>
      </c>
      <c r="AK19" s="442">
        <f ca="1">$O19-SUM($AS19:BN19)</f>
        <v>-166.52934206999998</v>
      </c>
      <c r="AL19" s="442">
        <f ca="1">$O19-SUM($AS19:BO19)</f>
        <v>-137.75672564000001</v>
      </c>
      <c r="AM19" s="442">
        <f ca="1">$O19-SUM($AS19:BP19)</f>
        <v>-132.75586580999993</v>
      </c>
      <c r="AN19" s="442">
        <f ca="1">$O19-SUM($AS19:BQ19)</f>
        <v>-55.080636010000035</v>
      </c>
      <c r="AO19" s="442">
        <f ca="1">$O19-SUM($AS19:BR19)</f>
        <v>-49.947087380000085</v>
      </c>
      <c r="AP19" s="442">
        <f ca="1">$O19-SUM($AS19:BS19)</f>
        <v>-15.765750000000025</v>
      </c>
      <c r="AR19" s="439" t="s">
        <v>1201</v>
      </c>
      <c r="AS19" s="820">
        <f ca="1">IF($H19="",0,IF($H19=1,IF('Para Adj'!$B$5 = 1,O19-($O19-SUMPRODUCT($CX19:CX19,$BU19:BU19))*(1-SUM($DZ19:DZ19)),BU19*CX19),$O19*BU19))</f>
        <v>0</v>
      </c>
      <c r="AT19" s="820">
        <f ca="1">IF($H19="",0,IF($H19=1,IF('Para Adj'!$B$5 = 1,P19-($O19-SUMPRODUCT($CX19:CY19,$BU19:BV19))*(1-SUM($DZ19:EA19)),BV19*CY19),$O19*BV19))</f>
        <v>-2.3610762599998907</v>
      </c>
      <c r="AU19" s="820">
        <f ca="1">IF($H19="",0,IF($H19=1,IF('Para Adj'!$B$5 = 1,Q19-($O19-SUMPRODUCT($CX19:CZ19,$BU19:BW19))*(1-SUM($DZ19:EB19)),BW19*CZ19),$O19*BW19))</f>
        <v>-1.4374160000002121</v>
      </c>
      <c r="AV19" s="820">
        <f ca="1">IF($H19="",0,IF($H19=1,IF('Para Adj'!$B$5 = 1,R19-($O19-SUMPRODUCT($CX19:DA19,$BU19:BX19))*(1-SUM($DZ19:EC19)),BX19*DA19),$O19*BX19))</f>
        <v>-0.87560313999983919</v>
      </c>
      <c r="AW19" s="820">
        <f ca="1">IF($H19="",0,IF($H19=1,IF('Para Adj'!$B$5 = 1,S19-($O19-SUMPRODUCT($CX19:DB19,$BU19:BY19))*(1-SUM($DZ19:ED19)),BY19*DB19),$O19*BY19))</f>
        <v>0</v>
      </c>
      <c r="AX19" s="820">
        <f ca="1">IF($H19="",0,IF($H19=1,IF('Para Adj'!$B$5 = 1,T19-($O19-SUMPRODUCT($CX19:DC19,$BU19:BZ19))*(1-SUM($DZ19:EE19)),BZ19*DC19),$O19*BZ19))</f>
        <v>0</v>
      </c>
      <c r="AY19" s="820">
        <f ca="1">IF($H19="",0,IF($H19=1,IF('Para Adj'!$B$5 = 1,U19-($O19-SUMPRODUCT($CX19:DD19,$BU19:CA19))*(1-SUM($DZ19:EF19)),CA19*DD19),$O19*CA19))</f>
        <v>-6.7739874999999756</v>
      </c>
      <c r="AZ19" s="820">
        <f ca="1">IF($H19="",0,IF($H19=1,IF('Para Adj'!$B$5 = 1,V19-($O19-SUMPRODUCT($CX19:DE19,$BU19:CB19))*(1-SUM($DZ19:EG19)),CB19*DE19),$O19*CB19))</f>
        <v>0</v>
      </c>
      <c r="BA19" s="820">
        <f ca="1">IF($H19="",0,IF($H19=1,IF('Para Adj'!$B$5 = 1,W19-($O19-SUMPRODUCT($CX19:DF19,$BU19:CC19))*(1-SUM($DZ19:EH19)),CC19*DF19),$O19*CC19))</f>
        <v>0</v>
      </c>
      <c r="BB19" s="820">
        <f ca="1">IF($H19="",0,IF($H19=1,IF('Para Adj'!$B$5 = 1,X19-($O19-SUMPRODUCT($CX19:DG19,$BU19:CD19))*(1-SUM($DZ19:EI19)),CD19*DG19),$O19*CD19))</f>
        <v>0</v>
      </c>
      <c r="BC19" s="820">
        <f ca="1">IF($H19="",0,IF($H19=1,IF('Para Adj'!$B$5 = 1,Y19-($O19-SUMPRODUCT($CX19:DH19,$BU19:CE19))*(1-SUM($DZ19:EJ19)),CE19*DH19),$O19*CE19))</f>
        <v>-12.23559210999997</v>
      </c>
      <c r="BD19" s="820">
        <f ca="1">IF($H19="",0,IF($H19=1,IF('Para Adj'!$B$5 = 1,Z19-($O19-SUMPRODUCT($CX19:DI19,$BU19:CF19))*(1-SUM($DZ19:EK19)),CF19*DI19),$O19*CF19))</f>
        <v>0</v>
      </c>
      <c r="BE19" s="820">
        <f ca="1">IF($H19="",0,IF($H19=1,IF('Para Adj'!$B$5 = 1,AA19-($O19-SUMPRODUCT($CX19:DJ19,$BU19:CG19))*(1-SUM($DZ19:EL19)),CG19*DJ19),$O19*CG19))</f>
        <v>0</v>
      </c>
      <c r="BF19" s="820">
        <f ca="1">IF($H19="",0,IF($H19=1,IF('Para Adj'!$B$5 = 1,AB19-($O19-SUMPRODUCT($CX19:DK19,$BU19:CH19))*(1-SUM($DZ19:EM19)),CH19*DK19),$O19*CH19))</f>
        <v>-15.359542520000105</v>
      </c>
      <c r="BG19" s="820">
        <f ca="1">IF($H19="",0,IF($H19=1,IF('Para Adj'!$B$5 = 1,AC19-($O19-SUMPRODUCT($CX19:DL19,$BU19:CI19))*(1-SUM($DZ19:EN19)),CI19*DL19),$O19*CI19))</f>
        <v>-19.094593909999958</v>
      </c>
      <c r="BH19" s="876">
        <f ca="1">IF($H19="",0,IF($H19=1,IF('Para Adj'!$B$5 = 1,AD19-($O19-SUMPRODUCT($CX19:DM19,$BU19:CJ19))*(1-SUM($DZ19:EO19)),CJ19*DM19),$O19*CJ19))</f>
        <v>-40.914074250000112</v>
      </c>
      <c r="BI19" s="876">
        <f ca="1">IF($H19="",0,IF($H19=1,IF('Para Adj'!$B$5 = 1,AE19-($O19-SUMPRODUCT($CX19:DN19,$BU19:CK19))*(1-SUM($DZ19:EP19)),CK19*DN19),$O19*CK19))</f>
        <v>-383.53146539999989</v>
      </c>
      <c r="BJ19" s="876">
        <f ca="1">IF($H19="",0,IF($H19=1,IF('Para Adj'!$B$5 = 1,AF19-($O19-SUMPRODUCT($CX19:DO19,$BU19:CL19))*(1-SUM($DZ19:EQ19)),CL19*DO19),$O19*CL19))</f>
        <v>-442.04518037000003</v>
      </c>
      <c r="BK19" s="876">
        <f ca="1">IF($H19="",0,IF($H19=1,IF('Para Adj'!$B$5 = 1,AG19-($O19-SUMPRODUCT($CX19:DP19,$BU19:CM19))*(1-SUM($DZ19:ER19)),CM19*DP19),$O19*CM19))</f>
        <v>-182.03025702000014</v>
      </c>
      <c r="BL19" s="876">
        <f ca="1">IF($H19="",0,IF($H19=1,IF('Para Adj'!$B$5 = 1,AH19-($O19-SUMPRODUCT($CX19:DQ19,$BU19:CN19))*(1-SUM($DZ19:ES19)),CN19*DQ19),$O19*CN19))</f>
        <v>-174.52806912999995</v>
      </c>
      <c r="BM19" s="876">
        <f ca="1">IF($H19="",0,IF($H19=1,IF('Para Adj'!$B$5 = 1,AI19-($O19-SUMPRODUCT($CX19:DR19,$BU19:CO19))*(1-SUM($DZ19:ET19)),CO19*DR19),$O19*CO19))</f>
        <v>-27.499134290000029</v>
      </c>
      <c r="BN19" s="876">
        <f ca="1">IF($H19="",0,IF($H19=1,IF('Para Adj'!$B$5 = 1,AJ19-($O19-SUMPRODUCT($CX19:DS19,$BU19:CP19))*(1-SUM($DZ19:EU19)),CP19*DS19),$O19*CP19))</f>
        <v>-74.870901949999961</v>
      </c>
      <c r="BO19" s="876">
        <f ca="1">IF($H19="",0,IF($H19=1,IF('Para Adj'!$B$5 = 1,AK19-($O19-SUMPRODUCT($CX19:DT19,$BU19:CQ19))*(1-SUM($DZ19:EV19)),CQ19*DT19),$O19*CQ19))</f>
        <v>-28.772616429999971</v>
      </c>
      <c r="BP19" s="876">
        <f ca="1">IF($H19="",0,IF($H19=1,IF('Para Adj'!$B$5 = 1,AL19-($O19-SUMPRODUCT($CX19:DU19,$BU19:CR19))*(1-SUM($DZ19:EW19)),CR19*DU19),$O19*CR19))</f>
        <v>-5.0008598300000813</v>
      </c>
      <c r="BQ19" s="876">
        <f ca="1">IF($H19="",0,IF($H19=1,IF('Para Adj'!$B$5 = 1,AM19-($O19-SUMPRODUCT($CX19:DV19,$BU19:CS19))*(1-SUM($DZ19:EX19)),CS19*DV19),$O19*CS19))</f>
        <v>-77.675229799999897</v>
      </c>
      <c r="BR19" s="876">
        <f ca="1">IF($H19="",0,IF($H19=1,IF('Para Adj'!$B$5 = 1,AN19-($O19-SUMPRODUCT($CX19:DW19,$BU19:CT19))*(1-SUM($DZ19:EY19)),CT19*DW19),$O19*CT19))</f>
        <v>-5.1335486299999502</v>
      </c>
      <c r="BS19" s="876">
        <f ca="1">IF($H19="",0,IF($H19=1,IF('Para Adj'!$B$5 = 1,AO19-($O19-SUMPRODUCT($CX19:DX19,$BU19:CU19))*(1-SUM($DZ19:EZ19)),CU19*DX19),$O19*CU19))</f>
        <v>-34.181337380000059</v>
      </c>
      <c r="BU19" s="820">
        <f ca="1">IF($B19=0,"",INDEX(Assumptions!G:G,$B19))</f>
        <v>1</v>
      </c>
      <c r="BV19" s="820">
        <f ca="1">IF($B19=0,"",INDEX(Assumptions!H:H,$B19))</f>
        <v>1</v>
      </c>
      <c r="BW19" s="820">
        <f ca="1">IF($B19=0,"",INDEX(Assumptions!I:I,$B19))</f>
        <v>1</v>
      </c>
      <c r="BX19" s="820">
        <f ca="1">IF($B19=0,"",INDEX(Assumptions!J:J,$B19))</f>
        <v>1</v>
      </c>
      <c r="BY19" s="820">
        <f ca="1">IF($B19=0,"",INDEX(Assumptions!K:K,$B19))</f>
        <v>1</v>
      </c>
      <c r="BZ19" s="820">
        <f ca="1">IF($B19=0,"",INDEX(Assumptions!L:L,$B19))</f>
        <v>1</v>
      </c>
      <c r="CA19" s="820">
        <f ca="1">IF($B19=0,"",INDEX(Assumptions!M:M,$B19))</f>
        <v>1</v>
      </c>
      <c r="CB19" s="820">
        <f ca="1">IF($B19=0,"",INDEX(Assumptions!N:N,$B19))</f>
        <v>1</v>
      </c>
      <c r="CC19" s="820">
        <f ca="1">IF($B19=0,"",INDEX(Assumptions!O:O,$B19))</f>
        <v>1</v>
      </c>
      <c r="CD19" s="820">
        <f ca="1">IF($B19=0,"",INDEX(Assumptions!P:P,$B19))</f>
        <v>1</v>
      </c>
      <c r="CE19" s="820">
        <f ca="1">IF($B19=0,"",INDEX(Assumptions!Q:Q,$B19))</f>
        <v>1</v>
      </c>
      <c r="CF19" s="820">
        <f ca="1">IF($B19=0,"",INDEX(Assumptions!R:R,$B19))</f>
        <v>1</v>
      </c>
      <c r="CG19" s="820">
        <f ca="1">IF($B19=0,"",INDEX(Assumptions!S:S,$B19))</f>
        <v>1</v>
      </c>
      <c r="CH19" s="820">
        <f ca="1">IF($B19=0,"",INDEX(Assumptions!T:T,$B19))</f>
        <v>1</v>
      </c>
      <c r="CI19" s="820">
        <f ca="1">IF($B19=0,"",INDEX(Assumptions!U:U,$B19))</f>
        <v>1</v>
      </c>
      <c r="CJ19" s="820">
        <f ca="1">IF($B19=0,"",INDEX(Assumptions!V:V,$B19))</f>
        <v>1</v>
      </c>
      <c r="CK19" s="820">
        <f ca="1">IF($B19=0,"",INDEX(Assumptions!W:W,$B19))</f>
        <v>1</v>
      </c>
      <c r="CL19" s="820">
        <f ca="1">IF($B19=0,"",INDEX(Assumptions!X:X,$B19))</f>
        <v>1</v>
      </c>
      <c r="CM19" s="820">
        <f ca="1">IF($B19=0,"",INDEX(Assumptions!Y:Y,$B19))</f>
        <v>1</v>
      </c>
      <c r="CN19" s="820">
        <f ca="1">IF($B19=0,"",INDEX(Assumptions!Z:Z,$B19))</f>
        <v>1</v>
      </c>
      <c r="CO19" s="820">
        <f ca="1">IF($B19=0,"",INDEX(Assumptions!AA:AA,$B19))</f>
        <v>1</v>
      </c>
      <c r="CP19" s="820">
        <f ca="1">IF($B19=0,"",INDEX(Assumptions!AB:AB,$B19))</f>
        <v>1</v>
      </c>
      <c r="CQ19" s="820">
        <f ca="1">IF($B19=0,"",INDEX(Assumptions!AC:AC,$B19))</f>
        <v>1</v>
      </c>
      <c r="CR19" s="820">
        <f ca="1">IF($B19=0,"",INDEX(Assumptions!AD:AD,$B19))</f>
        <v>1</v>
      </c>
      <c r="CS19" s="820">
        <f ca="1">IF($B19=0,"",INDEX(Assumptions!AE:AE,$B19))</f>
        <v>1</v>
      </c>
      <c r="CT19" s="820">
        <f ca="1">IF($B19=0,"",INDEX(Assumptions!AF:AF,$B19))</f>
        <v>1</v>
      </c>
      <c r="CU19" s="820">
        <f ca="1">IF($B19=0,"",INDEX(Assumptions!AG:AG,$B19))</f>
        <v>1</v>
      </c>
      <c r="CX19" s="442">
        <f>IF($A19="","",INDEX('Data Interface'!G:G,$A19))</f>
        <v>0</v>
      </c>
      <c r="CY19" s="442">
        <f>IF($A19="","",INDEX('Data Interface'!H:H,$A19))</f>
        <v>-2.3610762599999999</v>
      </c>
      <c r="CZ19" s="442">
        <f>IF($A19="","",INDEX('Data Interface'!I:I,$A19))</f>
        <v>-1.437416</v>
      </c>
      <c r="DA19" s="442">
        <f>IF($A19="","",INDEX('Data Interface'!J:J,$A19))</f>
        <v>-0.87560314000000006</v>
      </c>
      <c r="DB19" s="442">
        <f>IF($A19="","",INDEX('Data Interface'!K:K,$A19))</f>
        <v>0</v>
      </c>
      <c r="DC19" s="442">
        <f>IF($A19="","",INDEX('Data Interface'!L:L,$A19))</f>
        <v>0</v>
      </c>
      <c r="DD19" s="442">
        <f>IF($A19="","",INDEX('Data Interface'!M:M,$A19))</f>
        <v>-6.7739874999999996</v>
      </c>
      <c r="DE19" s="442">
        <f>IF($A19="","",INDEX('Data Interface'!N:N,$A19))</f>
        <v>0</v>
      </c>
      <c r="DF19" s="442">
        <f>IF($A19="","",INDEX('Data Interface'!O:O,$A19))</f>
        <v>0</v>
      </c>
      <c r="DG19" s="442">
        <f>IF($A19="","",INDEX('Data Interface'!P:P,$A19))</f>
        <v>0</v>
      </c>
      <c r="DH19" s="442">
        <f>IF($A19="","",INDEX('Data Interface'!Q:Q,$A19))</f>
        <v>-12.235592109999999</v>
      </c>
      <c r="DI19" s="442">
        <f>IF($A19="","",INDEX('Data Interface'!R:R,$A19))</f>
        <v>0</v>
      </c>
      <c r="DJ19" s="442">
        <f>IF($A19="","",INDEX('Data Interface'!S:S,$A19))</f>
        <v>0</v>
      </c>
      <c r="DK19" s="442">
        <f>IF($A19="","",INDEX('Data Interface'!T:T,$A19))</f>
        <v>-15.35954252</v>
      </c>
      <c r="DL19" s="442">
        <f>IF($A19="","",INDEX('Data Interface'!U:U,$A19))</f>
        <v>-19.09459391</v>
      </c>
      <c r="DM19" s="442">
        <f>IF($A19="","",INDEX('Data Interface'!V:V,$A19))</f>
        <v>-40.914074250000006</v>
      </c>
      <c r="DN19" s="442">
        <f>IF($A19="","",INDEX('Data Interface'!W:W,$A19))</f>
        <v>-383.5314654</v>
      </c>
      <c r="DO19" s="442">
        <f>IF($A19="","",INDEX('Data Interface'!X:X,$A19))</f>
        <v>-442.04518037000003</v>
      </c>
      <c r="DP19" s="442">
        <f>IF($A19="","",INDEX('Data Interface'!Y:Y,$A19))</f>
        <v>-182.03025702000005</v>
      </c>
      <c r="DQ19" s="442">
        <f>IF($A19="","",INDEX('Data Interface'!Z:Z,$A19))</f>
        <v>-174.52806913000003</v>
      </c>
      <c r="DR19" s="442">
        <f>IF($A19="","",INDEX('Data Interface'!AA:AA,$A19))</f>
        <v>-27.499134290000001</v>
      </c>
      <c r="DS19" s="442">
        <f>IF($A19="","",INDEX('Data Interface'!AB:AB,$A19))</f>
        <v>-74.87090194999999</v>
      </c>
      <c r="DT19" s="442">
        <f>IF($A19="","",INDEX('Data Interface'!AC:AC,$A19))</f>
        <v>-28.772616429999999</v>
      </c>
      <c r="DU19" s="442">
        <f>IF($A19="","",INDEX('Data Interface'!AD:AD,$A19))</f>
        <v>-5.0008598300000004</v>
      </c>
      <c r="DV19" s="442">
        <f>IF($A19="","",INDEX('Data Interface'!AE:AE,$A19))</f>
        <v>-77.675229799999997</v>
      </c>
      <c r="DW19" s="442">
        <f>IF($A19="","",INDEX('Data Interface'!AF:AF,$A19))</f>
        <v>-5.1335486299999999</v>
      </c>
      <c r="DX19" s="442">
        <f>IF($A19="","",INDEX('Data Interface'!AG:AG,$A19))</f>
        <v>-34.181337380000002</v>
      </c>
      <c r="DZ19" s="906">
        <f>IF(OR($B19=0,$A19=0,$H19&lt;&gt;1),"",INDEX(Assumptions!EO:EO,$B19))</f>
        <v>0</v>
      </c>
      <c r="EA19" s="906">
        <f>IF(OR($B19=0,$A19=0,$H19&lt;&gt;1),"",INDEX(Assumptions!EP:EP,$B19))</f>
        <v>0</v>
      </c>
      <c r="EB19" s="906">
        <f>IF(OR($B19=0,$A19=0,$H19&lt;&gt;1),"",INDEX(Assumptions!EQ:EQ,$B19))</f>
        <v>0</v>
      </c>
      <c r="EC19" s="906">
        <f>IF(OR($B19=0,$A19=0,$H19&lt;&gt;1),"",INDEX(Assumptions!ER:ER,$B19))</f>
        <v>0</v>
      </c>
      <c r="ED19" s="906">
        <f>IF(OR($B19=0,$A19=0,$H19&lt;&gt;1),"",INDEX(Assumptions!ES:ES,$B19))</f>
        <v>0</v>
      </c>
      <c r="EE19" s="906">
        <f>IF(OR($B19=0,$A19=0,$H19&lt;&gt;1),"",INDEX(Assumptions!ET:ET,$B19))</f>
        <v>0</v>
      </c>
      <c r="EF19" s="906">
        <f>IF(OR($B19=0,$A19=0,$H19&lt;&gt;1),"",INDEX(Assumptions!EU:EU,$B19))</f>
        <v>0</v>
      </c>
      <c r="EG19" s="906">
        <f>IF(OR($B19=0,$A19=0,$H19&lt;&gt;1),"",INDEX(Assumptions!EV:EV,$B19))</f>
        <v>0</v>
      </c>
      <c r="EH19" s="906">
        <f>IF(OR($B19=0,$A19=0,$H19&lt;&gt;1),"",INDEX(Assumptions!EW:EW,$B19))</f>
        <v>0</v>
      </c>
      <c r="EI19" s="906">
        <f>IF(OR($B19=0,$A19=0,$H19&lt;&gt;1),"",INDEX(Assumptions!EX:EX,$B19))</f>
        <v>0</v>
      </c>
      <c r="EJ19" s="906">
        <f>IF(OR($B19=0,$A19=0,$H19&lt;&gt;1),"",INDEX(Assumptions!EY:EY,$B19))</f>
        <v>0</v>
      </c>
      <c r="EK19" s="906">
        <f>IF(OR($B19=0,$A19=0,$H19&lt;&gt;1),"",INDEX(Assumptions!EZ:EZ,$B19))</f>
        <v>0</v>
      </c>
      <c r="EL19" s="906">
        <f>IF(OR($B19=0,$A19=0,$H19&lt;&gt;1),"",INDEX(Assumptions!FA:FA,$B19))</f>
        <v>0</v>
      </c>
      <c r="EM19" s="906">
        <f>IF(OR($B19=0,$A19=0,$H19&lt;&gt;1),"",INDEX(Assumptions!FB:FB,$B19))</f>
        <v>0</v>
      </c>
      <c r="EN19" s="906">
        <f>IF(OR($B19=0,$A19=0,$H19&lt;&gt;1),"",INDEX(Assumptions!FC:FC,$B19))</f>
        <v>0</v>
      </c>
      <c r="EO19" s="906">
        <f>IF(OR($B19=0,$A19=0,$H19&lt;&gt;1),"",INDEX(Assumptions!FD:FD,$B19))</f>
        <v>0</v>
      </c>
      <c r="EP19" s="906">
        <f>IF(OR($B19=0,$A19=0,$H19&lt;&gt;1),"",INDEX(Assumptions!FE:FE,$B19))</f>
        <v>0</v>
      </c>
      <c r="EQ19" s="906">
        <f>IF(OR($B19=0,$A19=0,$H19&lt;&gt;1),"",INDEX(Assumptions!FF:FF,$B19))</f>
        <v>0</v>
      </c>
      <c r="ER19" s="906">
        <f>IF(OR($B19=0,$A19=0,$H19&lt;&gt;1),"",INDEX(Assumptions!FG:FG,$B19))</f>
        <v>0</v>
      </c>
      <c r="ES19" s="906">
        <f>IF(OR($B19=0,$A19=0,$H19&lt;&gt;1),"",INDEX(Assumptions!FH:FH,$B19))</f>
        <v>0</v>
      </c>
      <c r="ET19" s="906">
        <f>IF(OR($B19=0,$A19=0,$H19&lt;&gt;1),"",INDEX(Assumptions!FI:FI,$B19))</f>
        <v>0</v>
      </c>
      <c r="EU19" s="906">
        <f>IF(OR($B19=0,$A19=0,$H19&lt;&gt;1),"",INDEX(Assumptions!FJ:FJ,$B19))</f>
        <v>0</v>
      </c>
      <c r="EV19" s="906">
        <f>IF(OR($B19=0,$A19=0,$H19&lt;&gt;1),"",INDEX(Assumptions!FK:FK,$B19))</f>
        <v>0</v>
      </c>
      <c r="EW19" s="906">
        <f>IF(OR($B19=0,$A19=0,$H19&lt;&gt;1),"",INDEX(Assumptions!FL:FL,$B19))</f>
        <v>0</v>
      </c>
      <c r="EX19" s="906">
        <f>IF(OR($B19=0,$A19=0,$H19&lt;&gt;1),"",INDEX(Assumptions!FM:FM,$B19))</f>
        <v>0</v>
      </c>
      <c r="EY19" s="906">
        <f>IF(OR($B19=0,$A19=0,$H19&lt;&gt;1),"",INDEX(Assumptions!FN:FN,$B19))</f>
        <v>0</v>
      </c>
      <c r="EZ19" s="906">
        <f>IF(OR($B19=0,$A19=0,$H19&lt;&gt;1),"",INDEX(Assumptions!FO:FO,$B19))</f>
        <v>0</v>
      </c>
      <c r="FB19" s="820" t="str">
        <f t="shared" si="18"/>
        <v/>
      </c>
      <c r="FC19" s="820" t="str">
        <f t="shared" si="19"/>
        <v/>
      </c>
      <c r="FD19" s="820" t="str">
        <f t="shared" si="20"/>
        <v/>
      </c>
      <c r="FE19" s="820" t="str">
        <f t="shared" si="21"/>
        <v/>
      </c>
      <c r="FF19" s="820" t="str">
        <f t="shared" si="22"/>
        <v/>
      </c>
    </row>
    <row r="20" spans="1:162">
      <c r="A20" s="440">
        <f>IFERROR(MATCH(C20,'Data Interface'!B:B,0),0)</f>
        <v>19</v>
      </c>
      <c r="B20" s="440">
        <f>IFERROR(MATCH(C20,Assumptions!$B:$B,0),0)</f>
        <v>0</v>
      </c>
      <c r="C20" s="441">
        <v>6</v>
      </c>
      <c r="E20" s="441" t="s">
        <v>1218</v>
      </c>
      <c r="F20" s="440" t="s">
        <v>20</v>
      </c>
      <c r="G20" s="440" t="str">
        <f>IF(A20=0,"",INDEX('Data Interface'!$C:$C,$A20))</f>
        <v>BOLI</v>
      </c>
      <c r="H20" s="440" t="s">
        <v>1030</v>
      </c>
      <c r="I20" s="819" t="str">
        <f t="shared" si="10"/>
        <v/>
      </c>
      <c r="J20" s="819" t="str">
        <f t="shared" si="11"/>
        <v/>
      </c>
      <c r="K20" s="439" t="str">
        <f t="shared" si="12"/>
        <v>No Run-off</v>
      </c>
      <c r="L20" s="439"/>
      <c r="M20" s="439"/>
      <c r="O20" s="442">
        <f>IF(OR($A20="",$A20=0),0,INDEX('Data Interface'!D:D,$A20))</f>
        <v>-177.33069579000002</v>
      </c>
      <c r="P20" s="442">
        <f>$O20-SUM($AS20:AS20)</f>
        <v>-177.33069579000002</v>
      </c>
      <c r="Q20" s="442">
        <f>$O20-SUM($AS20:AT20)</f>
        <v>-177.33069579000002</v>
      </c>
      <c r="R20" s="442">
        <f>$O20-SUM($AS20:AU20)</f>
        <v>-177.33069579000002</v>
      </c>
      <c r="S20" s="442">
        <f>$O20-SUM($AS20:AV20)</f>
        <v>-177.33069579000002</v>
      </c>
      <c r="T20" s="442">
        <f>$O20-SUM($AS20:AW20)</f>
        <v>-177.33069579000002</v>
      </c>
      <c r="U20" s="442">
        <f>$O20-SUM($AS20:AX20)</f>
        <v>-177.33069579000002</v>
      </c>
      <c r="V20" s="442">
        <f>$O20-SUM($AS20:AY20)</f>
        <v>-177.33069579000002</v>
      </c>
      <c r="W20" s="442">
        <f>$O20-SUM($AS20:AZ20)</f>
        <v>-177.33069579000002</v>
      </c>
      <c r="X20" s="442">
        <f>$O20-SUM($AS20:BA20)</f>
        <v>-177.33069579000002</v>
      </c>
      <c r="Y20" s="442">
        <f>$O20-SUM($AS20:BB20)</f>
        <v>-177.33069579000002</v>
      </c>
      <c r="Z20" s="442">
        <f>$O20-SUM($AS20:BC20)</f>
        <v>-177.33069579000002</v>
      </c>
      <c r="AA20" s="442">
        <f>$O20-SUM($AS20:BD20)</f>
        <v>-177.33069579000002</v>
      </c>
      <c r="AB20" s="442">
        <f>$O20-SUM($AS20:BE20)</f>
        <v>-177.33069579000002</v>
      </c>
      <c r="AC20" s="442">
        <f>$O20-SUM($AS20:BF20)</f>
        <v>-177.33069579000002</v>
      </c>
      <c r="AD20" s="442">
        <f>$O20-SUM($AS20:BG20)</f>
        <v>-177.33069579000002</v>
      </c>
      <c r="AE20" s="442">
        <f>$O20-SUM($AS20:BH20)</f>
        <v>-177.33069579000002</v>
      </c>
      <c r="AF20" s="442">
        <f>$O20-SUM($AS20:BI20)</f>
        <v>-177.33069579000002</v>
      </c>
      <c r="AG20" s="442">
        <f>$O20-SUM($AS20:BJ20)</f>
        <v>-177.33069579000002</v>
      </c>
      <c r="AH20" s="442">
        <f>$O20-SUM($AS20:BK20)</f>
        <v>-177.33069579000002</v>
      </c>
      <c r="AI20" s="442">
        <f>$O20-SUM($AS20:BL20)</f>
        <v>-177.33069579000002</v>
      </c>
      <c r="AJ20" s="442">
        <f>$O20-SUM($AS20:BM20)</f>
        <v>-177.33069579000002</v>
      </c>
      <c r="AK20" s="442">
        <f>$O20-SUM($AS20:BN20)</f>
        <v>-177.33069579000002</v>
      </c>
      <c r="AL20" s="442">
        <f>$O20-SUM($AS20:BO20)</f>
        <v>-177.33069579000002</v>
      </c>
      <c r="AM20" s="442">
        <f>$O20-SUM($AS20:BP20)</f>
        <v>-177.33069579000002</v>
      </c>
      <c r="AN20" s="442">
        <f>$O20-SUM($AS20:BQ20)</f>
        <v>-177.33069579000002</v>
      </c>
      <c r="AO20" s="442">
        <f>$O20-SUM($AS20:BR20)</f>
        <v>-177.33069579000002</v>
      </c>
      <c r="AP20" s="442">
        <f>$O20-SUM($AS20:BS20)</f>
        <v>-177.33069579000002</v>
      </c>
      <c r="AR20" s="439" t="s">
        <v>1201</v>
      </c>
      <c r="AS20" s="442">
        <f>IF($H20="",0,IF($H20=1,IF('Para Adj'!$B$5 = 1,O20-($O20-SUMPRODUCT($CX20:CX20,$BU20:BU20))*(1-SUM($DZ20:DZ20)),BU20*CX20),$O20*BU20))</f>
        <v>0</v>
      </c>
      <c r="AT20" s="442">
        <f>IF($H20="",0,IF($H20=1,IF('Para Adj'!$B$5 = 1,P20-($O20-SUMPRODUCT($CX20:CY20,$BU20:BV20))*(1-SUM($DZ20:EA20)),BV20*CY20),$O20*BV20))</f>
        <v>0</v>
      </c>
      <c r="AU20" s="442">
        <f>IF($H20="",0,IF($H20=1,IF('Para Adj'!$B$5 = 1,Q20-($O20-SUMPRODUCT($CX20:CZ20,$BU20:BW20))*(1-SUM($DZ20:EB20)),BW20*CZ20),$O20*BW20))</f>
        <v>0</v>
      </c>
      <c r="AV20" s="442">
        <f>IF($H20="",0,IF($H20=1,IF('Para Adj'!$B$5 = 1,R20-($O20-SUMPRODUCT($CX20:DA20,$BU20:BX20))*(1-SUM($DZ20:EC20)),BX20*DA20),$O20*BX20))</f>
        <v>0</v>
      </c>
      <c r="AW20" s="442">
        <f>IF($H20="",0,IF($H20=1,IF('Para Adj'!$B$5 = 1,S20-($O20-SUMPRODUCT($CX20:DB20,$BU20:BY20))*(1-SUM($DZ20:ED20)),BY20*DB20),$O20*BY20))</f>
        <v>0</v>
      </c>
      <c r="AX20" s="442">
        <f>IF($H20="",0,IF($H20=1,IF('Para Adj'!$B$5 = 1,T20-($O20-SUMPRODUCT($CX20:DC20,$BU20:BZ20))*(1-SUM($DZ20:EE20)),BZ20*DC20),$O20*BZ20))</f>
        <v>0</v>
      </c>
      <c r="AY20" s="442">
        <f>IF($H20="",0,IF($H20=1,IF('Para Adj'!$B$5 = 1,U20-($O20-SUMPRODUCT($CX20:DD20,$BU20:CA20))*(1-SUM($DZ20:EF20)),CA20*DD20),$O20*CA20))</f>
        <v>0</v>
      </c>
      <c r="AZ20" s="442">
        <f>IF($H20="",0,IF($H20=1,IF('Para Adj'!$B$5 = 1,V20-($O20-SUMPRODUCT($CX20:DE20,$BU20:CB20))*(1-SUM($DZ20:EG20)),CB20*DE20),$O20*CB20))</f>
        <v>0</v>
      </c>
      <c r="BA20" s="442">
        <f>IF($H20="",0,IF($H20=1,IF('Para Adj'!$B$5 = 1,W20-($O20-SUMPRODUCT($CX20:DF20,$BU20:CC20))*(1-SUM($DZ20:EH20)),CC20*DF20),$O20*CC20))</f>
        <v>0</v>
      </c>
      <c r="BB20" s="442">
        <f>IF($H20="",0,IF($H20=1,IF('Para Adj'!$B$5 = 1,X20-($O20-SUMPRODUCT($CX20:DG20,$BU20:CD20))*(1-SUM($DZ20:EI20)),CD20*DG20),$O20*CD20))</f>
        <v>0</v>
      </c>
      <c r="BC20" s="442">
        <f>IF($H20="",0,IF($H20=1,IF('Para Adj'!$B$5 = 1,Y20-($O20-SUMPRODUCT($CX20:DH20,$BU20:CE20))*(1-SUM($DZ20:EJ20)),CE20*DH20),$O20*CE20))</f>
        <v>0</v>
      </c>
      <c r="BD20" s="442">
        <f>IF($H20="",0,IF($H20=1,IF('Para Adj'!$B$5 = 1,Z20-($O20-SUMPRODUCT($CX20:DI20,$BU20:CF20))*(1-SUM($DZ20:EK20)),CF20*DI20),$O20*CF20))</f>
        <v>0</v>
      </c>
      <c r="BE20" s="442">
        <f>IF($H20="",0,IF($H20=1,IF('Para Adj'!$B$5 = 1,AA20-($O20-SUMPRODUCT($CX20:DJ20,$BU20:CG20))*(1-SUM($DZ20:EL20)),CG20*DJ20),$O20*CG20))</f>
        <v>0</v>
      </c>
      <c r="BF20" s="442">
        <f>IF($H20="",0,IF($H20=1,IF('Para Adj'!$B$5 = 1,AB20-($O20-SUMPRODUCT($CX20:DK20,$BU20:CH20))*(1-SUM($DZ20:EM20)),CH20*DK20),$O20*CH20))</f>
        <v>0</v>
      </c>
      <c r="BG20" s="442">
        <f>IF($H20="",0,IF($H20=1,IF('Para Adj'!$B$5 = 1,AC20-($O20-SUMPRODUCT($CX20:DL20,$BU20:CI20))*(1-SUM($DZ20:EN20)),CI20*DL20),$O20*CI20))</f>
        <v>0</v>
      </c>
      <c r="BH20" s="442">
        <f>IF($H20="",0,IF($H20=1,IF('Para Adj'!$B$5 = 1,AD20-($O20-SUMPRODUCT($CX20:DM20,$BU20:CJ20))*(1-SUM($DZ20:EO20)),CJ20*DM20),$O20*CJ20))</f>
        <v>0</v>
      </c>
      <c r="BI20" s="442">
        <f>IF($H20="",0,IF($H20=1,IF('Para Adj'!$B$5 = 1,AE20-($O20-SUMPRODUCT($CX20:DN20,$BU20:CK20))*(1-SUM($DZ20:EP20)),CK20*DN20),$O20*CK20))</f>
        <v>0</v>
      </c>
      <c r="BJ20" s="442">
        <f>IF($H20="",0,IF($H20=1,IF('Para Adj'!$B$5 = 1,AF20-($O20-SUMPRODUCT($CX20:DO20,$BU20:CL20))*(1-SUM($DZ20:EQ20)),CL20*DO20),$O20*CL20))</f>
        <v>0</v>
      </c>
      <c r="BK20" s="442">
        <f>IF($H20="",0,IF($H20=1,IF('Para Adj'!$B$5 = 1,AG20-($O20-SUMPRODUCT($CX20:DP20,$BU20:CM20))*(1-SUM($DZ20:ER20)),CM20*DP20),$O20*CM20))</f>
        <v>0</v>
      </c>
      <c r="BL20" s="442">
        <f>IF($H20="",0,IF($H20=1,IF('Para Adj'!$B$5 = 1,AH20-($O20-SUMPRODUCT($CX20:DQ20,$BU20:CN20))*(1-SUM($DZ20:ES20)),CN20*DQ20),$O20*CN20))</f>
        <v>0</v>
      </c>
      <c r="BM20" s="442">
        <f>IF($H20="",0,IF($H20=1,IF('Para Adj'!$B$5 = 1,AI20-($O20-SUMPRODUCT($CX20:DR20,$BU20:CO20))*(1-SUM($DZ20:ET20)),CO20*DR20),$O20*CO20))</f>
        <v>0</v>
      </c>
      <c r="BN20" s="442">
        <f>IF($H20="",0,IF($H20=1,IF('Para Adj'!$B$5 = 1,AJ20-($O20-SUMPRODUCT($CX20:DS20,$BU20:CP20))*(1-SUM($DZ20:EU20)),CP20*DS20),$O20*CP20))</f>
        <v>0</v>
      </c>
      <c r="BO20" s="442">
        <f>IF($H20="",0,IF($H20=1,IF('Para Adj'!$B$5 = 1,AK20-($O20-SUMPRODUCT($CX20:DT20,$BU20:CQ20))*(1-SUM($DZ20:EV20)),CQ20*DT20),$O20*CQ20))</f>
        <v>0</v>
      </c>
      <c r="BP20" s="442">
        <f>IF($H20="",0,IF($H20=1,IF('Para Adj'!$B$5 = 1,AL20-($O20-SUMPRODUCT($CX20:DU20,$BU20:CR20))*(1-SUM($DZ20:EW20)),CR20*DU20),$O20*CR20))</f>
        <v>0</v>
      </c>
      <c r="BQ20" s="442">
        <f>IF($H20="",0,IF($H20=1,IF('Para Adj'!$B$5 = 1,AM20-($O20-SUMPRODUCT($CX20:DV20,$BU20:CS20))*(1-SUM($DZ20:EX20)),CS20*DV20),$O20*CS20))</f>
        <v>0</v>
      </c>
      <c r="BR20" s="442">
        <f>IF($H20="",0,IF($H20=1,IF('Para Adj'!$B$5 = 1,AN20-($O20-SUMPRODUCT($CX20:DW20,$BU20:CT20))*(1-SUM($DZ20:EY20)),CT20*DW20),$O20*CT20))</f>
        <v>0</v>
      </c>
      <c r="BS20" s="442">
        <f>IF($H20="",0,IF($H20=1,IF('Para Adj'!$B$5 = 1,AO20-($O20-SUMPRODUCT($CX20:DX20,$BU20:CU20))*(1-SUM($DZ20:EZ20)),CU20*DX20),$O20*CU20))</f>
        <v>0</v>
      </c>
      <c r="BU20" s="820" t="str">
        <f>IF($B20=0,"",INDEX(Assumptions!G:G,$B20))</f>
        <v/>
      </c>
      <c r="BV20" s="820" t="str">
        <f>IF($B20=0,"",INDEX(Assumptions!H:H,$B20))</f>
        <v/>
      </c>
      <c r="BW20" s="820" t="str">
        <f>IF($B20=0,"",INDEX(Assumptions!I:I,$B20))</f>
        <v/>
      </c>
      <c r="BX20" s="820" t="str">
        <f>IF($B20=0,"",INDEX(Assumptions!J:J,$B20))</f>
        <v/>
      </c>
      <c r="BY20" s="820" t="str">
        <f>IF($B20=0,"",INDEX(Assumptions!K:K,$B20))</f>
        <v/>
      </c>
      <c r="BZ20" s="820" t="str">
        <f>IF($B20=0,"",INDEX(Assumptions!L:L,$B20))</f>
        <v/>
      </c>
      <c r="CA20" s="820" t="str">
        <f>IF($B20=0,"",INDEX(Assumptions!M:M,$B20))</f>
        <v/>
      </c>
      <c r="CB20" s="820" t="str">
        <f>IF($B20=0,"",INDEX(Assumptions!N:N,$B20))</f>
        <v/>
      </c>
      <c r="CC20" s="820" t="str">
        <f>IF($B20=0,"",INDEX(Assumptions!O:O,$B20))</f>
        <v/>
      </c>
      <c r="CD20" s="820" t="str">
        <f>IF($B20=0,"",INDEX(Assumptions!P:P,$B20))</f>
        <v/>
      </c>
      <c r="CE20" s="820" t="str">
        <f>IF($B20=0,"",INDEX(Assumptions!Q:Q,$B20))</f>
        <v/>
      </c>
      <c r="CF20" s="820" t="str">
        <f>IF($B20=0,"",INDEX(Assumptions!R:R,$B20))</f>
        <v/>
      </c>
      <c r="CG20" s="820" t="str">
        <f>IF($B20=0,"",INDEX(Assumptions!S:S,$B20))</f>
        <v/>
      </c>
      <c r="CH20" s="820" t="str">
        <f>IF($B20=0,"",INDEX(Assumptions!T:T,$B20))</f>
        <v/>
      </c>
      <c r="CI20" s="820" t="str">
        <f>IF($B20=0,"",INDEX(Assumptions!U:U,$B20))</f>
        <v/>
      </c>
      <c r="CJ20" s="820" t="str">
        <f>IF($B20=0,"",INDEX(Assumptions!V:V,$B20))</f>
        <v/>
      </c>
      <c r="CK20" s="820" t="str">
        <f>IF($B20=0,"",INDEX(Assumptions!W:W,$B20))</f>
        <v/>
      </c>
      <c r="CL20" s="820" t="str">
        <f>IF($B20=0,"",INDEX(Assumptions!X:X,$B20))</f>
        <v/>
      </c>
      <c r="CM20" s="820" t="str">
        <f>IF($B20=0,"",INDEX(Assumptions!Y:Y,$B20))</f>
        <v/>
      </c>
      <c r="CN20" s="820" t="str">
        <f>IF($B20=0,"",INDEX(Assumptions!Z:Z,$B20))</f>
        <v/>
      </c>
      <c r="CO20" s="820" t="str">
        <f>IF($B20=0,"",INDEX(Assumptions!AA:AA,$B20))</f>
        <v/>
      </c>
      <c r="CP20" s="820" t="str">
        <f>IF($B20=0,"",INDEX(Assumptions!AB:AB,$B20))</f>
        <v/>
      </c>
      <c r="CQ20" s="820" t="str">
        <f>IF($B20=0,"",INDEX(Assumptions!AC:AC,$B20))</f>
        <v/>
      </c>
      <c r="CR20" s="820" t="str">
        <f>IF($B20=0,"",INDEX(Assumptions!AD:AD,$B20))</f>
        <v/>
      </c>
      <c r="CS20" s="820" t="str">
        <f>IF($B20=0,"",INDEX(Assumptions!AE:AE,$B20))</f>
        <v/>
      </c>
      <c r="CT20" s="820" t="str">
        <f>IF($B20=0,"",INDEX(Assumptions!AF:AF,$B20))</f>
        <v/>
      </c>
      <c r="CU20" s="820" t="str">
        <f>IF($B20=0,"",INDEX(Assumptions!AG:AG,$B20))</f>
        <v/>
      </c>
      <c r="CX20" s="442">
        <f>IF($A20="","",INDEX('Data Interface'!G:G,$A20))</f>
        <v>-16.731604560000001</v>
      </c>
      <c r="CY20" s="442">
        <f>IF($A20="","",INDEX('Data Interface'!H:H,$A20))</f>
        <v>0</v>
      </c>
      <c r="CZ20" s="442">
        <f>IF($A20="","",INDEX('Data Interface'!I:I,$A20))</f>
        <v>0</v>
      </c>
      <c r="DA20" s="442">
        <f>IF($A20="","",INDEX('Data Interface'!J:J,$A20))</f>
        <v>0</v>
      </c>
      <c r="DB20" s="442">
        <f>IF($A20="","",INDEX('Data Interface'!K:K,$A20))</f>
        <v>0</v>
      </c>
      <c r="DC20" s="442">
        <f>IF($A20="","",INDEX('Data Interface'!L:L,$A20))</f>
        <v>0</v>
      </c>
      <c r="DD20" s="442">
        <f>IF($A20="","",INDEX('Data Interface'!M:M,$A20))</f>
        <v>0</v>
      </c>
      <c r="DE20" s="442">
        <f>IF($A20="","",INDEX('Data Interface'!N:N,$A20))</f>
        <v>0</v>
      </c>
      <c r="DF20" s="442">
        <f>IF($A20="","",INDEX('Data Interface'!O:O,$A20))</f>
        <v>0</v>
      </c>
      <c r="DG20" s="442">
        <f>IF($A20="","",INDEX('Data Interface'!P:P,$A20))</f>
        <v>0</v>
      </c>
      <c r="DH20" s="442">
        <f>IF($A20="","",INDEX('Data Interface'!Q:Q,$A20))</f>
        <v>0</v>
      </c>
      <c r="DI20" s="442">
        <f>IF($A20="","",INDEX('Data Interface'!R:R,$A20))</f>
        <v>0</v>
      </c>
      <c r="DJ20" s="442">
        <f>IF($A20="","",INDEX('Data Interface'!S:S,$A20))</f>
        <v>0</v>
      </c>
      <c r="DK20" s="442">
        <f>IF($A20="","",INDEX('Data Interface'!T:T,$A20))</f>
        <v>0</v>
      </c>
      <c r="DL20" s="442">
        <f>IF($A20="","",INDEX('Data Interface'!U:U,$A20))</f>
        <v>0</v>
      </c>
      <c r="DM20" s="442">
        <f>IF($A20="","",INDEX('Data Interface'!V:V,$A20))</f>
        <v>0</v>
      </c>
      <c r="DN20" s="442">
        <f>IF($A20="","",INDEX('Data Interface'!W:W,$A20))</f>
        <v>0</v>
      </c>
      <c r="DO20" s="442">
        <f>IF($A20="","",INDEX('Data Interface'!X:X,$A20))</f>
        <v>0</v>
      </c>
      <c r="DP20" s="442">
        <f>IF($A20="","",INDEX('Data Interface'!Y:Y,$A20))</f>
        <v>0</v>
      </c>
      <c r="DQ20" s="442">
        <f>IF($A20="","",INDEX('Data Interface'!Z:Z,$A20))</f>
        <v>0</v>
      </c>
      <c r="DR20" s="442">
        <f>IF($A20="","",INDEX('Data Interface'!AA:AA,$A20))</f>
        <v>0</v>
      </c>
      <c r="DS20" s="442">
        <f>IF($A20="","",INDEX('Data Interface'!AB:AB,$A20))</f>
        <v>0</v>
      </c>
      <c r="DT20" s="442">
        <f>IF($A20="","",INDEX('Data Interface'!AC:AC,$A20))</f>
        <v>0</v>
      </c>
      <c r="DU20" s="442">
        <f>IF($A20="","",INDEX('Data Interface'!AD:AD,$A20))</f>
        <v>0</v>
      </c>
      <c r="DV20" s="442">
        <f>IF($A20="","",INDEX('Data Interface'!AE:AE,$A20))</f>
        <v>0</v>
      </c>
      <c r="DW20" s="442">
        <f>IF($A20="","",INDEX('Data Interface'!AF:AF,$A20))</f>
        <v>0</v>
      </c>
      <c r="DX20" s="442">
        <f>IF($A20="","",INDEX('Data Interface'!AG:AG,$A20))</f>
        <v>0</v>
      </c>
      <c r="DZ20" s="906" t="str">
        <f>IF(OR($B20=0,$A20=0,$H20&lt;&gt;1),"",INDEX(Assumptions!EO:EO,$B20))</f>
        <v/>
      </c>
      <c r="EA20" s="906" t="str">
        <f>IF(OR($B20=0,$A20=0,$H20&lt;&gt;1),"",INDEX(Assumptions!EP:EP,$B20))</f>
        <v/>
      </c>
      <c r="EB20" s="906" t="str">
        <f>IF(OR($B20=0,$A20=0,$H20&lt;&gt;1),"",INDEX(Assumptions!EQ:EQ,$B20))</f>
        <v/>
      </c>
      <c r="EC20" s="906" t="str">
        <f>IF(OR($B20=0,$A20=0,$H20&lt;&gt;1),"",INDEX(Assumptions!ER:ER,$B20))</f>
        <v/>
      </c>
      <c r="ED20" s="906" t="str">
        <f>IF(OR($B20=0,$A20=0,$H20&lt;&gt;1),"",INDEX(Assumptions!ES:ES,$B20))</f>
        <v/>
      </c>
      <c r="EE20" s="906" t="str">
        <f>IF(OR($B20=0,$A20=0,$H20&lt;&gt;1),"",INDEX(Assumptions!ET:ET,$B20))</f>
        <v/>
      </c>
      <c r="EF20" s="906" t="str">
        <f>IF(OR($B20=0,$A20=0,$H20&lt;&gt;1),"",INDEX(Assumptions!EU:EU,$B20))</f>
        <v/>
      </c>
      <c r="EG20" s="906" t="str">
        <f>IF(OR($B20=0,$A20=0,$H20&lt;&gt;1),"",INDEX(Assumptions!EV:EV,$B20))</f>
        <v/>
      </c>
      <c r="EH20" s="906" t="str">
        <f>IF(OR($B20=0,$A20=0,$H20&lt;&gt;1),"",INDEX(Assumptions!EW:EW,$B20))</f>
        <v/>
      </c>
      <c r="EI20" s="906" t="str">
        <f>IF(OR($B20=0,$A20=0,$H20&lt;&gt;1),"",INDEX(Assumptions!EX:EX,$B20))</f>
        <v/>
      </c>
      <c r="EJ20" s="906" t="str">
        <f>IF(OR($B20=0,$A20=0,$H20&lt;&gt;1),"",INDEX(Assumptions!EY:EY,$B20))</f>
        <v/>
      </c>
      <c r="EK20" s="906" t="str">
        <f>IF(OR($B20=0,$A20=0,$H20&lt;&gt;1),"",INDEX(Assumptions!EZ:EZ,$B20))</f>
        <v/>
      </c>
      <c r="EL20" s="906" t="str">
        <f>IF(OR($B20=0,$A20=0,$H20&lt;&gt;1),"",INDEX(Assumptions!FA:FA,$B20))</f>
        <v/>
      </c>
      <c r="EM20" s="906" t="str">
        <f>IF(OR($B20=0,$A20=0,$H20&lt;&gt;1),"",INDEX(Assumptions!FB:FB,$B20))</f>
        <v/>
      </c>
      <c r="EN20" s="906" t="str">
        <f>IF(OR($B20=0,$A20=0,$H20&lt;&gt;1),"",INDEX(Assumptions!FC:FC,$B20))</f>
        <v/>
      </c>
      <c r="EO20" s="906" t="str">
        <f>IF(OR($B20=0,$A20=0,$H20&lt;&gt;1),"",INDEX(Assumptions!FD:FD,$B20))</f>
        <v/>
      </c>
      <c r="EP20" s="906" t="str">
        <f>IF(OR($B20=0,$A20=0,$H20&lt;&gt;1),"",INDEX(Assumptions!FE:FE,$B20))</f>
        <v/>
      </c>
      <c r="EQ20" s="906" t="str">
        <f>IF(OR($B20=0,$A20=0,$H20&lt;&gt;1),"",INDEX(Assumptions!FF:FF,$B20))</f>
        <v/>
      </c>
      <c r="ER20" s="906" t="str">
        <f>IF(OR($B20=0,$A20=0,$H20&lt;&gt;1),"",INDEX(Assumptions!FG:FG,$B20))</f>
        <v/>
      </c>
      <c r="ES20" s="906" t="str">
        <f>IF(OR($B20=0,$A20=0,$H20&lt;&gt;1),"",INDEX(Assumptions!FH:FH,$B20))</f>
        <v/>
      </c>
      <c r="ET20" s="906" t="str">
        <f>IF(OR($B20=0,$A20=0,$H20&lt;&gt;1),"",INDEX(Assumptions!FI:FI,$B20))</f>
        <v/>
      </c>
      <c r="EU20" s="906" t="str">
        <f>IF(OR($B20=0,$A20=0,$H20&lt;&gt;1),"",INDEX(Assumptions!FJ:FJ,$B20))</f>
        <v/>
      </c>
      <c r="EV20" s="906" t="str">
        <f>IF(OR($B20=0,$A20=0,$H20&lt;&gt;1),"",INDEX(Assumptions!FK:FK,$B20))</f>
        <v/>
      </c>
      <c r="EW20" s="906" t="str">
        <f>IF(OR($B20=0,$A20=0,$H20&lt;&gt;1),"",INDEX(Assumptions!FL:FL,$B20))</f>
        <v/>
      </c>
      <c r="EX20" s="906" t="str">
        <f>IF(OR($B20=0,$A20=0,$H20&lt;&gt;1),"",INDEX(Assumptions!FM:FM,$B20))</f>
        <v/>
      </c>
      <c r="EY20" s="906" t="str">
        <f>IF(OR($B20=0,$A20=0,$H20&lt;&gt;1),"",INDEX(Assumptions!FN:FN,$B20))</f>
        <v/>
      </c>
      <c r="EZ20" s="906" t="str">
        <f>IF(OR($B20=0,$A20=0,$H20&lt;&gt;1),"",INDEX(Assumptions!FO:FO,$B20))</f>
        <v/>
      </c>
      <c r="FB20" s="820" t="str">
        <f t="shared" si="18"/>
        <v/>
      </c>
      <c r="FC20" s="820" t="str">
        <f t="shared" si="19"/>
        <v/>
      </c>
      <c r="FD20" s="820" t="str">
        <f t="shared" si="20"/>
        <v/>
      </c>
      <c r="FE20" s="820" t="str">
        <f t="shared" si="21"/>
        <v/>
      </c>
      <c r="FF20" s="820" t="str">
        <f t="shared" si="22"/>
        <v/>
      </c>
    </row>
    <row r="21" spans="1:162">
      <c r="A21" s="440">
        <f>IFERROR(MATCH(C21,'Data Interface'!B:B,0),0)</f>
        <v>70</v>
      </c>
      <c r="B21" s="440">
        <f>IFERROR(MATCH(C21,Assumptions!$B:$B,0),0)</f>
        <v>35</v>
      </c>
      <c r="C21" s="441">
        <v>98</v>
      </c>
      <c r="E21" s="441" t="s">
        <v>1218</v>
      </c>
      <c r="F21" s="440" t="s">
        <v>1136</v>
      </c>
      <c r="G21" s="440" t="str">
        <f>IF(A21=0,"",INDEX('Data Interface'!$C:$C,$A21))</f>
        <v>REPO Assets</v>
      </c>
      <c r="H21" s="440">
        <v>1</v>
      </c>
      <c r="I21" s="819">
        <f t="shared" ca="1" si="10"/>
        <v>1</v>
      </c>
      <c r="J21" s="819">
        <f t="shared" ca="1" si="11"/>
        <v>1</v>
      </c>
      <c r="K21" s="439" t="str">
        <f t="shared" ca="1" si="12"/>
        <v>100% of Contractual Maturity</v>
      </c>
      <c r="L21" s="439"/>
      <c r="M21" s="439" t="s">
        <v>1493</v>
      </c>
      <c r="O21" s="442">
        <f>IF(OR($A21="",$A21=0),0,INDEX('Data Interface'!D:D,$A21))</f>
        <v>0</v>
      </c>
      <c r="P21" s="442">
        <f ca="1">$O21-SUM($AS21:AS21)</f>
        <v>0</v>
      </c>
      <c r="Q21" s="442">
        <f ca="1">$O21-SUM($AS21:AT21)</f>
        <v>0</v>
      </c>
      <c r="R21" s="442">
        <f ca="1">$O21-SUM($AS21:AU21)</f>
        <v>0</v>
      </c>
      <c r="S21" s="442">
        <f ca="1">$O21-SUM($AS21:AV21)</f>
        <v>0</v>
      </c>
      <c r="T21" s="442">
        <f ca="1">$O21-SUM($AS21:AW21)</f>
        <v>0</v>
      </c>
      <c r="U21" s="442">
        <f ca="1">$O21-SUM($AS21:AX21)</f>
        <v>0</v>
      </c>
      <c r="V21" s="442">
        <f ca="1">$O21-SUM($AS21:AY21)</f>
        <v>0</v>
      </c>
      <c r="W21" s="442">
        <f ca="1">$O21-SUM($AS21:AZ21)</f>
        <v>0</v>
      </c>
      <c r="X21" s="442">
        <f ca="1">$O21-SUM($AS21:BA21)</f>
        <v>0</v>
      </c>
      <c r="Y21" s="442">
        <f ca="1">$O21-SUM($AS21:BB21)</f>
        <v>0</v>
      </c>
      <c r="Z21" s="442">
        <f ca="1">$O21-SUM($AS21:BC21)</f>
        <v>0</v>
      </c>
      <c r="AA21" s="442">
        <f ca="1">$O21-SUM($AS21:BD21)</f>
        <v>0</v>
      </c>
      <c r="AB21" s="442">
        <f ca="1">$O21-SUM($AS21:BE21)</f>
        <v>0</v>
      </c>
      <c r="AC21" s="442">
        <f ca="1">$O21-SUM($AS21:BF21)</f>
        <v>0</v>
      </c>
      <c r="AD21" s="442">
        <f ca="1">$O21-SUM($AS21:BG21)</f>
        <v>0</v>
      </c>
      <c r="AE21" s="442">
        <f ca="1">$O21-SUM($AS21:BH21)</f>
        <v>0</v>
      </c>
      <c r="AF21" s="442">
        <f ca="1">$O21-SUM($AS21:BI21)</f>
        <v>0</v>
      </c>
      <c r="AG21" s="442">
        <f ca="1">$O21-SUM($AS21:BJ21)</f>
        <v>0</v>
      </c>
      <c r="AH21" s="442">
        <f ca="1">$O21-SUM($AS21:BK21)</f>
        <v>0</v>
      </c>
      <c r="AI21" s="442">
        <f ca="1">$O21-SUM($AS21:BL21)</f>
        <v>0</v>
      </c>
      <c r="AJ21" s="442">
        <f ca="1">$O21-SUM($AS21:BM21)</f>
        <v>0</v>
      </c>
      <c r="AK21" s="442">
        <f ca="1">$O21-SUM($AS21:BN21)</f>
        <v>0</v>
      </c>
      <c r="AL21" s="442">
        <f ca="1">$O21-SUM($AS21:BO21)</f>
        <v>0</v>
      </c>
      <c r="AM21" s="442">
        <f ca="1">$O21-SUM($AS21:BP21)</f>
        <v>0</v>
      </c>
      <c r="AN21" s="442">
        <f ca="1">$O21-SUM($AS21:BQ21)</f>
        <v>0</v>
      </c>
      <c r="AO21" s="442">
        <f ca="1">$O21-SUM($AS21:BR21)</f>
        <v>0</v>
      </c>
      <c r="AP21" s="442">
        <f ca="1">$O21-SUM($AS21:BS21)</f>
        <v>0</v>
      </c>
      <c r="AR21" s="439" t="s">
        <v>1201</v>
      </c>
      <c r="AS21" s="820">
        <f ca="1">IF($H21="",0,IF($H21=1,IF('Para Adj'!$B$5 = 1,O21-($O21-SUMPRODUCT($CX21:CX21,$BU21:BU21))*(1-SUM($DZ21:DZ21)),BU21*CX21),$O21*BU21))</f>
        <v>0</v>
      </c>
      <c r="AT21" s="820">
        <f ca="1">IF($H21="",0,IF($H21=1,IF('Para Adj'!$B$5 = 1,P21-($O21-SUMPRODUCT($CX21:CY21,$BU21:BV21))*(1-SUM($DZ21:EA21)),BV21*CY21),$O21*BV21))</f>
        <v>0</v>
      </c>
      <c r="AU21" s="820">
        <f ca="1">IF($H21="",0,IF($H21=1,IF('Para Adj'!$B$5 = 1,Q21-($O21-SUMPRODUCT($CX21:CZ21,$BU21:BW21))*(1-SUM($DZ21:EB21)),BW21*CZ21),$O21*BW21))</f>
        <v>0</v>
      </c>
      <c r="AV21" s="820">
        <f ca="1">IF($H21="",0,IF($H21=1,IF('Para Adj'!$B$5 = 1,R21-($O21-SUMPRODUCT($CX21:DA21,$BU21:BX21))*(1-SUM($DZ21:EC21)),BX21*DA21),$O21*BX21))</f>
        <v>0</v>
      </c>
      <c r="AW21" s="820">
        <f ca="1">IF($H21="",0,IF($H21=1,IF('Para Adj'!$B$5 = 1,S21-($O21-SUMPRODUCT($CX21:DB21,$BU21:BY21))*(1-SUM($DZ21:ED21)),BY21*DB21),$O21*BY21))</f>
        <v>0</v>
      </c>
      <c r="AX21" s="820">
        <f ca="1">IF($H21="",0,IF($H21=1,IF('Para Adj'!$B$5 = 1,T21-($O21-SUMPRODUCT($CX21:DC21,$BU21:BZ21))*(1-SUM($DZ21:EE21)),BZ21*DC21),$O21*BZ21))</f>
        <v>0</v>
      </c>
      <c r="AY21" s="820">
        <f ca="1">IF($H21="",0,IF($H21=1,IF('Para Adj'!$B$5 = 1,U21-($O21-SUMPRODUCT($CX21:DD21,$BU21:CA21))*(1-SUM($DZ21:EF21)),CA21*DD21),$O21*CA21))</f>
        <v>0</v>
      </c>
      <c r="AZ21" s="820">
        <f ca="1">IF($H21="",0,IF($H21=1,IF('Para Adj'!$B$5 = 1,V21-($O21-SUMPRODUCT($CX21:DE21,$BU21:CB21))*(1-SUM($DZ21:EG21)),CB21*DE21),$O21*CB21))</f>
        <v>0</v>
      </c>
      <c r="BA21" s="820">
        <f ca="1">IF($H21="",0,IF($H21=1,IF('Para Adj'!$B$5 = 1,W21-($O21-SUMPRODUCT($CX21:DF21,$BU21:CC21))*(1-SUM($DZ21:EH21)),CC21*DF21),$O21*CC21))</f>
        <v>0</v>
      </c>
      <c r="BB21" s="820">
        <f ca="1">IF($H21="",0,IF($H21=1,IF('Para Adj'!$B$5 = 1,X21-($O21-SUMPRODUCT($CX21:DG21,$BU21:CD21))*(1-SUM($DZ21:EI21)),CD21*DG21),$O21*CD21))</f>
        <v>0</v>
      </c>
      <c r="BC21" s="820">
        <f ca="1">IF($H21="",0,IF($H21=1,IF('Para Adj'!$B$5 = 1,Y21-($O21-SUMPRODUCT($CX21:DH21,$BU21:CE21))*(1-SUM($DZ21:EJ21)),CE21*DH21),$O21*CE21))</f>
        <v>0</v>
      </c>
      <c r="BD21" s="820">
        <f ca="1">IF($H21="",0,IF($H21=1,IF('Para Adj'!$B$5 = 1,Z21-($O21-SUMPRODUCT($CX21:DI21,$BU21:CF21))*(1-SUM($DZ21:EK21)),CF21*DI21),$O21*CF21))</f>
        <v>0</v>
      </c>
      <c r="BE21" s="820">
        <f ca="1">IF($H21="",0,IF($H21=1,IF('Para Adj'!$B$5 = 1,AA21-($O21-SUMPRODUCT($CX21:DJ21,$BU21:CG21))*(1-SUM($DZ21:EL21)),CG21*DJ21),$O21*CG21))</f>
        <v>0</v>
      </c>
      <c r="BF21" s="820">
        <f ca="1">IF($H21="",0,IF($H21=1,IF('Para Adj'!$B$5 = 1,AB21-($O21-SUMPRODUCT($CX21:DK21,$BU21:CH21))*(1-SUM($DZ21:EM21)),CH21*DK21),$O21*CH21))</f>
        <v>0</v>
      </c>
      <c r="BG21" s="442">
        <f ca="1">IF($H21="",0,IF($H21=1,IF('Para Adj'!$B$5 = 1,AC21-($O21-SUMPRODUCT($CX21:DL21,$BU21:CI21))*(1-SUM($DZ21:EN21)),CI21*DL21),$O21*CI21))</f>
        <v>0</v>
      </c>
      <c r="BH21" s="442">
        <f ca="1">IF($H21="",0,IF($H21=1,IF('Para Adj'!$B$5 = 1,AD21-($O21-SUMPRODUCT($CX21:DM21,$BU21:CJ21))*(1-SUM($DZ21:EO21)),CJ21*DM21),$O21*CJ21))</f>
        <v>0</v>
      </c>
      <c r="BI21" s="442">
        <f ca="1">IF($H21="",0,IF($H21=1,IF('Para Adj'!$B$5 = 1,AE21-($O21-SUMPRODUCT($CX21:DN21,$BU21:CK21))*(1-SUM($DZ21:EP21)),CK21*DN21),$O21*CK21))</f>
        <v>0</v>
      </c>
      <c r="BJ21" s="442">
        <f ca="1">IF($H21="",0,IF($H21=1,IF('Para Adj'!$B$5 = 1,AF21-($O21-SUMPRODUCT($CX21:DO21,$BU21:CL21))*(1-SUM($DZ21:EQ21)),CL21*DO21),$O21*CL21))</f>
        <v>0</v>
      </c>
      <c r="BK21" s="442">
        <f ca="1">IF($H21="",0,IF($H21=1,IF('Para Adj'!$B$5 = 1,AG21-($O21-SUMPRODUCT($CX21:DP21,$BU21:CM21))*(1-SUM($DZ21:ER21)),CM21*DP21),$O21*CM21))</f>
        <v>0</v>
      </c>
      <c r="BL21" s="442">
        <f ca="1">IF($H21="",0,IF($H21=1,IF('Para Adj'!$B$5 = 1,AH21-($O21-SUMPRODUCT($CX21:DQ21,$BU21:CN21))*(1-SUM($DZ21:ES21)),CN21*DQ21),$O21*CN21))</f>
        <v>0</v>
      </c>
      <c r="BM21" s="442">
        <f ca="1">IF($H21="",0,IF($H21=1,IF('Para Adj'!$B$5 = 1,AI21-($O21-SUMPRODUCT($CX21:DR21,$BU21:CO21))*(1-SUM($DZ21:ET21)),CO21*DR21),$O21*CO21))</f>
        <v>0</v>
      </c>
      <c r="BN21" s="442">
        <f ca="1">IF($H21="",0,IF($H21=1,IF('Para Adj'!$B$5 = 1,AJ21-($O21-SUMPRODUCT($CX21:DS21,$BU21:CP21))*(1-SUM($DZ21:EU21)),CP21*DS21),$O21*CP21))</f>
        <v>0</v>
      </c>
      <c r="BO21" s="442">
        <f ca="1">IF($H21="",0,IF($H21=1,IF('Para Adj'!$B$5 = 1,AK21-($O21-SUMPRODUCT($CX21:DT21,$BU21:CQ21))*(1-SUM($DZ21:EV21)),CQ21*DT21),$O21*CQ21))</f>
        <v>0</v>
      </c>
      <c r="BP21" s="442">
        <f ca="1">IF($H21="",0,IF($H21=1,IF('Para Adj'!$B$5 = 1,AL21-($O21-SUMPRODUCT($CX21:DU21,$BU21:CR21))*(1-SUM($DZ21:EW21)),CR21*DU21),$O21*CR21))</f>
        <v>0</v>
      </c>
      <c r="BQ21" s="442">
        <f ca="1">IF($H21="",0,IF($H21=1,IF('Para Adj'!$B$5 = 1,AM21-($O21-SUMPRODUCT($CX21:DV21,$BU21:CS21))*(1-SUM($DZ21:EX21)),CS21*DV21),$O21*CS21))</f>
        <v>0</v>
      </c>
      <c r="BR21" s="442">
        <f ca="1">IF($H21="",0,IF($H21=1,IF('Para Adj'!$B$5 = 1,AN21-($O21-SUMPRODUCT($CX21:DW21,$BU21:CT21))*(1-SUM($DZ21:EY21)),CT21*DW21),$O21*CT21))</f>
        <v>0</v>
      </c>
      <c r="BS21" s="442">
        <f ca="1">IF($H21="",0,IF($H21=1,IF('Para Adj'!$B$5 = 1,AO21-($O21-SUMPRODUCT($CX21:DX21,$BU21:CU21))*(1-SUM($DZ21:EZ21)),CU21*DX21),$O21*CU21))</f>
        <v>0</v>
      </c>
      <c r="BU21" s="820">
        <f ca="1">IF($B21=0,"",INDEX(Assumptions!G:G,$B21))</f>
        <v>1</v>
      </c>
      <c r="BV21" s="820">
        <f ca="1">IF($B21=0,"",INDEX(Assumptions!H:H,$B21))</f>
        <v>1</v>
      </c>
      <c r="BW21" s="820">
        <f ca="1">IF($B21=0,"",INDEX(Assumptions!I:I,$B21))</f>
        <v>1</v>
      </c>
      <c r="BX21" s="820">
        <f ca="1">IF($B21=0,"",INDEX(Assumptions!J:J,$B21))</f>
        <v>1</v>
      </c>
      <c r="BY21" s="820">
        <f ca="1">IF($B21=0,"",INDEX(Assumptions!K:K,$B21))</f>
        <v>1</v>
      </c>
      <c r="BZ21" s="820">
        <f ca="1">IF($B21=0,"",INDEX(Assumptions!L:L,$B21))</f>
        <v>1</v>
      </c>
      <c r="CA21" s="820">
        <f ca="1">IF($B21=0,"",INDEX(Assumptions!M:M,$B21))</f>
        <v>1</v>
      </c>
      <c r="CB21" s="820">
        <f ca="1">IF($B21=0,"",INDEX(Assumptions!N:N,$B21))</f>
        <v>1</v>
      </c>
      <c r="CC21" s="820">
        <f ca="1">IF($B21=0,"",INDEX(Assumptions!O:O,$B21))</f>
        <v>1</v>
      </c>
      <c r="CD21" s="820">
        <f ca="1">IF($B21=0,"",INDEX(Assumptions!P:P,$B21))</f>
        <v>1</v>
      </c>
      <c r="CE21" s="820">
        <f ca="1">IF($B21=0,"",INDEX(Assumptions!Q:Q,$B21))</f>
        <v>1</v>
      </c>
      <c r="CF21" s="820">
        <f ca="1">IF($B21=0,"",INDEX(Assumptions!R:R,$B21))</f>
        <v>1</v>
      </c>
      <c r="CG21" s="820">
        <f ca="1">IF($B21=0,"",INDEX(Assumptions!S:S,$B21))</f>
        <v>1</v>
      </c>
      <c r="CH21" s="820">
        <f ca="1">IF($B21=0,"",INDEX(Assumptions!T:T,$B21))</f>
        <v>1</v>
      </c>
      <c r="CI21" s="820">
        <f ca="1">IF($B21=0,"",INDEX(Assumptions!U:U,$B21))</f>
        <v>1</v>
      </c>
      <c r="CJ21" s="820">
        <f ca="1">IF($B21=0,"",INDEX(Assumptions!V:V,$B21))</f>
        <v>1</v>
      </c>
      <c r="CK21" s="820">
        <f ca="1">IF($B21=0,"",INDEX(Assumptions!W:W,$B21))</f>
        <v>1</v>
      </c>
      <c r="CL21" s="820">
        <f ca="1">IF($B21=0,"",INDEX(Assumptions!X:X,$B21))</f>
        <v>1</v>
      </c>
      <c r="CM21" s="820">
        <f ca="1">IF($B21=0,"",INDEX(Assumptions!Y:Y,$B21))</f>
        <v>1</v>
      </c>
      <c r="CN21" s="820">
        <f ca="1">IF($B21=0,"",INDEX(Assumptions!Z:Z,$B21))</f>
        <v>1</v>
      </c>
      <c r="CO21" s="820">
        <f ca="1">IF($B21=0,"",INDEX(Assumptions!AA:AA,$B21))</f>
        <v>1</v>
      </c>
      <c r="CP21" s="820">
        <f ca="1">IF($B21=0,"",INDEX(Assumptions!AB:AB,$B21))</f>
        <v>1</v>
      </c>
      <c r="CQ21" s="820">
        <f ca="1">IF($B21=0,"",INDEX(Assumptions!AC:AC,$B21))</f>
        <v>1</v>
      </c>
      <c r="CR21" s="820">
        <f ca="1">IF($B21=0,"",INDEX(Assumptions!AD:AD,$B21))</f>
        <v>1</v>
      </c>
      <c r="CS21" s="820">
        <f ca="1">IF($B21=0,"",INDEX(Assumptions!AE:AE,$B21))</f>
        <v>1</v>
      </c>
      <c r="CT21" s="820">
        <f ca="1">IF($B21=0,"",INDEX(Assumptions!AF:AF,$B21))</f>
        <v>1</v>
      </c>
      <c r="CU21" s="820">
        <f ca="1">IF($B21=0,"",INDEX(Assumptions!AG:AG,$B21))</f>
        <v>1</v>
      </c>
      <c r="CX21" s="442">
        <f>IF($A21="","",INDEX('Data Interface'!G:G,$A21))</f>
        <v>0</v>
      </c>
      <c r="CY21" s="442">
        <f>IF($A21="","",INDEX('Data Interface'!H:H,$A21))</f>
        <v>0</v>
      </c>
      <c r="CZ21" s="442">
        <f>IF($A21="","",INDEX('Data Interface'!I:I,$A21))</f>
        <v>0</v>
      </c>
      <c r="DA21" s="442">
        <f>IF($A21="","",INDEX('Data Interface'!J:J,$A21))</f>
        <v>0</v>
      </c>
      <c r="DB21" s="442">
        <f>IF($A21="","",INDEX('Data Interface'!K:K,$A21))</f>
        <v>0</v>
      </c>
      <c r="DC21" s="442">
        <f>IF($A21="","",INDEX('Data Interface'!L:L,$A21))</f>
        <v>0</v>
      </c>
      <c r="DD21" s="442">
        <f>IF($A21="","",INDEX('Data Interface'!M:M,$A21))</f>
        <v>0</v>
      </c>
      <c r="DE21" s="442">
        <f>IF($A21="","",INDEX('Data Interface'!N:N,$A21))</f>
        <v>0</v>
      </c>
      <c r="DF21" s="442">
        <f>IF($A21="","",INDEX('Data Interface'!O:O,$A21))</f>
        <v>0</v>
      </c>
      <c r="DG21" s="442">
        <f>IF($A21="","",INDEX('Data Interface'!P:P,$A21))</f>
        <v>0</v>
      </c>
      <c r="DH21" s="442">
        <f>IF($A21="","",INDEX('Data Interface'!Q:Q,$A21))</f>
        <v>0</v>
      </c>
      <c r="DI21" s="442">
        <f>IF($A21="","",INDEX('Data Interface'!R:R,$A21))</f>
        <v>0</v>
      </c>
      <c r="DJ21" s="442">
        <f>IF($A21="","",INDEX('Data Interface'!S:S,$A21))</f>
        <v>0</v>
      </c>
      <c r="DK21" s="442">
        <f>IF($A21="","",INDEX('Data Interface'!T:T,$A21))</f>
        <v>0</v>
      </c>
      <c r="DL21" s="442">
        <f>IF($A21="","",INDEX('Data Interface'!U:U,$A21))</f>
        <v>0</v>
      </c>
      <c r="DM21" s="442">
        <f>IF($A21="","",INDEX('Data Interface'!V:V,$A21))</f>
        <v>0</v>
      </c>
      <c r="DN21" s="442">
        <f>IF($A21="","",INDEX('Data Interface'!W:W,$A21))</f>
        <v>0</v>
      </c>
      <c r="DO21" s="442">
        <f>IF($A21="","",INDEX('Data Interface'!X:X,$A21))</f>
        <v>0</v>
      </c>
      <c r="DP21" s="442">
        <f>IF($A21="","",INDEX('Data Interface'!Y:Y,$A21))</f>
        <v>0</v>
      </c>
      <c r="DQ21" s="442">
        <f>IF($A21="","",INDEX('Data Interface'!Z:Z,$A21))</f>
        <v>0</v>
      </c>
      <c r="DR21" s="442">
        <f>IF($A21="","",INDEX('Data Interface'!AA:AA,$A21))</f>
        <v>0</v>
      </c>
      <c r="DS21" s="442">
        <f>IF($A21="","",INDEX('Data Interface'!AB:AB,$A21))</f>
        <v>0</v>
      </c>
      <c r="DT21" s="442">
        <f>IF($A21="","",INDEX('Data Interface'!AC:AC,$A21))</f>
        <v>0</v>
      </c>
      <c r="DU21" s="442">
        <f>IF($A21="","",INDEX('Data Interface'!AD:AD,$A21))</f>
        <v>0</v>
      </c>
      <c r="DV21" s="442">
        <f>IF($A21="","",INDEX('Data Interface'!AE:AE,$A21))</f>
        <v>0</v>
      </c>
      <c r="DW21" s="442">
        <f>IF($A21="","",INDEX('Data Interface'!AF:AF,$A21))</f>
        <v>0</v>
      </c>
      <c r="DX21" s="442">
        <f>IF($A21="","",INDEX('Data Interface'!AG:AG,$A21))</f>
        <v>0</v>
      </c>
      <c r="DZ21" s="906">
        <f>IF(OR($B21=0,$A21=0,$H21&lt;&gt;1),"",INDEX(Assumptions!EO:EO,$B21))</f>
        <v>0</v>
      </c>
      <c r="EA21" s="906">
        <f>IF(OR($B21=0,$A21=0,$H21&lt;&gt;1),"",INDEX(Assumptions!EP:EP,$B21))</f>
        <v>0</v>
      </c>
      <c r="EB21" s="906">
        <f>IF(OR($B21=0,$A21=0,$H21&lt;&gt;1),"",INDEX(Assumptions!EQ:EQ,$B21))</f>
        <v>0</v>
      </c>
      <c r="EC21" s="906">
        <f>IF(OR($B21=0,$A21=0,$H21&lt;&gt;1),"",INDEX(Assumptions!ER:ER,$B21))</f>
        <v>0</v>
      </c>
      <c r="ED21" s="906">
        <f>IF(OR($B21=0,$A21=0,$H21&lt;&gt;1),"",INDEX(Assumptions!ES:ES,$B21))</f>
        <v>0</v>
      </c>
      <c r="EE21" s="906">
        <f>IF(OR($B21=0,$A21=0,$H21&lt;&gt;1),"",INDEX(Assumptions!ET:ET,$B21))</f>
        <v>0</v>
      </c>
      <c r="EF21" s="906">
        <f>IF(OR($B21=0,$A21=0,$H21&lt;&gt;1),"",INDEX(Assumptions!EU:EU,$B21))</f>
        <v>0</v>
      </c>
      <c r="EG21" s="906">
        <f>IF(OR($B21=0,$A21=0,$H21&lt;&gt;1),"",INDEX(Assumptions!EV:EV,$B21))</f>
        <v>0</v>
      </c>
      <c r="EH21" s="906">
        <f>IF(OR($B21=0,$A21=0,$H21&lt;&gt;1),"",INDEX(Assumptions!EW:EW,$B21))</f>
        <v>0</v>
      </c>
      <c r="EI21" s="906">
        <f>IF(OR($B21=0,$A21=0,$H21&lt;&gt;1),"",INDEX(Assumptions!EX:EX,$B21))</f>
        <v>0</v>
      </c>
      <c r="EJ21" s="906">
        <f>IF(OR($B21=0,$A21=0,$H21&lt;&gt;1),"",INDEX(Assumptions!EY:EY,$B21))</f>
        <v>0</v>
      </c>
      <c r="EK21" s="906">
        <f>IF(OR($B21=0,$A21=0,$H21&lt;&gt;1),"",INDEX(Assumptions!EZ:EZ,$B21))</f>
        <v>0</v>
      </c>
      <c r="EL21" s="906">
        <f>IF(OR($B21=0,$A21=0,$H21&lt;&gt;1),"",INDEX(Assumptions!FA:FA,$B21))</f>
        <v>0</v>
      </c>
      <c r="EM21" s="906">
        <f>IF(OR($B21=0,$A21=0,$H21&lt;&gt;1),"",INDEX(Assumptions!FB:FB,$B21))</f>
        <v>0</v>
      </c>
      <c r="EN21" s="906">
        <f>IF(OR($B21=0,$A21=0,$H21&lt;&gt;1),"",INDEX(Assumptions!FC:FC,$B21))</f>
        <v>0</v>
      </c>
      <c r="EO21" s="906">
        <f>IF(OR($B21=0,$A21=0,$H21&lt;&gt;1),"",INDEX(Assumptions!FD:FD,$B21))</f>
        <v>0</v>
      </c>
      <c r="EP21" s="906">
        <f>IF(OR($B21=0,$A21=0,$H21&lt;&gt;1),"",INDEX(Assumptions!FE:FE,$B21))</f>
        <v>0</v>
      </c>
      <c r="EQ21" s="906">
        <f>IF(OR($B21=0,$A21=0,$H21&lt;&gt;1),"",INDEX(Assumptions!FF:FF,$B21))</f>
        <v>0</v>
      </c>
      <c r="ER21" s="906">
        <f>IF(OR($B21=0,$A21=0,$H21&lt;&gt;1),"",INDEX(Assumptions!FG:FG,$B21))</f>
        <v>0</v>
      </c>
      <c r="ES21" s="906">
        <f>IF(OR($B21=0,$A21=0,$H21&lt;&gt;1),"",INDEX(Assumptions!FH:FH,$B21))</f>
        <v>0</v>
      </c>
      <c r="ET21" s="906">
        <f>IF(OR($B21=0,$A21=0,$H21&lt;&gt;1),"",INDEX(Assumptions!FI:FI,$B21))</f>
        <v>0</v>
      </c>
      <c r="EU21" s="906">
        <f>IF(OR($B21=0,$A21=0,$H21&lt;&gt;1),"",INDEX(Assumptions!FJ:FJ,$B21))</f>
        <v>0</v>
      </c>
      <c r="EV21" s="906">
        <f>IF(OR($B21=0,$A21=0,$H21&lt;&gt;1),"",INDEX(Assumptions!FK:FK,$B21))</f>
        <v>0</v>
      </c>
      <c r="EW21" s="906">
        <f>IF(OR($B21=0,$A21=0,$H21&lt;&gt;1),"",INDEX(Assumptions!FL:FL,$B21))</f>
        <v>0</v>
      </c>
      <c r="EX21" s="906">
        <f>IF(OR($B21=0,$A21=0,$H21&lt;&gt;1),"",INDEX(Assumptions!FM:FM,$B21))</f>
        <v>0</v>
      </c>
      <c r="EY21" s="906">
        <f>IF(OR($B21=0,$A21=0,$H21&lt;&gt;1),"",INDEX(Assumptions!FN:FN,$B21))</f>
        <v>0</v>
      </c>
      <c r="EZ21" s="906">
        <f>IF(OR($B21=0,$A21=0,$H21&lt;&gt;1),"",INDEX(Assumptions!FO:FO,$B21))</f>
        <v>0</v>
      </c>
      <c r="FB21" s="820" t="str">
        <f t="shared" si="18"/>
        <v/>
      </c>
      <c r="FC21" s="820" t="str">
        <f t="shared" si="19"/>
        <v/>
      </c>
      <c r="FD21" s="820" t="str">
        <f t="shared" si="20"/>
        <v/>
      </c>
      <c r="FE21" s="820" t="str">
        <f t="shared" si="21"/>
        <v/>
      </c>
      <c r="FF21" s="820" t="str">
        <f t="shared" si="22"/>
        <v/>
      </c>
    </row>
    <row r="22" spans="1:162">
      <c r="A22" s="440">
        <f>IFERROR(MATCH(C22,'Data Interface'!B:B,0),0)</f>
        <v>20</v>
      </c>
      <c r="B22" s="440">
        <f>IFERROR(MATCH(C22,Assumptions!$B:$B,0),0)</f>
        <v>0</v>
      </c>
      <c r="C22" s="441">
        <v>7</v>
      </c>
      <c r="E22" s="441" t="s">
        <v>1218</v>
      </c>
      <c r="F22" s="440" t="s">
        <v>21</v>
      </c>
      <c r="G22" s="440" t="str">
        <f>IF(A22=0,"",INDEX('Data Interface'!$C:$C,$A22))</f>
        <v>Other Assets</v>
      </c>
      <c r="H22" s="440" t="s">
        <v>1030</v>
      </c>
      <c r="I22" s="819" t="str">
        <f t="shared" si="10"/>
        <v/>
      </c>
      <c r="J22" s="819" t="str">
        <f t="shared" si="11"/>
        <v/>
      </c>
      <c r="K22" s="439" t="str">
        <f t="shared" si="12"/>
        <v>No Run-off</v>
      </c>
      <c r="L22" s="439"/>
      <c r="M22" s="439"/>
      <c r="O22" s="442">
        <f>IF(OR($A22="",$A22=0),0,INDEX('Data Interface'!D:D,$A22))</f>
        <v>81.621511070000054</v>
      </c>
      <c r="P22" s="442">
        <f>$O22-SUM($AS22:AS22)</f>
        <v>81.621511070000054</v>
      </c>
      <c r="Q22" s="442">
        <f>$O22-SUM($AS22:AT22)</f>
        <v>81.621511070000054</v>
      </c>
      <c r="R22" s="442">
        <f>$O22-SUM($AS22:AU22)</f>
        <v>81.621511070000054</v>
      </c>
      <c r="S22" s="442">
        <f>$O22-SUM($AS22:AV22)</f>
        <v>81.621511070000054</v>
      </c>
      <c r="T22" s="442">
        <f>$O22-SUM($AS22:AW22)</f>
        <v>81.621511070000054</v>
      </c>
      <c r="U22" s="442">
        <f>$O22-SUM($AS22:AX22)</f>
        <v>81.621511070000054</v>
      </c>
      <c r="V22" s="442">
        <f>$O22-SUM($AS22:AY22)</f>
        <v>81.621511070000054</v>
      </c>
      <c r="W22" s="442">
        <f>$O22-SUM($AS22:AZ22)</f>
        <v>81.621511070000054</v>
      </c>
      <c r="X22" s="442">
        <f>$O22-SUM($AS22:BA22)</f>
        <v>81.621511070000054</v>
      </c>
      <c r="Y22" s="442">
        <f>$O22-SUM($AS22:BB22)</f>
        <v>81.621511070000054</v>
      </c>
      <c r="Z22" s="442">
        <f>$O22-SUM($AS22:BC22)</f>
        <v>81.621511070000054</v>
      </c>
      <c r="AA22" s="442">
        <f>$O22-SUM($AS22:BD22)</f>
        <v>81.621511070000054</v>
      </c>
      <c r="AB22" s="442">
        <f>$O22-SUM($AS22:BE22)</f>
        <v>81.621511070000054</v>
      </c>
      <c r="AC22" s="442">
        <f>$O22-SUM($AS22:BF22)</f>
        <v>81.621511070000054</v>
      </c>
      <c r="AD22" s="442">
        <f>$O22-SUM($AS22:BG22)</f>
        <v>81.621511070000054</v>
      </c>
      <c r="AE22" s="442">
        <f>$O22-SUM($AS22:BH22)</f>
        <v>81.621511070000054</v>
      </c>
      <c r="AF22" s="442">
        <f>$O22-SUM($AS22:BI22)</f>
        <v>81.621511070000054</v>
      </c>
      <c r="AG22" s="442">
        <f>$O22-SUM($AS22:BJ22)</f>
        <v>81.621511070000054</v>
      </c>
      <c r="AH22" s="442">
        <f>$O22-SUM($AS22:BK22)</f>
        <v>81.621511070000054</v>
      </c>
      <c r="AI22" s="442">
        <f>$O22-SUM($AS22:BL22)</f>
        <v>81.621511070000054</v>
      </c>
      <c r="AJ22" s="442">
        <f>$O22-SUM($AS22:BM22)</f>
        <v>81.621511070000054</v>
      </c>
      <c r="AK22" s="442">
        <f>$O22-SUM($AS22:BN22)</f>
        <v>81.621511070000054</v>
      </c>
      <c r="AL22" s="442">
        <f>$O22-SUM($AS22:BO22)</f>
        <v>81.621511070000054</v>
      </c>
      <c r="AM22" s="442">
        <f>$O22-SUM($AS22:BP22)</f>
        <v>81.621511070000054</v>
      </c>
      <c r="AN22" s="442">
        <f>$O22-SUM($AS22:BQ22)</f>
        <v>81.621511070000054</v>
      </c>
      <c r="AO22" s="442">
        <f>$O22-SUM($AS22:BR22)</f>
        <v>81.621511070000054</v>
      </c>
      <c r="AP22" s="442">
        <f>$O22-SUM($AS22:BS22)</f>
        <v>81.621511070000054</v>
      </c>
      <c r="AR22" s="439" t="s">
        <v>1201</v>
      </c>
      <c r="AS22" s="442">
        <f>IF($H22="",0,IF($H22=1,IF('Para Adj'!$B$5 = 1,O22-($O22-SUMPRODUCT($CX22:CX22,$BU22:BU22))*(1-SUM($DZ22:DZ22)),BU22*CX22),$O22*BU22))</f>
        <v>0</v>
      </c>
      <c r="AT22" s="442">
        <f>IF($H22="",0,IF($H22=1,IF('Para Adj'!$B$5 = 1,P22-($O22-SUMPRODUCT($CX22:CY22,$BU22:BV22))*(1-SUM($DZ22:EA22)),BV22*CY22),$O22*BV22))</f>
        <v>0</v>
      </c>
      <c r="AU22" s="442">
        <f>IF($H22="",0,IF($H22=1,IF('Para Adj'!$B$5 = 1,Q22-($O22-SUMPRODUCT($CX22:CZ22,$BU22:BW22))*(1-SUM($DZ22:EB22)),BW22*CZ22),$O22*BW22))</f>
        <v>0</v>
      </c>
      <c r="AV22" s="442">
        <f>IF($H22="",0,IF($H22=1,IF('Para Adj'!$B$5 = 1,R22-($O22-SUMPRODUCT($CX22:DA22,$BU22:BX22))*(1-SUM($DZ22:EC22)),BX22*DA22),$O22*BX22))</f>
        <v>0</v>
      </c>
      <c r="AW22" s="442">
        <f>IF($H22="",0,IF($H22=1,IF('Para Adj'!$B$5 = 1,S22-($O22-SUMPRODUCT($CX22:DB22,$BU22:BY22))*(1-SUM($DZ22:ED22)),BY22*DB22),$O22*BY22))</f>
        <v>0</v>
      </c>
      <c r="AX22" s="442">
        <f>IF($H22="",0,IF($H22=1,IF('Para Adj'!$B$5 = 1,T22-($O22-SUMPRODUCT($CX22:DC22,$BU22:BZ22))*(1-SUM($DZ22:EE22)),BZ22*DC22),$O22*BZ22))</f>
        <v>0</v>
      </c>
      <c r="AY22" s="442">
        <f>IF($H22="",0,IF($H22=1,IF('Para Adj'!$B$5 = 1,U22-($O22-SUMPRODUCT($CX22:DD22,$BU22:CA22))*(1-SUM($DZ22:EF22)),CA22*DD22),$O22*CA22))</f>
        <v>0</v>
      </c>
      <c r="AZ22" s="442">
        <f>IF($H22="",0,IF($H22=1,IF('Para Adj'!$B$5 = 1,V22-($O22-SUMPRODUCT($CX22:DE22,$BU22:CB22))*(1-SUM($DZ22:EG22)),CB22*DE22),$O22*CB22))</f>
        <v>0</v>
      </c>
      <c r="BA22" s="442">
        <f>IF($H22="",0,IF($H22=1,IF('Para Adj'!$B$5 = 1,W22-($O22-SUMPRODUCT($CX22:DF22,$BU22:CC22))*(1-SUM($DZ22:EH22)),CC22*DF22),$O22*CC22))</f>
        <v>0</v>
      </c>
      <c r="BB22" s="442">
        <f>IF($H22="",0,IF($H22=1,IF('Para Adj'!$B$5 = 1,X22-($O22-SUMPRODUCT($CX22:DG22,$BU22:CD22))*(1-SUM($DZ22:EI22)),CD22*DG22),$O22*CD22))</f>
        <v>0</v>
      </c>
      <c r="BC22" s="442">
        <f>IF($H22="",0,IF($H22=1,IF('Para Adj'!$B$5 = 1,Y22-($O22-SUMPRODUCT($CX22:DH22,$BU22:CE22))*(1-SUM($DZ22:EJ22)),CE22*DH22),$O22*CE22))</f>
        <v>0</v>
      </c>
      <c r="BD22" s="442">
        <f>IF($H22="",0,IF($H22=1,IF('Para Adj'!$B$5 = 1,Z22-($O22-SUMPRODUCT($CX22:DI22,$BU22:CF22))*(1-SUM($DZ22:EK22)),CF22*DI22),$O22*CF22))</f>
        <v>0</v>
      </c>
      <c r="BE22" s="442">
        <f>IF($H22="",0,IF($H22=1,IF('Para Adj'!$B$5 = 1,AA22-($O22-SUMPRODUCT($CX22:DJ22,$BU22:CG22))*(1-SUM($DZ22:EL22)),CG22*DJ22),$O22*CG22))</f>
        <v>0</v>
      </c>
      <c r="BF22" s="442">
        <f>IF($H22="",0,IF($H22=1,IF('Para Adj'!$B$5 = 1,AB22-($O22-SUMPRODUCT($CX22:DK22,$BU22:CH22))*(1-SUM($DZ22:EM22)),CH22*DK22),$O22*CH22))</f>
        <v>0</v>
      </c>
      <c r="BG22" s="442">
        <f>IF($H22="",0,IF($H22=1,IF('Para Adj'!$B$5 = 1,AC22-($O22-SUMPRODUCT($CX22:DL22,$BU22:CI22))*(1-SUM($DZ22:EN22)),CI22*DL22),$O22*CI22))</f>
        <v>0</v>
      </c>
      <c r="BH22" s="442">
        <f>IF($H22="",0,IF($H22=1,IF('Para Adj'!$B$5 = 1,AD22-($O22-SUMPRODUCT($CX22:DM22,$BU22:CJ22))*(1-SUM($DZ22:EO22)),CJ22*DM22),$O22*CJ22))</f>
        <v>0</v>
      </c>
      <c r="BI22" s="442">
        <f>IF($H22="",0,IF($H22=1,IF('Para Adj'!$B$5 = 1,AE22-($O22-SUMPRODUCT($CX22:DN22,$BU22:CK22))*(1-SUM($DZ22:EP22)),CK22*DN22),$O22*CK22))</f>
        <v>0</v>
      </c>
      <c r="BJ22" s="442">
        <f>IF($H22="",0,IF($H22=1,IF('Para Adj'!$B$5 = 1,AF22-($O22-SUMPRODUCT($CX22:DO22,$BU22:CL22))*(1-SUM($DZ22:EQ22)),CL22*DO22),$O22*CL22))</f>
        <v>0</v>
      </c>
      <c r="BK22" s="442">
        <f>IF($H22="",0,IF($H22=1,IF('Para Adj'!$B$5 = 1,AG22-($O22-SUMPRODUCT($CX22:DP22,$BU22:CM22))*(1-SUM($DZ22:ER22)),CM22*DP22),$O22*CM22))</f>
        <v>0</v>
      </c>
      <c r="BL22" s="442">
        <f>IF($H22="",0,IF($H22=1,IF('Para Adj'!$B$5 = 1,AH22-($O22-SUMPRODUCT($CX22:DQ22,$BU22:CN22))*(1-SUM($DZ22:ES22)),CN22*DQ22),$O22*CN22))</f>
        <v>0</v>
      </c>
      <c r="BM22" s="442">
        <f>IF($H22="",0,IF($H22=1,IF('Para Adj'!$B$5 = 1,AI22-($O22-SUMPRODUCT($CX22:DR22,$BU22:CO22))*(1-SUM($DZ22:ET22)),CO22*DR22),$O22*CO22))</f>
        <v>0</v>
      </c>
      <c r="BN22" s="442">
        <f>IF($H22="",0,IF($H22=1,IF('Para Adj'!$B$5 = 1,AJ22-($O22-SUMPRODUCT($CX22:DS22,$BU22:CP22))*(1-SUM($DZ22:EU22)),CP22*DS22),$O22*CP22))</f>
        <v>0</v>
      </c>
      <c r="BO22" s="442">
        <f>IF($H22="",0,IF($H22=1,IF('Para Adj'!$B$5 = 1,AK22-($O22-SUMPRODUCT($CX22:DT22,$BU22:CQ22))*(1-SUM($DZ22:EV22)),CQ22*DT22),$O22*CQ22))</f>
        <v>0</v>
      </c>
      <c r="BP22" s="442">
        <f>IF($H22="",0,IF($H22=1,IF('Para Adj'!$B$5 = 1,AL22-($O22-SUMPRODUCT($CX22:DU22,$BU22:CR22))*(1-SUM($DZ22:EW22)),CR22*DU22),$O22*CR22))</f>
        <v>0</v>
      </c>
      <c r="BQ22" s="442">
        <f>IF($H22="",0,IF($H22=1,IF('Para Adj'!$B$5 = 1,AM22-($O22-SUMPRODUCT($CX22:DV22,$BU22:CS22))*(1-SUM($DZ22:EX22)),CS22*DV22),$O22*CS22))</f>
        <v>0</v>
      </c>
      <c r="BR22" s="442">
        <f>IF($H22="",0,IF($H22=1,IF('Para Adj'!$B$5 = 1,AN22-($O22-SUMPRODUCT($CX22:DW22,$BU22:CT22))*(1-SUM($DZ22:EY22)),CT22*DW22),$O22*CT22))</f>
        <v>0</v>
      </c>
      <c r="BS22" s="442">
        <f>IF($H22="",0,IF($H22=1,IF('Para Adj'!$B$5 = 1,AO22-($O22-SUMPRODUCT($CX22:DX22,$BU22:CU22))*(1-SUM($DZ22:EZ22)),CU22*DX22),$O22*CU22))</f>
        <v>0</v>
      </c>
      <c r="BU22" s="820" t="str">
        <f>IF($B22=0,"",INDEX(Assumptions!G:G,$B22))</f>
        <v/>
      </c>
      <c r="BV22" s="820" t="str">
        <f>IF($B22=0,"",INDEX(Assumptions!H:H,$B22))</f>
        <v/>
      </c>
      <c r="BW22" s="820" t="str">
        <f>IF($B22=0,"",INDEX(Assumptions!I:I,$B22))</f>
        <v/>
      </c>
      <c r="BX22" s="820" t="str">
        <f>IF($B22=0,"",INDEX(Assumptions!J:J,$B22))</f>
        <v/>
      </c>
      <c r="BY22" s="820" t="str">
        <f>IF($B22=0,"",INDEX(Assumptions!K:K,$B22))</f>
        <v/>
      </c>
      <c r="BZ22" s="820" t="str">
        <f>IF($B22=0,"",INDEX(Assumptions!L:L,$B22))</f>
        <v/>
      </c>
      <c r="CA22" s="820" t="str">
        <f>IF($B22=0,"",INDEX(Assumptions!M:M,$B22))</f>
        <v/>
      </c>
      <c r="CB22" s="820" t="str">
        <f>IF($B22=0,"",INDEX(Assumptions!N:N,$B22))</f>
        <v/>
      </c>
      <c r="CC22" s="820" t="str">
        <f>IF($B22=0,"",INDEX(Assumptions!O:O,$B22))</f>
        <v/>
      </c>
      <c r="CD22" s="820" t="str">
        <f>IF($B22=0,"",INDEX(Assumptions!P:P,$B22))</f>
        <v/>
      </c>
      <c r="CE22" s="820" t="str">
        <f>IF($B22=0,"",INDEX(Assumptions!Q:Q,$B22))</f>
        <v/>
      </c>
      <c r="CF22" s="820" t="str">
        <f>IF($B22=0,"",INDEX(Assumptions!R:R,$B22))</f>
        <v/>
      </c>
      <c r="CG22" s="820" t="str">
        <f>IF($B22=0,"",INDEX(Assumptions!S:S,$B22))</f>
        <v/>
      </c>
      <c r="CH22" s="820" t="str">
        <f>IF($B22=0,"",INDEX(Assumptions!T:T,$B22))</f>
        <v/>
      </c>
      <c r="CI22" s="820" t="str">
        <f>IF($B22=0,"",INDEX(Assumptions!U:U,$B22))</f>
        <v/>
      </c>
      <c r="CJ22" s="820" t="str">
        <f>IF($B22=0,"",INDEX(Assumptions!V:V,$B22))</f>
        <v/>
      </c>
      <c r="CK22" s="820" t="str">
        <f>IF($B22=0,"",INDEX(Assumptions!W:W,$B22))</f>
        <v/>
      </c>
      <c r="CL22" s="820" t="str">
        <f>IF($B22=0,"",INDEX(Assumptions!X:X,$B22))</f>
        <v/>
      </c>
      <c r="CM22" s="820" t="str">
        <f>IF($B22=0,"",INDEX(Assumptions!Y:Y,$B22))</f>
        <v/>
      </c>
      <c r="CN22" s="820" t="str">
        <f>IF($B22=0,"",INDEX(Assumptions!Z:Z,$B22))</f>
        <v/>
      </c>
      <c r="CO22" s="820" t="str">
        <f>IF($B22=0,"",INDEX(Assumptions!AA:AA,$B22))</f>
        <v/>
      </c>
      <c r="CP22" s="820" t="str">
        <f>IF($B22=0,"",INDEX(Assumptions!AB:AB,$B22))</f>
        <v/>
      </c>
      <c r="CQ22" s="820" t="str">
        <f>IF($B22=0,"",INDEX(Assumptions!AC:AC,$B22))</f>
        <v/>
      </c>
      <c r="CR22" s="820" t="str">
        <f>IF($B22=0,"",INDEX(Assumptions!AD:AD,$B22))</f>
        <v/>
      </c>
      <c r="CS22" s="820" t="str">
        <f>IF($B22=0,"",INDEX(Assumptions!AE:AE,$B22))</f>
        <v/>
      </c>
      <c r="CT22" s="820" t="str">
        <f>IF($B22=0,"",INDEX(Assumptions!AF:AF,$B22))</f>
        <v/>
      </c>
      <c r="CU22" s="820" t="str">
        <f>IF($B22=0,"",INDEX(Assumptions!AG:AG,$B22))</f>
        <v/>
      </c>
      <c r="CX22" s="442">
        <f>IF($A22="","",INDEX('Data Interface'!G:G,$A22))</f>
        <v>135.33330534000012</v>
      </c>
      <c r="CY22" s="442">
        <f>IF($A22="","",INDEX('Data Interface'!H:H,$A22))</f>
        <v>0</v>
      </c>
      <c r="CZ22" s="442">
        <f>IF($A22="","",INDEX('Data Interface'!I:I,$A22))</f>
        <v>0</v>
      </c>
      <c r="DA22" s="442">
        <f>IF($A22="","",INDEX('Data Interface'!J:J,$A22))</f>
        <v>0</v>
      </c>
      <c r="DB22" s="442">
        <f>IF($A22="","",INDEX('Data Interface'!K:K,$A22))</f>
        <v>0</v>
      </c>
      <c r="DC22" s="442">
        <f>IF($A22="","",INDEX('Data Interface'!L:L,$A22))</f>
        <v>0</v>
      </c>
      <c r="DD22" s="442">
        <f>IF($A22="","",INDEX('Data Interface'!M:M,$A22))</f>
        <v>0</v>
      </c>
      <c r="DE22" s="442">
        <f>IF($A22="","",INDEX('Data Interface'!N:N,$A22))</f>
        <v>0</v>
      </c>
      <c r="DF22" s="442">
        <f>IF($A22="","",INDEX('Data Interface'!O:O,$A22))</f>
        <v>0</v>
      </c>
      <c r="DG22" s="442">
        <f>IF($A22="","",INDEX('Data Interface'!P:P,$A22))</f>
        <v>0</v>
      </c>
      <c r="DH22" s="442">
        <f>IF($A22="","",INDEX('Data Interface'!Q:Q,$A22))</f>
        <v>0</v>
      </c>
      <c r="DI22" s="442">
        <f>IF($A22="","",INDEX('Data Interface'!R:R,$A22))</f>
        <v>0</v>
      </c>
      <c r="DJ22" s="442">
        <f>IF($A22="","",INDEX('Data Interface'!S:S,$A22))</f>
        <v>0</v>
      </c>
      <c r="DK22" s="442">
        <f>IF($A22="","",INDEX('Data Interface'!T:T,$A22))</f>
        <v>0</v>
      </c>
      <c r="DL22" s="442">
        <f>IF($A22="","",INDEX('Data Interface'!U:U,$A22))</f>
        <v>0</v>
      </c>
      <c r="DM22" s="442">
        <f>IF($A22="","",INDEX('Data Interface'!V:V,$A22))</f>
        <v>0</v>
      </c>
      <c r="DN22" s="442">
        <f>IF($A22="","",INDEX('Data Interface'!W:W,$A22))</f>
        <v>0</v>
      </c>
      <c r="DO22" s="442">
        <f>IF($A22="","",INDEX('Data Interface'!X:X,$A22))</f>
        <v>0</v>
      </c>
      <c r="DP22" s="442">
        <f>IF($A22="","",INDEX('Data Interface'!Y:Y,$A22))</f>
        <v>0</v>
      </c>
      <c r="DQ22" s="442">
        <f>IF($A22="","",INDEX('Data Interface'!Z:Z,$A22))</f>
        <v>0</v>
      </c>
      <c r="DR22" s="442">
        <f>IF($A22="","",INDEX('Data Interface'!AA:AA,$A22))</f>
        <v>0</v>
      </c>
      <c r="DS22" s="442">
        <f>IF($A22="","",INDEX('Data Interface'!AB:AB,$A22))</f>
        <v>0</v>
      </c>
      <c r="DT22" s="442">
        <f>IF($A22="","",INDEX('Data Interface'!AC:AC,$A22))</f>
        <v>0</v>
      </c>
      <c r="DU22" s="442">
        <f>IF($A22="","",INDEX('Data Interface'!AD:AD,$A22))</f>
        <v>0</v>
      </c>
      <c r="DV22" s="442">
        <f>IF($A22="","",INDEX('Data Interface'!AE:AE,$A22))</f>
        <v>0</v>
      </c>
      <c r="DW22" s="442">
        <f>IF($A22="","",INDEX('Data Interface'!AF:AF,$A22))</f>
        <v>0</v>
      </c>
      <c r="DX22" s="442">
        <f>IF($A22="","",INDEX('Data Interface'!AG:AG,$A22))</f>
        <v>0</v>
      </c>
      <c r="DZ22" s="906" t="str">
        <f>IF(OR($B22=0,$A22=0,$H22&lt;&gt;1),"",INDEX(Assumptions!EO:EO,$B22))</f>
        <v/>
      </c>
      <c r="EA22" s="906" t="str">
        <f>IF(OR($B22=0,$A22=0,$H22&lt;&gt;1),"",INDEX(Assumptions!EP:EP,$B22))</f>
        <v/>
      </c>
      <c r="EB22" s="906" t="str">
        <f>IF(OR($B22=0,$A22=0,$H22&lt;&gt;1),"",INDEX(Assumptions!EQ:EQ,$B22))</f>
        <v/>
      </c>
      <c r="EC22" s="906" t="str">
        <f>IF(OR($B22=0,$A22=0,$H22&lt;&gt;1),"",INDEX(Assumptions!ER:ER,$B22))</f>
        <v/>
      </c>
      <c r="ED22" s="906" t="str">
        <f>IF(OR($B22=0,$A22=0,$H22&lt;&gt;1),"",INDEX(Assumptions!ES:ES,$B22))</f>
        <v/>
      </c>
      <c r="EE22" s="906" t="str">
        <f>IF(OR($B22=0,$A22=0,$H22&lt;&gt;1),"",INDEX(Assumptions!ET:ET,$B22))</f>
        <v/>
      </c>
      <c r="EF22" s="906" t="str">
        <f>IF(OR($B22=0,$A22=0,$H22&lt;&gt;1),"",INDEX(Assumptions!EU:EU,$B22))</f>
        <v/>
      </c>
      <c r="EG22" s="906" t="str">
        <f>IF(OR($B22=0,$A22=0,$H22&lt;&gt;1),"",INDEX(Assumptions!EV:EV,$B22))</f>
        <v/>
      </c>
      <c r="EH22" s="906" t="str">
        <f>IF(OR($B22=0,$A22=0,$H22&lt;&gt;1),"",INDEX(Assumptions!EW:EW,$B22))</f>
        <v/>
      </c>
      <c r="EI22" s="906" t="str">
        <f>IF(OR($B22=0,$A22=0,$H22&lt;&gt;1),"",INDEX(Assumptions!EX:EX,$B22))</f>
        <v/>
      </c>
      <c r="EJ22" s="906" t="str">
        <f>IF(OR($B22=0,$A22=0,$H22&lt;&gt;1),"",INDEX(Assumptions!EY:EY,$B22))</f>
        <v/>
      </c>
      <c r="EK22" s="906" t="str">
        <f>IF(OR($B22=0,$A22=0,$H22&lt;&gt;1),"",INDEX(Assumptions!EZ:EZ,$B22))</f>
        <v/>
      </c>
      <c r="EL22" s="906" t="str">
        <f>IF(OR($B22=0,$A22=0,$H22&lt;&gt;1),"",INDEX(Assumptions!FA:FA,$B22))</f>
        <v/>
      </c>
      <c r="EM22" s="906" t="str">
        <f>IF(OR($B22=0,$A22=0,$H22&lt;&gt;1),"",INDEX(Assumptions!FB:FB,$B22))</f>
        <v/>
      </c>
      <c r="EN22" s="906" t="str">
        <f>IF(OR($B22=0,$A22=0,$H22&lt;&gt;1),"",INDEX(Assumptions!FC:FC,$B22))</f>
        <v/>
      </c>
      <c r="EO22" s="906" t="str">
        <f>IF(OR($B22=0,$A22=0,$H22&lt;&gt;1),"",INDEX(Assumptions!FD:FD,$B22))</f>
        <v/>
      </c>
      <c r="EP22" s="906" t="str">
        <f>IF(OR($B22=0,$A22=0,$H22&lt;&gt;1),"",INDEX(Assumptions!FE:FE,$B22))</f>
        <v/>
      </c>
      <c r="EQ22" s="906" t="str">
        <f>IF(OR($B22=0,$A22=0,$H22&lt;&gt;1),"",INDEX(Assumptions!FF:FF,$B22))</f>
        <v/>
      </c>
      <c r="ER22" s="906" t="str">
        <f>IF(OR($B22=0,$A22=0,$H22&lt;&gt;1),"",INDEX(Assumptions!FG:FG,$B22))</f>
        <v/>
      </c>
      <c r="ES22" s="906" t="str">
        <f>IF(OR($B22=0,$A22=0,$H22&lt;&gt;1),"",INDEX(Assumptions!FH:FH,$B22))</f>
        <v/>
      </c>
      <c r="ET22" s="906" t="str">
        <f>IF(OR($B22=0,$A22=0,$H22&lt;&gt;1),"",INDEX(Assumptions!FI:FI,$B22))</f>
        <v/>
      </c>
      <c r="EU22" s="906" t="str">
        <f>IF(OR($B22=0,$A22=0,$H22&lt;&gt;1),"",INDEX(Assumptions!FJ:FJ,$B22))</f>
        <v/>
      </c>
      <c r="EV22" s="906" t="str">
        <f>IF(OR($B22=0,$A22=0,$H22&lt;&gt;1),"",INDEX(Assumptions!FK:FK,$B22))</f>
        <v/>
      </c>
      <c r="EW22" s="906" t="str">
        <f>IF(OR($B22=0,$A22=0,$H22&lt;&gt;1),"",INDEX(Assumptions!FL:FL,$B22))</f>
        <v/>
      </c>
      <c r="EX22" s="906" t="str">
        <f>IF(OR($B22=0,$A22=0,$H22&lt;&gt;1),"",INDEX(Assumptions!FM:FM,$B22))</f>
        <v/>
      </c>
      <c r="EY22" s="906" t="str">
        <f>IF(OR($B22=0,$A22=0,$H22&lt;&gt;1),"",INDEX(Assumptions!FN:FN,$B22))</f>
        <v/>
      </c>
      <c r="EZ22" s="906" t="str">
        <f>IF(OR($B22=0,$A22=0,$H22&lt;&gt;1),"",INDEX(Assumptions!FO:FO,$B22))</f>
        <v/>
      </c>
      <c r="FB22" s="820" t="str">
        <f t="shared" si="18"/>
        <v/>
      </c>
      <c r="FC22" s="820" t="str">
        <f t="shared" si="19"/>
        <v/>
      </c>
      <c r="FD22" s="820" t="str">
        <f t="shared" si="20"/>
        <v/>
      </c>
      <c r="FE22" s="820" t="str">
        <f t="shared" si="21"/>
        <v/>
      </c>
      <c r="FF22" s="820" t="str">
        <f t="shared" si="22"/>
        <v/>
      </c>
    </row>
    <row r="23" spans="1:162">
      <c r="A23" s="440">
        <f>IFERROR(MATCH(C23,'Data Interface'!B:B,0),0)</f>
        <v>21</v>
      </c>
      <c r="B23" s="440">
        <f>IFERROR(MATCH(C23,Assumptions!$B:$B,0),0)</f>
        <v>42</v>
      </c>
      <c r="C23" s="441" t="s">
        <v>994</v>
      </c>
      <c r="E23" s="441" t="s">
        <v>1219</v>
      </c>
      <c r="F23" s="440" t="s">
        <v>34</v>
      </c>
      <c r="G23" s="440" t="str">
        <f>IF(A23=0,"",INDEX('Data Interface'!$C:$C,$A23))</f>
        <v>Due to Interbranch - Demand</v>
      </c>
      <c r="H23" s="440">
        <v>0</v>
      </c>
      <c r="I23" s="819">
        <f t="shared" ca="1" si="10"/>
        <v>9.600000000000003E-2</v>
      </c>
      <c r="J23" s="819">
        <f t="shared" ca="1" si="11"/>
        <v>0.12000000000000002</v>
      </c>
      <c r="K23" s="439" t="str">
        <f t="shared" ca="1" si="12"/>
        <v>9.6% of Current Balance</v>
      </c>
      <c r="L23" s="439" t="s">
        <v>1149</v>
      </c>
      <c r="M23" s="439" t="s">
        <v>1528</v>
      </c>
      <c r="O23" s="442">
        <f>IF(OR($A23="",$A23=0),0,INDEX('Data Interface'!D:D,$A23))</f>
        <v>19.421565280000003</v>
      </c>
      <c r="P23" s="442">
        <f ca="1">$O23-SUM($AS23:AS23)</f>
        <v>18.800075191040001</v>
      </c>
      <c r="Q23" s="442">
        <f ca="1">$O23-SUM($AS23:AT23)</f>
        <v>18.69649350954667</v>
      </c>
      <c r="R23" s="442">
        <f ca="1">$O23-SUM($AS23:AU23)</f>
        <v>18.592911828053335</v>
      </c>
      <c r="S23" s="442">
        <f ca="1">$O23-SUM($AS23:AV23)</f>
        <v>18.489330146560004</v>
      </c>
      <c r="T23" s="442">
        <f ca="1">$O23-SUM($AS23:AW23)</f>
        <v>18.385748465066669</v>
      </c>
      <c r="U23" s="442">
        <f ca="1">$O23-SUM($AS23:AX23)</f>
        <v>18.282166783573338</v>
      </c>
      <c r="V23" s="442">
        <f ca="1">$O23-SUM($AS23:AY23)</f>
        <v>18.178585102080003</v>
      </c>
      <c r="W23" s="442">
        <f ca="1">$O23-SUM($AS23:AZ23)</f>
        <v>18.089800803657145</v>
      </c>
      <c r="X23" s="442">
        <f ca="1">$O23-SUM($AS23:BA23)</f>
        <v>18.00101650523429</v>
      </c>
      <c r="Y23" s="442">
        <f ca="1">$O23-SUM($AS23:BB23)</f>
        <v>17.912232206811431</v>
      </c>
      <c r="Z23" s="442">
        <f ca="1">$O23-SUM($AS23:BC23)</f>
        <v>17.823447908388573</v>
      </c>
      <c r="AA23" s="442">
        <f ca="1">$O23-SUM($AS23:BD23)</f>
        <v>17.734663609965718</v>
      </c>
      <c r="AB23" s="442">
        <f ca="1">$O23-SUM($AS23:BE23)</f>
        <v>17.64587931154286</v>
      </c>
      <c r="AC23" s="442">
        <f ca="1">$O23-SUM($AS23:BF23)</f>
        <v>17.557095013120005</v>
      </c>
      <c r="AD23" s="442">
        <f ca="1">$O23-SUM($AS23:BG23)</f>
        <v>17.324036229760004</v>
      </c>
      <c r="AE23" s="442">
        <f ca="1">$O23-SUM($AS23:BH23)</f>
        <v>17.090977446400004</v>
      </c>
      <c r="AF23" s="442">
        <f ca="1">$O23-SUM($AS23:BI23)</f>
        <v>16.857918663040003</v>
      </c>
      <c r="AG23" s="442">
        <f ca="1">$O23-SUM($AS23:BJ23)</f>
        <v>16.624859879680002</v>
      </c>
      <c r="AH23" s="442">
        <f ca="1">$O23-SUM($AS23:BK23)</f>
        <v>16.547173618560002</v>
      </c>
      <c r="AI23" s="442">
        <f ca="1">$O23-SUM($AS23:BL23)</f>
        <v>16.469487357440002</v>
      </c>
      <c r="AJ23" s="442">
        <f ca="1">$O23-SUM($AS23:BM23)</f>
        <v>16.391801096320002</v>
      </c>
      <c r="AK23" s="442">
        <f ca="1">$O23-SUM($AS23:BN23)</f>
        <v>16.314114835200002</v>
      </c>
      <c r="AL23" s="442">
        <f ca="1">$O23-SUM($AS23:BO23)</f>
        <v>16.236428574080001</v>
      </c>
      <c r="AM23" s="442">
        <f ca="1">$O23-SUM($AS23:BP23)</f>
        <v>16.158742312960001</v>
      </c>
      <c r="AN23" s="442">
        <f ca="1">$O23-SUM($AS23:BQ23)</f>
        <v>16.081056051840001</v>
      </c>
      <c r="AO23" s="442">
        <f ca="1">$O23-SUM($AS23:BR23)</f>
        <v>16.003369790720001</v>
      </c>
      <c r="AP23" s="442">
        <f ca="1">$O23-SUM($AS23:BS23)</f>
        <v>15.925683529600002</v>
      </c>
      <c r="AR23" s="439" t="s">
        <v>1202</v>
      </c>
      <c r="AS23" s="442">
        <f ca="1">IF($H23="",0,IF($H23=1,IF('Para Adj'!$B$5 = 1,O23-($O23-SUMPRODUCT($CX23:CX23,$BU23:BU23))*(1-SUM($DZ23:DZ23)),BU23*CX23),$O23*BU23))</f>
        <v>0.62149008896000013</v>
      </c>
      <c r="AT23" s="442">
        <f ca="1">IF($H23="",0,IF($H23=1,IF('Para Adj'!$B$5 = 1,P23-($O23-SUMPRODUCT($CX23:CY23,$BU23:BV23))*(1-SUM($DZ23:EA23)),BV23*CY23),$O23*BV23))</f>
        <v>0.10358168149333334</v>
      </c>
      <c r="AU23" s="442">
        <f ca="1">IF($H23="",0,IF($H23=1,IF('Para Adj'!$B$5 = 1,Q23-($O23-SUMPRODUCT($CX23:CZ23,$BU23:BW23))*(1-SUM($DZ23:EB23)),BW23*CZ23),$O23*BW23))</f>
        <v>0.10358168149333334</v>
      </c>
      <c r="AV23" s="442">
        <f ca="1">IF($H23="",0,IF($H23=1,IF('Para Adj'!$B$5 = 1,R23-($O23-SUMPRODUCT($CX23:DA23,$BU23:BX23))*(1-SUM($DZ23:EC23)),BX23*DA23),$O23*BX23))</f>
        <v>0.10358168149333334</v>
      </c>
      <c r="AW23" s="442">
        <f ca="1">IF($H23="",0,IF($H23=1,IF('Para Adj'!$B$5 = 1,S23-($O23-SUMPRODUCT($CX23:DB23,$BU23:BY23))*(1-SUM($DZ23:ED23)),BY23*DB23),$O23*BY23))</f>
        <v>0.10358168149333334</v>
      </c>
      <c r="AX23" s="442">
        <f ca="1">IF($H23="",0,IF($H23=1,IF('Para Adj'!$B$5 = 1,T23-($O23-SUMPRODUCT($CX23:DC23,$BU23:BZ23))*(1-SUM($DZ23:EE23)),BZ23*DC23),$O23*BZ23))</f>
        <v>0.10358168149333334</v>
      </c>
      <c r="AY23" s="442">
        <f ca="1">IF($H23="",0,IF($H23=1,IF('Para Adj'!$B$5 = 1,U23-($O23-SUMPRODUCT($CX23:DD23,$BU23:CA23))*(1-SUM($DZ23:EF23)),CA23*DD23),$O23*CA23))</f>
        <v>0.10358168149333334</v>
      </c>
      <c r="AZ23" s="442">
        <f ca="1">IF($H23="",0,IF($H23=1,IF('Para Adj'!$B$5 = 1,V23-($O23-SUMPRODUCT($CX23:DE23,$BU23:CB23))*(1-SUM($DZ23:EG23)),CB23*DE23),$O23*CB23))</f>
        <v>8.8784298422857164E-2</v>
      </c>
      <c r="BA23" s="442">
        <f ca="1">IF($H23="",0,IF($H23=1,IF('Para Adj'!$B$5 = 1,W23-($O23-SUMPRODUCT($CX23:DF23,$BU23:CC23))*(1-SUM($DZ23:EH23)),CC23*DF23),$O23*CC23))</f>
        <v>8.8784298422857164E-2</v>
      </c>
      <c r="BB23" s="442">
        <f ca="1">IF($H23="",0,IF($H23=1,IF('Para Adj'!$B$5 = 1,X23-($O23-SUMPRODUCT($CX23:DG23,$BU23:CD23))*(1-SUM($DZ23:EI23)),CD23*DG23),$O23*CD23))</f>
        <v>8.8784298422857164E-2</v>
      </c>
      <c r="BC23" s="442">
        <f ca="1">IF($H23="",0,IF($H23=1,IF('Para Adj'!$B$5 = 1,Y23-($O23-SUMPRODUCT($CX23:DH23,$BU23:CE23))*(1-SUM($DZ23:EJ23)),CE23*DH23),$O23*CE23))</f>
        <v>8.8784298422857164E-2</v>
      </c>
      <c r="BD23" s="442">
        <f ca="1">IF($H23="",0,IF($H23=1,IF('Para Adj'!$B$5 = 1,Z23-($O23-SUMPRODUCT($CX23:DI23,$BU23:CF23))*(1-SUM($DZ23:EK23)),CF23*DI23),$O23*CF23))</f>
        <v>8.8784298422857164E-2</v>
      </c>
      <c r="BE23" s="442">
        <f ca="1">IF($H23="",0,IF($H23=1,IF('Para Adj'!$B$5 = 1,AA23-($O23-SUMPRODUCT($CX23:DJ23,$BU23:CG23))*(1-SUM($DZ23:EL23)),CG23*DJ23),$O23*CG23))</f>
        <v>8.8784298422857164E-2</v>
      </c>
      <c r="BF23" s="442">
        <f ca="1">IF($H23="",0,IF($H23=1,IF('Para Adj'!$B$5 = 1,AB23-($O23-SUMPRODUCT($CX23:DK23,$BU23:CH23))*(1-SUM($DZ23:EM23)),CH23*DK23),$O23*CH23))</f>
        <v>8.8784298422857164E-2</v>
      </c>
      <c r="BG23" s="442">
        <f ca="1">IF($H23="",0,IF($H23=1,IF('Para Adj'!$B$5 = 1,AC23-($O23-SUMPRODUCT($CX23:DL23,$BU23:CI23))*(1-SUM($DZ23:EN23)),CI23*DL23),$O23*CI23))</f>
        <v>0.23305878335999997</v>
      </c>
      <c r="BH23" s="442">
        <f ca="1">IF($H23="",0,IF($H23=1,IF('Para Adj'!$B$5 = 1,AD23-($O23-SUMPRODUCT($CX23:DM23,$BU23:CJ23))*(1-SUM($DZ23:EO23)),CJ23*DM23),$O23*CJ23))</f>
        <v>0.23305878335999997</v>
      </c>
      <c r="BI23" s="442">
        <f ca="1">IF($H23="",0,IF($H23=1,IF('Para Adj'!$B$5 = 1,AE23-($O23-SUMPRODUCT($CX23:DN23,$BU23:CK23))*(1-SUM($DZ23:EP23)),CK23*DN23),$O23*CK23))</f>
        <v>0.23305878335999997</v>
      </c>
      <c r="BJ23" s="442">
        <f ca="1">IF($H23="",0,IF($H23=1,IF('Para Adj'!$B$5 = 1,AF23-($O23-SUMPRODUCT($CX23:DO23,$BU23:CL23))*(1-SUM($DZ23:EQ23)),CL23*DO23),$O23*CL23))</f>
        <v>0.23305878335999997</v>
      </c>
      <c r="BK23" s="442">
        <f ca="1">IF($H23="",0,IF($H23=1,IF('Para Adj'!$B$5 = 1,AG23-($O23-SUMPRODUCT($CX23:DP23,$BU23:CM23))*(1-SUM($DZ23:ER23)),CM23*DP23),$O23*CM23))</f>
        <v>7.7686261120000016E-2</v>
      </c>
      <c r="BL23" s="442">
        <f ca="1">IF($H23="",0,IF($H23=1,IF('Para Adj'!$B$5 = 1,AH23-($O23-SUMPRODUCT($CX23:DQ23,$BU23:CN23))*(1-SUM($DZ23:ES23)),CN23*DQ23),$O23*CN23))</f>
        <v>7.7686261120000016E-2</v>
      </c>
      <c r="BM23" s="442">
        <f ca="1">IF($H23="",0,IF($H23=1,IF('Para Adj'!$B$5 = 1,AI23-($O23-SUMPRODUCT($CX23:DR23,$BU23:CO23))*(1-SUM($DZ23:ET23)),CO23*DR23),$O23*CO23))</f>
        <v>7.7686261120000016E-2</v>
      </c>
      <c r="BN23" s="442">
        <f ca="1">IF($H23="",0,IF($H23=1,IF('Para Adj'!$B$5 = 1,AJ23-($O23-SUMPRODUCT($CX23:DS23,$BU23:CP23))*(1-SUM($DZ23:EU23)),CP23*DS23),$O23*CP23))</f>
        <v>7.7686261120000016E-2</v>
      </c>
      <c r="BO23" s="442">
        <f ca="1">IF($H23="",0,IF($H23=1,IF('Para Adj'!$B$5 = 1,AK23-($O23-SUMPRODUCT($CX23:DT23,$BU23:CQ23))*(1-SUM($DZ23:EV23)),CQ23*DT23),$O23*CQ23))</f>
        <v>7.7686261120000016E-2</v>
      </c>
      <c r="BP23" s="442">
        <f ca="1">IF($H23="",0,IF($H23=1,IF('Para Adj'!$B$5 = 1,AL23-($O23-SUMPRODUCT($CX23:DU23,$BU23:CR23))*(1-SUM($DZ23:EW23)),CR23*DU23),$O23*CR23))</f>
        <v>7.7686261120000016E-2</v>
      </c>
      <c r="BQ23" s="442">
        <f ca="1">IF($H23="",0,IF($H23=1,IF('Para Adj'!$B$5 = 1,AM23-($O23-SUMPRODUCT($CX23:DV23,$BU23:CS23))*(1-SUM($DZ23:EX23)),CS23*DV23),$O23*CS23))</f>
        <v>7.7686261120000016E-2</v>
      </c>
      <c r="BR23" s="442">
        <f ca="1">IF($H23="",0,IF($H23=1,IF('Para Adj'!$B$5 = 1,AN23-($O23-SUMPRODUCT($CX23:DW23,$BU23:CT23))*(1-SUM($DZ23:EY23)),CT23*DW23),$O23*CT23))</f>
        <v>7.7686261120000016E-2</v>
      </c>
      <c r="BS23" s="442">
        <f ca="1">IF($H23="",0,IF($H23=1,IF('Para Adj'!$B$5 = 1,AO23-($O23-SUMPRODUCT($CX23:DX23,$BU23:CU23))*(1-SUM($DZ23:EZ23)),CU23*DX23),$O23*CU23))</f>
        <v>7.7686261120000016E-2</v>
      </c>
      <c r="BU23" s="820">
        <f ca="1">IF($B23=0,"",INDEX(Assumptions!G:G,$B23))</f>
        <v>3.2000000000000001E-2</v>
      </c>
      <c r="BV23" s="820">
        <f ca="1">IF($B23=0,"",INDEX(Assumptions!H:H,$B23))</f>
        <v>5.3333333333333332E-3</v>
      </c>
      <c r="BW23" s="820">
        <f ca="1">IF($B23=0,"",INDEX(Assumptions!I:I,$B23))</f>
        <v>5.3333333333333332E-3</v>
      </c>
      <c r="BX23" s="820">
        <f ca="1">IF($B23=0,"",INDEX(Assumptions!J:J,$B23))</f>
        <v>5.3333333333333332E-3</v>
      </c>
      <c r="BY23" s="820">
        <f ca="1">IF($B23=0,"",INDEX(Assumptions!K:K,$B23))</f>
        <v>5.3333333333333332E-3</v>
      </c>
      <c r="BZ23" s="820">
        <f ca="1">IF($B23=0,"",INDEX(Assumptions!L:L,$B23))</f>
        <v>5.3333333333333332E-3</v>
      </c>
      <c r="CA23" s="820">
        <f ca="1">IF($B23=0,"",INDEX(Assumptions!M:M,$B23))</f>
        <v>5.3333333333333332E-3</v>
      </c>
      <c r="CB23" s="820">
        <f ca="1">IF($B23=0,"",INDEX(Assumptions!N:N,$B23))</f>
        <v>4.5714285714285718E-3</v>
      </c>
      <c r="CC23" s="820">
        <f ca="1">IF($B23=0,"",INDEX(Assumptions!O:O,$B23))</f>
        <v>4.5714285714285718E-3</v>
      </c>
      <c r="CD23" s="820">
        <f ca="1">IF($B23=0,"",INDEX(Assumptions!P:P,$B23))</f>
        <v>4.5714285714285718E-3</v>
      </c>
      <c r="CE23" s="820">
        <f ca="1">IF($B23=0,"",INDEX(Assumptions!Q:Q,$B23))</f>
        <v>4.5714285714285718E-3</v>
      </c>
      <c r="CF23" s="820">
        <f ca="1">IF($B23=0,"",INDEX(Assumptions!R:R,$B23))</f>
        <v>4.5714285714285718E-3</v>
      </c>
      <c r="CG23" s="820">
        <f ca="1">IF($B23=0,"",INDEX(Assumptions!S:S,$B23))</f>
        <v>4.5714285714285718E-3</v>
      </c>
      <c r="CH23" s="820">
        <f ca="1">IF($B23=0,"",INDEX(Assumptions!T:T,$B23))</f>
        <v>4.5714285714285718E-3</v>
      </c>
      <c r="CI23" s="820">
        <f ca="1">IF($B23=0,"",INDEX(Assumptions!U:U,$B23))</f>
        <v>1.1999999999999997E-2</v>
      </c>
      <c r="CJ23" s="820">
        <f ca="1">IF($B23=0,"",INDEX(Assumptions!V:V,$B23))</f>
        <v>1.1999999999999997E-2</v>
      </c>
      <c r="CK23" s="820">
        <f ca="1">IF($B23=0,"",INDEX(Assumptions!W:W,$B23))</f>
        <v>1.1999999999999997E-2</v>
      </c>
      <c r="CL23" s="820">
        <f ca="1">IF($B23=0,"",INDEX(Assumptions!X:X,$B23))</f>
        <v>1.1999999999999997E-2</v>
      </c>
      <c r="CM23" s="820">
        <f ca="1">IF($B23=0,"",INDEX(Assumptions!Y:Y,$B23))</f>
        <v>4.0000000000000001E-3</v>
      </c>
      <c r="CN23" s="820">
        <f ca="1">IF($B23=0,"",INDEX(Assumptions!Z:Z,$B23))</f>
        <v>4.0000000000000001E-3</v>
      </c>
      <c r="CO23" s="820">
        <f ca="1">IF($B23=0,"",INDEX(Assumptions!AA:AA,$B23))</f>
        <v>4.0000000000000001E-3</v>
      </c>
      <c r="CP23" s="820">
        <f ca="1">IF($B23=0,"",INDEX(Assumptions!AB:AB,$B23))</f>
        <v>4.0000000000000001E-3</v>
      </c>
      <c r="CQ23" s="820">
        <f ca="1">IF($B23=0,"",INDEX(Assumptions!AC:AC,$B23))</f>
        <v>4.0000000000000001E-3</v>
      </c>
      <c r="CR23" s="820">
        <f ca="1">IF($B23=0,"",INDEX(Assumptions!AD:AD,$B23))</f>
        <v>4.0000000000000001E-3</v>
      </c>
      <c r="CS23" s="820">
        <f ca="1">IF($B23=0,"",INDEX(Assumptions!AE:AE,$B23))</f>
        <v>4.0000000000000001E-3</v>
      </c>
      <c r="CT23" s="820">
        <f ca="1">IF($B23=0,"",INDEX(Assumptions!AF:AF,$B23))</f>
        <v>4.0000000000000001E-3</v>
      </c>
      <c r="CU23" s="820">
        <f ca="1">IF($B23=0,"",INDEX(Assumptions!AG:AG,$B23))</f>
        <v>4.0000000000000001E-3</v>
      </c>
      <c r="CX23" s="442">
        <f>IF($A23="","",INDEX('Data Interface'!G:G,$A23))</f>
        <v>19.421565280000003</v>
      </c>
      <c r="CY23" s="442">
        <f>IF($A23="","",INDEX('Data Interface'!H:H,$A23))</f>
        <v>0</v>
      </c>
      <c r="CZ23" s="442">
        <f>IF($A23="","",INDEX('Data Interface'!I:I,$A23))</f>
        <v>0</v>
      </c>
      <c r="DA23" s="442">
        <f>IF($A23="","",INDEX('Data Interface'!J:J,$A23))</f>
        <v>0</v>
      </c>
      <c r="DB23" s="442">
        <f>IF($A23="","",INDEX('Data Interface'!K:K,$A23))</f>
        <v>0</v>
      </c>
      <c r="DC23" s="442">
        <f>IF($A23="","",INDEX('Data Interface'!L:L,$A23))</f>
        <v>0</v>
      </c>
      <c r="DD23" s="442">
        <f>IF($A23="","",INDEX('Data Interface'!M:M,$A23))</f>
        <v>0</v>
      </c>
      <c r="DE23" s="442">
        <f>IF($A23="","",INDEX('Data Interface'!N:N,$A23))</f>
        <v>0</v>
      </c>
      <c r="DF23" s="442">
        <f>IF($A23="","",INDEX('Data Interface'!O:O,$A23))</f>
        <v>0</v>
      </c>
      <c r="DG23" s="442">
        <f>IF($A23="","",INDEX('Data Interface'!P:P,$A23))</f>
        <v>0</v>
      </c>
      <c r="DH23" s="442">
        <f>IF($A23="","",INDEX('Data Interface'!Q:Q,$A23))</f>
        <v>0</v>
      </c>
      <c r="DI23" s="442">
        <f>IF($A23="","",INDEX('Data Interface'!R:R,$A23))</f>
        <v>0</v>
      </c>
      <c r="DJ23" s="442">
        <f>IF($A23="","",INDEX('Data Interface'!S:S,$A23))</f>
        <v>0</v>
      </c>
      <c r="DK23" s="442">
        <f>IF($A23="","",INDEX('Data Interface'!T:T,$A23))</f>
        <v>0</v>
      </c>
      <c r="DL23" s="442">
        <f>IF($A23="","",INDEX('Data Interface'!U:U,$A23))</f>
        <v>0</v>
      </c>
      <c r="DM23" s="442">
        <f>IF($A23="","",INDEX('Data Interface'!V:V,$A23))</f>
        <v>0</v>
      </c>
      <c r="DN23" s="442">
        <f>IF($A23="","",INDEX('Data Interface'!W:W,$A23))</f>
        <v>0</v>
      </c>
      <c r="DO23" s="442">
        <f>IF($A23="","",INDEX('Data Interface'!X:X,$A23))</f>
        <v>0</v>
      </c>
      <c r="DP23" s="442">
        <f>IF($A23="","",INDEX('Data Interface'!Y:Y,$A23))</f>
        <v>0</v>
      </c>
      <c r="DQ23" s="442">
        <f>IF($A23="","",INDEX('Data Interface'!Z:Z,$A23))</f>
        <v>0</v>
      </c>
      <c r="DR23" s="442">
        <f>IF($A23="","",INDEX('Data Interface'!AA:AA,$A23))</f>
        <v>0</v>
      </c>
      <c r="DS23" s="442">
        <f>IF($A23="","",INDEX('Data Interface'!AB:AB,$A23))</f>
        <v>0</v>
      </c>
      <c r="DT23" s="442">
        <f>IF($A23="","",INDEX('Data Interface'!AC:AC,$A23))</f>
        <v>0</v>
      </c>
      <c r="DU23" s="442">
        <f>IF($A23="","",INDEX('Data Interface'!AD:AD,$A23))</f>
        <v>0</v>
      </c>
      <c r="DV23" s="442">
        <f>IF($A23="","",INDEX('Data Interface'!AE:AE,$A23))</f>
        <v>0</v>
      </c>
      <c r="DW23" s="442">
        <f>IF($A23="","",INDEX('Data Interface'!AF:AF,$A23))</f>
        <v>0</v>
      </c>
      <c r="DX23" s="442">
        <f>IF($A23="","",INDEX('Data Interface'!AG:AG,$A23))</f>
        <v>0</v>
      </c>
      <c r="DZ23" s="914" t="str">
        <f>IF(OR($B23=0,$A23=0,$H23&lt;&gt;1),"",INDEX(Assumptions!EO:EO,$B23))</f>
        <v/>
      </c>
      <c r="EA23" s="906" t="str">
        <f>IF(OR($B23=0,$A23=0,$H23&lt;&gt;1),"",INDEX(Assumptions!EP:EP,$B23))</f>
        <v/>
      </c>
      <c r="EB23" s="906" t="str">
        <f>IF(OR($B23=0,$A23=0,$H23&lt;&gt;1),"",INDEX(Assumptions!EQ:EQ,$B23))</f>
        <v/>
      </c>
      <c r="EC23" s="906" t="str">
        <f>IF(OR($B23=0,$A23=0,$H23&lt;&gt;1),"",INDEX(Assumptions!ER:ER,$B23))</f>
        <v/>
      </c>
      <c r="ED23" s="906" t="str">
        <f>IF(OR($B23=0,$A23=0,$H23&lt;&gt;1),"",INDEX(Assumptions!ES:ES,$B23))</f>
        <v/>
      </c>
      <c r="EE23" s="906" t="str">
        <f>IF(OR($B23=0,$A23=0,$H23&lt;&gt;1),"",INDEX(Assumptions!ET:ET,$B23))</f>
        <v/>
      </c>
      <c r="EF23" s="906" t="str">
        <f>IF(OR($B23=0,$A23=0,$H23&lt;&gt;1),"",INDEX(Assumptions!EU:EU,$B23))</f>
        <v/>
      </c>
      <c r="EG23" s="906" t="str">
        <f>IF(OR($B23=0,$A23=0,$H23&lt;&gt;1),"",INDEX(Assumptions!EV:EV,$B23))</f>
        <v/>
      </c>
      <c r="EH23" s="906" t="str">
        <f>IF(OR($B23=0,$A23=0,$H23&lt;&gt;1),"",INDEX(Assumptions!EW:EW,$B23))</f>
        <v/>
      </c>
      <c r="EI23" s="906" t="str">
        <f>IF(OR($B23=0,$A23=0,$H23&lt;&gt;1),"",INDEX(Assumptions!EX:EX,$B23))</f>
        <v/>
      </c>
      <c r="EJ23" s="906" t="str">
        <f>IF(OR($B23=0,$A23=0,$H23&lt;&gt;1),"",INDEX(Assumptions!EY:EY,$B23))</f>
        <v/>
      </c>
      <c r="EK23" s="906" t="str">
        <f>IF(OR($B23=0,$A23=0,$H23&lt;&gt;1),"",INDEX(Assumptions!EZ:EZ,$B23))</f>
        <v/>
      </c>
      <c r="EL23" s="906" t="str">
        <f>IF(OR($B23=0,$A23=0,$H23&lt;&gt;1),"",INDEX(Assumptions!FA:FA,$B23))</f>
        <v/>
      </c>
      <c r="EM23" s="906" t="str">
        <f>IF(OR($B23=0,$A23=0,$H23&lt;&gt;1),"",INDEX(Assumptions!FB:FB,$B23))</f>
        <v/>
      </c>
      <c r="EN23" s="906" t="str">
        <f>IF(OR($B23=0,$A23=0,$H23&lt;&gt;1),"",INDEX(Assumptions!FC:FC,$B23))</f>
        <v/>
      </c>
      <c r="EO23" s="906" t="str">
        <f>IF(OR($B23=0,$A23=0,$H23&lt;&gt;1),"",INDEX(Assumptions!FD:FD,$B23))</f>
        <v/>
      </c>
      <c r="EP23" s="906" t="str">
        <f>IF(OR($B23=0,$A23=0,$H23&lt;&gt;1),"",INDEX(Assumptions!FE:FE,$B23))</f>
        <v/>
      </c>
      <c r="EQ23" s="906" t="str">
        <f>IF(OR($B23=0,$A23=0,$H23&lt;&gt;1),"",INDEX(Assumptions!FF:FF,$B23))</f>
        <v/>
      </c>
      <c r="ER23" s="906" t="str">
        <f>IF(OR($B23=0,$A23=0,$H23&lt;&gt;1),"",INDEX(Assumptions!FG:FG,$B23))</f>
        <v/>
      </c>
      <c r="ES23" s="906" t="str">
        <f>IF(OR($B23=0,$A23=0,$H23&lt;&gt;1),"",INDEX(Assumptions!FH:FH,$B23))</f>
        <v/>
      </c>
      <c r="ET23" s="906" t="str">
        <f>IF(OR($B23=0,$A23=0,$H23&lt;&gt;1),"",INDEX(Assumptions!FI:FI,$B23))</f>
        <v/>
      </c>
      <c r="EU23" s="906" t="str">
        <f>IF(OR($B23=0,$A23=0,$H23&lt;&gt;1),"",INDEX(Assumptions!FJ:FJ,$B23))</f>
        <v/>
      </c>
      <c r="EV23" s="906" t="str">
        <f>IF(OR($B23=0,$A23=0,$H23&lt;&gt;1),"",INDEX(Assumptions!FK:FK,$B23))</f>
        <v/>
      </c>
      <c r="EW23" s="906" t="str">
        <f>IF(OR($B23=0,$A23=0,$H23&lt;&gt;1),"",INDEX(Assumptions!FL:FL,$B23))</f>
        <v/>
      </c>
      <c r="EX23" s="906" t="str">
        <f>IF(OR($B23=0,$A23=0,$H23&lt;&gt;1),"",INDEX(Assumptions!FM:FM,$B23))</f>
        <v/>
      </c>
      <c r="EY23" s="906" t="str">
        <f>IF(OR($B23=0,$A23=0,$H23&lt;&gt;1),"",INDEX(Assumptions!FN:FN,$B23))</f>
        <v/>
      </c>
      <c r="EZ23" s="906" t="str">
        <f>IF(OR($B23=0,$A23=0,$H23&lt;&gt;1),"",INDEX(Assumptions!FO:FO,$B23))</f>
        <v/>
      </c>
      <c r="FB23" s="820" t="str">
        <f t="shared" si="18"/>
        <v/>
      </c>
      <c r="FC23" s="820" t="str">
        <f t="shared" si="19"/>
        <v/>
      </c>
      <c r="FD23" s="820" t="str">
        <f t="shared" si="20"/>
        <v/>
      </c>
      <c r="FE23" s="820" t="str">
        <f t="shared" si="21"/>
        <v/>
      </c>
      <c r="FF23" s="820" t="str">
        <f t="shared" si="22"/>
        <v/>
      </c>
    </row>
    <row r="24" spans="1:162">
      <c r="A24" s="440">
        <f>IFERROR(MATCH(C24,'Data Interface'!B:B,0),0)</f>
        <v>22</v>
      </c>
      <c r="B24" s="440">
        <f>IFERROR(MATCH(C24,Assumptions!$B:$B,0),0)</f>
        <v>43</v>
      </c>
      <c r="C24" s="441" t="s">
        <v>995</v>
      </c>
      <c r="E24" s="441" t="s">
        <v>1219</v>
      </c>
      <c r="F24" s="440" t="s">
        <v>34</v>
      </c>
      <c r="G24" s="440" t="str">
        <f>IF(A24=0,"",INDEX('Data Interface'!$C:$C,$A24))</f>
        <v>Due to Interbranch - Investment (Exclude Large IB)</v>
      </c>
      <c r="H24" s="440">
        <v>0</v>
      </c>
      <c r="I24" s="819">
        <f t="shared" ca="1" si="10"/>
        <v>9.600000000000003E-2</v>
      </c>
      <c r="J24" s="819">
        <f t="shared" ca="1" si="11"/>
        <v>0.12000000000000002</v>
      </c>
      <c r="K24" s="439" t="str">
        <f t="shared" ca="1" si="12"/>
        <v>9.6% of Current Balance</v>
      </c>
      <c r="L24" s="439" t="s">
        <v>1149</v>
      </c>
      <c r="M24" s="439" t="s">
        <v>1528</v>
      </c>
      <c r="O24" s="442">
        <f>IF(OR($A24="",$A24=0),0,INDEX('Data Interface'!D:D,$A24))</f>
        <v>2158.1261872099999</v>
      </c>
      <c r="P24" s="442">
        <f ca="1">$O24-SUM($AS24:AS24)</f>
        <v>2089.0661492192799</v>
      </c>
      <c r="Q24" s="442">
        <f ca="1">$O24-SUM($AS24:AT24)</f>
        <v>2077.556142887493</v>
      </c>
      <c r="R24" s="442">
        <f ca="1">$O24-SUM($AS24:AU24)</f>
        <v>2066.0461365557067</v>
      </c>
      <c r="S24" s="442">
        <f ca="1">$O24-SUM($AS24:AV24)</f>
        <v>2054.5361302239198</v>
      </c>
      <c r="T24" s="442">
        <f ca="1">$O24-SUM($AS24:AW24)</f>
        <v>2043.0261238921332</v>
      </c>
      <c r="U24" s="442">
        <f ca="1">$O24-SUM($AS24:AX24)</f>
        <v>2031.5161175603466</v>
      </c>
      <c r="V24" s="442">
        <f ca="1">$O24-SUM($AS24:AY24)</f>
        <v>2020.0061112285598</v>
      </c>
      <c r="W24" s="442">
        <f ca="1">$O24-SUM($AS24:AZ24)</f>
        <v>2010.1403915156</v>
      </c>
      <c r="X24" s="442">
        <f ca="1">$O24-SUM($AS24:BA24)</f>
        <v>2000.2746718026399</v>
      </c>
      <c r="Y24" s="442">
        <f ca="1">$O24-SUM($AS24:BB24)</f>
        <v>1990.4089520896798</v>
      </c>
      <c r="Z24" s="442">
        <f ca="1">$O24-SUM($AS24:BC24)</f>
        <v>1980.54323237672</v>
      </c>
      <c r="AA24" s="442">
        <f ca="1">$O24-SUM($AS24:BD24)</f>
        <v>1970.6775126637599</v>
      </c>
      <c r="AB24" s="442">
        <f ca="1">$O24-SUM($AS24:BE24)</f>
        <v>1960.8117929507998</v>
      </c>
      <c r="AC24" s="442">
        <f ca="1">$O24-SUM($AS24:BF24)</f>
        <v>1950.9460732378398</v>
      </c>
      <c r="AD24" s="442">
        <f ca="1">$O24-SUM($AS24:BG24)</f>
        <v>1925.0485589913199</v>
      </c>
      <c r="AE24" s="442">
        <f ca="1">$O24-SUM($AS24:BH24)</f>
        <v>1899.1510447447999</v>
      </c>
      <c r="AF24" s="442">
        <f ca="1">$O24-SUM($AS24:BI24)</f>
        <v>1873.2535304982798</v>
      </c>
      <c r="AG24" s="442">
        <f ca="1">$O24-SUM($AS24:BJ24)</f>
        <v>1847.3560162517597</v>
      </c>
      <c r="AH24" s="442">
        <f ca="1">$O24-SUM($AS24:BK24)</f>
        <v>1838.7235115029198</v>
      </c>
      <c r="AI24" s="442">
        <f ca="1">$O24-SUM($AS24:BL24)</f>
        <v>1830.0910067540799</v>
      </c>
      <c r="AJ24" s="442">
        <f ca="1">$O24-SUM($AS24:BM24)</f>
        <v>1821.4585020052398</v>
      </c>
      <c r="AK24" s="442">
        <f ca="1">$O24-SUM($AS24:BN24)</f>
        <v>1812.8259972563997</v>
      </c>
      <c r="AL24" s="442">
        <f ca="1">$O24-SUM($AS24:BO24)</f>
        <v>1804.1934925075598</v>
      </c>
      <c r="AM24" s="442">
        <f ca="1">$O24-SUM($AS24:BP24)</f>
        <v>1795.5609877587199</v>
      </c>
      <c r="AN24" s="442">
        <f ca="1">$O24-SUM($AS24:BQ24)</f>
        <v>1786.9284830098798</v>
      </c>
      <c r="AO24" s="442">
        <f ca="1">$O24-SUM($AS24:BR24)</f>
        <v>1778.2959782610396</v>
      </c>
      <c r="AP24" s="442">
        <f ca="1">$O24-SUM($AS24:BS24)</f>
        <v>1769.6634735121997</v>
      </c>
      <c r="AR24" s="439" t="s">
        <v>1202</v>
      </c>
      <c r="AS24" s="442">
        <f ca="1">IF($H24="",0,IF($H24=1,IF('Para Adj'!$B$5 = 1,O24-($O24-SUMPRODUCT($CX24:CX24,$BU24:BU24))*(1-SUM($DZ24:DZ24)),BU24*CX24),$O24*BU24))</f>
        <v>69.060037990720005</v>
      </c>
      <c r="AT24" s="442">
        <f ca="1">IF($H24="",0,IF($H24=1,IF('Para Adj'!$B$5 = 1,P24-($O24-SUMPRODUCT($CX24:CY24,$BU24:BV24))*(1-SUM($DZ24:EA24)),BV24*CY24),$O24*BV24))</f>
        <v>11.510006331786666</v>
      </c>
      <c r="AU24" s="442">
        <f ca="1">IF($H24="",0,IF($H24=1,IF('Para Adj'!$B$5 = 1,Q24-($O24-SUMPRODUCT($CX24:CZ24,$BU24:BW24))*(1-SUM($DZ24:EB24)),BW24*CZ24),$O24*BW24))</f>
        <v>11.510006331786666</v>
      </c>
      <c r="AV24" s="442">
        <f ca="1">IF($H24="",0,IF($H24=1,IF('Para Adj'!$B$5 = 1,R24-($O24-SUMPRODUCT($CX24:DA24,$BU24:BX24))*(1-SUM($DZ24:EC24)),BX24*DA24),$O24*BX24))</f>
        <v>11.510006331786666</v>
      </c>
      <c r="AW24" s="442">
        <f ca="1">IF($H24="",0,IF($H24=1,IF('Para Adj'!$B$5 = 1,S24-($O24-SUMPRODUCT($CX24:DB24,$BU24:BY24))*(1-SUM($DZ24:ED24)),BY24*DB24),$O24*BY24))</f>
        <v>11.510006331786666</v>
      </c>
      <c r="AX24" s="442">
        <f ca="1">IF($H24="",0,IF($H24=1,IF('Para Adj'!$B$5 = 1,T24-($O24-SUMPRODUCT($CX24:DC24,$BU24:BZ24))*(1-SUM($DZ24:EE24)),BZ24*DC24),$O24*BZ24))</f>
        <v>11.510006331786666</v>
      </c>
      <c r="AY24" s="442">
        <f ca="1">IF($H24="",0,IF($H24=1,IF('Para Adj'!$B$5 = 1,U24-($O24-SUMPRODUCT($CX24:DD24,$BU24:CA24))*(1-SUM($DZ24:EF24)),CA24*DD24),$O24*CA24))</f>
        <v>11.510006331786666</v>
      </c>
      <c r="AZ24" s="442">
        <f ca="1">IF($H24="",0,IF($H24=1,IF('Para Adj'!$B$5 = 1,V24-($O24-SUMPRODUCT($CX24:DE24,$BU24:CB24))*(1-SUM($DZ24:EG24)),CB24*DE24),$O24*CB24))</f>
        <v>9.8657197129600007</v>
      </c>
      <c r="BA24" s="442">
        <f ca="1">IF($H24="",0,IF($H24=1,IF('Para Adj'!$B$5 = 1,W24-($O24-SUMPRODUCT($CX24:DF24,$BU24:CC24))*(1-SUM($DZ24:EH24)),CC24*DF24),$O24*CC24))</f>
        <v>9.8657197129600007</v>
      </c>
      <c r="BB24" s="442">
        <f ca="1">IF($H24="",0,IF($H24=1,IF('Para Adj'!$B$5 = 1,X24-($O24-SUMPRODUCT($CX24:DG24,$BU24:CD24))*(1-SUM($DZ24:EI24)),CD24*DG24),$O24*CD24))</f>
        <v>9.8657197129600007</v>
      </c>
      <c r="BC24" s="442">
        <f ca="1">IF($H24="",0,IF($H24=1,IF('Para Adj'!$B$5 = 1,Y24-($O24-SUMPRODUCT($CX24:DH24,$BU24:CE24))*(1-SUM($DZ24:EJ24)),CE24*DH24),$O24*CE24))</f>
        <v>9.8657197129600007</v>
      </c>
      <c r="BD24" s="442">
        <f ca="1">IF($H24="",0,IF($H24=1,IF('Para Adj'!$B$5 = 1,Z24-($O24-SUMPRODUCT($CX24:DI24,$BU24:CF24))*(1-SUM($DZ24:EK24)),CF24*DI24),$O24*CF24))</f>
        <v>9.8657197129600007</v>
      </c>
      <c r="BE24" s="442">
        <f ca="1">IF($H24="",0,IF($H24=1,IF('Para Adj'!$B$5 = 1,AA24-($O24-SUMPRODUCT($CX24:DJ24,$BU24:CG24))*(1-SUM($DZ24:EL24)),CG24*DJ24),$O24*CG24))</f>
        <v>9.8657197129600007</v>
      </c>
      <c r="BF24" s="442">
        <f ca="1">IF($H24="",0,IF($H24=1,IF('Para Adj'!$B$5 = 1,AB24-($O24-SUMPRODUCT($CX24:DK24,$BU24:CH24))*(1-SUM($DZ24:EM24)),CH24*DK24),$O24*CH24))</f>
        <v>9.8657197129600007</v>
      </c>
      <c r="BG24" s="442">
        <f ca="1">IF($H24="",0,IF($H24=1,IF('Para Adj'!$B$5 = 1,AC24-($O24-SUMPRODUCT($CX24:DL24,$BU24:CI24))*(1-SUM($DZ24:EN24)),CI24*DL24),$O24*CI24))</f>
        <v>25.897514246519993</v>
      </c>
      <c r="BH24" s="442">
        <f ca="1">IF($H24="",0,IF($H24=1,IF('Para Adj'!$B$5 = 1,AD24-($O24-SUMPRODUCT($CX24:DM24,$BU24:CJ24))*(1-SUM($DZ24:EO24)),CJ24*DM24),$O24*CJ24))</f>
        <v>25.897514246519993</v>
      </c>
      <c r="BI24" s="442">
        <f ca="1">IF($H24="",0,IF($H24=1,IF('Para Adj'!$B$5 = 1,AE24-($O24-SUMPRODUCT($CX24:DN24,$BU24:CK24))*(1-SUM($DZ24:EP24)),CK24*DN24),$O24*CK24))</f>
        <v>25.897514246519993</v>
      </c>
      <c r="BJ24" s="442">
        <f ca="1">IF($H24="",0,IF($H24=1,IF('Para Adj'!$B$5 = 1,AF24-($O24-SUMPRODUCT($CX24:DO24,$BU24:CL24))*(1-SUM($DZ24:EQ24)),CL24*DO24),$O24*CL24))</f>
        <v>25.897514246519993</v>
      </c>
      <c r="BK24" s="442">
        <f ca="1">IF($H24="",0,IF($H24=1,IF('Para Adj'!$B$5 = 1,AG24-($O24-SUMPRODUCT($CX24:DP24,$BU24:CM24))*(1-SUM($DZ24:ER24)),CM24*DP24),$O24*CM24))</f>
        <v>8.6325047488400006</v>
      </c>
      <c r="BL24" s="442">
        <f ca="1">IF($H24="",0,IF($H24=1,IF('Para Adj'!$B$5 = 1,AH24-($O24-SUMPRODUCT($CX24:DQ24,$BU24:CN24))*(1-SUM($DZ24:ES24)),CN24*DQ24),$O24*CN24))</f>
        <v>8.6325047488400006</v>
      </c>
      <c r="BM24" s="442">
        <f ca="1">IF($H24="",0,IF($H24=1,IF('Para Adj'!$B$5 = 1,AI24-($O24-SUMPRODUCT($CX24:DR24,$BU24:CO24))*(1-SUM($DZ24:ET24)),CO24*DR24),$O24*CO24))</f>
        <v>8.6325047488400006</v>
      </c>
      <c r="BN24" s="442">
        <f ca="1">IF($H24="",0,IF($H24=1,IF('Para Adj'!$B$5 = 1,AJ24-($O24-SUMPRODUCT($CX24:DS24,$BU24:CP24))*(1-SUM($DZ24:EU24)),CP24*DS24),$O24*CP24))</f>
        <v>8.6325047488400006</v>
      </c>
      <c r="BO24" s="442">
        <f ca="1">IF($H24="",0,IF($H24=1,IF('Para Adj'!$B$5 = 1,AK24-($O24-SUMPRODUCT($CX24:DT24,$BU24:CQ24))*(1-SUM($DZ24:EV24)),CQ24*DT24),$O24*CQ24))</f>
        <v>8.6325047488400006</v>
      </c>
      <c r="BP24" s="442">
        <f ca="1">IF($H24="",0,IF($H24=1,IF('Para Adj'!$B$5 = 1,AL24-($O24-SUMPRODUCT($CX24:DU24,$BU24:CR24))*(1-SUM($DZ24:EW24)),CR24*DU24),$O24*CR24))</f>
        <v>8.6325047488400006</v>
      </c>
      <c r="BQ24" s="442">
        <f ca="1">IF($H24="",0,IF($H24=1,IF('Para Adj'!$B$5 = 1,AM24-($O24-SUMPRODUCT($CX24:DV24,$BU24:CS24))*(1-SUM($DZ24:EX24)),CS24*DV24),$O24*CS24))</f>
        <v>8.6325047488400006</v>
      </c>
      <c r="BR24" s="442">
        <f ca="1">IF($H24="",0,IF($H24=1,IF('Para Adj'!$B$5 = 1,AN24-($O24-SUMPRODUCT($CX24:DW24,$BU24:CT24))*(1-SUM($DZ24:EY24)),CT24*DW24),$O24*CT24))</f>
        <v>8.6325047488400006</v>
      </c>
      <c r="BS24" s="442">
        <f ca="1">IF($H24="",0,IF($H24=1,IF('Para Adj'!$B$5 = 1,AO24-($O24-SUMPRODUCT($CX24:DX24,$BU24:CU24))*(1-SUM($DZ24:EZ24)),CU24*DX24),$O24*CU24))</f>
        <v>8.6325047488400006</v>
      </c>
      <c r="BU24" s="820">
        <f ca="1">IF($B24=0,"",INDEX(Assumptions!G:G,$B24))</f>
        <v>3.2000000000000001E-2</v>
      </c>
      <c r="BV24" s="820">
        <f ca="1">IF($B24=0,"",INDEX(Assumptions!H:H,$B24))</f>
        <v>5.3333333333333332E-3</v>
      </c>
      <c r="BW24" s="820">
        <f ca="1">IF($B24=0,"",INDEX(Assumptions!I:I,$B24))</f>
        <v>5.3333333333333332E-3</v>
      </c>
      <c r="BX24" s="820">
        <f ca="1">IF($B24=0,"",INDEX(Assumptions!J:J,$B24))</f>
        <v>5.3333333333333332E-3</v>
      </c>
      <c r="BY24" s="820">
        <f ca="1">IF($B24=0,"",INDEX(Assumptions!K:K,$B24))</f>
        <v>5.3333333333333332E-3</v>
      </c>
      <c r="BZ24" s="820">
        <f ca="1">IF($B24=0,"",INDEX(Assumptions!L:L,$B24))</f>
        <v>5.3333333333333332E-3</v>
      </c>
      <c r="CA24" s="820">
        <f ca="1">IF($B24=0,"",INDEX(Assumptions!M:M,$B24))</f>
        <v>5.3333333333333332E-3</v>
      </c>
      <c r="CB24" s="820">
        <f ca="1">IF($B24=0,"",INDEX(Assumptions!N:N,$B24))</f>
        <v>4.5714285714285718E-3</v>
      </c>
      <c r="CC24" s="820">
        <f ca="1">IF($B24=0,"",INDEX(Assumptions!O:O,$B24))</f>
        <v>4.5714285714285718E-3</v>
      </c>
      <c r="CD24" s="820">
        <f ca="1">IF($B24=0,"",INDEX(Assumptions!P:P,$B24))</f>
        <v>4.5714285714285718E-3</v>
      </c>
      <c r="CE24" s="820">
        <f ca="1">IF($B24=0,"",INDEX(Assumptions!Q:Q,$B24))</f>
        <v>4.5714285714285718E-3</v>
      </c>
      <c r="CF24" s="820">
        <f ca="1">IF($B24=0,"",INDEX(Assumptions!R:R,$B24))</f>
        <v>4.5714285714285718E-3</v>
      </c>
      <c r="CG24" s="820">
        <f ca="1">IF($B24=0,"",INDEX(Assumptions!S:S,$B24))</f>
        <v>4.5714285714285718E-3</v>
      </c>
      <c r="CH24" s="820">
        <f ca="1">IF($B24=0,"",INDEX(Assumptions!T:T,$B24))</f>
        <v>4.5714285714285718E-3</v>
      </c>
      <c r="CI24" s="820">
        <f ca="1">IF($B24=0,"",INDEX(Assumptions!U:U,$B24))</f>
        <v>1.1999999999999997E-2</v>
      </c>
      <c r="CJ24" s="820">
        <f ca="1">IF($B24=0,"",INDEX(Assumptions!V:V,$B24))</f>
        <v>1.1999999999999997E-2</v>
      </c>
      <c r="CK24" s="820">
        <f ca="1">IF($B24=0,"",INDEX(Assumptions!W:W,$B24))</f>
        <v>1.1999999999999997E-2</v>
      </c>
      <c r="CL24" s="820">
        <f ca="1">IF($B24=0,"",INDEX(Assumptions!X:X,$B24))</f>
        <v>1.1999999999999997E-2</v>
      </c>
      <c r="CM24" s="820">
        <f ca="1">IF($B24=0,"",INDEX(Assumptions!Y:Y,$B24))</f>
        <v>4.0000000000000001E-3</v>
      </c>
      <c r="CN24" s="820">
        <f ca="1">IF($B24=0,"",INDEX(Assumptions!Z:Z,$B24))</f>
        <v>4.0000000000000001E-3</v>
      </c>
      <c r="CO24" s="820">
        <f ca="1">IF($B24=0,"",INDEX(Assumptions!AA:AA,$B24))</f>
        <v>4.0000000000000001E-3</v>
      </c>
      <c r="CP24" s="820">
        <f ca="1">IF($B24=0,"",INDEX(Assumptions!AB:AB,$B24))</f>
        <v>4.0000000000000001E-3</v>
      </c>
      <c r="CQ24" s="820">
        <f ca="1">IF($B24=0,"",INDEX(Assumptions!AC:AC,$B24))</f>
        <v>4.0000000000000001E-3</v>
      </c>
      <c r="CR24" s="820">
        <f ca="1">IF($B24=0,"",INDEX(Assumptions!AD:AD,$B24))</f>
        <v>4.0000000000000001E-3</v>
      </c>
      <c r="CS24" s="820">
        <f ca="1">IF($B24=0,"",INDEX(Assumptions!AE:AE,$B24))</f>
        <v>4.0000000000000001E-3</v>
      </c>
      <c r="CT24" s="820">
        <f ca="1">IF($B24=0,"",INDEX(Assumptions!AF:AF,$B24))</f>
        <v>4.0000000000000001E-3</v>
      </c>
      <c r="CU24" s="820">
        <f ca="1">IF($B24=0,"",INDEX(Assumptions!AG:AG,$B24))</f>
        <v>4.0000000000000001E-3</v>
      </c>
      <c r="CX24" s="442">
        <f>IF($A24="","",INDEX('Data Interface'!G:G,$A24))</f>
        <v>2158.1261872099999</v>
      </c>
      <c r="CY24" s="442">
        <f>IF($A24="","",INDEX('Data Interface'!H:H,$A24))</f>
        <v>0</v>
      </c>
      <c r="CZ24" s="442">
        <f>IF($A24="","",INDEX('Data Interface'!I:I,$A24))</f>
        <v>0</v>
      </c>
      <c r="DA24" s="442">
        <f>IF($A24="","",INDEX('Data Interface'!J:J,$A24))</f>
        <v>0</v>
      </c>
      <c r="DB24" s="442">
        <f>IF($A24="","",INDEX('Data Interface'!K:K,$A24))</f>
        <v>0</v>
      </c>
      <c r="DC24" s="442">
        <f>IF($A24="","",INDEX('Data Interface'!L:L,$A24))</f>
        <v>0</v>
      </c>
      <c r="DD24" s="442">
        <f>IF($A24="","",INDEX('Data Interface'!M:M,$A24))</f>
        <v>0</v>
      </c>
      <c r="DE24" s="442">
        <f>IF($A24="","",INDEX('Data Interface'!N:N,$A24))</f>
        <v>0</v>
      </c>
      <c r="DF24" s="442">
        <f>IF($A24="","",INDEX('Data Interface'!O:O,$A24))</f>
        <v>0</v>
      </c>
      <c r="DG24" s="442">
        <f>IF($A24="","",INDEX('Data Interface'!P:P,$A24))</f>
        <v>0</v>
      </c>
      <c r="DH24" s="442">
        <f>IF($A24="","",INDEX('Data Interface'!Q:Q,$A24))</f>
        <v>0</v>
      </c>
      <c r="DI24" s="442">
        <f>IF($A24="","",INDEX('Data Interface'!R:R,$A24))</f>
        <v>0</v>
      </c>
      <c r="DJ24" s="442">
        <f>IF($A24="","",INDEX('Data Interface'!S:S,$A24))</f>
        <v>0</v>
      </c>
      <c r="DK24" s="442">
        <f>IF($A24="","",INDEX('Data Interface'!T:T,$A24))</f>
        <v>0</v>
      </c>
      <c r="DL24" s="442">
        <f>IF($A24="","",INDEX('Data Interface'!U:U,$A24))</f>
        <v>0</v>
      </c>
      <c r="DM24" s="442">
        <f>IF($A24="","",INDEX('Data Interface'!V:V,$A24))</f>
        <v>0</v>
      </c>
      <c r="DN24" s="442">
        <f>IF($A24="","",INDEX('Data Interface'!W:W,$A24))</f>
        <v>0</v>
      </c>
      <c r="DO24" s="442">
        <f>IF($A24="","",INDEX('Data Interface'!X:X,$A24))</f>
        <v>0</v>
      </c>
      <c r="DP24" s="442">
        <f>IF($A24="","",INDEX('Data Interface'!Y:Y,$A24))</f>
        <v>0</v>
      </c>
      <c r="DQ24" s="442">
        <f>IF($A24="","",INDEX('Data Interface'!Z:Z,$A24))</f>
        <v>0</v>
      </c>
      <c r="DR24" s="442">
        <f>IF($A24="","",INDEX('Data Interface'!AA:AA,$A24))</f>
        <v>0</v>
      </c>
      <c r="DS24" s="442">
        <f>IF($A24="","",INDEX('Data Interface'!AB:AB,$A24))</f>
        <v>0</v>
      </c>
      <c r="DT24" s="442">
        <f>IF($A24="","",INDEX('Data Interface'!AC:AC,$A24))</f>
        <v>0</v>
      </c>
      <c r="DU24" s="442">
        <f>IF($A24="","",INDEX('Data Interface'!AD:AD,$A24))</f>
        <v>0</v>
      </c>
      <c r="DV24" s="442">
        <f>IF($A24="","",INDEX('Data Interface'!AE:AE,$A24))</f>
        <v>0</v>
      </c>
      <c r="DW24" s="442">
        <f>IF($A24="","",INDEX('Data Interface'!AF:AF,$A24))</f>
        <v>0</v>
      </c>
      <c r="DX24" s="442">
        <f>IF($A24="","",INDEX('Data Interface'!AG:AG,$A24))</f>
        <v>0</v>
      </c>
      <c r="DZ24" s="906" t="str">
        <f>IF(OR($B24=0,$A24=0,$H24&lt;&gt;1),"",INDEX(Assumptions!EO:EO,$B24))</f>
        <v/>
      </c>
      <c r="EA24" s="906" t="str">
        <f>IF(OR($B24=0,$A24=0,$H24&lt;&gt;1),"",INDEX(Assumptions!EP:EP,$B24))</f>
        <v/>
      </c>
      <c r="EB24" s="906" t="str">
        <f>IF(OR($B24=0,$A24=0,$H24&lt;&gt;1),"",INDEX(Assumptions!EQ:EQ,$B24))</f>
        <v/>
      </c>
      <c r="EC24" s="906" t="str">
        <f>IF(OR($B24=0,$A24=0,$H24&lt;&gt;1),"",INDEX(Assumptions!ER:ER,$B24))</f>
        <v/>
      </c>
      <c r="ED24" s="906" t="str">
        <f>IF(OR($B24=0,$A24=0,$H24&lt;&gt;1),"",INDEX(Assumptions!ES:ES,$B24))</f>
        <v/>
      </c>
      <c r="EE24" s="906" t="str">
        <f>IF(OR($B24=0,$A24=0,$H24&lt;&gt;1),"",INDEX(Assumptions!ET:ET,$B24))</f>
        <v/>
      </c>
      <c r="EF24" s="906" t="str">
        <f>IF(OR($B24=0,$A24=0,$H24&lt;&gt;1),"",INDEX(Assumptions!EU:EU,$B24))</f>
        <v/>
      </c>
      <c r="EG24" s="906" t="str">
        <f>IF(OR($B24=0,$A24=0,$H24&lt;&gt;1),"",INDEX(Assumptions!EV:EV,$B24))</f>
        <v/>
      </c>
      <c r="EH24" s="906" t="str">
        <f>IF(OR($B24=0,$A24=0,$H24&lt;&gt;1),"",INDEX(Assumptions!EW:EW,$B24))</f>
        <v/>
      </c>
      <c r="EI24" s="906" t="str">
        <f>IF(OR($B24=0,$A24=0,$H24&lt;&gt;1),"",INDEX(Assumptions!EX:EX,$B24))</f>
        <v/>
      </c>
      <c r="EJ24" s="906" t="str">
        <f>IF(OR($B24=0,$A24=0,$H24&lt;&gt;1),"",INDEX(Assumptions!EY:EY,$B24))</f>
        <v/>
      </c>
      <c r="EK24" s="906" t="str">
        <f>IF(OR($B24=0,$A24=0,$H24&lt;&gt;1),"",INDEX(Assumptions!EZ:EZ,$B24))</f>
        <v/>
      </c>
      <c r="EL24" s="906" t="str">
        <f>IF(OR($B24=0,$A24=0,$H24&lt;&gt;1),"",INDEX(Assumptions!FA:FA,$B24))</f>
        <v/>
      </c>
      <c r="EM24" s="906" t="str">
        <f>IF(OR($B24=0,$A24=0,$H24&lt;&gt;1),"",INDEX(Assumptions!FB:FB,$B24))</f>
        <v/>
      </c>
      <c r="EN24" s="906" t="str">
        <f>IF(OR($B24=0,$A24=0,$H24&lt;&gt;1),"",INDEX(Assumptions!FC:FC,$B24))</f>
        <v/>
      </c>
      <c r="EO24" s="906" t="str">
        <f>IF(OR($B24=0,$A24=0,$H24&lt;&gt;1),"",INDEX(Assumptions!FD:FD,$B24))</f>
        <v/>
      </c>
      <c r="EP24" s="906" t="str">
        <f>IF(OR($B24=0,$A24=0,$H24&lt;&gt;1),"",INDEX(Assumptions!FE:FE,$B24))</f>
        <v/>
      </c>
      <c r="EQ24" s="906" t="str">
        <f>IF(OR($B24=0,$A24=0,$H24&lt;&gt;1),"",INDEX(Assumptions!FF:FF,$B24))</f>
        <v/>
      </c>
      <c r="ER24" s="906" t="str">
        <f>IF(OR($B24=0,$A24=0,$H24&lt;&gt;1),"",INDEX(Assumptions!FG:FG,$B24))</f>
        <v/>
      </c>
      <c r="ES24" s="906" t="str">
        <f>IF(OR($B24=0,$A24=0,$H24&lt;&gt;1),"",INDEX(Assumptions!FH:FH,$B24))</f>
        <v/>
      </c>
      <c r="ET24" s="906" t="str">
        <f>IF(OR($B24=0,$A24=0,$H24&lt;&gt;1),"",INDEX(Assumptions!FI:FI,$B24))</f>
        <v/>
      </c>
      <c r="EU24" s="906" t="str">
        <f>IF(OR($B24=0,$A24=0,$H24&lt;&gt;1),"",INDEX(Assumptions!FJ:FJ,$B24))</f>
        <v/>
      </c>
      <c r="EV24" s="906" t="str">
        <f>IF(OR($B24=0,$A24=0,$H24&lt;&gt;1),"",INDEX(Assumptions!FK:FK,$B24))</f>
        <v/>
      </c>
      <c r="EW24" s="906" t="str">
        <f>IF(OR($B24=0,$A24=0,$H24&lt;&gt;1),"",INDEX(Assumptions!FL:FL,$B24))</f>
        <v/>
      </c>
      <c r="EX24" s="906" t="str">
        <f>IF(OR($B24=0,$A24=0,$H24&lt;&gt;1),"",INDEX(Assumptions!FM:FM,$B24))</f>
        <v/>
      </c>
      <c r="EY24" s="906" t="str">
        <f>IF(OR($B24=0,$A24=0,$H24&lt;&gt;1),"",INDEX(Assumptions!FN:FN,$B24))</f>
        <v/>
      </c>
      <c r="EZ24" s="906" t="str">
        <f>IF(OR($B24=0,$A24=0,$H24&lt;&gt;1),"",INDEX(Assumptions!FO:FO,$B24))</f>
        <v/>
      </c>
      <c r="FB24" s="820" t="str">
        <f t="shared" si="18"/>
        <v/>
      </c>
      <c r="FC24" s="820" t="str">
        <f t="shared" si="19"/>
        <v/>
      </c>
      <c r="FD24" s="820" t="str">
        <f t="shared" si="20"/>
        <v/>
      </c>
      <c r="FE24" s="820" t="str">
        <f t="shared" si="21"/>
        <v/>
      </c>
      <c r="FF24" s="820" t="str">
        <f t="shared" si="22"/>
        <v/>
      </c>
    </row>
    <row r="25" spans="1:162">
      <c r="A25" s="440">
        <f>IFERROR(MATCH(C25,'Data Interface'!B:B,0),0)</f>
        <v>23</v>
      </c>
      <c r="B25" s="440">
        <f>IFERROR(MATCH(C25,Assumptions!$B:$B,0),0)</f>
        <v>44</v>
      </c>
      <c r="C25" s="441" t="s">
        <v>1288</v>
      </c>
      <c r="E25" s="441" t="s">
        <v>1219</v>
      </c>
      <c r="F25" s="440" t="s">
        <v>34</v>
      </c>
      <c r="G25" s="440" t="str">
        <f>IF(A25=0,"",INDEX('Data Interface'!$C:$C,$A25))</f>
        <v>Due to Interbranch - Investment (H.O.)</v>
      </c>
      <c r="H25" s="440">
        <v>0</v>
      </c>
      <c r="I25" s="819">
        <f t="shared" ca="1" si="10"/>
        <v>0.15653914737194896</v>
      </c>
      <c r="J25" s="819">
        <f t="shared" ca="1" si="11"/>
        <v>0.19567393421493617</v>
      </c>
      <c r="K25" s="439" t="str">
        <f t="shared" ca="1" si="12"/>
        <v>15.7% of Current Balance</v>
      </c>
      <c r="L25" s="439" t="s">
        <v>1149</v>
      </c>
      <c r="M25" s="439" t="s">
        <v>1528</v>
      </c>
      <c r="O25" s="442">
        <f>IF(OR($A25="",$A25=0),0,INDEX('Data Interface'!D:D,$A25))</f>
        <v>2019.1058597900001</v>
      </c>
      <c r="P25" s="442">
        <f ca="1">$O25-SUM($AS25:AS25)</f>
        <v>1913.7494898749226</v>
      </c>
      <c r="Q25" s="442">
        <f ca="1">$O25-SUM($AS25:AT25)</f>
        <v>1896.1900948890764</v>
      </c>
      <c r="R25" s="442">
        <f ca="1">$O25-SUM($AS25:AU25)</f>
        <v>1878.6306999032299</v>
      </c>
      <c r="S25" s="442">
        <f ca="1">$O25-SUM($AS25:AV25)</f>
        <v>1861.0713049173837</v>
      </c>
      <c r="T25" s="442">
        <f ca="1">$O25-SUM($AS25:AW25)</f>
        <v>1843.5119099315375</v>
      </c>
      <c r="U25" s="442">
        <f ca="1">$O25-SUM($AS25:AX25)</f>
        <v>1825.9525149456913</v>
      </c>
      <c r="V25" s="442">
        <f ca="1">$O25-SUM($AS25:AY25)</f>
        <v>1808.3931199598451</v>
      </c>
      <c r="W25" s="442">
        <f ca="1">$O25-SUM($AS25:AZ25)</f>
        <v>1793.3422099719767</v>
      </c>
      <c r="X25" s="442">
        <f ca="1">$O25-SUM($AS25:BA25)</f>
        <v>1778.2912999841085</v>
      </c>
      <c r="Y25" s="442">
        <f ca="1">$O25-SUM($AS25:BB25)</f>
        <v>1763.2403899962403</v>
      </c>
      <c r="Z25" s="442">
        <f ca="1">$O25-SUM($AS25:BC25)</f>
        <v>1748.1894800083721</v>
      </c>
      <c r="AA25" s="442">
        <f ca="1">$O25-SUM($AS25:BD25)</f>
        <v>1733.1385700205039</v>
      </c>
      <c r="AB25" s="442">
        <f ca="1">$O25-SUM($AS25:BE25)</f>
        <v>1718.0876600326355</v>
      </c>
      <c r="AC25" s="442">
        <f ca="1">$O25-SUM($AS25:BF25)</f>
        <v>1703.0367500447674</v>
      </c>
      <c r="AD25" s="442">
        <f ca="1">$O25-SUM($AS25:BG25)</f>
        <v>1663.5281113266133</v>
      </c>
      <c r="AE25" s="442">
        <f ca="1">$O25-SUM($AS25:BH25)</f>
        <v>1624.0194726084594</v>
      </c>
      <c r="AF25" s="442">
        <f ca="1">$O25-SUM($AS25:BI25)</f>
        <v>1584.5108338903053</v>
      </c>
      <c r="AG25" s="442">
        <f ca="1">$O25-SUM($AS25:BJ25)</f>
        <v>1545.0021951721512</v>
      </c>
      <c r="AH25" s="442">
        <f ca="1">$O25-SUM($AS25:BK25)</f>
        <v>1531.8326489327665</v>
      </c>
      <c r="AI25" s="442">
        <f ca="1">$O25-SUM($AS25:BL25)</f>
        <v>1518.6631026933819</v>
      </c>
      <c r="AJ25" s="442">
        <f ca="1">$O25-SUM($AS25:BM25)</f>
        <v>1505.4935564539974</v>
      </c>
      <c r="AK25" s="442">
        <f ca="1">$O25-SUM($AS25:BN25)</f>
        <v>1492.3240102146126</v>
      </c>
      <c r="AL25" s="442">
        <f ca="1">$O25-SUM($AS25:BO25)</f>
        <v>1479.1544639752278</v>
      </c>
      <c r="AM25" s="442">
        <f ca="1">$O25-SUM($AS25:BP25)</f>
        <v>1465.9849177358433</v>
      </c>
      <c r="AN25" s="442">
        <f ca="1">$O25-SUM($AS25:BQ25)</f>
        <v>1452.8153714964587</v>
      </c>
      <c r="AO25" s="442">
        <f ca="1">$O25-SUM($AS25:BR25)</f>
        <v>1439.645825257074</v>
      </c>
      <c r="AP25" s="442">
        <f ca="1">$O25-SUM($AS25:BS25)</f>
        <v>1426.4762790176892</v>
      </c>
      <c r="AR25" s="439" t="s">
        <v>1202</v>
      </c>
      <c r="AS25" s="442">
        <f ca="1">IF($H25="",0,IF($H25=1,IF('Para Adj'!$B$5 = 1,O25-($O25-SUMPRODUCT($CX25:CX25,$BU25:BU25))*(1-SUM($DZ25:DZ25)),BU25*CX25),$O25*BU25))</f>
        <v>105.35636991507751</v>
      </c>
      <c r="AT25" s="442">
        <f ca="1">IF($H25="",0,IF($H25=1,IF('Para Adj'!$B$5 = 1,P25-($O25-SUMPRODUCT($CX25:CY25,$BU25:BV25))*(1-SUM($DZ25:EA25)),BV25*CY25),$O25*BV25))</f>
        <v>17.559394985846254</v>
      </c>
      <c r="AU25" s="442">
        <f ca="1">IF($H25="",0,IF($H25=1,IF('Para Adj'!$B$5 = 1,Q25-($O25-SUMPRODUCT($CX25:CZ25,$BU25:BW25))*(1-SUM($DZ25:EB25)),BW25*CZ25),$O25*BW25))</f>
        <v>17.559394985846254</v>
      </c>
      <c r="AV25" s="442">
        <f ca="1">IF($H25="",0,IF($H25=1,IF('Para Adj'!$B$5 = 1,R25-($O25-SUMPRODUCT($CX25:DA25,$BU25:BX25))*(1-SUM($DZ25:EC25)),BX25*DA25),$O25*BX25))</f>
        <v>17.559394985846254</v>
      </c>
      <c r="AW25" s="442">
        <f ca="1">IF($H25="",0,IF($H25=1,IF('Para Adj'!$B$5 = 1,S25-($O25-SUMPRODUCT($CX25:DB25,$BU25:BY25))*(1-SUM($DZ25:ED25)),BY25*DB25),$O25*BY25))</f>
        <v>17.559394985846254</v>
      </c>
      <c r="AX25" s="442">
        <f ca="1">IF($H25="",0,IF($H25=1,IF('Para Adj'!$B$5 = 1,T25-($O25-SUMPRODUCT($CX25:DC25,$BU25:BZ25))*(1-SUM($DZ25:EE25)),BZ25*DC25),$O25*BZ25))</f>
        <v>17.559394985846254</v>
      </c>
      <c r="AY25" s="442">
        <f ca="1">IF($H25="",0,IF($H25=1,IF('Para Adj'!$B$5 = 1,U25-($O25-SUMPRODUCT($CX25:DD25,$BU25:CA25))*(1-SUM($DZ25:EF25)),CA25*DD25),$O25*CA25))</f>
        <v>17.559394985846254</v>
      </c>
      <c r="AZ25" s="442">
        <f ca="1">IF($H25="",0,IF($H25=1,IF('Para Adj'!$B$5 = 1,V25-($O25-SUMPRODUCT($CX25:DE25,$BU25:CB25))*(1-SUM($DZ25:EG25)),CB25*DE25),$O25*CB25))</f>
        <v>15.050909987868218</v>
      </c>
      <c r="BA25" s="442">
        <f ca="1">IF($H25="",0,IF($H25=1,IF('Para Adj'!$B$5 = 1,W25-($O25-SUMPRODUCT($CX25:DF25,$BU25:CC25))*(1-SUM($DZ25:EH25)),CC25*DF25),$O25*CC25))</f>
        <v>15.050909987868218</v>
      </c>
      <c r="BB25" s="442">
        <f ca="1">IF($H25="",0,IF($H25=1,IF('Para Adj'!$B$5 = 1,X25-($O25-SUMPRODUCT($CX25:DG25,$BU25:CD25))*(1-SUM($DZ25:EI25)),CD25*DG25),$O25*CD25))</f>
        <v>15.050909987868218</v>
      </c>
      <c r="BC25" s="442">
        <f ca="1">IF($H25="",0,IF($H25=1,IF('Para Adj'!$B$5 = 1,Y25-($O25-SUMPRODUCT($CX25:DH25,$BU25:CE25))*(1-SUM($DZ25:EJ25)),CE25*DH25),$O25*CE25))</f>
        <v>15.050909987868218</v>
      </c>
      <c r="BD25" s="442">
        <f ca="1">IF($H25="",0,IF($H25=1,IF('Para Adj'!$B$5 = 1,Z25-($O25-SUMPRODUCT($CX25:DI25,$BU25:CF25))*(1-SUM($DZ25:EK25)),CF25*DI25),$O25*CF25))</f>
        <v>15.050909987868218</v>
      </c>
      <c r="BE25" s="442">
        <f ca="1">IF($H25="",0,IF($H25=1,IF('Para Adj'!$B$5 = 1,AA25-($O25-SUMPRODUCT($CX25:DJ25,$BU25:CG25))*(1-SUM($DZ25:EL25)),CG25*DJ25),$O25*CG25))</f>
        <v>15.050909987868218</v>
      </c>
      <c r="BF25" s="442">
        <f ca="1">IF($H25="",0,IF($H25=1,IF('Para Adj'!$B$5 = 1,AB25-($O25-SUMPRODUCT($CX25:DK25,$BU25:CH25))*(1-SUM($DZ25:EM25)),CH25*DK25),$O25*CH25))</f>
        <v>15.050909987868218</v>
      </c>
      <c r="BG25" s="442">
        <f ca="1">IF($H25="",0,IF($H25=1,IF('Para Adj'!$B$5 = 1,AC25-($O25-SUMPRODUCT($CX25:DL25,$BU25:CI25))*(1-SUM($DZ25:EN25)),CI25*DL25),$O25*CI25))</f>
        <v>39.508638718154039</v>
      </c>
      <c r="BH25" s="442">
        <f ca="1">IF($H25="",0,IF($H25=1,IF('Para Adj'!$B$5 = 1,AD25-($O25-SUMPRODUCT($CX25:DM25,$BU25:CJ25))*(1-SUM($DZ25:EO25)),CJ25*DM25),$O25*CJ25))</f>
        <v>39.508638718154039</v>
      </c>
      <c r="BI25" s="442">
        <f ca="1">IF($H25="",0,IF($H25=1,IF('Para Adj'!$B$5 = 1,AE25-($O25-SUMPRODUCT($CX25:DN25,$BU25:CK25))*(1-SUM($DZ25:EP25)),CK25*DN25),$O25*CK25))</f>
        <v>39.508638718154039</v>
      </c>
      <c r="BJ25" s="442">
        <f ca="1">IF($H25="",0,IF($H25=1,IF('Para Adj'!$B$5 = 1,AF25-($O25-SUMPRODUCT($CX25:DO25,$BU25:CL25))*(1-SUM($DZ25:EQ25)),CL25*DO25),$O25*CL25))</f>
        <v>39.508638718154039</v>
      </c>
      <c r="BK25" s="442">
        <f ca="1">IF($H25="",0,IF($H25=1,IF('Para Adj'!$B$5 = 1,AG25-($O25-SUMPRODUCT($CX25:DP25,$BU25:CM25))*(1-SUM($DZ25:ER25)),CM25*DP25),$O25*CM25))</f>
        <v>13.169546239384687</v>
      </c>
      <c r="BL25" s="442">
        <f ca="1">IF($H25="",0,IF($H25=1,IF('Para Adj'!$B$5 = 1,AH25-($O25-SUMPRODUCT($CX25:DQ25,$BU25:CN25))*(1-SUM($DZ25:ES25)),CN25*DQ25),$O25*CN25))</f>
        <v>13.169546239384687</v>
      </c>
      <c r="BM25" s="442">
        <f ca="1">IF($H25="",0,IF($H25=1,IF('Para Adj'!$B$5 = 1,AI25-($O25-SUMPRODUCT($CX25:DR25,$BU25:CO25))*(1-SUM($DZ25:ET25)),CO25*DR25),$O25*CO25))</f>
        <v>13.169546239384687</v>
      </c>
      <c r="BN25" s="442">
        <f ca="1">IF($H25="",0,IF($H25=1,IF('Para Adj'!$B$5 = 1,AJ25-($O25-SUMPRODUCT($CX25:DS25,$BU25:CP25))*(1-SUM($DZ25:EU25)),CP25*DS25),$O25*CP25))</f>
        <v>13.169546239384687</v>
      </c>
      <c r="BO25" s="442">
        <f ca="1">IF($H25="",0,IF($H25=1,IF('Para Adj'!$B$5 = 1,AK25-($O25-SUMPRODUCT($CX25:DT25,$BU25:CQ25))*(1-SUM($DZ25:EV25)),CQ25*DT25),$O25*CQ25))</f>
        <v>13.169546239384687</v>
      </c>
      <c r="BP25" s="442">
        <f ca="1">IF($H25="",0,IF($H25=1,IF('Para Adj'!$B$5 = 1,AL25-($O25-SUMPRODUCT($CX25:DU25,$BU25:CR25))*(1-SUM($DZ25:EW25)),CR25*DU25),$O25*CR25))</f>
        <v>13.169546239384687</v>
      </c>
      <c r="BQ25" s="442">
        <f ca="1">IF($H25="",0,IF($H25=1,IF('Para Adj'!$B$5 = 1,AM25-($O25-SUMPRODUCT($CX25:DV25,$BU25:CS25))*(1-SUM($DZ25:EX25)),CS25*DV25),$O25*CS25))</f>
        <v>13.169546239384687</v>
      </c>
      <c r="BR25" s="442">
        <f ca="1">IF($H25="",0,IF($H25=1,IF('Para Adj'!$B$5 = 1,AN25-($O25-SUMPRODUCT($CX25:DW25,$BU25:CT25))*(1-SUM($DZ25:EY25)),CT25*DW25),$O25*CT25))</f>
        <v>13.169546239384687</v>
      </c>
      <c r="BS25" s="442">
        <f ca="1">IF($H25="",0,IF($H25=1,IF('Para Adj'!$B$5 = 1,AO25-($O25-SUMPRODUCT($CX25:DX25,$BU25:CU25))*(1-SUM($DZ25:EZ25)),CU25*DX25),$O25*CU25))</f>
        <v>13.169546239384687</v>
      </c>
      <c r="BU25" s="876">
        <f ca="1">IF($B25=0,"",INDEX(Assumptions!G:G,$B25))</f>
        <v>5.2179715790649651E-2</v>
      </c>
      <c r="BV25" s="820">
        <f ca="1">IF($B25=0,"",INDEX(Assumptions!H:H,$B25))</f>
        <v>8.6966192984416091E-3</v>
      </c>
      <c r="BW25" s="820">
        <f ca="1">IF($B25=0,"",INDEX(Assumptions!I:I,$B25))</f>
        <v>8.6966192984416091E-3</v>
      </c>
      <c r="BX25" s="820">
        <f ca="1">IF($B25=0,"",INDEX(Assumptions!J:J,$B25))</f>
        <v>8.6966192984416091E-3</v>
      </c>
      <c r="BY25" s="820">
        <f ca="1">IF($B25=0,"",INDEX(Assumptions!K:K,$B25))</f>
        <v>8.6966192984416091E-3</v>
      </c>
      <c r="BZ25" s="820">
        <f ca="1">IF($B25=0,"",INDEX(Assumptions!L:L,$B25))</f>
        <v>8.6966192984416091E-3</v>
      </c>
      <c r="CA25" s="820">
        <f ca="1">IF($B25=0,"",INDEX(Assumptions!M:M,$B25))</f>
        <v>8.6966192984416091E-3</v>
      </c>
      <c r="CB25" s="820">
        <f ca="1">IF($B25=0,"",INDEX(Assumptions!N:N,$B25))</f>
        <v>7.4542451129499514E-3</v>
      </c>
      <c r="CC25" s="820">
        <f ca="1">IF($B25=0,"",INDEX(Assumptions!O:O,$B25))</f>
        <v>7.4542451129499514E-3</v>
      </c>
      <c r="CD25" s="820">
        <f ca="1">IF($B25=0,"",INDEX(Assumptions!P:P,$B25))</f>
        <v>7.4542451129499514E-3</v>
      </c>
      <c r="CE25" s="820">
        <f ca="1">IF($B25=0,"",INDEX(Assumptions!Q:Q,$B25))</f>
        <v>7.4542451129499514E-3</v>
      </c>
      <c r="CF25" s="820">
        <f ca="1">IF($B25=0,"",INDEX(Assumptions!R:R,$B25))</f>
        <v>7.4542451129499514E-3</v>
      </c>
      <c r="CG25" s="820">
        <f ca="1">IF($B25=0,"",INDEX(Assumptions!S:S,$B25))</f>
        <v>7.4542451129499514E-3</v>
      </c>
      <c r="CH25" s="820">
        <f ca="1">IF($B25=0,"",INDEX(Assumptions!T:T,$B25))</f>
        <v>7.4542451129499514E-3</v>
      </c>
      <c r="CI25" s="820">
        <f ca="1">IF($B25=0,"",INDEX(Assumptions!U:U,$B25))</f>
        <v>1.9567393421493606E-2</v>
      </c>
      <c r="CJ25" s="820">
        <f ca="1">IF($B25=0,"",INDEX(Assumptions!V:V,$B25))</f>
        <v>1.9567393421493606E-2</v>
      </c>
      <c r="CK25" s="820">
        <f ca="1">IF($B25=0,"",INDEX(Assumptions!W:W,$B25))</f>
        <v>1.9567393421493606E-2</v>
      </c>
      <c r="CL25" s="820">
        <f ca="1">IF($B25=0,"",INDEX(Assumptions!X:X,$B25))</f>
        <v>1.9567393421493606E-2</v>
      </c>
      <c r="CM25" s="820">
        <f ca="1">IF($B25=0,"",INDEX(Assumptions!Y:Y,$B25))</f>
        <v>6.5224644738312056E-3</v>
      </c>
      <c r="CN25" s="820">
        <f ca="1">IF($B25=0,"",INDEX(Assumptions!Z:Z,$B25))</f>
        <v>6.5224644738312056E-3</v>
      </c>
      <c r="CO25" s="820">
        <f ca="1">IF($B25=0,"",INDEX(Assumptions!AA:AA,$B25))</f>
        <v>6.5224644738312056E-3</v>
      </c>
      <c r="CP25" s="820">
        <f ca="1">IF($B25=0,"",INDEX(Assumptions!AB:AB,$B25))</f>
        <v>6.5224644738312056E-3</v>
      </c>
      <c r="CQ25" s="820">
        <f ca="1">IF($B25=0,"",INDEX(Assumptions!AC:AC,$B25))</f>
        <v>6.5224644738312056E-3</v>
      </c>
      <c r="CR25" s="820">
        <f ca="1">IF($B25=0,"",INDEX(Assumptions!AD:AD,$B25))</f>
        <v>6.5224644738312056E-3</v>
      </c>
      <c r="CS25" s="820">
        <f ca="1">IF($B25=0,"",INDEX(Assumptions!AE:AE,$B25))</f>
        <v>6.5224644738312056E-3</v>
      </c>
      <c r="CT25" s="820">
        <f ca="1">IF($B25=0,"",INDEX(Assumptions!AF:AF,$B25))</f>
        <v>6.5224644738312056E-3</v>
      </c>
      <c r="CU25" s="820">
        <f ca="1">IF($B25=0,"",INDEX(Assumptions!AG:AG,$B25))</f>
        <v>6.5224644738312056E-3</v>
      </c>
      <c r="CX25" s="442">
        <f>IF($A25="","",INDEX('Data Interface'!G:G,$A25))</f>
        <v>2019.1058597900001</v>
      </c>
      <c r="CY25" s="442">
        <f>IF($A25="","",INDEX('Data Interface'!H:H,$A25))</f>
        <v>0</v>
      </c>
      <c r="CZ25" s="442">
        <f>IF($A25="","",INDEX('Data Interface'!I:I,$A25))</f>
        <v>0</v>
      </c>
      <c r="DA25" s="442">
        <f>IF($A25="","",INDEX('Data Interface'!J:J,$A25))</f>
        <v>0</v>
      </c>
      <c r="DB25" s="442">
        <f>IF($A25="","",INDEX('Data Interface'!K:K,$A25))</f>
        <v>0</v>
      </c>
      <c r="DC25" s="442">
        <f>IF($A25="","",INDEX('Data Interface'!L:L,$A25))</f>
        <v>0</v>
      </c>
      <c r="DD25" s="442">
        <f>IF($A25="","",INDEX('Data Interface'!M:M,$A25))</f>
        <v>0</v>
      </c>
      <c r="DE25" s="442">
        <f>IF($A25="","",INDEX('Data Interface'!N:N,$A25))</f>
        <v>0</v>
      </c>
      <c r="DF25" s="442">
        <f>IF($A25="","",INDEX('Data Interface'!O:O,$A25))</f>
        <v>0</v>
      </c>
      <c r="DG25" s="442">
        <f>IF($A25="","",INDEX('Data Interface'!P:P,$A25))</f>
        <v>0</v>
      </c>
      <c r="DH25" s="442">
        <f>IF($A25="","",INDEX('Data Interface'!Q:Q,$A25))</f>
        <v>0</v>
      </c>
      <c r="DI25" s="442">
        <f>IF($A25="","",INDEX('Data Interface'!R:R,$A25))</f>
        <v>0</v>
      </c>
      <c r="DJ25" s="442">
        <f>IF($A25="","",INDEX('Data Interface'!S:S,$A25))</f>
        <v>0</v>
      </c>
      <c r="DK25" s="442">
        <f>IF($A25="","",INDEX('Data Interface'!T:T,$A25))</f>
        <v>0</v>
      </c>
      <c r="DL25" s="442">
        <f>IF($A25="","",INDEX('Data Interface'!U:U,$A25))</f>
        <v>0</v>
      </c>
      <c r="DM25" s="442">
        <f>IF($A25="","",INDEX('Data Interface'!V:V,$A25))</f>
        <v>0</v>
      </c>
      <c r="DN25" s="442">
        <f>IF($A25="","",INDEX('Data Interface'!W:W,$A25))</f>
        <v>0</v>
      </c>
      <c r="DO25" s="442">
        <f>IF($A25="","",INDEX('Data Interface'!X:X,$A25))</f>
        <v>0</v>
      </c>
      <c r="DP25" s="442">
        <f>IF($A25="","",INDEX('Data Interface'!Y:Y,$A25))</f>
        <v>0</v>
      </c>
      <c r="DQ25" s="442">
        <f>IF($A25="","",INDEX('Data Interface'!Z:Z,$A25))</f>
        <v>0</v>
      </c>
      <c r="DR25" s="442">
        <f>IF($A25="","",INDEX('Data Interface'!AA:AA,$A25))</f>
        <v>0</v>
      </c>
      <c r="DS25" s="442">
        <f>IF($A25="","",INDEX('Data Interface'!AB:AB,$A25))</f>
        <v>0</v>
      </c>
      <c r="DT25" s="442">
        <f>IF($A25="","",INDEX('Data Interface'!AC:AC,$A25))</f>
        <v>0</v>
      </c>
      <c r="DU25" s="442">
        <f>IF($A25="","",INDEX('Data Interface'!AD:AD,$A25))</f>
        <v>0</v>
      </c>
      <c r="DV25" s="442">
        <f>IF($A25="","",INDEX('Data Interface'!AE:AE,$A25))</f>
        <v>0</v>
      </c>
      <c r="DW25" s="442">
        <f>IF($A25="","",INDEX('Data Interface'!AF:AF,$A25))</f>
        <v>0</v>
      </c>
      <c r="DX25" s="442">
        <f>IF($A25="","",INDEX('Data Interface'!AG:AG,$A25))</f>
        <v>0</v>
      </c>
      <c r="DZ25" s="906" t="str">
        <f>IF(OR($B25=0,$A25=0,$H25&lt;&gt;1),"",INDEX(Assumptions!EO:EO,$B25))</f>
        <v/>
      </c>
      <c r="EA25" s="906" t="str">
        <f>IF(OR($B25=0,$A25=0,$H25&lt;&gt;1),"",INDEX(Assumptions!EP:EP,$B25))</f>
        <v/>
      </c>
      <c r="EB25" s="906" t="str">
        <f>IF(OR($B25=0,$A25=0,$H25&lt;&gt;1),"",INDEX(Assumptions!EQ:EQ,$B25))</f>
        <v/>
      </c>
      <c r="EC25" s="906" t="str">
        <f>IF(OR($B25=0,$A25=0,$H25&lt;&gt;1),"",INDEX(Assumptions!ER:ER,$B25))</f>
        <v/>
      </c>
      <c r="ED25" s="906" t="str">
        <f>IF(OR($B25=0,$A25=0,$H25&lt;&gt;1),"",INDEX(Assumptions!ES:ES,$B25))</f>
        <v/>
      </c>
      <c r="EE25" s="906" t="str">
        <f>IF(OR($B25=0,$A25=0,$H25&lt;&gt;1),"",INDEX(Assumptions!ET:ET,$B25))</f>
        <v/>
      </c>
      <c r="EF25" s="906" t="str">
        <f>IF(OR($B25=0,$A25=0,$H25&lt;&gt;1),"",INDEX(Assumptions!EU:EU,$B25))</f>
        <v/>
      </c>
      <c r="EG25" s="906" t="str">
        <f>IF(OR($B25=0,$A25=0,$H25&lt;&gt;1),"",INDEX(Assumptions!EV:EV,$B25))</f>
        <v/>
      </c>
      <c r="EH25" s="906" t="str">
        <f>IF(OR($B25=0,$A25=0,$H25&lt;&gt;1),"",INDEX(Assumptions!EW:EW,$B25))</f>
        <v/>
      </c>
      <c r="EI25" s="906" t="str">
        <f>IF(OR($B25=0,$A25=0,$H25&lt;&gt;1),"",INDEX(Assumptions!EX:EX,$B25))</f>
        <v/>
      </c>
      <c r="EJ25" s="906" t="str">
        <f>IF(OR($B25=0,$A25=0,$H25&lt;&gt;1),"",INDEX(Assumptions!EY:EY,$B25))</f>
        <v/>
      </c>
      <c r="EK25" s="906" t="str">
        <f>IF(OR($B25=0,$A25=0,$H25&lt;&gt;1),"",INDEX(Assumptions!EZ:EZ,$B25))</f>
        <v/>
      </c>
      <c r="EL25" s="906" t="str">
        <f>IF(OR($B25=0,$A25=0,$H25&lt;&gt;1),"",INDEX(Assumptions!FA:FA,$B25))</f>
        <v/>
      </c>
      <c r="EM25" s="906" t="str">
        <f>IF(OR($B25=0,$A25=0,$H25&lt;&gt;1),"",INDEX(Assumptions!FB:FB,$B25))</f>
        <v/>
      </c>
      <c r="EN25" s="906" t="str">
        <f>IF(OR($B25=0,$A25=0,$H25&lt;&gt;1),"",INDEX(Assumptions!FC:FC,$B25))</f>
        <v/>
      </c>
      <c r="EO25" s="906" t="str">
        <f>IF(OR($B25=0,$A25=0,$H25&lt;&gt;1),"",INDEX(Assumptions!FD:FD,$B25))</f>
        <v/>
      </c>
      <c r="EP25" s="906" t="str">
        <f>IF(OR($B25=0,$A25=0,$H25&lt;&gt;1),"",INDEX(Assumptions!FE:FE,$B25))</f>
        <v/>
      </c>
      <c r="EQ25" s="906" t="str">
        <f>IF(OR($B25=0,$A25=0,$H25&lt;&gt;1),"",INDEX(Assumptions!FF:FF,$B25))</f>
        <v/>
      </c>
      <c r="ER25" s="906" t="str">
        <f>IF(OR($B25=0,$A25=0,$H25&lt;&gt;1),"",INDEX(Assumptions!FG:FG,$B25))</f>
        <v/>
      </c>
      <c r="ES25" s="906" t="str">
        <f>IF(OR($B25=0,$A25=0,$H25&lt;&gt;1),"",INDEX(Assumptions!FH:FH,$B25))</f>
        <v/>
      </c>
      <c r="ET25" s="906" t="str">
        <f>IF(OR($B25=0,$A25=0,$H25&lt;&gt;1),"",INDEX(Assumptions!FI:FI,$B25))</f>
        <v/>
      </c>
      <c r="EU25" s="906" t="str">
        <f>IF(OR($B25=0,$A25=0,$H25&lt;&gt;1),"",INDEX(Assumptions!FJ:FJ,$B25))</f>
        <v/>
      </c>
      <c r="EV25" s="906" t="str">
        <f>IF(OR($B25=0,$A25=0,$H25&lt;&gt;1),"",INDEX(Assumptions!FK:FK,$B25))</f>
        <v/>
      </c>
      <c r="EW25" s="906" t="str">
        <f>IF(OR($B25=0,$A25=0,$H25&lt;&gt;1),"",INDEX(Assumptions!FL:FL,$B25))</f>
        <v/>
      </c>
      <c r="EX25" s="906" t="str">
        <f>IF(OR($B25=0,$A25=0,$H25&lt;&gt;1),"",INDEX(Assumptions!FM:FM,$B25))</f>
        <v/>
      </c>
      <c r="EY25" s="906" t="str">
        <f>IF(OR($B25=0,$A25=0,$H25&lt;&gt;1),"",INDEX(Assumptions!FN:FN,$B25))</f>
        <v/>
      </c>
      <c r="EZ25" s="906" t="str">
        <f>IF(OR($B25=0,$A25=0,$H25&lt;&gt;1),"",INDEX(Assumptions!FO:FO,$B25))</f>
        <v/>
      </c>
      <c r="FB25" s="820" t="str">
        <f t="shared" si="18"/>
        <v/>
      </c>
      <c r="FC25" s="820" t="str">
        <f t="shared" si="19"/>
        <v/>
      </c>
      <c r="FD25" s="820" t="str">
        <f t="shared" si="20"/>
        <v/>
      </c>
      <c r="FE25" s="820" t="str">
        <f t="shared" si="21"/>
        <v/>
      </c>
      <c r="FF25" s="820" t="str">
        <f t="shared" si="22"/>
        <v/>
      </c>
    </row>
    <row r="26" spans="1:162">
      <c r="A26" s="440">
        <f>IFERROR(MATCH(C26,'Data Interface'!B:B,0),0)</f>
        <v>24</v>
      </c>
      <c r="B26" s="440">
        <f>IFERROR(MATCH(C26,Assumptions!$B:$B,0),0)</f>
        <v>45</v>
      </c>
      <c r="C26" s="441" t="s">
        <v>1409</v>
      </c>
      <c r="E26" s="441" t="s">
        <v>1219</v>
      </c>
      <c r="F26" s="440" t="s">
        <v>34</v>
      </c>
      <c r="G26" s="440" t="str">
        <f>IF(A26=0,"",INDEX('Data Interface'!$C:$C,$A26))</f>
        <v>Due to Interbranch - Investment (MACAU)</v>
      </c>
      <c r="H26" s="440">
        <v>0</v>
      </c>
      <c r="I26" s="819">
        <f t="shared" ca="1" si="10"/>
        <v>9.600000000000003E-2</v>
      </c>
      <c r="J26" s="819">
        <f t="shared" ca="1" si="11"/>
        <v>0.12000000000000002</v>
      </c>
      <c r="K26" s="439" t="str">
        <f t="shared" ca="1" si="12"/>
        <v>9.6% of Current Balance</v>
      </c>
      <c r="L26" s="439" t="s">
        <v>1149</v>
      </c>
      <c r="M26" s="439" t="s">
        <v>1528</v>
      </c>
      <c r="O26" s="442">
        <f>IF(OR($A26="",$A26=0),0,INDEX('Data Interface'!D:D,$A26))</f>
        <v>460.71168785000003</v>
      </c>
      <c r="P26" s="442">
        <f ca="1">$O26-SUM($AS26:AS26)</f>
        <v>445.96891383880001</v>
      </c>
      <c r="Q26" s="442">
        <f ca="1">$O26-SUM($AS26:AT26)</f>
        <v>443.51178483693337</v>
      </c>
      <c r="R26" s="442">
        <f ca="1">$O26-SUM($AS26:AU26)</f>
        <v>441.05465583506668</v>
      </c>
      <c r="S26" s="442">
        <f ca="1">$O26-SUM($AS26:AV26)</f>
        <v>438.59752683320005</v>
      </c>
      <c r="T26" s="442">
        <f ca="1">$O26-SUM($AS26:AW26)</f>
        <v>436.14039783133336</v>
      </c>
      <c r="U26" s="442">
        <f ca="1">$O26-SUM($AS26:AX26)</f>
        <v>433.68326882946667</v>
      </c>
      <c r="V26" s="442">
        <f ca="1">$O26-SUM($AS26:AY26)</f>
        <v>431.22613982760004</v>
      </c>
      <c r="W26" s="442">
        <f ca="1">$O26-SUM($AS26:AZ26)</f>
        <v>429.12002925457148</v>
      </c>
      <c r="X26" s="442">
        <f ca="1">$O26-SUM($AS26:BA26)</f>
        <v>427.01391868154286</v>
      </c>
      <c r="Y26" s="442">
        <f ca="1">$O26-SUM($AS26:BB26)</f>
        <v>424.9078081085143</v>
      </c>
      <c r="Z26" s="442">
        <f ca="1">$O26-SUM($AS26:BC26)</f>
        <v>422.80169753548574</v>
      </c>
      <c r="AA26" s="442">
        <f ca="1">$O26-SUM($AS26:BD26)</f>
        <v>420.69558696245713</v>
      </c>
      <c r="AB26" s="442">
        <f ca="1">$O26-SUM($AS26:BE26)</f>
        <v>418.58947638942857</v>
      </c>
      <c r="AC26" s="442">
        <f ca="1">$O26-SUM($AS26:BF26)</f>
        <v>416.48336581640001</v>
      </c>
      <c r="AD26" s="442">
        <f ca="1">$O26-SUM($AS26:BG26)</f>
        <v>410.95482556220003</v>
      </c>
      <c r="AE26" s="442">
        <f ca="1">$O26-SUM($AS26:BH26)</f>
        <v>405.42628530800005</v>
      </c>
      <c r="AF26" s="442">
        <f ca="1">$O26-SUM($AS26:BI26)</f>
        <v>399.89774505380001</v>
      </c>
      <c r="AG26" s="442">
        <f ca="1">$O26-SUM($AS26:BJ26)</f>
        <v>394.36920479960003</v>
      </c>
      <c r="AH26" s="442">
        <f ca="1">$O26-SUM($AS26:BK26)</f>
        <v>392.5263580482</v>
      </c>
      <c r="AI26" s="442">
        <f ca="1">$O26-SUM($AS26:BL26)</f>
        <v>390.68351129680002</v>
      </c>
      <c r="AJ26" s="442">
        <f ca="1">$O26-SUM($AS26:BM26)</f>
        <v>388.84066454540005</v>
      </c>
      <c r="AK26" s="442">
        <f ca="1">$O26-SUM($AS26:BN26)</f>
        <v>386.99781779400001</v>
      </c>
      <c r="AL26" s="442">
        <f ca="1">$O26-SUM($AS26:BO26)</f>
        <v>385.15497104259998</v>
      </c>
      <c r="AM26" s="442">
        <f ca="1">$O26-SUM($AS26:BP26)</f>
        <v>383.31212429120001</v>
      </c>
      <c r="AN26" s="442">
        <f ca="1">$O26-SUM($AS26:BQ26)</f>
        <v>381.46927753980003</v>
      </c>
      <c r="AO26" s="442">
        <f ca="1">$O26-SUM($AS26:BR26)</f>
        <v>379.6264307884</v>
      </c>
      <c r="AP26" s="442">
        <f ca="1">$O26-SUM($AS26:BS26)</f>
        <v>377.78358403699997</v>
      </c>
      <c r="AR26" s="439" t="s">
        <v>1202</v>
      </c>
      <c r="AS26" s="442">
        <f ca="1">IF($H26="",0,IF($H26=1,IF('Para Adj'!$B$5 = 1,O26-($O26-SUMPRODUCT($CX26:CX26,$BU26:BU26))*(1-SUM($DZ26:DZ26)),BU26*CX26),$O26*BU26))</f>
        <v>14.742774011200002</v>
      </c>
      <c r="AT26" s="442">
        <f ca="1">IF($H26="",0,IF($H26=1,IF('Para Adj'!$B$5 = 1,P26-($O26-SUMPRODUCT($CX26:CY26,$BU26:BV26))*(1-SUM($DZ26:EA26)),BV26*CY26),$O26*BV26))</f>
        <v>2.4571290018666669</v>
      </c>
      <c r="AU26" s="442">
        <f ca="1">IF($H26="",0,IF($H26=1,IF('Para Adj'!$B$5 = 1,Q26-($O26-SUMPRODUCT($CX26:CZ26,$BU26:BW26))*(1-SUM($DZ26:EB26)),BW26*CZ26),$O26*BW26))</f>
        <v>2.4571290018666669</v>
      </c>
      <c r="AV26" s="442">
        <f ca="1">IF($H26="",0,IF($H26=1,IF('Para Adj'!$B$5 = 1,R26-($O26-SUMPRODUCT($CX26:DA26,$BU26:BX26))*(1-SUM($DZ26:EC26)),BX26*DA26),$O26*BX26))</f>
        <v>2.4571290018666669</v>
      </c>
      <c r="AW26" s="442">
        <f ca="1">IF($H26="",0,IF($H26=1,IF('Para Adj'!$B$5 = 1,S26-($O26-SUMPRODUCT($CX26:DB26,$BU26:BY26))*(1-SUM($DZ26:ED26)),BY26*DB26),$O26*BY26))</f>
        <v>2.4571290018666669</v>
      </c>
      <c r="AX26" s="442">
        <f ca="1">IF($H26="",0,IF($H26=1,IF('Para Adj'!$B$5 = 1,T26-($O26-SUMPRODUCT($CX26:DC26,$BU26:BZ26))*(1-SUM($DZ26:EE26)),BZ26*DC26),$O26*BZ26))</f>
        <v>2.4571290018666669</v>
      </c>
      <c r="AY26" s="442">
        <f ca="1">IF($H26="",0,IF($H26=1,IF('Para Adj'!$B$5 = 1,U26-($O26-SUMPRODUCT($CX26:DD26,$BU26:CA26))*(1-SUM($DZ26:EF26)),CA26*DD26),$O26*CA26))</f>
        <v>2.4571290018666669</v>
      </c>
      <c r="AZ26" s="442">
        <f ca="1">IF($H26="",0,IF($H26=1,IF('Para Adj'!$B$5 = 1,V26-($O26-SUMPRODUCT($CX26:DE26,$BU26:CB26))*(1-SUM($DZ26:EG26)),CB26*DE26),$O26*CB26))</f>
        <v>2.1061105730285719</v>
      </c>
      <c r="BA26" s="442">
        <f ca="1">IF($H26="",0,IF($H26=1,IF('Para Adj'!$B$5 = 1,W26-($O26-SUMPRODUCT($CX26:DF26,$BU26:CC26))*(1-SUM($DZ26:EH26)),CC26*DF26),$O26*CC26))</f>
        <v>2.1061105730285719</v>
      </c>
      <c r="BB26" s="442">
        <f ca="1">IF($H26="",0,IF($H26=1,IF('Para Adj'!$B$5 = 1,X26-($O26-SUMPRODUCT($CX26:DG26,$BU26:CD26))*(1-SUM($DZ26:EI26)),CD26*DG26),$O26*CD26))</f>
        <v>2.1061105730285719</v>
      </c>
      <c r="BC26" s="442">
        <f ca="1">IF($H26="",0,IF($H26=1,IF('Para Adj'!$B$5 = 1,Y26-($O26-SUMPRODUCT($CX26:DH26,$BU26:CE26))*(1-SUM($DZ26:EJ26)),CE26*DH26),$O26*CE26))</f>
        <v>2.1061105730285719</v>
      </c>
      <c r="BD26" s="442">
        <f ca="1">IF($H26="",0,IF($H26=1,IF('Para Adj'!$B$5 = 1,Z26-($O26-SUMPRODUCT($CX26:DI26,$BU26:CF26))*(1-SUM($DZ26:EK26)),CF26*DI26),$O26*CF26))</f>
        <v>2.1061105730285719</v>
      </c>
      <c r="BE26" s="442">
        <f ca="1">IF($H26="",0,IF($H26=1,IF('Para Adj'!$B$5 = 1,AA26-($O26-SUMPRODUCT($CX26:DJ26,$BU26:CG26))*(1-SUM($DZ26:EL26)),CG26*DJ26),$O26*CG26))</f>
        <v>2.1061105730285719</v>
      </c>
      <c r="BF26" s="442">
        <f ca="1">IF($H26="",0,IF($H26=1,IF('Para Adj'!$B$5 = 1,AB26-($O26-SUMPRODUCT($CX26:DK26,$BU26:CH26))*(1-SUM($DZ26:EM26)),CH26*DK26),$O26*CH26))</f>
        <v>2.1061105730285719</v>
      </c>
      <c r="BG26" s="442">
        <f ca="1">IF($H26="",0,IF($H26=1,IF('Para Adj'!$B$5 = 1,AC26-($O26-SUMPRODUCT($CX26:DL26,$BU26:CI26))*(1-SUM($DZ26:EN26)),CI26*DL26),$O26*CI26))</f>
        <v>5.5285402541999993</v>
      </c>
      <c r="BH26" s="442">
        <f ca="1">IF($H26="",0,IF($H26=1,IF('Para Adj'!$B$5 = 1,AD26-($O26-SUMPRODUCT($CX26:DM26,$BU26:CJ26))*(1-SUM($DZ26:EO26)),CJ26*DM26),$O26*CJ26))</f>
        <v>5.5285402541999993</v>
      </c>
      <c r="BI26" s="442">
        <f ca="1">IF($H26="",0,IF($H26=1,IF('Para Adj'!$B$5 = 1,AE26-($O26-SUMPRODUCT($CX26:DN26,$BU26:CK26))*(1-SUM($DZ26:EP26)),CK26*DN26),$O26*CK26))</f>
        <v>5.5285402541999993</v>
      </c>
      <c r="BJ26" s="442">
        <f ca="1">IF($H26="",0,IF($H26=1,IF('Para Adj'!$B$5 = 1,AF26-($O26-SUMPRODUCT($CX26:DO26,$BU26:CL26))*(1-SUM($DZ26:EQ26)),CL26*DO26),$O26*CL26))</f>
        <v>5.5285402541999993</v>
      </c>
      <c r="BK26" s="442">
        <f ca="1">IF($H26="",0,IF($H26=1,IF('Para Adj'!$B$5 = 1,AG26-($O26-SUMPRODUCT($CX26:DP26,$BU26:CM26))*(1-SUM($DZ26:ER26)),CM26*DP26),$O26*CM26))</f>
        <v>1.8428467514000002</v>
      </c>
      <c r="BL26" s="442">
        <f ca="1">IF($H26="",0,IF($H26=1,IF('Para Adj'!$B$5 = 1,AH26-($O26-SUMPRODUCT($CX26:DQ26,$BU26:CN26))*(1-SUM($DZ26:ES26)),CN26*DQ26),$O26*CN26))</f>
        <v>1.8428467514000002</v>
      </c>
      <c r="BM26" s="442">
        <f ca="1">IF($H26="",0,IF($H26=1,IF('Para Adj'!$B$5 = 1,AI26-($O26-SUMPRODUCT($CX26:DR26,$BU26:CO26))*(1-SUM($DZ26:ET26)),CO26*DR26),$O26*CO26))</f>
        <v>1.8428467514000002</v>
      </c>
      <c r="BN26" s="442">
        <f ca="1">IF($H26="",0,IF($H26=1,IF('Para Adj'!$B$5 = 1,AJ26-($O26-SUMPRODUCT($CX26:DS26,$BU26:CP26))*(1-SUM($DZ26:EU26)),CP26*DS26),$O26*CP26))</f>
        <v>1.8428467514000002</v>
      </c>
      <c r="BO26" s="442">
        <f ca="1">IF($H26="",0,IF($H26=1,IF('Para Adj'!$B$5 = 1,AK26-($O26-SUMPRODUCT($CX26:DT26,$BU26:CQ26))*(1-SUM($DZ26:EV26)),CQ26*DT26),$O26*CQ26))</f>
        <v>1.8428467514000002</v>
      </c>
      <c r="BP26" s="442">
        <f ca="1">IF($H26="",0,IF($H26=1,IF('Para Adj'!$B$5 = 1,AL26-($O26-SUMPRODUCT($CX26:DU26,$BU26:CR26))*(1-SUM($DZ26:EW26)),CR26*DU26),$O26*CR26))</f>
        <v>1.8428467514000002</v>
      </c>
      <c r="BQ26" s="442">
        <f ca="1">IF($H26="",0,IF($H26=1,IF('Para Adj'!$B$5 = 1,AM26-($O26-SUMPRODUCT($CX26:DV26,$BU26:CS26))*(1-SUM($DZ26:EX26)),CS26*DV26),$O26*CS26))</f>
        <v>1.8428467514000002</v>
      </c>
      <c r="BR26" s="442">
        <f ca="1">IF($H26="",0,IF($H26=1,IF('Para Adj'!$B$5 = 1,AN26-($O26-SUMPRODUCT($CX26:DW26,$BU26:CT26))*(1-SUM($DZ26:EY26)),CT26*DW26),$O26*CT26))</f>
        <v>1.8428467514000002</v>
      </c>
      <c r="BS26" s="442">
        <f ca="1">IF($H26="",0,IF($H26=1,IF('Para Adj'!$B$5 = 1,AO26-($O26-SUMPRODUCT($CX26:DX26,$BU26:CU26))*(1-SUM($DZ26:EZ26)),CU26*DX26),$O26*CU26))</f>
        <v>1.8428467514000002</v>
      </c>
      <c r="BU26" s="820">
        <f ca="1">IF($B26=0,"",INDEX(Assumptions!G:G,$B26))</f>
        <v>3.2000000000000001E-2</v>
      </c>
      <c r="BV26" s="820">
        <f ca="1">IF($B26=0,"",INDEX(Assumptions!H:H,$B26))</f>
        <v>5.3333333333333332E-3</v>
      </c>
      <c r="BW26" s="820">
        <f ca="1">IF($B26=0,"",INDEX(Assumptions!I:I,$B26))</f>
        <v>5.3333333333333332E-3</v>
      </c>
      <c r="BX26" s="820">
        <f ca="1">IF($B26=0,"",INDEX(Assumptions!J:J,$B26))</f>
        <v>5.3333333333333332E-3</v>
      </c>
      <c r="BY26" s="820">
        <f ca="1">IF($B26=0,"",INDEX(Assumptions!K:K,$B26))</f>
        <v>5.3333333333333332E-3</v>
      </c>
      <c r="BZ26" s="820">
        <f ca="1">IF($B26=0,"",INDEX(Assumptions!L:L,$B26))</f>
        <v>5.3333333333333332E-3</v>
      </c>
      <c r="CA26" s="820">
        <f ca="1">IF($B26=0,"",INDEX(Assumptions!M:M,$B26))</f>
        <v>5.3333333333333332E-3</v>
      </c>
      <c r="CB26" s="820">
        <f ca="1">IF($B26=0,"",INDEX(Assumptions!N:N,$B26))</f>
        <v>4.5714285714285718E-3</v>
      </c>
      <c r="CC26" s="820">
        <f ca="1">IF($B26=0,"",INDEX(Assumptions!O:O,$B26))</f>
        <v>4.5714285714285718E-3</v>
      </c>
      <c r="CD26" s="820">
        <f ca="1">IF($B26=0,"",INDEX(Assumptions!P:P,$B26))</f>
        <v>4.5714285714285718E-3</v>
      </c>
      <c r="CE26" s="820">
        <f ca="1">IF($B26=0,"",INDEX(Assumptions!Q:Q,$B26))</f>
        <v>4.5714285714285718E-3</v>
      </c>
      <c r="CF26" s="820">
        <f ca="1">IF($B26=0,"",INDEX(Assumptions!R:R,$B26))</f>
        <v>4.5714285714285718E-3</v>
      </c>
      <c r="CG26" s="820">
        <f ca="1">IF($B26=0,"",INDEX(Assumptions!S:S,$B26))</f>
        <v>4.5714285714285718E-3</v>
      </c>
      <c r="CH26" s="820">
        <f ca="1">IF($B26=0,"",INDEX(Assumptions!T:T,$B26))</f>
        <v>4.5714285714285718E-3</v>
      </c>
      <c r="CI26" s="820">
        <f ca="1">IF($B26=0,"",INDEX(Assumptions!U:U,$B26))</f>
        <v>1.1999999999999997E-2</v>
      </c>
      <c r="CJ26" s="820">
        <f ca="1">IF($B26=0,"",INDEX(Assumptions!V:V,$B26))</f>
        <v>1.1999999999999997E-2</v>
      </c>
      <c r="CK26" s="820">
        <f ca="1">IF($B26=0,"",INDEX(Assumptions!W:W,$B26))</f>
        <v>1.1999999999999997E-2</v>
      </c>
      <c r="CL26" s="820">
        <f ca="1">IF($B26=0,"",INDEX(Assumptions!X:X,$B26))</f>
        <v>1.1999999999999997E-2</v>
      </c>
      <c r="CM26" s="820">
        <f ca="1">IF($B26=0,"",INDEX(Assumptions!Y:Y,$B26))</f>
        <v>4.0000000000000001E-3</v>
      </c>
      <c r="CN26" s="820">
        <f ca="1">IF($B26=0,"",INDEX(Assumptions!Z:Z,$B26))</f>
        <v>4.0000000000000001E-3</v>
      </c>
      <c r="CO26" s="820">
        <f ca="1">IF($B26=0,"",INDEX(Assumptions!AA:AA,$B26))</f>
        <v>4.0000000000000001E-3</v>
      </c>
      <c r="CP26" s="820">
        <f ca="1">IF($B26=0,"",INDEX(Assumptions!AB:AB,$B26))</f>
        <v>4.0000000000000001E-3</v>
      </c>
      <c r="CQ26" s="820">
        <f ca="1">IF($B26=0,"",INDEX(Assumptions!AC:AC,$B26))</f>
        <v>4.0000000000000001E-3</v>
      </c>
      <c r="CR26" s="820">
        <f ca="1">IF($B26=0,"",INDEX(Assumptions!AD:AD,$B26))</f>
        <v>4.0000000000000001E-3</v>
      </c>
      <c r="CS26" s="820">
        <f ca="1">IF($B26=0,"",INDEX(Assumptions!AE:AE,$B26))</f>
        <v>4.0000000000000001E-3</v>
      </c>
      <c r="CT26" s="820">
        <f ca="1">IF($B26=0,"",INDEX(Assumptions!AF:AF,$B26))</f>
        <v>4.0000000000000001E-3</v>
      </c>
      <c r="CU26" s="820">
        <f ca="1">IF($B26=0,"",INDEX(Assumptions!AG:AG,$B26))</f>
        <v>4.0000000000000001E-3</v>
      </c>
      <c r="CX26" s="442">
        <f>IF($A26="","",INDEX('Data Interface'!G:G,$A26))</f>
        <v>460.71168785000003</v>
      </c>
      <c r="CY26" s="442">
        <f>IF($A26="","",INDEX('Data Interface'!H:H,$A26))</f>
        <v>0</v>
      </c>
      <c r="CZ26" s="442">
        <f>IF($A26="","",INDEX('Data Interface'!I:I,$A26))</f>
        <v>0</v>
      </c>
      <c r="DA26" s="442">
        <f>IF($A26="","",INDEX('Data Interface'!J:J,$A26))</f>
        <v>0</v>
      </c>
      <c r="DB26" s="442">
        <f>IF($A26="","",INDEX('Data Interface'!K:K,$A26))</f>
        <v>0</v>
      </c>
      <c r="DC26" s="442">
        <f>IF($A26="","",INDEX('Data Interface'!L:L,$A26))</f>
        <v>0</v>
      </c>
      <c r="DD26" s="442">
        <f>IF($A26="","",INDEX('Data Interface'!M:M,$A26))</f>
        <v>0</v>
      </c>
      <c r="DE26" s="442">
        <f>IF($A26="","",INDEX('Data Interface'!N:N,$A26))</f>
        <v>0</v>
      </c>
      <c r="DF26" s="442">
        <f>IF($A26="","",INDEX('Data Interface'!O:O,$A26))</f>
        <v>0</v>
      </c>
      <c r="DG26" s="442">
        <f>IF($A26="","",INDEX('Data Interface'!P:P,$A26))</f>
        <v>0</v>
      </c>
      <c r="DH26" s="442">
        <f>IF($A26="","",INDEX('Data Interface'!Q:Q,$A26))</f>
        <v>0</v>
      </c>
      <c r="DI26" s="442">
        <f>IF($A26="","",INDEX('Data Interface'!R:R,$A26))</f>
        <v>0</v>
      </c>
      <c r="DJ26" s="442">
        <f>IF($A26="","",INDEX('Data Interface'!S:S,$A26))</f>
        <v>0</v>
      </c>
      <c r="DK26" s="442">
        <f>IF($A26="","",INDEX('Data Interface'!T:T,$A26))</f>
        <v>0</v>
      </c>
      <c r="DL26" s="442">
        <f>IF($A26="","",INDEX('Data Interface'!U:U,$A26))</f>
        <v>0</v>
      </c>
      <c r="DM26" s="442">
        <f>IF($A26="","",INDEX('Data Interface'!V:V,$A26))</f>
        <v>0</v>
      </c>
      <c r="DN26" s="442">
        <f>IF($A26="","",INDEX('Data Interface'!W:W,$A26))</f>
        <v>0</v>
      </c>
      <c r="DO26" s="442">
        <f>IF($A26="","",INDEX('Data Interface'!X:X,$A26))</f>
        <v>0</v>
      </c>
      <c r="DP26" s="442">
        <f>IF($A26="","",INDEX('Data Interface'!Y:Y,$A26))</f>
        <v>0</v>
      </c>
      <c r="DQ26" s="442">
        <f>IF($A26="","",INDEX('Data Interface'!Z:Z,$A26))</f>
        <v>0</v>
      </c>
      <c r="DR26" s="442">
        <f>IF($A26="","",INDEX('Data Interface'!AA:AA,$A26))</f>
        <v>0</v>
      </c>
      <c r="DS26" s="442">
        <f>IF($A26="","",INDEX('Data Interface'!AB:AB,$A26))</f>
        <v>0</v>
      </c>
      <c r="DT26" s="442">
        <f>IF($A26="","",INDEX('Data Interface'!AC:AC,$A26))</f>
        <v>0</v>
      </c>
      <c r="DU26" s="442">
        <f>IF($A26="","",INDEX('Data Interface'!AD:AD,$A26))</f>
        <v>0</v>
      </c>
      <c r="DV26" s="442">
        <f>IF($A26="","",INDEX('Data Interface'!AE:AE,$A26))</f>
        <v>0</v>
      </c>
      <c r="DW26" s="442">
        <f>IF($A26="","",INDEX('Data Interface'!AF:AF,$A26))</f>
        <v>0</v>
      </c>
      <c r="DX26" s="442">
        <f>IF($A26="","",INDEX('Data Interface'!AG:AG,$A26))</f>
        <v>0</v>
      </c>
      <c r="DZ26" s="906" t="str">
        <f>IF(OR($B26=0,$A26=0,$H26&lt;&gt;1),"",INDEX(Assumptions!EO:EO,$B26))</f>
        <v/>
      </c>
      <c r="EA26" s="906" t="str">
        <f>IF(OR($B26=0,$A26=0,$H26&lt;&gt;1),"",INDEX(Assumptions!EP:EP,$B26))</f>
        <v/>
      </c>
      <c r="EB26" s="906" t="str">
        <f>IF(OR($B26=0,$A26=0,$H26&lt;&gt;1),"",INDEX(Assumptions!EQ:EQ,$B26))</f>
        <v/>
      </c>
      <c r="EC26" s="906" t="str">
        <f>IF(OR($B26=0,$A26=0,$H26&lt;&gt;1),"",INDEX(Assumptions!ER:ER,$B26))</f>
        <v/>
      </c>
      <c r="ED26" s="906" t="str">
        <f>IF(OR($B26=0,$A26=0,$H26&lt;&gt;1),"",INDEX(Assumptions!ES:ES,$B26))</f>
        <v/>
      </c>
      <c r="EE26" s="906" t="str">
        <f>IF(OR($B26=0,$A26=0,$H26&lt;&gt;1),"",INDEX(Assumptions!ET:ET,$B26))</f>
        <v/>
      </c>
      <c r="EF26" s="906" t="str">
        <f>IF(OR($B26=0,$A26=0,$H26&lt;&gt;1),"",INDEX(Assumptions!EU:EU,$B26))</f>
        <v/>
      </c>
      <c r="EG26" s="906" t="str">
        <f>IF(OR($B26=0,$A26=0,$H26&lt;&gt;1),"",INDEX(Assumptions!EV:EV,$B26))</f>
        <v/>
      </c>
      <c r="EH26" s="906" t="str">
        <f>IF(OR($B26=0,$A26=0,$H26&lt;&gt;1),"",INDEX(Assumptions!EW:EW,$B26))</f>
        <v/>
      </c>
      <c r="EI26" s="906" t="str">
        <f>IF(OR($B26=0,$A26=0,$H26&lt;&gt;1),"",INDEX(Assumptions!EX:EX,$B26))</f>
        <v/>
      </c>
      <c r="EJ26" s="906" t="str">
        <f>IF(OR($B26=0,$A26=0,$H26&lt;&gt;1),"",INDEX(Assumptions!EY:EY,$B26))</f>
        <v/>
      </c>
      <c r="EK26" s="906" t="str">
        <f>IF(OR($B26=0,$A26=0,$H26&lt;&gt;1),"",INDEX(Assumptions!EZ:EZ,$B26))</f>
        <v/>
      </c>
      <c r="EL26" s="906" t="str">
        <f>IF(OR($B26=0,$A26=0,$H26&lt;&gt;1),"",INDEX(Assumptions!FA:FA,$B26))</f>
        <v/>
      </c>
      <c r="EM26" s="906" t="str">
        <f>IF(OR($B26=0,$A26=0,$H26&lt;&gt;1),"",INDEX(Assumptions!FB:FB,$B26))</f>
        <v/>
      </c>
      <c r="EN26" s="906" t="str">
        <f>IF(OR($B26=0,$A26=0,$H26&lt;&gt;1),"",INDEX(Assumptions!FC:FC,$B26))</f>
        <v/>
      </c>
      <c r="EO26" s="906" t="str">
        <f>IF(OR($B26=0,$A26=0,$H26&lt;&gt;1),"",INDEX(Assumptions!FD:FD,$B26))</f>
        <v/>
      </c>
      <c r="EP26" s="906" t="str">
        <f>IF(OR($B26=0,$A26=0,$H26&lt;&gt;1),"",INDEX(Assumptions!FE:FE,$B26))</f>
        <v/>
      </c>
      <c r="EQ26" s="906" t="str">
        <f>IF(OR($B26=0,$A26=0,$H26&lt;&gt;1),"",INDEX(Assumptions!FF:FF,$B26))</f>
        <v/>
      </c>
      <c r="ER26" s="906" t="str">
        <f>IF(OR($B26=0,$A26=0,$H26&lt;&gt;1),"",INDEX(Assumptions!FG:FG,$B26))</f>
        <v/>
      </c>
      <c r="ES26" s="906" t="str">
        <f>IF(OR($B26=0,$A26=0,$H26&lt;&gt;1),"",INDEX(Assumptions!FH:FH,$B26))</f>
        <v/>
      </c>
      <c r="ET26" s="906" t="str">
        <f>IF(OR($B26=0,$A26=0,$H26&lt;&gt;1),"",INDEX(Assumptions!FI:FI,$B26))</f>
        <v/>
      </c>
      <c r="EU26" s="906" t="str">
        <f>IF(OR($B26=0,$A26=0,$H26&lt;&gt;1),"",INDEX(Assumptions!FJ:FJ,$B26))</f>
        <v/>
      </c>
      <c r="EV26" s="906" t="str">
        <f>IF(OR($B26=0,$A26=0,$H26&lt;&gt;1),"",INDEX(Assumptions!FK:FK,$B26))</f>
        <v/>
      </c>
      <c r="EW26" s="906" t="str">
        <f>IF(OR($B26=0,$A26=0,$H26&lt;&gt;1),"",INDEX(Assumptions!FL:FL,$B26))</f>
        <v/>
      </c>
      <c r="EX26" s="906" t="str">
        <f>IF(OR($B26=0,$A26=0,$H26&lt;&gt;1),"",INDEX(Assumptions!FM:FM,$B26))</f>
        <v/>
      </c>
      <c r="EY26" s="906" t="str">
        <f>IF(OR($B26=0,$A26=0,$H26&lt;&gt;1),"",INDEX(Assumptions!FN:FN,$B26))</f>
        <v/>
      </c>
      <c r="EZ26" s="906" t="str">
        <f>IF(OR($B26=0,$A26=0,$H26&lt;&gt;1),"",INDEX(Assumptions!FO:FO,$B26))</f>
        <v/>
      </c>
      <c r="FB26" s="820" t="str">
        <f t="shared" si="18"/>
        <v/>
      </c>
      <c r="FC26" s="820" t="str">
        <f t="shared" si="19"/>
        <v/>
      </c>
      <c r="FD26" s="820" t="str">
        <f t="shared" si="20"/>
        <v/>
      </c>
      <c r="FE26" s="820" t="str">
        <f t="shared" si="21"/>
        <v/>
      </c>
      <c r="FF26" s="820" t="str">
        <f t="shared" si="22"/>
        <v/>
      </c>
    </row>
    <row r="27" spans="1:162">
      <c r="A27" s="440">
        <f>IFERROR(MATCH(C27,'Data Interface'!B:B,0),0)</f>
        <v>25</v>
      </c>
      <c r="B27" s="440">
        <f>IFERROR(MATCH(C27,Assumptions!$B:$B,0),0)</f>
        <v>46</v>
      </c>
      <c r="C27" s="441" t="s">
        <v>1419</v>
      </c>
      <c r="E27" s="441" t="s">
        <v>1219</v>
      </c>
      <c r="F27" s="440" t="s">
        <v>34</v>
      </c>
      <c r="G27" s="440" t="str">
        <f>IF(A27=0,"",INDEX('Data Interface'!$C:$C,$A27))</f>
        <v>Due to Interbranch - Investment (LUXEMBOURG)</v>
      </c>
      <c r="H27" s="440">
        <v>0</v>
      </c>
      <c r="I27" s="819">
        <f t="shared" ca="1" si="10"/>
        <v>9.600000000000003E-2</v>
      </c>
      <c r="J27" s="819">
        <f t="shared" ca="1" si="11"/>
        <v>0.12000000000000002</v>
      </c>
      <c r="K27" s="439" t="str">
        <f t="shared" ca="1" si="12"/>
        <v>9.6% of Current Balance</v>
      </c>
      <c r="L27" s="439" t="s">
        <v>1149</v>
      </c>
      <c r="M27" s="439" t="s">
        <v>1528</v>
      </c>
      <c r="O27" s="442">
        <f>IF(OR($A27="",$A27=0),0,INDEX('Data Interface'!D:D,$A27))</f>
        <v>170.26193140000001</v>
      </c>
      <c r="P27" s="442">
        <f ca="1">$O27-SUM($AS27:AS27)</f>
        <v>164.81354959520002</v>
      </c>
      <c r="Q27" s="442">
        <f ca="1">$O27-SUM($AS27:AT27)</f>
        <v>163.90548596106669</v>
      </c>
      <c r="R27" s="442">
        <f ca="1">$O27-SUM($AS27:AU27)</f>
        <v>162.99742232693333</v>
      </c>
      <c r="S27" s="442">
        <f ca="1">$O27-SUM($AS27:AV27)</f>
        <v>162.0893586928</v>
      </c>
      <c r="T27" s="442">
        <f ca="1">$O27-SUM($AS27:AW27)</f>
        <v>161.18129505866668</v>
      </c>
      <c r="U27" s="442">
        <f ca="1">$O27-SUM($AS27:AX27)</f>
        <v>160.27323142453335</v>
      </c>
      <c r="V27" s="442">
        <f ca="1">$O27-SUM($AS27:AY27)</f>
        <v>159.36516779040002</v>
      </c>
      <c r="W27" s="442">
        <f ca="1">$O27-SUM($AS27:AZ27)</f>
        <v>158.58682753257145</v>
      </c>
      <c r="X27" s="442">
        <f ca="1">$O27-SUM($AS27:BA27)</f>
        <v>157.80848727474287</v>
      </c>
      <c r="Y27" s="442">
        <f ca="1">$O27-SUM($AS27:BB27)</f>
        <v>157.0301470169143</v>
      </c>
      <c r="Z27" s="442">
        <f ca="1">$O27-SUM($AS27:BC27)</f>
        <v>156.25180675908572</v>
      </c>
      <c r="AA27" s="442">
        <f ca="1">$O27-SUM($AS27:BD27)</f>
        <v>155.47346650125715</v>
      </c>
      <c r="AB27" s="442">
        <f ca="1">$O27-SUM($AS27:BE27)</f>
        <v>154.69512624342858</v>
      </c>
      <c r="AC27" s="442">
        <f ca="1">$O27-SUM($AS27:BF27)</f>
        <v>153.9167859856</v>
      </c>
      <c r="AD27" s="442">
        <f ca="1">$O27-SUM($AS27:BG27)</f>
        <v>151.87364280880001</v>
      </c>
      <c r="AE27" s="442">
        <f ca="1">$O27-SUM($AS27:BH27)</f>
        <v>149.830499632</v>
      </c>
      <c r="AF27" s="442">
        <f ca="1">$O27-SUM($AS27:BI27)</f>
        <v>147.78735645520001</v>
      </c>
      <c r="AG27" s="442">
        <f ca="1">$O27-SUM($AS27:BJ27)</f>
        <v>145.7442132784</v>
      </c>
      <c r="AH27" s="442">
        <f ca="1">$O27-SUM($AS27:BK27)</f>
        <v>145.0631655528</v>
      </c>
      <c r="AI27" s="442">
        <f ca="1">$O27-SUM($AS27:BL27)</f>
        <v>144.38211782720001</v>
      </c>
      <c r="AJ27" s="442">
        <f ca="1">$O27-SUM($AS27:BM27)</f>
        <v>143.70107010160001</v>
      </c>
      <c r="AK27" s="442">
        <f ca="1">$O27-SUM($AS27:BN27)</f>
        <v>143.02002237600001</v>
      </c>
      <c r="AL27" s="442">
        <f ca="1">$O27-SUM($AS27:BO27)</f>
        <v>142.33897465040002</v>
      </c>
      <c r="AM27" s="442">
        <f ca="1">$O27-SUM($AS27:BP27)</f>
        <v>141.65792692480002</v>
      </c>
      <c r="AN27" s="442">
        <f ca="1">$O27-SUM($AS27:BQ27)</f>
        <v>140.97687919920003</v>
      </c>
      <c r="AO27" s="442">
        <f ca="1">$O27-SUM($AS27:BR27)</f>
        <v>140.2958314736</v>
      </c>
      <c r="AP27" s="442">
        <f ca="1">$O27-SUM($AS27:BS27)</f>
        <v>139.61478374800001</v>
      </c>
      <c r="AR27" s="439" t="s">
        <v>1202</v>
      </c>
      <c r="AS27" s="442">
        <f ca="1">IF($H27="",0,IF($H27=1,IF('Para Adj'!$B$5 = 1,O27-($O27-SUMPRODUCT($CX27:CX27,$BU27:BU27))*(1-SUM($DZ27:DZ27)),BU27*CX27),$O27*BU27))</f>
        <v>5.4483818048000003</v>
      </c>
      <c r="AT27" s="442">
        <f ca="1">IF($H27="",0,IF($H27=1,IF('Para Adj'!$B$5 = 1,P27-($O27-SUMPRODUCT($CX27:CY27,$BU27:BV27))*(1-SUM($DZ27:EA27)),BV27*CY27),$O27*BV27))</f>
        <v>0.90806363413333335</v>
      </c>
      <c r="AU27" s="442">
        <f ca="1">IF($H27="",0,IF($H27=1,IF('Para Adj'!$B$5 = 1,Q27-($O27-SUMPRODUCT($CX27:CZ27,$BU27:BW27))*(1-SUM($DZ27:EB27)),BW27*CZ27),$O27*BW27))</f>
        <v>0.90806363413333335</v>
      </c>
      <c r="AV27" s="442">
        <f ca="1">IF($H27="",0,IF($H27=1,IF('Para Adj'!$B$5 = 1,R27-($O27-SUMPRODUCT($CX27:DA27,$BU27:BX27))*(1-SUM($DZ27:EC27)),BX27*DA27),$O27*BX27))</f>
        <v>0.90806363413333335</v>
      </c>
      <c r="AW27" s="442">
        <f ca="1">IF($H27="",0,IF($H27=1,IF('Para Adj'!$B$5 = 1,S27-($O27-SUMPRODUCT($CX27:DB27,$BU27:BY27))*(1-SUM($DZ27:ED27)),BY27*DB27),$O27*BY27))</f>
        <v>0.90806363413333335</v>
      </c>
      <c r="AX27" s="442">
        <f ca="1">IF($H27="",0,IF($H27=1,IF('Para Adj'!$B$5 = 1,T27-($O27-SUMPRODUCT($CX27:DC27,$BU27:BZ27))*(1-SUM($DZ27:EE27)),BZ27*DC27),$O27*BZ27))</f>
        <v>0.90806363413333335</v>
      </c>
      <c r="AY27" s="442">
        <f ca="1">IF($H27="",0,IF($H27=1,IF('Para Adj'!$B$5 = 1,U27-($O27-SUMPRODUCT($CX27:DD27,$BU27:CA27))*(1-SUM($DZ27:EF27)),CA27*DD27),$O27*CA27))</f>
        <v>0.90806363413333335</v>
      </c>
      <c r="AZ27" s="442">
        <f ca="1">IF($H27="",0,IF($H27=1,IF('Para Adj'!$B$5 = 1,V27-($O27-SUMPRODUCT($CX27:DE27,$BU27:CB27))*(1-SUM($DZ27:EG27)),CB27*DE27),$O27*CB27))</f>
        <v>0.77834025782857152</v>
      </c>
      <c r="BA27" s="442">
        <f ca="1">IF($H27="",0,IF($H27=1,IF('Para Adj'!$B$5 = 1,W27-($O27-SUMPRODUCT($CX27:DF27,$BU27:CC27))*(1-SUM($DZ27:EH27)),CC27*DF27),$O27*CC27))</f>
        <v>0.77834025782857152</v>
      </c>
      <c r="BB27" s="442">
        <f ca="1">IF($H27="",0,IF($H27=1,IF('Para Adj'!$B$5 = 1,X27-($O27-SUMPRODUCT($CX27:DG27,$BU27:CD27))*(1-SUM($DZ27:EI27)),CD27*DG27),$O27*CD27))</f>
        <v>0.77834025782857152</v>
      </c>
      <c r="BC27" s="442">
        <f ca="1">IF($H27="",0,IF($H27=1,IF('Para Adj'!$B$5 = 1,Y27-($O27-SUMPRODUCT($CX27:DH27,$BU27:CE27))*(1-SUM($DZ27:EJ27)),CE27*DH27),$O27*CE27))</f>
        <v>0.77834025782857152</v>
      </c>
      <c r="BD27" s="442">
        <f ca="1">IF($H27="",0,IF($H27=1,IF('Para Adj'!$B$5 = 1,Z27-($O27-SUMPRODUCT($CX27:DI27,$BU27:CF27))*(1-SUM($DZ27:EK27)),CF27*DI27),$O27*CF27))</f>
        <v>0.77834025782857152</v>
      </c>
      <c r="BE27" s="442">
        <f ca="1">IF($H27="",0,IF($H27=1,IF('Para Adj'!$B$5 = 1,AA27-($O27-SUMPRODUCT($CX27:DJ27,$BU27:CG27))*(1-SUM($DZ27:EL27)),CG27*DJ27),$O27*CG27))</f>
        <v>0.77834025782857152</v>
      </c>
      <c r="BF27" s="442">
        <f ca="1">IF($H27="",0,IF($H27=1,IF('Para Adj'!$B$5 = 1,AB27-($O27-SUMPRODUCT($CX27:DK27,$BU27:CH27))*(1-SUM($DZ27:EM27)),CH27*DK27),$O27*CH27))</f>
        <v>0.77834025782857152</v>
      </c>
      <c r="BG27" s="442">
        <f ca="1">IF($H27="",0,IF($H27=1,IF('Para Adj'!$B$5 = 1,AC27-($O27-SUMPRODUCT($CX27:DL27,$BU27:CI27))*(1-SUM($DZ27:EN27)),CI27*DL27),$O27*CI27))</f>
        <v>2.0431431767999997</v>
      </c>
      <c r="BH27" s="442">
        <f ca="1">IF($H27="",0,IF($H27=1,IF('Para Adj'!$B$5 = 1,AD27-($O27-SUMPRODUCT($CX27:DM27,$BU27:CJ27))*(1-SUM($DZ27:EO27)),CJ27*DM27),$O27*CJ27))</f>
        <v>2.0431431767999997</v>
      </c>
      <c r="BI27" s="442">
        <f ca="1">IF($H27="",0,IF($H27=1,IF('Para Adj'!$B$5 = 1,AE27-($O27-SUMPRODUCT($CX27:DN27,$BU27:CK27))*(1-SUM($DZ27:EP27)),CK27*DN27),$O27*CK27))</f>
        <v>2.0431431767999997</v>
      </c>
      <c r="BJ27" s="442">
        <f ca="1">IF($H27="",0,IF($H27=1,IF('Para Adj'!$B$5 = 1,AF27-($O27-SUMPRODUCT($CX27:DO27,$BU27:CL27))*(1-SUM($DZ27:EQ27)),CL27*DO27),$O27*CL27))</f>
        <v>2.0431431767999997</v>
      </c>
      <c r="BK27" s="442">
        <f ca="1">IF($H27="",0,IF($H27=1,IF('Para Adj'!$B$5 = 1,AG27-($O27-SUMPRODUCT($CX27:DP27,$BU27:CM27))*(1-SUM($DZ27:ER27)),CM27*DP27),$O27*CM27))</f>
        <v>0.68104772560000004</v>
      </c>
      <c r="BL27" s="442">
        <f ca="1">IF($H27="",0,IF($H27=1,IF('Para Adj'!$B$5 = 1,AH27-($O27-SUMPRODUCT($CX27:DQ27,$BU27:CN27))*(1-SUM($DZ27:ES27)),CN27*DQ27),$O27*CN27))</f>
        <v>0.68104772560000004</v>
      </c>
      <c r="BM27" s="442">
        <f ca="1">IF($H27="",0,IF($H27=1,IF('Para Adj'!$B$5 = 1,AI27-($O27-SUMPRODUCT($CX27:DR27,$BU27:CO27))*(1-SUM($DZ27:ET27)),CO27*DR27),$O27*CO27))</f>
        <v>0.68104772560000004</v>
      </c>
      <c r="BN27" s="442">
        <f ca="1">IF($H27="",0,IF($H27=1,IF('Para Adj'!$B$5 = 1,AJ27-($O27-SUMPRODUCT($CX27:DS27,$BU27:CP27))*(1-SUM($DZ27:EU27)),CP27*DS27),$O27*CP27))</f>
        <v>0.68104772560000004</v>
      </c>
      <c r="BO27" s="442">
        <f ca="1">IF($H27="",0,IF($H27=1,IF('Para Adj'!$B$5 = 1,AK27-($O27-SUMPRODUCT($CX27:DT27,$BU27:CQ27))*(1-SUM($DZ27:EV27)),CQ27*DT27),$O27*CQ27))</f>
        <v>0.68104772560000004</v>
      </c>
      <c r="BP27" s="442">
        <f ca="1">IF($H27="",0,IF($H27=1,IF('Para Adj'!$B$5 = 1,AL27-($O27-SUMPRODUCT($CX27:DU27,$BU27:CR27))*(1-SUM($DZ27:EW27)),CR27*DU27),$O27*CR27))</f>
        <v>0.68104772560000004</v>
      </c>
      <c r="BQ27" s="442">
        <f ca="1">IF($H27="",0,IF($H27=1,IF('Para Adj'!$B$5 = 1,AM27-($O27-SUMPRODUCT($CX27:DV27,$BU27:CS27))*(1-SUM($DZ27:EX27)),CS27*DV27),$O27*CS27))</f>
        <v>0.68104772560000004</v>
      </c>
      <c r="BR27" s="442">
        <f ca="1">IF($H27="",0,IF($H27=1,IF('Para Adj'!$B$5 = 1,AN27-($O27-SUMPRODUCT($CX27:DW27,$BU27:CT27))*(1-SUM($DZ27:EY27)),CT27*DW27),$O27*CT27))</f>
        <v>0.68104772560000004</v>
      </c>
      <c r="BS27" s="442">
        <f ca="1">IF($H27="",0,IF($H27=1,IF('Para Adj'!$B$5 = 1,AO27-($O27-SUMPRODUCT($CX27:DX27,$BU27:CU27))*(1-SUM($DZ27:EZ27)),CU27*DX27),$O27*CU27))</f>
        <v>0.68104772560000004</v>
      </c>
      <c r="BU27" s="820">
        <f ca="1">IF($B27=0,"",INDEX(Assumptions!G:G,$B27))</f>
        <v>3.2000000000000001E-2</v>
      </c>
      <c r="BV27" s="820">
        <f ca="1">IF($B27=0,"",INDEX(Assumptions!H:H,$B27))</f>
        <v>5.3333333333333332E-3</v>
      </c>
      <c r="BW27" s="820">
        <f ca="1">IF($B27=0,"",INDEX(Assumptions!I:I,$B27))</f>
        <v>5.3333333333333332E-3</v>
      </c>
      <c r="BX27" s="820">
        <f ca="1">IF($B27=0,"",INDEX(Assumptions!J:J,$B27))</f>
        <v>5.3333333333333332E-3</v>
      </c>
      <c r="BY27" s="820">
        <f ca="1">IF($B27=0,"",INDEX(Assumptions!K:K,$B27))</f>
        <v>5.3333333333333332E-3</v>
      </c>
      <c r="BZ27" s="820">
        <f ca="1">IF($B27=0,"",INDEX(Assumptions!L:L,$B27))</f>
        <v>5.3333333333333332E-3</v>
      </c>
      <c r="CA27" s="820">
        <f ca="1">IF($B27=0,"",INDEX(Assumptions!M:M,$B27))</f>
        <v>5.3333333333333332E-3</v>
      </c>
      <c r="CB27" s="820">
        <f ca="1">IF($B27=0,"",INDEX(Assumptions!N:N,$B27))</f>
        <v>4.5714285714285718E-3</v>
      </c>
      <c r="CC27" s="820">
        <f ca="1">IF($B27=0,"",INDEX(Assumptions!O:O,$B27))</f>
        <v>4.5714285714285718E-3</v>
      </c>
      <c r="CD27" s="820">
        <f ca="1">IF($B27=0,"",INDEX(Assumptions!P:P,$B27))</f>
        <v>4.5714285714285718E-3</v>
      </c>
      <c r="CE27" s="820">
        <f ca="1">IF($B27=0,"",INDEX(Assumptions!Q:Q,$B27))</f>
        <v>4.5714285714285718E-3</v>
      </c>
      <c r="CF27" s="820">
        <f ca="1">IF($B27=0,"",INDEX(Assumptions!R:R,$B27))</f>
        <v>4.5714285714285718E-3</v>
      </c>
      <c r="CG27" s="820">
        <f ca="1">IF($B27=0,"",INDEX(Assumptions!S:S,$B27))</f>
        <v>4.5714285714285718E-3</v>
      </c>
      <c r="CH27" s="820">
        <f ca="1">IF($B27=0,"",INDEX(Assumptions!T:T,$B27))</f>
        <v>4.5714285714285718E-3</v>
      </c>
      <c r="CI27" s="820">
        <f ca="1">IF($B27=0,"",INDEX(Assumptions!U:U,$B27))</f>
        <v>1.1999999999999997E-2</v>
      </c>
      <c r="CJ27" s="820">
        <f ca="1">IF($B27=0,"",INDEX(Assumptions!V:V,$B27))</f>
        <v>1.1999999999999997E-2</v>
      </c>
      <c r="CK27" s="820">
        <f ca="1">IF($B27=0,"",INDEX(Assumptions!W:W,$B27))</f>
        <v>1.1999999999999997E-2</v>
      </c>
      <c r="CL27" s="820">
        <f ca="1">IF($B27=0,"",INDEX(Assumptions!X:X,$B27))</f>
        <v>1.1999999999999997E-2</v>
      </c>
      <c r="CM27" s="820">
        <f ca="1">IF($B27=0,"",INDEX(Assumptions!Y:Y,$B27))</f>
        <v>4.0000000000000001E-3</v>
      </c>
      <c r="CN27" s="820">
        <f ca="1">IF($B27=0,"",INDEX(Assumptions!Z:Z,$B27))</f>
        <v>4.0000000000000001E-3</v>
      </c>
      <c r="CO27" s="820">
        <f ca="1">IF($B27=0,"",INDEX(Assumptions!AA:AA,$B27))</f>
        <v>4.0000000000000001E-3</v>
      </c>
      <c r="CP27" s="820">
        <f ca="1">IF($B27=0,"",INDEX(Assumptions!AB:AB,$B27))</f>
        <v>4.0000000000000001E-3</v>
      </c>
      <c r="CQ27" s="820">
        <f ca="1">IF($B27=0,"",INDEX(Assumptions!AC:AC,$B27))</f>
        <v>4.0000000000000001E-3</v>
      </c>
      <c r="CR27" s="820">
        <f ca="1">IF($B27=0,"",INDEX(Assumptions!AD:AD,$B27))</f>
        <v>4.0000000000000001E-3</v>
      </c>
      <c r="CS27" s="820">
        <f ca="1">IF($B27=0,"",INDEX(Assumptions!AE:AE,$B27))</f>
        <v>4.0000000000000001E-3</v>
      </c>
      <c r="CT27" s="820">
        <f ca="1">IF($B27=0,"",INDEX(Assumptions!AF:AF,$B27))</f>
        <v>4.0000000000000001E-3</v>
      </c>
      <c r="CU27" s="820">
        <f ca="1">IF($B27=0,"",INDEX(Assumptions!AG:AG,$B27))</f>
        <v>4.0000000000000001E-3</v>
      </c>
      <c r="CX27" s="442">
        <f>IF($A27="","",INDEX('Data Interface'!G:G,$A27))</f>
        <v>170.26193140000001</v>
      </c>
      <c r="CY27" s="442">
        <f>IF($A27="","",INDEX('Data Interface'!H:H,$A27))</f>
        <v>0</v>
      </c>
      <c r="CZ27" s="442">
        <f>IF($A27="","",INDEX('Data Interface'!I:I,$A27))</f>
        <v>0</v>
      </c>
      <c r="DA27" s="442">
        <f>IF($A27="","",INDEX('Data Interface'!J:J,$A27))</f>
        <v>0</v>
      </c>
      <c r="DB27" s="442">
        <f>IF($A27="","",INDEX('Data Interface'!K:K,$A27))</f>
        <v>0</v>
      </c>
      <c r="DC27" s="442">
        <f>IF($A27="","",INDEX('Data Interface'!L:L,$A27))</f>
        <v>0</v>
      </c>
      <c r="DD27" s="442">
        <f>IF($A27="","",INDEX('Data Interface'!M:M,$A27))</f>
        <v>0</v>
      </c>
      <c r="DE27" s="442">
        <f>IF($A27="","",INDEX('Data Interface'!N:N,$A27))</f>
        <v>0</v>
      </c>
      <c r="DF27" s="442">
        <f>IF($A27="","",INDEX('Data Interface'!O:O,$A27))</f>
        <v>0</v>
      </c>
      <c r="DG27" s="442">
        <f>IF($A27="","",INDEX('Data Interface'!P:P,$A27))</f>
        <v>0</v>
      </c>
      <c r="DH27" s="442">
        <f>IF($A27="","",INDEX('Data Interface'!Q:Q,$A27))</f>
        <v>0</v>
      </c>
      <c r="DI27" s="442">
        <f>IF($A27="","",INDEX('Data Interface'!R:R,$A27))</f>
        <v>0</v>
      </c>
      <c r="DJ27" s="442">
        <f>IF($A27="","",INDEX('Data Interface'!S:S,$A27))</f>
        <v>0</v>
      </c>
      <c r="DK27" s="442">
        <f>IF($A27="","",INDEX('Data Interface'!T:T,$A27))</f>
        <v>0</v>
      </c>
      <c r="DL27" s="442">
        <f>IF($A27="","",INDEX('Data Interface'!U:U,$A27))</f>
        <v>0</v>
      </c>
      <c r="DM27" s="442">
        <f>IF($A27="","",INDEX('Data Interface'!V:V,$A27))</f>
        <v>0</v>
      </c>
      <c r="DN27" s="442">
        <f>IF($A27="","",INDEX('Data Interface'!W:W,$A27))</f>
        <v>0</v>
      </c>
      <c r="DO27" s="442">
        <f>IF($A27="","",INDEX('Data Interface'!X:X,$A27))</f>
        <v>0</v>
      </c>
      <c r="DP27" s="442">
        <f>IF($A27="","",INDEX('Data Interface'!Y:Y,$A27))</f>
        <v>0</v>
      </c>
      <c r="DQ27" s="442">
        <f>IF($A27="","",INDEX('Data Interface'!Z:Z,$A27))</f>
        <v>0</v>
      </c>
      <c r="DR27" s="442">
        <f>IF($A27="","",INDEX('Data Interface'!AA:AA,$A27))</f>
        <v>0</v>
      </c>
      <c r="DS27" s="442">
        <f>IF($A27="","",INDEX('Data Interface'!AB:AB,$A27))</f>
        <v>0</v>
      </c>
      <c r="DT27" s="442">
        <f>IF($A27="","",INDEX('Data Interface'!AC:AC,$A27))</f>
        <v>0</v>
      </c>
      <c r="DU27" s="442">
        <f>IF($A27="","",INDEX('Data Interface'!AD:AD,$A27))</f>
        <v>0</v>
      </c>
      <c r="DV27" s="442">
        <f>IF($A27="","",INDEX('Data Interface'!AE:AE,$A27))</f>
        <v>0</v>
      </c>
      <c r="DW27" s="442">
        <f>IF($A27="","",INDEX('Data Interface'!AF:AF,$A27))</f>
        <v>0</v>
      </c>
      <c r="DX27" s="442">
        <f>IF($A27="","",INDEX('Data Interface'!AG:AG,$A27))</f>
        <v>0</v>
      </c>
      <c r="DZ27" s="906" t="str">
        <f>IF(OR($B27=0,$A27=0,$H27&lt;&gt;1),"",INDEX(Assumptions!EO:EO,$B27))</f>
        <v/>
      </c>
      <c r="EA27" s="906" t="str">
        <f>IF(OR($B27=0,$A27=0,$H27&lt;&gt;1),"",INDEX(Assumptions!EP:EP,$B27))</f>
        <v/>
      </c>
      <c r="EB27" s="906" t="str">
        <f>IF(OR($B27=0,$A27=0,$H27&lt;&gt;1),"",INDEX(Assumptions!EQ:EQ,$B27))</f>
        <v/>
      </c>
      <c r="EC27" s="906" t="str">
        <f>IF(OR($B27=0,$A27=0,$H27&lt;&gt;1),"",INDEX(Assumptions!ER:ER,$B27))</f>
        <v/>
      </c>
      <c r="ED27" s="906" t="str">
        <f>IF(OR($B27=0,$A27=0,$H27&lt;&gt;1),"",INDEX(Assumptions!ES:ES,$B27))</f>
        <v/>
      </c>
      <c r="EE27" s="906" t="str">
        <f>IF(OR($B27=0,$A27=0,$H27&lt;&gt;1),"",INDEX(Assumptions!ET:ET,$B27))</f>
        <v/>
      </c>
      <c r="EF27" s="906" t="str">
        <f>IF(OR($B27=0,$A27=0,$H27&lt;&gt;1),"",INDEX(Assumptions!EU:EU,$B27))</f>
        <v/>
      </c>
      <c r="EG27" s="906" t="str">
        <f>IF(OR($B27=0,$A27=0,$H27&lt;&gt;1),"",INDEX(Assumptions!EV:EV,$B27))</f>
        <v/>
      </c>
      <c r="EH27" s="906" t="str">
        <f>IF(OR($B27=0,$A27=0,$H27&lt;&gt;1),"",INDEX(Assumptions!EW:EW,$B27))</f>
        <v/>
      </c>
      <c r="EI27" s="906" t="str">
        <f>IF(OR($B27=0,$A27=0,$H27&lt;&gt;1),"",INDEX(Assumptions!EX:EX,$B27))</f>
        <v/>
      </c>
      <c r="EJ27" s="906" t="str">
        <f>IF(OR($B27=0,$A27=0,$H27&lt;&gt;1),"",INDEX(Assumptions!EY:EY,$B27))</f>
        <v/>
      </c>
      <c r="EK27" s="906" t="str">
        <f>IF(OR($B27=0,$A27=0,$H27&lt;&gt;1),"",INDEX(Assumptions!EZ:EZ,$B27))</f>
        <v/>
      </c>
      <c r="EL27" s="906" t="str">
        <f>IF(OR($B27=0,$A27=0,$H27&lt;&gt;1),"",INDEX(Assumptions!FA:FA,$B27))</f>
        <v/>
      </c>
      <c r="EM27" s="906" t="str">
        <f>IF(OR($B27=0,$A27=0,$H27&lt;&gt;1),"",INDEX(Assumptions!FB:FB,$B27))</f>
        <v/>
      </c>
      <c r="EN27" s="906" t="str">
        <f>IF(OR($B27=0,$A27=0,$H27&lt;&gt;1),"",INDEX(Assumptions!FC:FC,$B27))</f>
        <v/>
      </c>
      <c r="EO27" s="906" t="str">
        <f>IF(OR($B27=0,$A27=0,$H27&lt;&gt;1),"",INDEX(Assumptions!FD:FD,$B27))</f>
        <v/>
      </c>
      <c r="EP27" s="906" t="str">
        <f>IF(OR($B27=0,$A27=0,$H27&lt;&gt;1),"",INDEX(Assumptions!FE:FE,$B27))</f>
        <v/>
      </c>
      <c r="EQ27" s="906" t="str">
        <f>IF(OR($B27=0,$A27=0,$H27&lt;&gt;1),"",INDEX(Assumptions!FF:FF,$B27))</f>
        <v/>
      </c>
      <c r="ER27" s="906" t="str">
        <f>IF(OR($B27=0,$A27=0,$H27&lt;&gt;1),"",INDEX(Assumptions!FG:FG,$B27))</f>
        <v/>
      </c>
      <c r="ES27" s="906" t="str">
        <f>IF(OR($B27=0,$A27=0,$H27&lt;&gt;1),"",INDEX(Assumptions!FH:FH,$B27))</f>
        <v/>
      </c>
      <c r="ET27" s="906" t="str">
        <f>IF(OR($B27=0,$A27=0,$H27&lt;&gt;1),"",INDEX(Assumptions!FI:FI,$B27))</f>
        <v/>
      </c>
      <c r="EU27" s="906" t="str">
        <f>IF(OR($B27=0,$A27=0,$H27&lt;&gt;1),"",INDEX(Assumptions!FJ:FJ,$B27))</f>
        <v/>
      </c>
      <c r="EV27" s="906" t="str">
        <f>IF(OR($B27=0,$A27=0,$H27&lt;&gt;1),"",INDEX(Assumptions!FK:FK,$B27))</f>
        <v/>
      </c>
      <c r="EW27" s="906" t="str">
        <f>IF(OR($B27=0,$A27=0,$H27&lt;&gt;1),"",INDEX(Assumptions!FL:FL,$B27))</f>
        <v/>
      </c>
      <c r="EX27" s="906" t="str">
        <f>IF(OR($B27=0,$A27=0,$H27&lt;&gt;1),"",INDEX(Assumptions!FM:FM,$B27))</f>
        <v/>
      </c>
      <c r="EY27" s="906" t="str">
        <f>IF(OR($B27=0,$A27=0,$H27&lt;&gt;1),"",INDEX(Assumptions!FN:FN,$B27))</f>
        <v/>
      </c>
      <c r="EZ27" s="906" t="str">
        <f>IF(OR($B27=0,$A27=0,$H27&lt;&gt;1),"",INDEX(Assumptions!FO:FO,$B27))</f>
        <v/>
      </c>
      <c r="FB27" s="820" t="str">
        <f t="shared" si="18"/>
        <v/>
      </c>
      <c r="FC27" s="820" t="str">
        <f t="shared" si="19"/>
        <v/>
      </c>
      <c r="FD27" s="820" t="str">
        <f t="shared" si="20"/>
        <v/>
      </c>
      <c r="FE27" s="820" t="str">
        <f t="shared" si="21"/>
        <v/>
      </c>
      <c r="FF27" s="820" t="str">
        <f t="shared" si="22"/>
        <v/>
      </c>
    </row>
    <row r="28" spans="1:162">
      <c r="A28" s="440">
        <f>IFERROR(MATCH(C28,'Data Interface'!B:B,0),0)</f>
        <v>26</v>
      </c>
      <c r="B28" s="440">
        <f>IFERROR(MATCH(C28,Assumptions!$B:$B,0),0)</f>
        <v>14</v>
      </c>
      <c r="C28" s="441" t="s">
        <v>996</v>
      </c>
      <c r="E28" s="441" t="s">
        <v>1219</v>
      </c>
      <c r="F28" s="440" t="s">
        <v>34</v>
      </c>
      <c r="G28" s="440" t="str">
        <f>IF(A28=0,"",INDEX('Data Interface'!$C:$C,$A28))</f>
        <v>Due to Interbranch - Call Loans (Exclude HO)</v>
      </c>
      <c r="H28" s="440">
        <v>1</v>
      </c>
      <c r="I28" s="819">
        <f t="shared" ca="1" si="10"/>
        <v>1</v>
      </c>
      <c r="J28" s="819">
        <f t="shared" ca="1" si="11"/>
        <v>1</v>
      </c>
      <c r="K28" s="439" t="str">
        <f t="shared" ca="1" si="12"/>
        <v>100% of Contractual Maturity</v>
      </c>
      <c r="L28" s="439" t="s">
        <v>1149</v>
      </c>
      <c r="M28" s="439" t="s">
        <v>1528</v>
      </c>
      <c r="O28" s="442">
        <f>IF(OR($A28="",$A28=0),0,INDEX('Data Interface'!D:D,$A28))</f>
        <v>460.84183000000002</v>
      </c>
      <c r="P28" s="442">
        <f ca="1">$O28-SUM($AS28:AS28)</f>
        <v>460.84183000000002</v>
      </c>
      <c r="Q28" s="442">
        <f ca="1">$O28-SUM($AS28:AT28)</f>
        <v>460.84183000000002</v>
      </c>
      <c r="R28" s="442">
        <f ca="1">$O28-SUM($AS28:AU28)</f>
        <v>460.84183000000002</v>
      </c>
      <c r="S28" s="442">
        <f ca="1">$O28-SUM($AS28:AV28)</f>
        <v>460.84183000000002</v>
      </c>
      <c r="T28" s="442">
        <f ca="1">$O28-SUM($AS28:AW28)</f>
        <v>460.84183000000002</v>
      </c>
      <c r="U28" s="442">
        <f ca="1">$O28-SUM($AS28:AX28)</f>
        <v>460.84183000000002</v>
      </c>
      <c r="V28" s="442">
        <f ca="1">$O28-SUM($AS28:AY28)</f>
        <v>460.84183000000002</v>
      </c>
      <c r="W28" s="442">
        <f ca="1">$O28-SUM($AS28:AZ28)</f>
        <v>460.84183000000002</v>
      </c>
      <c r="X28" s="442">
        <f ca="1">$O28-SUM($AS28:BA28)</f>
        <v>460.84183000000002</v>
      </c>
      <c r="Y28" s="442">
        <f ca="1">$O28-SUM($AS28:BB28)</f>
        <v>460.84183000000002</v>
      </c>
      <c r="Z28" s="442">
        <f ca="1">$O28-SUM($AS28:BC28)</f>
        <v>460.84183000000002</v>
      </c>
      <c r="AA28" s="442">
        <f ca="1">$O28-SUM($AS28:BD28)</f>
        <v>460.84183000000002</v>
      </c>
      <c r="AB28" s="442">
        <f ca="1">$O28-SUM($AS28:BE28)</f>
        <v>460.84183000000002</v>
      </c>
      <c r="AC28" s="442">
        <f ca="1">$O28-SUM($AS28:BF28)</f>
        <v>460.84183000000002</v>
      </c>
      <c r="AD28" s="442">
        <f ca="1">$O28-SUM($AS28:BG28)</f>
        <v>460</v>
      </c>
      <c r="AE28" s="442">
        <f ca="1">$O28-SUM($AS28:BH28)</f>
        <v>460</v>
      </c>
      <c r="AF28" s="442">
        <f ca="1">$O28-SUM($AS28:BI28)</f>
        <v>460</v>
      </c>
      <c r="AG28" s="442">
        <f ca="1">$O28-SUM($AS28:BJ28)</f>
        <v>455</v>
      </c>
      <c r="AH28" s="442">
        <f ca="1">$O28-SUM($AS28:BK28)</f>
        <v>455</v>
      </c>
      <c r="AI28" s="442">
        <f ca="1">$O28-SUM($AS28:BL28)</f>
        <v>455</v>
      </c>
      <c r="AJ28" s="442">
        <f ca="1">$O28-SUM($AS28:BM28)</f>
        <v>455</v>
      </c>
      <c r="AK28" s="442">
        <f ca="1">$O28-SUM($AS28:BN28)</f>
        <v>5</v>
      </c>
      <c r="AL28" s="442">
        <f ca="1">$O28-SUM($AS28:BO28)</f>
        <v>5</v>
      </c>
      <c r="AM28" s="442">
        <f ca="1">$O28-SUM($AS28:BP28)</f>
        <v>5</v>
      </c>
      <c r="AN28" s="442">
        <f ca="1">$O28-SUM($AS28:BQ28)</f>
        <v>0</v>
      </c>
      <c r="AO28" s="442">
        <f ca="1">$O28-SUM($AS28:BR28)</f>
        <v>0</v>
      </c>
      <c r="AP28" s="442">
        <f ca="1">$O28-SUM($AS28:BS28)</f>
        <v>0</v>
      </c>
      <c r="AR28" s="439" t="s">
        <v>1202</v>
      </c>
      <c r="AS28" s="442">
        <f ca="1">IF($H28="",0,IF($H28=1,IF('Para Adj'!$B$5 = 1,O28-($O28-SUMPRODUCT($CX28:CX28,$BU28:BU28))*(1-SUM($DZ28:DZ28)),BU28*CX28),$O28*BU28))</f>
        <v>0</v>
      </c>
      <c r="AT28" s="442">
        <f ca="1">IF($H28="",0,IF($H28=1,IF('Para Adj'!$B$5 = 1,P28-($O28-SUMPRODUCT($CX28:CY28,$BU28:BV28))*(1-SUM($DZ28:EA28)),BV28*CY28),$O28*BV28))</f>
        <v>0</v>
      </c>
      <c r="AU28" s="442">
        <f ca="1">IF($H28="",0,IF($H28=1,IF('Para Adj'!$B$5 = 1,Q28-($O28-SUMPRODUCT($CX28:CZ28,$BU28:BW28))*(1-SUM($DZ28:EB28)),BW28*CZ28),$O28*BW28))</f>
        <v>0</v>
      </c>
      <c r="AV28" s="442">
        <f ca="1">IF($H28="",0,IF($H28=1,IF('Para Adj'!$B$5 = 1,R28-($O28-SUMPRODUCT($CX28:DA28,$BU28:BX28))*(1-SUM($DZ28:EC28)),BX28*DA28),$O28*BX28))</f>
        <v>0</v>
      </c>
      <c r="AW28" s="442">
        <f ca="1">IF($H28="",0,IF($H28=1,IF('Para Adj'!$B$5 = 1,S28-($O28-SUMPRODUCT($CX28:DB28,$BU28:BY28))*(1-SUM($DZ28:ED28)),BY28*DB28),$O28*BY28))</f>
        <v>0</v>
      </c>
      <c r="AX28" s="442">
        <f ca="1">IF($H28="",0,IF($H28=1,IF('Para Adj'!$B$5 = 1,T28-($O28-SUMPRODUCT($CX28:DC28,$BU28:BZ28))*(1-SUM($DZ28:EE28)),BZ28*DC28),$O28*BZ28))</f>
        <v>0</v>
      </c>
      <c r="AY28" s="442">
        <f ca="1">IF($H28="",0,IF($H28=1,IF('Para Adj'!$B$5 = 1,U28-($O28-SUMPRODUCT($CX28:DD28,$BU28:CA28))*(1-SUM($DZ28:EF28)),CA28*DD28),$O28*CA28))</f>
        <v>0</v>
      </c>
      <c r="AZ28" s="442">
        <f ca="1">IF($H28="",0,IF($H28=1,IF('Para Adj'!$B$5 = 1,V28-($O28-SUMPRODUCT($CX28:DE28,$BU28:CB28))*(1-SUM($DZ28:EG28)),CB28*DE28),$O28*CB28))</f>
        <v>0</v>
      </c>
      <c r="BA28" s="442">
        <f ca="1">IF($H28="",0,IF($H28=1,IF('Para Adj'!$B$5 = 1,W28-($O28-SUMPRODUCT($CX28:DF28,$BU28:CC28))*(1-SUM($DZ28:EH28)),CC28*DF28),$O28*CC28))</f>
        <v>0</v>
      </c>
      <c r="BB28" s="442">
        <f ca="1">IF($H28="",0,IF($H28=1,IF('Para Adj'!$B$5 = 1,X28-($O28-SUMPRODUCT($CX28:DG28,$BU28:CD28))*(1-SUM($DZ28:EI28)),CD28*DG28),$O28*CD28))</f>
        <v>0</v>
      </c>
      <c r="BC28" s="442">
        <f ca="1">IF($H28="",0,IF($H28=1,IF('Para Adj'!$B$5 = 1,Y28-($O28-SUMPRODUCT($CX28:DH28,$BU28:CE28))*(1-SUM($DZ28:EJ28)),CE28*DH28),$O28*CE28))</f>
        <v>0</v>
      </c>
      <c r="BD28" s="442">
        <f ca="1">IF($H28="",0,IF($H28=1,IF('Para Adj'!$B$5 = 1,Z28-($O28-SUMPRODUCT($CX28:DI28,$BU28:CF28))*(1-SUM($DZ28:EK28)),CF28*DI28),$O28*CF28))</f>
        <v>0</v>
      </c>
      <c r="BE28" s="442">
        <f ca="1">IF($H28="",0,IF($H28=1,IF('Para Adj'!$B$5 = 1,AA28-($O28-SUMPRODUCT($CX28:DJ28,$BU28:CG28))*(1-SUM($DZ28:EL28)),CG28*DJ28),$O28*CG28))</f>
        <v>0</v>
      </c>
      <c r="BF28" s="442">
        <f ca="1">IF($H28="",0,IF($H28=1,IF('Para Adj'!$B$5 = 1,AB28-($O28-SUMPRODUCT($CX28:DK28,$BU28:CH28))*(1-SUM($DZ28:EM28)),CH28*DK28),$O28*CH28))</f>
        <v>0</v>
      </c>
      <c r="BG28" s="442">
        <f ca="1">IF($H28="",0,IF($H28=1,IF('Para Adj'!$B$5 = 1,AC28-($O28-SUMPRODUCT($CX28:DL28,$BU28:CI28))*(1-SUM($DZ28:EN28)),CI28*DL28),$O28*CI28))</f>
        <v>0.84183000000001584</v>
      </c>
      <c r="BH28" s="442">
        <f ca="1">IF($H28="",0,IF($H28=1,IF('Para Adj'!$B$5 = 1,AD28-($O28-SUMPRODUCT($CX28:DM28,$BU28:CJ28))*(1-SUM($DZ28:EO28)),CJ28*DM28),$O28*CJ28))</f>
        <v>0</v>
      </c>
      <c r="BI28" s="442">
        <f ca="1">IF($H28="",0,IF($H28=1,IF('Para Adj'!$B$5 = 1,AE28-($O28-SUMPRODUCT($CX28:DN28,$BU28:CK28))*(1-SUM($DZ28:EP28)),CK28*DN28),$O28*CK28))</f>
        <v>0</v>
      </c>
      <c r="BJ28" s="442">
        <f ca="1">IF($H28="",0,IF($H28=1,IF('Para Adj'!$B$5 = 1,AF28-($O28-SUMPRODUCT($CX28:DO28,$BU28:CL28))*(1-SUM($DZ28:EQ28)),CL28*DO28),$O28*CL28))</f>
        <v>5</v>
      </c>
      <c r="BK28" s="442">
        <f ca="1">IF($H28="",0,IF($H28=1,IF('Para Adj'!$B$5 = 1,AG28-($O28-SUMPRODUCT($CX28:DP28,$BU28:CM28))*(1-SUM($DZ28:ER28)),CM28*DP28),$O28*CM28))</f>
        <v>0</v>
      </c>
      <c r="BL28" s="442">
        <f ca="1">IF($H28="",0,IF($H28=1,IF('Para Adj'!$B$5 = 1,AH28-($O28-SUMPRODUCT($CX28:DQ28,$BU28:CN28))*(1-SUM($DZ28:ES28)),CN28*DQ28),$O28*CN28))</f>
        <v>0</v>
      </c>
      <c r="BM28" s="442">
        <f ca="1">IF($H28="",0,IF($H28=1,IF('Para Adj'!$B$5 = 1,AI28-($O28-SUMPRODUCT($CX28:DR28,$BU28:CO28))*(1-SUM($DZ28:ET28)),CO28*DR28),$O28*CO28))</f>
        <v>0</v>
      </c>
      <c r="BN28" s="442">
        <f ca="1">IF($H28="",0,IF($H28=1,IF('Para Adj'!$B$5 = 1,AJ28-($O28-SUMPRODUCT($CX28:DS28,$BU28:CP28))*(1-SUM($DZ28:EU28)),CP28*DS28),$O28*CP28))</f>
        <v>450</v>
      </c>
      <c r="BO28" s="442">
        <f ca="1">IF($H28="",0,IF($H28=1,IF('Para Adj'!$B$5 = 1,AK28-($O28-SUMPRODUCT($CX28:DT28,$BU28:CQ28))*(1-SUM($DZ28:EV28)),CQ28*DT28),$O28*CQ28))</f>
        <v>0</v>
      </c>
      <c r="BP28" s="442">
        <f ca="1">IF($H28="",0,IF($H28=1,IF('Para Adj'!$B$5 = 1,AL28-($O28-SUMPRODUCT($CX28:DU28,$BU28:CR28))*(1-SUM($DZ28:EW28)),CR28*DU28),$O28*CR28))</f>
        <v>0</v>
      </c>
      <c r="BQ28" s="442">
        <f ca="1">IF($H28="",0,IF($H28=1,IF('Para Adj'!$B$5 = 1,AM28-($O28-SUMPRODUCT($CX28:DV28,$BU28:CS28))*(1-SUM($DZ28:EX28)),CS28*DV28),$O28*CS28))</f>
        <v>5</v>
      </c>
      <c r="BR28" s="442">
        <f ca="1">IF($H28="",0,IF($H28=1,IF('Para Adj'!$B$5 = 1,AN28-($O28-SUMPRODUCT($CX28:DW28,$BU28:CT28))*(1-SUM($DZ28:EY28)),CT28*DW28),$O28*CT28))</f>
        <v>0</v>
      </c>
      <c r="BS28" s="442">
        <f ca="1">IF($H28="",0,IF($H28=1,IF('Para Adj'!$B$5 = 1,AO28-($O28-SUMPRODUCT($CX28:DX28,$BU28:CU28))*(1-SUM($DZ28:EZ28)),CU28*DX28),$O28*CU28))</f>
        <v>0</v>
      </c>
      <c r="BU28" s="820">
        <f ca="1">IF($B28=0,"",INDEX(Assumptions!G:G,$B28))</f>
        <v>1</v>
      </c>
      <c r="BV28" s="820">
        <f ca="1">IF($B28=0,"",INDEX(Assumptions!H:H,$B28))</f>
        <v>1</v>
      </c>
      <c r="BW28" s="820">
        <f ca="1">IF($B28=0,"",INDEX(Assumptions!I:I,$B28))</f>
        <v>1</v>
      </c>
      <c r="BX28" s="820">
        <f ca="1">IF($B28=0,"",INDEX(Assumptions!J:J,$B28))</f>
        <v>1</v>
      </c>
      <c r="BY28" s="820">
        <f ca="1">IF($B28=0,"",INDEX(Assumptions!K:K,$B28))</f>
        <v>1</v>
      </c>
      <c r="BZ28" s="820">
        <f ca="1">IF($B28=0,"",INDEX(Assumptions!L:L,$B28))</f>
        <v>1</v>
      </c>
      <c r="CA28" s="820">
        <f ca="1">IF($B28=0,"",INDEX(Assumptions!M:M,$B28))</f>
        <v>1</v>
      </c>
      <c r="CB28" s="820">
        <f ca="1">IF($B28=0,"",INDEX(Assumptions!N:N,$B28))</f>
        <v>1</v>
      </c>
      <c r="CC28" s="820">
        <f ca="1">IF($B28=0,"",INDEX(Assumptions!O:O,$B28))</f>
        <v>1</v>
      </c>
      <c r="CD28" s="820">
        <f ca="1">IF($B28=0,"",INDEX(Assumptions!P:P,$B28))</f>
        <v>1</v>
      </c>
      <c r="CE28" s="820">
        <f ca="1">IF($B28=0,"",INDEX(Assumptions!Q:Q,$B28))</f>
        <v>1</v>
      </c>
      <c r="CF28" s="820">
        <f ca="1">IF($B28=0,"",INDEX(Assumptions!R:R,$B28))</f>
        <v>1</v>
      </c>
      <c r="CG28" s="820">
        <f ca="1">IF($B28=0,"",INDEX(Assumptions!S:S,$B28))</f>
        <v>1</v>
      </c>
      <c r="CH28" s="820">
        <f ca="1">IF($B28=0,"",INDEX(Assumptions!T:T,$B28))</f>
        <v>1</v>
      </c>
      <c r="CI28" s="820">
        <f ca="1">IF($B28=0,"",INDEX(Assumptions!U:U,$B28))</f>
        <v>1</v>
      </c>
      <c r="CJ28" s="820">
        <f ca="1">IF($B28=0,"",INDEX(Assumptions!V:V,$B28))</f>
        <v>1</v>
      </c>
      <c r="CK28" s="820">
        <f ca="1">IF($B28=0,"",INDEX(Assumptions!W:W,$B28))</f>
        <v>1</v>
      </c>
      <c r="CL28" s="820">
        <f ca="1">IF($B28=0,"",INDEX(Assumptions!X:X,$B28))</f>
        <v>1</v>
      </c>
      <c r="CM28" s="820">
        <f ca="1">IF($B28=0,"",INDEX(Assumptions!Y:Y,$B28))</f>
        <v>1</v>
      </c>
      <c r="CN28" s="820">
        <f ca="1">IF($B28=0,"",INDEX(Assumptions!Z:Z,$B28))</f>
        <v>1</v>
      </c>
      <c r="CO28" s="820">
        <f ca="1">IF($B28=0,"",INDEX(Assumptions!AA:AA,$B28))</f>
        <v>1</v>
      </c>
      <c r="CP28" s="820">
        <f ca="1">IF($B28=0,"",INDEX(Assumptions!AB:AB,$B28))</f>
        <v>1</v>
      </c>
      <c r="CQ28" s="820">
        <f ca="1">IF($B28=0,"",INDEX(Assumptions!AC:AC,$B28))</f>
        <v>1</v>
      </c>
      <c r="CR28" s="820">
        <f ca="1">IF($B28=0,"",INDEX(Assumptions!AD:AD,$B28))</f>
        <v>1</v>
      </c>
      <c r="CS28" s="820">
        <f ca="1">IF($B28=0,"",INDEX(Assumptions!AE:AE,$B28))</f>
        <v>1</v>
      </c>
      <c r="CT28" s="820">
        <f ca="1">IF($B28=0,"",INDEX(Assumptions!AF:AF,$B28))</f>
        <v>1</v>
      </c>
      <c r="CU28" s="820">
        <f ca="1">IF($B28=0,"",INDEX(Assumptions!AG:AG,$B28))</f>
        <v>1</v>
      </c>
      <c r="CX28" s="442">
        <f>IF($A28="","",INDEX('Data Interface'!G:G,$A28))</f>
        <v>0</v>
      </c>
      <c r="CY28" s="442">
        <f>IF($A28="","",INDEX('Data Interface'!H:H,$A28))</f>
        <v>0</v>
      </c>
      <c r="CZ28" s="442">
        <f>IF($A28="","",INDEX('Data Interface'!I:I,$A28))</f>
        <v>0</v>
      </c>
      <c r="DA28" s="442">
        <f>IF($A28="","",INDEX('Data Interface'!J:J,$A28))</f>
        <v>0</v>
      </c>
      <c r="DB28" s="442">
        <f>IF($A28="","",INDEX('Data Interface'!K:K,$A28))</f>
        <v>0</v>
      </c>
      <c r="DC28" s="442">
        <f>IF($A28="","",INDEX('Data Interface'!L:L,$A28))</f>
        <v>0</v>
      </c>
      <c r="DD28" s="442">
        <f>IF($A28="","",INDEX('Data Interface'!M:M,$A28))</f>
        <v>0</v>
      </c>
      <c r="DE28" s="442">
        <f>IF($A28="","",INDEX('Data Interface'!N:N,$A28))</f>
        <v>0</v>
      </c>
      <c r="DF28" s="442">
        <f>IF($A28="","",INDEX('Data Interface'!O:O,$A28))</f>
        <v>0</v>
      </c>
      <c r="DG28" s="442">
        <f>IF($A28="","",INDEX('Data Interface'!P:P,$A28))</f>
        <v>0</v>
      </c>
      <c r="DH28" s="442">
        <f>IF($A28="","",INDEX('Data Interface'!Q:Q,$A28))</f>
        <v>0</v>
      </c>
      <c r="DI28" s="442">
        <f>IF($A28="","",INDEX('Data Interface'!R:R,$A28))</f>
        <v>0</v>
      </c>
      <c r="DJ28" s="442">
        <f>IF($A28="","",INDEX('Data Interface'!S:S,$A28))</f>
        <v>0</v>
      </c>
      <c r="DK28" s="442">
        <f>IF($A28="","",INDEX('Data Interface'!T:T,$A28))</f>
        <v>0</v>
      </c>
      <c r="DL28" s="442">
        <f>IF($A28="","",INDEX('Data Interface'!U:U,$A28))</f>
        <v>0.84182999999999997</v>
      </c>
      <c r="DM28" s="442">
        <f>IF($A28="","",INDEX('Data Interface'!V:V,$A28))</f>
        <v>0</v>
      </c>
      <c r="DN28" s="442">
        <f>IF($A28="","",INDEX('Data Interface'!W:W,$A28))</f>
        <v>0</v>
      </c>
      <c r="DO28" s="442">
        <f>IF($A28="","",INDEX('Data Interface'!X:X,$A28))</f>
        <v>5</v>
      </c>
      <c r="DP28" s="442">
        <f>IF($A28="","",INDEX('Data Interface'!Y:Y,$A28))</f>
        <v>0</v>
      </c>
      <c r="DQ28" s="442">
        <f>IF($A28="","",INDEX('Data Interface'!Z:Z,$A28))</f>
        <v>0</v>
      </c>
      <c r="DR28" s="442">
        <f>IF($A28="","",INDEX('Data Interface'!AA:AA,$A28))</f>
        <v>0</v>
      </c>
      <c r="DS28" s="442">
        <f>IF($A28="","",INDEX('Data Interface'!AB:AB,$A28))</f>
        <v>450</v>
      </c>
      <c r="DT28" s="442">
        <f>IF($A28="","",INDEX('Data Interface'!AC:AC,$A28))</f>
        <v>0</v>
      </c>
      <c r="DU28" s="442">
        <f>IF($A28="","",INDEX('Data Interface'!AD:AD,$A28))</f>
        <v>0</v>
      </c>
      <c r="DV28" s="442">
        <f>IF($A28="","",INDEX('Data Interface'!AE:AE,$A28))</f>
        <v>5</v>
      </c>
      <c r="DW28" s="442">
        <f>IF($A28="","",INDEX('Data Interface'!AF:AF,$A28))</f>
        <v>0</v>
      </c>
      <c r="DX28" s="442">
        <f>IF($A28="","",INDEX('Data Interface'!AG:AG,$A28))</f>
        <v>0</v>
      </c>
      <c r="DZ28" s="906">
        <f>IF(OR($B28=0,$A28=0,$H28&lt;&gt;1),"",INDEX(Assumptions!EO:EO,$B28))</f>
        <v>0</v>
      </c>
      <c r="EA28" s="906">
        <f>IF(OR($B28=0,$A28=0,$H28&lt;&gt;1),"",INDEX(Assumptions!EP:EP,$B28))</f>
        <v>0</v>
      </c>
      <c r="EB28" s="906">
        <f>IF(OR($B28=0,$A28=0,$H28&lt;&gt;1),"",INDEX(Assumptions!EQ:EQ,$B28))</f>
        <v>0</v>
      </c>
      <c r="EC28" s="906">
        <f>IF(OR($B28=0,$A28=0,$H28&lt;&gt;1),"",INDEX(Assumptions!ER:ER,$B28))</f>
        <v>0</v>
      </c>
      <c r="ED28" s="906">
        <f>IF(OR($B28=0,$A28=0,$H28&lt;&gt;1),"",INDEX(Assumptions!ES:ES,$B28))</f>
        <v>0</v>
      </c>
      <c r="EE28" s="906">
        <f>IF(OR($B28=0,$A28=0,$H28&lt;&gt;1),"",INDEX(Assumptions!ET:ET,$B28))</f>
        <v>0</v>
      </c>
      <c r="EF28" s="906">
        <f>IF(OR($B28=0,$A28=0,$H28&lt;&gt;1),"",INDEX(Assumptions!EU:EU,$B28))</f>
        <v>0</v>
      </c>
      <c r="EG28" s="906">
        <f>IF(OR($B28=0,$A28=0,$H28&lt;&gt;1),"",INDEX(Assumptions!EV:EV,$B28))</f>
        <v>0</v>
      </c>
      <c r="EH28" s="906">
        <f>IF(OR($B28=0,$A28=0,$H28&lt;&gt;1),"",INDEX(Assumptions!EW:EW,$B28))</f>
        <v>0</v>
      </c>
      <c r="EI28" s="906">
        <f>IF(OR($B28=0,$A28=0,$H28&lt;&gt;1),"",INDEX(Assumptions!EX:EX,$B28))</f>
        <v>0</v>
      </c>
      <c r="EJ28" s="906">
        <f>IF(OR($B28=0,$A28=0,$H28&lt;&gt;1),"",INDEX(Assumptions!EY:EY,$B28))</f>
        <v>0</v>
      </c>
      <c r="EK28" s="906">
        <f>IF(OR($B28=0,$A28=0,$H28&lt;&gt;1),"",INDEX(Assumptions!EZ:EZ,$B28))</f>
        <v>0</v>
      </c>
      <c r="EL28" s="906">
        <f>IF(OR($B28=0,$A28=0,$H28&lt;&gt;1),"",INDEX(Assumptions!FA:FA,$B28))</f>
        <v>0</v>
      </c>
      <c r="EM28" s="906">
        <f>IF(OR($B28=0,$A28=0,$H28&lt;&gt;1),"",INDEX(Assumptions!FB:FB,$B28))</f>
        <v>0</v>
      </c>
      <c r="EN28" s="906">
        <f>IF(OR($B28=0,$A28=0,$H28&lt;&gt;1),"",INDEX(Assumptions!FC:FC,$B28))</f>
        <v>0</v>
      </c>
      <c r="EO28" s="906">
        <f>IF(OR($B28=0,$A28=0,$H28&lt;&gt;1),"",INDEX(Assumptions!FD:FD,$B28))</f>
        <v>0</v>
      </c>
      <c r="EP28" s="906">
        <f>IF(OR($B28=0,$A28=0,$H28&lt;&gt;1),"",INDEX(Assumptions!FE:FE,$B28))</f>
        <v>0</v>
      </c>
      <c r="EQ28" s="906">
        <f>IF(OR($B28=0,$A28=0,$H28&lt;&gt;1),"",INDEX(Assumptions!FF:FF,$B28))</f>
        <v>0</v>
      </c>
      <c r="ER28" s="906">
        <f>IF(OR($B28=0,$A28=0,$H28&lt;&gt;1),"",INDEX(Assumptions!FG:FG,$B28))</f>
        <v>0</v>
      </c>
      <c r="ES28" s="906">
        <f>IF(OR($B28=0,$A28=0,$H28&lt;&gt;1),"",INDEX(Assumptions!FH:FH,$B28))</f>
        <v>0</v>
      </c>
      <c r="ET28" s="906">
        <f>IF(OR($B28=0,$A28=0,$H28&lt;&gt;1),"",INDEX(Assumptions!FI:FI,$B28))</f>
        <v>0</v>
      </c>
      <c r="EU28" s="906">
        <f>IF(OR($B28=0,$A28=0,$H28&lt;&gt;1),"",INDEX(Assumptions!FJ:FJ,$B28))</f>
        <v>0</v>
      </c>
      <c r="EV28" s="906">
        <f>IF(OR($B28=0,$A28=0,$H28&lt;&gt;1),"",INDEX(Assumptions!FK:FK,$B28))</f>
        <v>0</v>
      </c>
      <c r="EW28" s="906">
        <f>IF(OR($B28=0,$A28=0,$H28&lt;&gt;1),"",INDEX(Assumptions!FL:FL,$B28))</f>
        <v>0</v>
      </c>
      <c r="EX28" s="906">
        <f>IF(OR($B28=0,$A28=0,$H28&lt;&gt;1),"",INDEX(Assumptions!FM:FM,$B28))</f>
        <v>0</v>
      </c>
      <c r="EY28" s="906">
        <f>IF(OR($B28=0,$A28=0,$H28&lt;&gt;1),"",INDEX(Assumptions!FN:FN,$B28))</f>
        <v>0</v>
      </c>
      <c r="EZ28" s="906">
        <f>IF(OR($B28=0,$A28=0,$H28&lt;&gt;1),"",INDEX(Assumptions!FO:FO,$B28))</f>
        <v>0</v>
      </c>
      <c r="FB28" s="820" t="str">
        <f t="shared" si="18"/>
        <v/>
      </c>
      <c r="FC28" s="820" t="str">
        <f t="shared" si="19"/>
        <v/>
      </c>
      <c r="FD28" s="820" t="str">
        <f t="shared" si="20"/>
        <v/>
      </c>
      <c r="FE28" s="820" t="str">
        <f t="shared" si="21"/>
        <v/>
      </c>
      <c r="FF28" s="820" t="str">
        <f t="shared" si="22"/>
        <v/>
      </c>
    </row>
    <row r="29" spans="1:162">
      <c r="A29" s="440">
        <f>IFERROR(MATCH(C29,'Data Interface'!B:B,0),0)</f>
        <v>27</v>
      </c>
      <c r="B29" s="440">
        <f>IFERROR(MATCH(C29,Assumptions!$B:$B,0),0)</f>
        <v>15</v>
      </c>
      <c r="C29" s="441" t="s">
        <v>1230</v>
      </c>
      <c r="E29" s="441" t="s">
        <v>1219</v>
      </c>
      <c r="F29" s="440" t="s">
        <v>34</v>
      </c>
      <c r="G29" s="440" t="str">
        <f>IF(A29=0,"",INDEX('Data Interface'!$C:$C,$A29))</f>
        <v>Due to Interbranch - Call Loans (H.O.)</v>
      </c>
      <c r="H29" s="440">
        <v>1</v>
      </c>
      <c r="I29" s="819">
        <f t="shared" ca="1" si="10"/>
        <v>1</v>
      </c>
      <c r="J29" s="819">
        <f t="shared" ca="1" si="11"/>
        <v>1</v>
      </c>
      <c r="K29" s="439" t="str">
        <f t="shared" ca="1" si="12"/>
        <v>100% of Contractual Maturity</v>
      </c>
      <c r="L29" s="439" t="s">
        <v>1149</v>
      </c>
      <c r="M29" s="439" t="s">
        <v>1528</v>
      </c>
      <c r="O29" s="442">
        <f>IF(OR($A29="",$A29=0),0,INDEX('Data Interface'!D:D,$A29))</f>
        <v>19377</v>
      </c>
      <c r="P29" s="442">
        <f ca="1">$O29-SUM($AS29:AS29)</f>
        <v>19377</v>
      </c>
      <c r="Q29" s="442">
        <f ca="1">$O29-SUM($AS29:AT29)</f>
        <v>5137</v>
      </c>
      <c r="R29" s="442">
        <f ca="1">$O29-SUM($AS29:AU29)</f>
        <v>5137</v>
      </c>
      <c r="S29" s="442">
        <f ca="1">$O29-SUM($AS29:AV29)</f>
        <v>5137</v>
      </c>
      <c r="T29" s="442">
        <f ca="1">$O29-SUM($AS29:AW29)</f>
        <v>5137</v>
      </c>
      <c r="U29" s="442">
        <f ca="1">$O29-SUM($AS29:AX29)</f>
        <v>5137</v>
      </c>
      <c r="V29" s="442">
        <f ca="1">$O29-SUM($AS29:AY29)</f>
        <v>5137</v>
      </c>
      <c r="W29" s="442">
        <f ca="1">$O29-SUM($AS29:AZ29)</f>
        <v>5137</v>
      </c>
      <c r="X29" s="442">
        <f ca="1">$O29-SUM($AS29:BA29)</f>
        <v>5137</v>
      </c>
      <c r="Y29" s="442">
        <f ca="1">$O29-SUM($AS29:BB29)</f>
        <v>5137</v>
      </c>
      <c r="Z29" s="442">
        <f ca="1">$O29-SUM($AS29:BC29)</f>
        <v>5137</v>
      </c>
      <c r="AA29" s="442">
        <f ca="1">$O29-SUM($AS29:BD29)</f>
        <v>5137</v>
      </c>
      <c r="AB29" s="442">
        <f ca="1">$O29-SUM($AS29:BE29)</f>
        <v>5137</v>
      </c>
      <c r="AC29" s="442">
        <f ca="1">$O29-SUM($AS29:BF29)</f>
        <v>5137</v>
      </c>
      <c r="AD29" s="442">
        <f ca="1">$O29-SUM($AS29:BG29)</f>
        <v>5137</v>
      </c>
      <c r="AE29" s="442">
        <f ca="1">$O29-SUM($AS29:BH29)</f>
        <v>5137</v>
      </c>
      <c r="AF29" s="442">
        <f ca="1">$O29-SUM($AS29:BI29)</f>
        <v>5137</v>
      </c>
      <c r="AG29" s="442">
        <f ca="1">$O29-SUM($AS29:BJ29)</f>
        <v>5137</v>
      </c>
      <c r="AH29" s="442">
        <f ca="1">$O29-SUM($AS29:BK29)</f>
        <v>5137</v>
      </c>
      <c r="AI29" s="442">
        <f ca="1">$O29-SUM($AS29:BL29)</f>
        <v>5137</v>
      </c>
      <c r="AJ29" s="442">
        <f ca="1">$O29-SUM($AS29:BM29)</f>
        <v>2750</v>
      </c>
      <c r="AK29" s="442">
        <f ca="1">$O29-SUM($AS29:BN29)</f>
        <v>2000</v>
      </c>
      <c r="AL29" s="442">
        <f ca="1">$O29-SUM($AS29:BO29)</f>
        <v>2000</v>
      </c>
      <c r="AM29" s="442">
        <f ca="1">$O29-SUM($AS29:BP29)</f>
        <v>2000</v>
      </c>
      <c r="AN29" s="442">
        <f ca="1">$O29-SUM($AS29:BQ29)</f>
        <v>2000</v>
      </c>
      <c r="AO29" s="442">
        <f ca="1">$O29-SUM($AS29:BR29)</f>
        <v>2000</v>
      </c>
      <c r="AP29" s="442">
        <f ca="1">$O29-SUM($AS29:BS29)</f>
        <v>2000</v>
      </c>
      <c r="AR29" s="439" t="s">
        <v>1202</v>
      </c>
      <c r="AS29" s="442">
        <f ca="1">IF($H29="",0,IF($H29=1,IF('Para Adj'!$B$5 = 1,O29-($O29-SUMPRODUCT($CX29:CX29,$BU29:BU29))*(1-SUM($DZ29:DZ29)),BU29*CX29),$O29*BU29))</f>
        <v>0</v>
      </c>
      <c r="AT29" s="442">
        <f ca="1">IF($H29="",0,IF($H29=1,IF('Para Adj'!$B$5 = 1,P29-($O29-SUMPRODUCT($CX29:CY29,$BU29:BV29))*(1-SUM($DZ29:EA29)),BV29*CY29),$O29*BV29))</f>
        <v>14240</v>
      </c>
      <c r="AU29" s="442">
        <f ca="1">IF($H29="",0,IF($H29=1,IF('Para Adj'!$B$5 = 1,Q29-($O29-SUMPRODUCT($CX29:CZ29,$BU29:BW29))*(1-SUM($DZ29:EB29)),BW29*CZ29),$O29*BW29))</f>
        <v>0</v>
      </c>
      <c r="AV29" s="442">
        <f ca="1">IF($H29="",0,IF($H29=1,IF('Para Adj'!$B$5 = 1,R29-($O29-SUMPRODUCT($CX29:DA29,$BU29:BX29))*(1-SUM($DZ29:EC29)),BX29*DA29),$O29*BX29))</f>
        <v>0</v>
      </c>
      <c r="AW29" s="442">
        <f ca="1">IF($H29="",0,IF($H29=1,IF('Para Adj'!$B$5 = 1,S29-($O29-SUMPRODUCT($CX29:DB29,$BU29:BY29))*(1-SUM($DZ29:ED29)),BY29*DB29),$O29*BY29))</f>
        <v>0</v>
      </c>
      <c r="AX29" s="442">
        <f ca="1">IF($H29="",0,IF($H29=1,IF('Para Adj'!$B$5 = 1,T29-($O29-SUMPRODUCT($CX29:DC29,$BU29:BZ29))*(1-SUM($DZ29:EE29)),BZ29*DC29),$O29*BZ29))</f>
        <v>0</v>
      </c>
      <c r="AY29" s="442">
        <f ca="1">IF($H29="",0,IF($H29=1,IF('Para Adj'!$B$5 = 1,U29-($O29-SUMPRODUCT($CX29:DD29,$BU29:CA29))*(1-SUM($DZ29:EF29)),CA29*DD29),$O29*CA29))</f>
        <v>0</v>
      </c>
      <c r="AZ29" s="442">
        <f ca="1">IF($H29="",0,IF($H29=1,IF('Para Adj'!$B$5 = 1,V29-($O29-SUMPRODUCT($CX29:DE29,$BU29:CB29))*(1-SUM($DZ29:EG29)),CB29*DE29),$O29*CB29))</f>
        <v>0</v>
      </c>
      <c r="BA29" s="442">
        <f ca="1">IF($H29="",0,IF($H29=1,IF('Para Adj'!$B$5 = 1,W29-($O29-SUMPRODUCT($CX29:DF29,$BU29:CC29))*(1-SUM($DZ29:EH29)),CC29*DF29),$O29*CC29))</f>
        <v>0</v>
      </c>
      <c r="BB29" s="442">
        <f ca="1">IF($H29="",0,IF($H29=1,IF('Para Adj'!$B$5 = 1,X29-($O29-SUMPRODUCT($CX29:DG29,$BU29:CD29))*(1-SUM($DZ29:EI29)),CD29*DG29),$O29*CD29))</f>
        <v>0</v>
      </c>
      <c r="BC29" s="442">
        <f ca="1">IF($H29="",0,IF($H29=1,IF('Para Adj'!$B$5 = 1,Y29-($O29-SUMPRODUCT($CX29:DH29,$BU29:CE29))*(1-SUM($DZ29:EJ29)),CE29*DH29),$O29*CE29))</f>
        <v>0</v>
      </c>
      <c r="BD29" s="442">
        <f ca="1">IF($H29="",0,IF($H29=1,IF('Para Adj'!$B$5 = 1,Z29-($O29-SUMPRODUCT($CX29:DI29,$BU29:CF29))*(1-SUM($DZ29:EK29)),CF29*DI29),$O29*CF29))</f>
        <v>0</v>
      </c>
      <c r="BE29" s="442">
        <f ca="1">IF($H29="",0,IF($H29=1,IF('Para Adj'!$B$5 = 1,AA29-($O29-SUMPRODUCT($CX29:DJ29,$BU29:CG29))*(1-SUM($DZ29:EL29)),CG29*DJ29),$O29*CG29))</f>
        <v>0</v>
      </c>
      <c r="BF29" s="442">
        <f ca="1">IF($H29="",0,IF($H29=1,IF('Para Adj'!$B$5 = 1,AB29-($O29-SUMPRODUCT($CX29:DK29,$BU29:CH29))*(1-SUM($DZ29:EM29)),CH29*DK29),$O29*CH29))</f>
        <v>0</v>
      </c>
      <c r="BG29" s="442">
        <f ca="1">IF($H29="",0,IF($H29=1,IF('Para Adj'!$B$5 = 1,AC29-($O29-SUMPRODUCT($CX29:DL29,$BU29:CI29))*(1-SUM($DZ29:EN29)),CI29*DL29),$O29*CI29))</f>
        <v>0</v>
      </c>
      <c r="BH29" s="442">
        <f ca="1">IF($H29="",0,IF($H29=1,IF('Para Adj'!$B$5 = 1,AD29-($O29-SUMPRODUCT($CX29:DM29,$BU29:CJ29))*(1-SUM($DZ29:EO29)),CJ29*DM29),$O29*CJ29))</f>
        <v>0</v>
      </c>
      <c r="BI29" s="442">
        <f ca="1">IF($H29="",0,IF($H29=1,IF('Para Adj'!$B$5 = 1,AE29-($O29-SUMPRODUCT($CX29:DN29,$BU29:CK29))*(1-SUM($DZ29:EP29)),CK29*DN29),$O29*CK29))</f>
        <v>0</v>
      </c>
      <c r="BJ29" s="442">
        <f ca="1">IF($H29="",0,IF($H29=1,IF('Para Adj'!$B$5 = 1,AF29-($O29-SUMPRODUCT($CX29:DO29,$BU29:CL29))*(1-SUM($DZ29:EQ29)),CL29*DO29),$O29*CL29))</f>
        <v>0</v>
      </c>
      <c r="BK29" s="442">
        <f ca="1">IF($H29="",0,IF($H29=1,IF('Para Adj'!$B$5 = 1,AG29-($O29-SUMPRODUCT($CX29:DP29,$BU29:CM29))*(1-SUM($DZ29:ER29)),CM29*DP29),$O29*CM29))</f>
        <v>0</v>
      </c>
      <c r="BL29" s="442">
        <f ca="1">IF($H29="",0,IF($H29=1,IF('Para Adj'!$B$5 = 1,AH29-($O29-SUMPRODUCT($CX29:DQ29,$BU29:CN29))*(1-SUM($DZ29:ES29)),CN29*DQ29),$O29*CN29))</f>
        <v>0</v>
      </c>
      <c r="BM29" s="442">
        <f ca="1">IF($H29="",0,IF($H29=1,IF('Para Adj'!$B$5 = 1,AI29-($O29-SUMPRODUCT($CX29:DR29,$BU29:CO29))*(1-SUM($DZ29:ET29)),CO29*DR29),$O29*CO29))</f>
        <v>2387</v>
      </c>
      <c r="BN29" s="442">
        <f ca="1">IF($H29="",0,IF($H29=1,IF('Para Adj'!$B$5 = 1,AJ29-($O29-SUMPRODUCT($CX29:DS29,$BU29:CP29))*(1-SUM($DZ29:EU29)),CP29*DS29),$O29*CP29))</f>
        <v>750</v>
      </c>
      <c r="BO29" s="442">
        <f ca="1">IF($H29="",0,IF($H29=1,IF('Para Adj'!$B$5 = 1,AK29-($O29-SUMPRODUCT($CX29:DT29,$BU29:CQ29))*(1-SUM($DZ29:EV29)),CQ29*DT29),$O29*CQ29))</f>
        <v>0</v>
      </c>
      <c r="BP29" s="442">
        <f ca="1">IF($H29="",0,IF($H29=1,IF('Para Adj'!$B$5 = 1,AL29-($O29-SUMPRODUCT($CX29:DU29,$BU29:CR29))*(1-SUM($DZ29:EW29)),CR29*DU29),$O29*CR29))</f>
        <v>0</v>
      </c>
      <c r="BQ29" s="442">
        <f ca="1">IF($H29="",0,IF($H29=1,IF('Para Adj'!$B$5 = 1,AM29-($O29-SUMPRODUCT($CX29:DV29,$BU29:CS29))*(1-SUM($DZ29:EX29)),CS29*DV29),$O29*CS29))</f>
        <v>0</v>
      </c>
      <c r="BR29" s="442">
        <f ca="1">IF($H29="",0,IF($H29=1,IF('Para Adj'!$B$5 = 1,AN29-($O29-SUMPRODUCT($CX29:DW29,$BU29:CT29))*(1-SUM($DZ29:EY29)),CT29*DW29),$O29*CT29))</f>
        <v>0</v>
      </c>
      <c r="BS29" s="442">
        <f ca="1">IF($H29="",0,IF($H29=1,IF('Para Adj'!$B$5 = 1,AO29-($O29-SUMPRODUCT($CX29:DX29,$BU29:CU29))*(1-SUM($DZ29:EZ29)),CU29*DX29),$O29*CU29))</f>
        <v>0</v>
      </c>
      <c r="BU29" s="820">
        <f ca="1">IF($B29=0,"",INDEX(Assumptions!G:G,$B29))</f>
        <v>1</v>
      </c>
      <c r="BV29" s="820">
        <f ca="1">IF($B29=0,"",INDEX(Assumptions!H:H,$B29))</f>
        <v>1</v>
      </c>
      <c r="BW29" s="820">
        <f ca="1">IF($B29=0,"",INDEX(Assumptions!I:I,$B29))</f>
        <v>1</v>
      </c>
      <c r="BX29" s="820">
        <f ca="1">IF($B29=0,"",INDEX(Assumptions!J:J,$B29))</f>
        <v>1</v>
      </c>
      <c r="BY29" s="820">
        <f ca="1">IF($B29=0,"",INDEX(Assumptions!K:K,$B29))</f>
        <v>1</v>
      </c>
      <c r="BZ29" s="820">
        <f ca="1">IF($B29=0,"",INDEX(Assumptions!L:L,$B29))</f>
        <v>1</v>
      </c>
      <c r="CA29" s="820">
        <f ca="1">IF($B29=0,"",INDEX(Assumptions!M:M,$B29))</f>
        <v>1</v>
      </c>
      <c r="CB29" s="820">
        <f ca="1">IF($B29=0,"",INDEX(Assumptions!N:N,$B29))</f>
        <v>1</v>
      </c>
      <c r="CC29" s="820">
        <f ca="1">IF($B29=0,"",INDEX(Assumptions!O:O,$B29))</f>
        <v>1</v>
      </c>
      <c r="CD29" s="820">
        <f ca="1">IF($B29=0,"",INDEX(Assumptions!P:P,$B29))</f>
        <v>1</v>
      </c>
      <c r="CE29" s="820">
        <f ca="1">IF($B29=0,"",INDEX(Assumptions!Q:Q,$B29))</f>
        <v>1</v>
      </c>
      <c r="CF29" s="820">
        <f ca="1">IF($B29=0,"",INDEX(Assumptions!R:R,$B29))</f>
        <v>1</v>
      </c>
      <c r="CG29" s="820">
        <f ca="1">IF($B29=0,"",INDEX(Assumptions!S:S,$B29))</f>
        <v>1</v>
      </c>
      <c r="CH29" s="820">
        <f ca="1">IF($B29=0,"",INDEX(Assumptions!T:T,$B29))</f>
        <v>1</v>
      </c>
      <c r="CI29" s="820">
        <f ca="1">IF($B29=0,"",INDEX(Assumptions!U:U,$B29))</f>
        <v>1</v>
      </c>
      <c r="CJ29" s="820">
        <f ca="1">IF($B29=0,"",INDEX(Assumptions!V:V,$B29))</f>
        <v>1</v>
      </c>
      <c r="CK29" s="820">
        <f ca="1">IF($B29=0,"",INDEX(Assumptions!W:W,$B29))</f>
        <v>1</v>
      </c>
      <c r="CL29" s="820">
        <f ca="1">IF($B29=0,"",INDEX(Assumptions!X:X,$B29))</f>
        <v>1</v>
      </c>
      <c r="CM29" s="820">
        <f ca="1">IF($B29=0,"",INDEX(Assumptions!Y:Y,$B29))</f>
        <v>1</v>
      </c>
      <c r="CN29" s="820">
        <f ca="1">IF($B29=0,"",INDEX(Assumptions!Z:Z,$B29))</f>
        <v>1</v>
      </c>
      <c r="CO29" s="820">
        <f ca="1">IF($B29=0,"",INDEX(Assumptions!AA:AA,$B29))</f>
        <v>1</v>
      </c>
      <c r="CP29" s="820">
        <f ca="1">IF($B29=0,"",INDEX(Assumptions!AB:AB,$B29))</f>
        <v>1</v>
      </c>
      <c r="CQ29" s="820">
        <f ca="1">IF($B29=0,"",INDEX(Assumptions!AC:AC,$B29))</f>
        <v>1</v>
      </c>
      <c r="CR29" s="820">
        <f ca="1">IF($B29=0,"",INDEX(Assumptions!AD:AD,$B29))</f>
        <v>1</v>
      </c>
      <c r="CS29" s="820">
        <f ca="1">IF($B29=0,"",INDEX(Assumptions!AE:AE,$B29))</f>
        <v>1</v>
      </c>
      <c r="CT29" s="820">
        <f ca="1">IF($B29=0,"",INDEX(Assumptions!AF:AF,$B29))</f>
        <v>1</v>
      </c>
      <c r="CU29" s="820">
        <f ca="1">IF($B29=0,"",INDEX(Assumptions!AG:AG,$B29))</f>
        <v>1</v>
      </c>
      <c r="CX29" s="442">
        <f>IF($A29="","",INDEX('Data Interface'!G:G,$A29))</f>
        <v>0</v>
      </c>
      <c r="CY29" s="442">
        <f>IF($A29="","",INDEX('Data Interface'!H:H,$A29))</f>
        <v>14240</v>
      </c>
      <c r="CZ29" s="442">
        <f>IF($A29="","",INDEX('Data Interface'!I:I,$A29))</f>
        <v>0</v>
      </c>
      <c r="DA29" s="442">
        <f>IF($A29="","",INDEX('Data Interface'!J:J,$A29))</f>
        <v>0</v>
      </c>
      <c r="DB29" s="442">
        <f>IF($A29="","",INDEX('Data Interface'!K:K,$A29))</f>
        <v>0</v>
      </c>
      <c r="DC29" s="442">
        <f>IF($A29="","",INDEX('Data Interface'!L:L,$A29))</f>
        <v>0</v>
      </c>
      <c r="DD29" s="442">
        <f>IF($A29="","",INDEX('Data Interface'!M:M,$A29))</f>
        <v>0</v>
      </c>
      <c r="DE29" s="442">
        <f>IF($A29="","",INDEX('Data Interface'!N:N,$A29))</f>
        <v>0</v>
      </c>
      <c r="DF29" s="442">
        <f>IF($A29="","",INDEX('Data Interface'!O:O,$A29))</f>
        <v>0</v>
      </c>
      <c r="DG29" s="442">
        <f>IF($A29="","",INDEX('Data Interface'!P:P,$A29))</f>
        <v>0</v>
      </c>
      <c r="DH29" s="442">
        <f>IF($A29="","",INDEX('Data Interface'!Q:Q,$A29))</f>
        <v>0</v>
      </c>
      <c r="DI29" s="442">
        <f>IF($A29="","",INDEX('Data Interface'!R:R,$A29))</f>
        <v>0</v>
      </c>
      <c r="DJ29" s="442">
        <f>IF($A29="","",INDEX('Data Interface'!S:S,$A29))</f>
        <v>0</v>
      </c>
      <c r="DK29" s="442">
        <f>IF($A29="","",INDEX('Data Interface'!T:T,$A29))</f>
        <v>0</v>
      </c>
      <c r="DL29" s="442">
        <f>IF($A29="","",INDEX('Data Interface'!U:U,$A29))</f>
        <v>0</v>
      </c>
      <c r="DM29" s="442">
        <f>IF($A29="","",INDEX('Data Interface'!V:V,$A29))</f>
        <v>0</v>
      </c>
      <c r="DN29" s="442">
        <f>IF($A29="","",INDEX('Data Interface'!W:W,$A29))</f>
        <v>0</v>
      </c>
      <c r="DO29" s="442">
        <f>IF($A29="","",INDEX('Data Interface'!X:X,$A29))</f>
        <v>0</v>
      </c>
      <c r="DP29" s="442">
        <f>IF($A29="","",INDEX('Data Interface'!Y:Y,$A29))</f>
        <v>0</v>
      </c>
      <c r="DQ29" s="442">
        <f>IF($A29="","",INDEX('Data Interface'!Z:Z,$A29))</f>
        <v>0</v>
      </c>
      <c r="DR29" s="442">
        <f>IF($A29="","",INDEX('Data Interface'!AA:AA,$A29))</f>
        <v>2387</v>
      </c>
      <c r="DS29" s="442">
        <f>IF($A29="","",INDEX('Data Interface'!AB:AB,$A29))</f>
        <v>750</v>
      </c>
      <c r="DT29" s="442">
        <f>IF($A29="","",INDEX('Data Interface'!AC:AC,$A29))</f>
        <v>0</v>
      </c>
      <c r="DU29" s="442">
        <f>IF($A29="","",INDEX('Data Interface'!AD:AD,$A29))</f>
        <v>0</v>
      </c>
      <c r="DV29" s="442">
        <f>IF($A29="","",INDEX('Data Interface'!AE:AE,$A29))</f>
        <v>0</v>
      </c>
      <c r="DW29" s="442">
        <f>IF($A29="","",INDEX('Data Interface'!AF:AF,$A29))</f>
        <v>0</v>
      </c>
      <c r="DX29" s="442">
        <f>IF($A29="","",INDEX('Data Interface'!AG:AG,$A29))</f>
        <v>0</v>
      </c>
      <c r="DZ29" s="906">
        <f>IF(OR($B29=0,$A29=0,$H29&lt;&gt;1),"",INDEX(Assumptions!EO:EO,$B29))</f>
        <v>0</v>
      </c>
      <c r="EA29" s="906">
        <f>IF(OR($B29=0,$A29=0,$H29&lt;&gt;1),"",INDEX(Assumptions!EP:EP,$B29))</f>
        <v>0</v>
      </c>
      <c r="EB29" s="906">
        <f>IF(OR($B29=0,$A29=0,$H29&lt;&gt;1),"",INDEX(Assumptions!EQ:EQ,$B29))</f>
        <v>0</v>
      </c>
      <c r="EC29" s="906">
        <f>IF(OR($B29=0,$A29=0,$H29&lt;&gt;1),"",INDEX(Assumptions!ER:ER,$B29))</f>
        <v>0</v>
      </c>
      <c r="ED29" s="906">
        <f>IF(OR($B29=0,$A29=0,$H29&lt;&gt;1),"",INDEX(Assumptions!ES:ES,$B29))</f>
        <v>0</v>
      </c>
      <c r="EE29" s="906">
        <f>IF(OR($B29=0,$A29=0,$H29&lt;&gt;1),"",INDEX(Assumptions!ET:ET,$B29))</f>
        <v>0</v>
      </c>
      <c r="EF29" s="906">
        <f>IF(OR($B29=0,$A29=0,$H29&lt;&gt;1),"",INDEX(Assumptions!EU:EU,$B29))</f>
        <v>0</v>
      </c>
      <c r="EG29" s="906">
        <f>IF(OR($B29=0,$A29=0,$H29&lt;&gt;1),"",INDEX(Assumptions!EV:EV,$B29))</f>
        <v>0</v>
      </c>
      <c r="EH29" s="906">
        <f>IF(OR($B29=0,$A29=0,$H29&lt;&gt;1),"",INDEX(Assumptions!EW:EW,$B29))</f>
        <v>0</v>
      </c>
      <c r="EI29" s="906">
        <f>IF(OR($B29=0,$A29=0,$H29&lt;&gt;1),"",INDEX(Assumptions!EX:EX,$B29))</f>
        <v>0</v>
      </c>
      <c r="EJ29" s="906">
        <f>IF(OR($B29=0,$A29=0,$H29&lt;&gt;1),"",INDEX(Assumptions!EY:EY,$B29))</f>
        <v>0</v>
      </c>
      <c r="EK29" s="906">
        <f>IF(OR($B29=0,$A29=0,$H29&lt;&gt;1),"",INDEX(Assumptions!EZ:EZ,$B29))</f>
        <v>0</v>
      </c>
      <c r="EL29" s="906">
        <f>IF(OR($B29=0,$A29=0,$H29&lt;&gt;1),"",INDEX(Assumptions!FA:FA,$B29))</f>
        <v>0</v>
      </c>
      <c r="EM29" s="906">
        <f>IF(OR($B29=0,$A29=0,$H29&lt;&gt;1),"",INDEX(Assumptions!FB:FB,$B29))</f>
        <v>0</v>
      </c>
      <c r="EN29" s="906">
        <f>IF(OR($B29=0,$A29=0,$H29&lt;&gt;1),"",INDEX(Assumptions!FC:FC,$B29))</f>
        <v>0</v>
      </c>
      <c r="EO29" s="906">
        <f>IF(OR($B29=0,$A29=0,$H29&lt;&gt;1),"",INDEX(Assumptions!FD:FD,$B29))</f>
        <v>0</v>
      </c>
      <c r="EP29" s="906">
        <f>IF(OR($B29=0,$A29=0,$H29&lt;&gt;1),"",INDEX(Assumptions!FE:FE,$B29))</f>
        <v>0</v>
      </c>
      <c r="EQ29" s="906">
        <f>IF(OR($B29=0,$A29=0,$H29&lt;&gt;1),"",INDEX(Assumptions!FF:FF,$B29))</f>
        <v>0</v>
      </c>
      <c r="ER29" s="906">
        <f>IF(OR($B29=0,$A29=0,$H29&lt;&gt;1),"",INDEX(Assumptions!FG:FG,$B29))</f>
        <v>0</v>
      </c>
      <c r="ES29" s="906">
        <f>IF(OR($B29=0,$A29=0,$H29&lt;&gt;1),"",INDEX(Assumptions!FH:FH,$B29))</f>
        <v>0</v>
      </c>
      <c r="ET29" s="906">
        <f>IF(OR($B29=0,$A29=0,$H29&lt;&gt;1),"",INDEX(Assumptions!FI:FI,$B29))</f>
        <v>0</v>
      </c>
      <c r="EU29" s="906">
        <f>IF(OR($B29=0,$A29=0,$H29&lt;&gt;1),"",INDEX(Assumptions!FJ:FJ,$B29))</f>
        <v>0</v>
      </c>
      <c r="EV29" s="906">
        <f>IF(OR($B29=0,$A29=0,$H29&lt;&gt;1),"",INDEX(Assumptions!FK:FK,$B29))</f>
        <v>0</v>
      </c>
      <c r="EW29" s="906">
        <f>IF(OR($B29=0,$A29=0,$H29&lt;&gt;1),"",INDEX(Assumptions!FL:FL,$B29))</f>
        <v>0</v>
      </c>
      <c r="EX29" s="906">
        <f>IF(OR($B29=0,$A29=0,$H29&lt;&gt;1),"",INDEX(Assumptions!FM:FM,$B29))</f>
        <v>0</v>
      </c>
      <c r="EY29" s="906">
        <f>IF(OR($B29=0,$A29=0,$H29&lt;&gt;1),"",INDEX(Assumptions!FN:FN,$B29))</f>
        <v>0</v>
      </c>
      <c r="EZ29" s="906">
        <f>IF(OR($B29=0,$A29=0,$H29&lt;&gt;1),"",INDEX(Assumptions!FO:FO,$B29))</f>
        <v>0</v>
      </c>
      <c r="FB29" s="820" t="str">
        <f t="shared" si="18"/>
        <v/>
      </c>
      <c r="FC29" s="820" t="str">
        <f t="shared" si="19"/>
        <v/>
      </c>
      <c r="FD29" s="820" t="str">
        <f t="shared" si="20"/>
        <v/>
      </c>
      <c r="FE29" s="820" t="str">
        <f t="shared" si="21"/>
        <v/>
      </c>
      <c r="FF29" s="820" t="str">
        <f t="shared" si="22"/>
        <v/>
      </c>
    </row>
    <row r="30" spans="1:162">
      <c r="A30" s="440">
        <f>IFERROR(MATCH(C30,'Data Interface'!B:B,0),0)</f>
        <v>28</v>
      </c>
      <c r="B30" s="440">
        <f>IFERROR(MATCH(C30,Assumptions!$B:$B,0),0)</f>
        <v>16</v>
      </c>
      <c r="C30" s="441" t="s">
        <v>1287</v>
      </c>
      <c r="E30" s="441" t="s">
        <v>1219</v>
      </c>
      <c r="F30" s="440" t="s">
        <v>34</v>
      </c>
      <c r="G30" s="440" t="str">
        <f>IF(A30=0,"",INDEX('Data Interface'!$C:$C,$A30))</f>
        <v>Due to Interbranch - Trade Finance</v>
      </c>
      <c r="H30" s="440">
        <v>1</v>
      </c>
      <c r="I30" s="819">
        <f t="shared" ca="1" si="10"/>
        <v>1</v>
      </c>
      <c r="J30" s="819">
        <f t="shared" ca="1" si="11"/>
        <v>1</v>
      </c>
      <c r="K30" s="439" t="str">
        <f t="shared" ca="1" si="12"/>
        <v>100% of Contractual Maturity</v>
      </c>
      <c r="L30" s="439" t="s">
        <v>1149</v>
      </c>
      <c r="M30" s="439" t="s">
        <v>1528</v>
      </c>
      <c r="O30" s="442">
        <f>IF(OR($A30="",$A30=0),0,INDEX('Data Interface'!D:D,$A30))</f>
        <v>0</v>
      </c>
      <c r="P30" s="442">
        <f ca="1">$O30-SUM($AS30:AS30)</f>
        <v>0</v>
      </c>
      <c r="Q30" s="442">
        <f ca="1">$O30-SUM($AS30:AT30)</f>
        <v>0</v>
      </c>
      <c r="R30" s="442">
        <f ca="1">$O30-SUM($AS30:AU30)</f>
        <v>0</v>
      </c>
      <c r="S30" s="442">
        <f ca="1">$O30-SUM($AS30:AV30)</f>
        <v>0</v>
      </c>
      <c r="T30" s="442">
        <f ca="1">$O30-SUM($AS30:AW30)</f>
        <v>0</v>
      </c>
      <c r="U30" s="442">
        <f ca="1">$O30-SUM($AS30:AX30)</f>
        <v>0</v>
      </c>
      <c r="V30" s="442">
        <f ca="1">$O30-SUM($AS30:AY30)</f>
        <v>0</v>
      </c>
      <c r="W30" s="442">
        <f ca="1">$O30-SUM($AS30:AZ30)</f>
        <v>0</v>
      </c>
      <c r="X30" s="442">
        <f ca="1">$O30-SUM($AS30:BA30)</f>
        <v>0</v>
      </c>
      <c r="Y30" s="442">
        <f ca="1">$O30-SUM($AS30:BB30)</f>
        <v>0</v>
      </c>
      <c r="Z30" s="442">
        <f ca="1">$O30-SUM($AS30:BC30)</f>
        <v>0</v>
      </c>
      <c r="AA30" s="442">
        <f ca="1">$O30-SUM($AS30:BD30)</f>
        <v>0</v>
      </c>
      <c r="AB30" s="442">
        <f ca="1">$O30-SUM($AS30:BE30)</f>
        <v>0</v>
      </c>
      <c r="AC30" s="442">
        <f ca="1">$O30-SUM($AS30:BF30)</f>
        <v>0</v>
      </c>
      <c r="AD30" s="442">
        <f ca="1">$O30-SUM($AS30:BG30)</f>
        <v>0</v>
      </c>
      <c r="AE30" s="442">
        <f ca="1">$O30-SUM($AS30:BH30)</f>
        <v>0</v>
      </c>
      <c r="AF30" s="442">
        <f ca="1">$O30-SUM($AS30:BI30)</f>
        <v>0</v>
      </c>
      <c r="AG30" s="442">
        <f ca="1">$O30-SUM($AS30:BJ30)</f>
        <v>0</v>
      </c>
      <c r="AH30" s="442">
        <f ca="1">$O30-SUM($AS30:BK30)</f>
        <v>0</v>
      </c>
      <c r="AI30" s="442">
        <f ca="1">$O30-SUM($AS30:BL30)</f>
        <v>0</v>
      </c>
      <c r="AJ30" s="442">
        <f ca="1">$O30-SUM($AS30:BM30)</f>
        <v>0</v>
      </c>
      <c r="AK30" s="442">
        <f ca="1">$O30-SUM($AS30:BN30)</f>
        <v>0</v>
      </c>
      <c r="AL30" s="442">
        <f ca="1">$O30-SUM($AS30:BO30)</f>
        <v>0</v>
      </c>
      <c r="AM30" s="442">
        <f ca="1">$O30-SUM($AS30:BP30)</f>
        <v>0</v>
      </c>
      <c r="AN30" s="442">
        <f ca="1">$O30-SUM($AS30:BQ30)</f>
        <v>0</v>
      </c>
      <c r="AO30" s="442">
        <f ca="1">$O30-SUM($AS30:BR30)</f>
        <v>0</v>
      </c>
      <c r="AP30" s="442">
        <f ca="1">$O30-SUM($AS30:BS30)</f>
        <v>0</v>
      </c>
      <c r="AR30" s="439" t="s">
        <v>1202</v>
      </c>
      <c r="AS30" s="442">
        <f ca="1">IF($H30="",0,IF($H30=1,IF('Para Adj'!$B$5 = 1,O30-($O30-SUMPRODUCT($CX30:CX30,$BU30:BU30))*(1-SUM($DZ30:DZ30)),BU30*CX30),$O30*BU30))</f>
        <v>0</v>
      </c>
      <c r="AT30" s="442">
        <f ca="1">IF($H30="",0,IF($H30=1,IF('Para Adj'!$B$5 = 1,P30-($O30-SUMPRODUCT($CX30:CY30,$BU30:BV30))*(1-SUM($DZ30:EA30)),BV30*CY30),$O30*BV30))</f>
        <v>0</v>
      </c>
      <c r="AU30" s="442">
        <f ca="1">IF($H30="",0,IF($H30=1,IF('Para Adj'!$B$5 = 1,Q30-($O30-SUMPRODUCT($CX30:CZ30,$BU30:BW30))*(1-SUM($DZ30:EB30)),BW30*CZ30),$O30*BW30))</f>
        <v>0</v>
      </c>
      <c r="AV30" s="442">
        <f ca="1">IF($H30="",0,IF($H30=1,IF('Para Adj'!$B$5 = 1,R30-($O30-SUMPRODUCT($CX30:DA30,$BU30:BX30))*(1-SUM($DZ30:EC30)),BX30*DA30),$O30*BX30))</f>
        <v>0</v>
      </c>
      <c r="AW30" s="442">
        <f ca="1">IF($H30="",0,IF($H30=1,IF('Para Adj'!$B$5 = 1,S30-($O30-SUMPRODUCT($CX30:DB30,$BU30:BY30))*(1-SUM($DZ30:ED30)),BY30*DB30),$O30*BY30))</f>
        <v>0</v>
      </c>
      <c r="AX30" s="442">
        <f ca="1">IF($H30="",0,IF($H30=1,IF('Para Adj'!$B$5 = 1,T30-($O30-SUMPRODUCT($CX30:DC30,$BU30:BZ30))*(1-SUM($DZ30:EE30)),BZ30*DC30),$O30*BZ30))</f>
        <v>0</v>
      </c>
      <c r="AY30" s="442">
        <f ca="1">IF($H30="",0,IF($H30=1,IF('Para Adj'!$B$5 = 1,U30-($O30-SUMPRODUCT($CX30:DD30,$BU30:CA30))*(1-SUM($DZ30:EF30)),CA30*DD30),$O30*CA30))</f>
        <v>0</v>
      </c>
      <c r="AZ30" s="442">
        <f ca="1">IF($H30="",0,IF($H30=1,IF('Para Adj'!$B$5 = 1,V30-($O30-SUMPRODUCT($CX30:DE30,$BU30:CB30))*(1-SUM($DZ30:EG30)),CB30*DE30),$O30*CB30))</f>
        <v>0</v>
      </c>
      <c r="BA30" s="442">
        <f ca="1">IF($H30="",0,IF($H30=1,IF('Para Adj'!$B$5 = 1,W30-($O30-SUMPRODUCT($CX30:DF30,$BU30:CC30))*(1-SUM($DZ30:EH30)),CC30*DF30),$O30*CC30))</f>
        <v>0</v>
      </c>
      <c r="BB30" s="442">
        <f ca="1">IF($H30="",0,IF($H30=1,IF('Para Adj'!$B$5 = 1,X30-($O30-SUMPRODUCT($CX30:DG30,$BU30:CD30))*(1-SUM($DZ30:EI30)),CD30*DG30),$O30*CD30))</f>
        <v>0</v>
      </c>
      <c r="BC30" s="442">
        <f ca="1">IF($H30="",0,IF($H30=1,IF('Para Adj'!$B$5 = 1,Y30-($O30-SUMPRODUCT($CX30:DH30,$BU30:CE30))*(1-SUM($DZ30:EJ30)),CE30*DH30),$O30*CE30))</f>
        <v>0</v>
      </c>
      <c r="BD30" s="442">
        <f ca="1">IF($H30="",0,IF($H30=1,IF('Para Adj'!$B$5 = 1,Z30-($O30-SUMPRODUCT($CX30:DI30,$BU30:CF30))*(1-SUM($DZ30:EK30)),CF30*DI30),$O30*CF30))</f>
        <v>0</v>
      </c>
      <c r="BE30" s="442">
        <f ca="1">IF($H30="",0,IF($H30=1,IF('Para Adj'!$B$5 = 1,AA30-($O30-SUMPRODUCT($CX30:DJ30,$BU30:CG30))*(1-SUM($DZ30:EL30)),CG30*DJ30),$O30*CG30))</f>
        <v>0</v>
      </c>
      <c r="BF30" s="442">
        <f ca="1">IF($H30="",0,IF($H30=1,IF('Para Adj'!$B$5 = 1,AB30-($O30-SUMPRODUCT($CX30:DK30,$BU30:CH30))*(1-SUM($DZ30:EM30)),CH30*DK30),$O30*CH30))</f>
        <v>0</v>
      </c>
      <c r="BG30" s="442">
        <f ca="1">IF($H30="",0,IF($H30=1,IF('Para Adj'!$B$5 = 1,AC30-($O30-SUMPRODUCT($CX30:DL30,$BU30:CI30))*(1-SUM($DZ30:EN30)),CI30*DL30),$O30*CI30))</f>
        <v>0</v>
      </c>
      <c r="BH30" s="442">
        <f ca="1">IF($H30="",0,IF($H30=1,IF('Para Adj'!$B$5 = 1,AD30-($O30-SUMPRODUCT($CX30:DM30,$BU30:CJ30))*(1-SUM($DZ30:EO30)),CJ30*DM30),$O30*CJ30))</f>
        <v>0</v>
      </c>
      <c r="BI30" s="442">
        <f ca="1">IF($H30="",0,IF($H30=1,IF('Para Adj'!$B$5 = 1,AE30-($O30-SUMPRODUCT($CX30:DN30,$BU30:CK30))*(1-SUM($DZ30:EP30)),CK30*DN30),$O30*CK30))</f>
        <v>0</v>
      </c>
      <c r="BJ30" s="442">
        <f ca="1">IF($H30="",0,IF($H30=1,IF('Para Adj'!$B$5 = 1,AF30-($O30-SUMPRODUCT($CX30:DO30,$BU30:CL30))*(1-SUM($DZ30:EQ30)),CL30*DO30),$O30*CL30))</f>
        <v>0</v>
      </c>
      <c r="BK30" s="442">
        <f ca="1">IF($H30="",0,IF($H30=1,IF('Para Adj'!$B$5 = 1,AG30-($O30-SUMPRODUCT($CX30:DP30,$BU30:CM30))*(1-SUM($DZ30:ER30)),CM30*DP30),$O30*CM30))</f>
        <v>0</v>
      </c>
      <c r="BL30" s="442">
        <f ca="1">IF($H30="",0,IF($H30=1,IF('Para Adj'!$B$5 = 1,AH30-($O30-SUMPRODUCT($CX30:DQ30,$BU30:CN30))*(1-SUM($DZ30:ES30)),CN30*DQ30),$O30*CN30))</f>
        <v>0</v>
      </c>
      <c r="BM30" s="442">
        <f ca="1">IF($H30="",0,IF($H30=1,IF('Para Adj'!$B$5 = 1,AI30-($O30-SUMPRODUCT($CX30:DR30,$BU30:CO30))*(1-SUM($DZ30:ET30)),CO30*DR30),$O30*CO30))</f>
        <v>0</v>
      </c>
      <c r="BN30" s="442">
        <f ca="1">IF($H30="",0,IF($H30=1,IF('Para Adj'!$B$5 = 1,AJ30-($O30-SUMPRODUCT($CX30:DS30,$BU30:CP30))*(1-SUM($DZ30:EU30)),CP30*DS30),$O30*CP30))</f>
        <v>0</v>
      </c>
      <c r="BO30" s="442">
        <f ca="1">IF($H30="",0,IF($H30=1,IF('Para Adj'!$B$5 = 1,AK30-($O30-SUMPRODUCT($CX30:DT30,$BU30:CQ30))*(1-SUM($DZ30:EV30)),CQ30*DT30),$O30*CQ30))</f>
        <v>0</v>
      </c>
      <c r="BP30" s="442">
        <f ca="1">IF($H30="",0,IF($H30=1,IF('Para Adj'!$B$5 = 1,AL30-($O30-SUMPRODUCT($CX30:DU30,$BU30:CR30))*(1-SUM($DZ30:EW30)),CR30*DU30),$O30*CR30))</f>
        <v>0</v>
      </c>
      <c r="BQ30" s="442">
        <f ca="1">IF($H30="",0,IF($H30=1,IF('Para Adj'!$B$5 = 1,AM30-($O30-SUMPRODUCT($CX30:DV30,$BU30:CS30))*(1-SUM($DZ30:EX30)),CS30*DV30),$O30*CS30))</f>
        <v>0</v>
      </c>
      <c r="BR30" s="442">
        <f ca="1">IF($H30="",0,IF($H30=1,IF('Para Adj'!$B$5 = 1,AN30-($O30-SUMPRODUCT($CX30:DW30,$BU30:CT30))*(1-SUM($DZ30:EY30)),CT30*DW30),$O30*CT30))</f>
        <v>0</v>
      </c>
      <c r="BS30" s="442">
        <f ca="1">IF($H30="",0,IF($H30=1,IF('Para Adj'!$B$5 = 1,AO30-($O30-SUMPRODUCT($CX30:DX30,$BU30:CU30))*(1-SUM($DZ30:EZ30)),CU30*DX30),$O30*CU30))</f>
        <v>0</v>
      </c>
      <c r="BU30" s="820">
        <f ca="1">IF($B30=0,"",INDEX(Assumptions!G:G,$B30))</f>
        <v>1</v>
      </c>
      <c r="BV30" s="820">
        <f ca="1">IF($B30=0,"",INDEX(Assumptions!H:H,$B30))</f>
        <v>1</v>
      </c>
      <c r="BW30" s="820">
        <f ca="1">IF($B30=0,"",INDEX(Assumptions!I:I,$B30))</f>
        <v>1</v>
      </c>
      <c r="BX30" s="820">
        <f ca="1">IF($B30=0,"",INDEX(Assumptions!J:J,$B30))</f>
        <v>1</v>
      </c>
      <c r="BY30" s="820">
        <f ca="1">IF($B30=0,"",INDEX(Assumptions!K:K,$B30))</f>
        <v>1</v>
      </c>
      <c r="BZ30" s="820">
        <f ca="1">IF($B30=0,"",INDEX(Assumptions!L:L,$B30))</f>
        <v>1</v>
      </c>
      <c r="CA30" s="820">
        <f ca="1">IF($B30=0,"",INDEX(Assumptions!M:M,$B30))</f>
        <v>1</v>
      </c>
      <c r="CB30" s="820">
        <f ca="1">IF($B30=0,"",INDEX(Assumptions!N:N,$B30))</f>
        <v>1</v>
      </c>
      <c r="CC30" s="820">
        <f ca="1">IF($B30=0,"",INDEX(Assumptions!O:O,$B30))</f>
        <v>1</v>
      </c>
      <c r="CD30" s="820">
        <f ca="1">IF($B30=0,"",INDEX(Assumptions!P:P,$B30))</f>
        <v>1</v>
      </c>
      <c r="CE30" s="820">
        <f ca="1">IF($B30=0,"",INDEX(Assumptions!Q:Q,$B30))</f>
        <v>1</v>
      </c>
      <c r="CF30" s="820">
        <f ca="1">IF($B30=0,"",INDEX(Assumptions!R:R,$B30))</f>
        <v>1</v>
      </c>
      <c r="CG30" s="820">
        <f ca="1">IF($B30=0,"",INDEX(Assumptions!S:S,$B30))</f>
        <v>1</v>
      </c>
      <c r="CH30" s="820">
        <f ca="1">IF($B30=0,"",INDEX(Assumptions!T:T,$B30))</f>
        <v>1</v>
      </c>
      <c r="CI30" s="820">
        <f ca="1">IF($B30=0,"",INDEX(Assumptions!U:U,$B30))</f>
        <v>1</v>
      </c>
      <c r="CJ30" s="820">
        <f ca="1">IF($B30=0,"",INDEX(Assumptions!V:V,$B30))</f>
        <v>1</v>
      </c>
      <c r="CK30" s="820">
        <f ca="1">IF($B30=0,"",INDEX(Assumptions!W:W,$B30))</f>
        <v>1</v>
      </c>
      <c r="CL30" s="820">
        <f ca="1">IF($B30=0,"",INDEX(Assumptions!X:X,$B30))</f>
        <v>1</v>
      </c>
      <c r="CM30" s="820">
        <f ca="1">IF($B30=0,"",INDEX(Assumptions!Y:Y,$B30))</f>
        <v>1</v>
      </c>
      <c r="CN30" s="820">
        <f ca="1">IF($B30=0,"",INDEX(Assumptions!Z:Z,$B30))</f>
        <v>1</v>
      </c>
      <c r="CO30" s="820">
        <f ca="1">IF($B30=0,"",INDEX(Assumptions!AA:AA,$B30))</f>
        <v>1</v>
      </c>
      <c r="CP30" s="820">
        <f ca="1">IF($B30=0,"",INDEX(Assumptions!AB:AB,$B30))</f>
        <v>1</v>
      </c>
      <c r="CQ30" s="820">
        <f ca="1">IF($B30=0,"",INDEX(Assumptions!AC:AC,$B30))</f>
        <v>1</v>
      </c>
      <c r="CR30" s="820">
        <f ca="1">IF($B30=0,"",INDEX(Assumptions!AD:AD,$B30))</f>
        <v>1</v>
      </c>
      <c r="CS30" s="820">
        <f ca="1">IF($B30=0,"",INDEX(Assumptions!AE:AE,$B30))</f>
        <v>1</v>
      </c>
      <c r="CT30" s="820">
        <f ca="1">IF($B30=0,"",INDEX(Assumptions!AF:AF,$B30))</f>
        <v>1</v>
      </c>
      <c r="CU30" s="820">
        <f ca="1">IF($B30=0,"",INDEX(Assumptions!AG:AG,$B30))</f>
        <v>1</v>
      </c>
      <c r="CX30" s="442">
        <f>IF($A30="","",INDEX('Data Interface'!G:G,$A30))</f>
        <v>0</v>
      </c>
      <c r="CY30" s="442">
        <f>IF($A30="","",INDEX('Data Interface'!H:H,$A30))</f>
        <v>0</v>
      </c>
      <c r="CZ30" s="442">
        <f>IF($A30="","",INDEX('Data Interface'!I:I,$A30))</f>
        <v>0</v>
      </c>
      <c r="DA30" s="442">
        <f>IF($A30="","",INDEX('Data Interface'!J:J,$A30))</f>
        <v>0</v>
      </c>
      <c r="DB30" s="442">
        <f>IF($A30="","",INDEX('Data Interface'!K:K,$A30))</f>
        <v>0</v>
      </c>
      <c r="DC30" s="442">
        <f>IF($A30="","",INDEX('Data Interface'!L:L,$A30))</f>
        <v>0</v>
      </c>
      <c r="DD30" s="442">
        <f>IF($A30="","",INDEX('Data Interface'!M:M,$A30))</f>
        <v>0</v>
      </c>
      <c r="DE30" s="442">
        <f>IF($A30="","",INDEX('Data Interface'!N:N,$A30))</f>
        <v>0</v>
      </c>
      <c r="DF30" s="442">
        <f>IF($A30="","",INDEX('Data Interface'!O:O,$A30))</f>
        <v>0</v>
      </c>
      <c r="DG30" s="442">
        <f>IF($A30="","",INDEX('Data Interface'!P:P,$A30))</f>
        <v>0</v>
      </c>
      <c r="DH30" s="442">
        <f>IF($A30="","",INDEX('Data Interface'!Q:Q,$A30))</f>
        <v>0</v>
      </c>
      <c r="DI30" s="442">
        <f>IF($A30="","",INDEX('Data Interface'!R:R,$A30))</f>
        <v>0</v>
      </c>
      <c r="DJ30" s="442">
        <f>IF($A30="","",INDEX('Data Interface'!S:S,$A30))</f>
        <v>0</v>
      </c>
      <c r="DK30" s="442">
        <f>IF($A30="","",INDEX('Data Interface'!T:T,$A30))</f>
        <v>0</v>
      </c>
      <c r="DL30" s="442">
        <f>IF($A30="","",INDEX('Data Interface'!U:U,$A30))</f>
        <v>0</v>
      </c>
      <c r="DM30" s="442">
        <f>IF($A30="","",INDEX('Data Interface'!V:V,$A30))</f>
        <v>0</v>
      </c>
      <c r="DN30" s="442">
        <f>IF($A30="","",INDEX('Data Interface'!W:W,$A30))</f>
        <v>0</v>
      </c>
      <c r="DO30" s="442">
        <f>IF($A30="","",INDEX('Data Interface'!X:X,$A30))</f>
        <v>0</v>
      </c>
      <c r="DP30" s="442">
        <f>IF($A30="","",INDEX('Data Interface'!Y:Y,$A30))</f>
        <v>0</v>
      </c>
      <c r="DQ30" s="442">
        <f>IF($A30="","",INDEX('Data Interface'!Z:Z,$A30))</f>
        <v>0</v>
      </c>
      <c r="DR30" s="442">
        <f>IF($A30="","",INDEX('Data Interface'!AA:AA,$A30))</f>
        <v>0</v>
      </c>
      <c r="DS30" s="442">
        <f>IF($A30="","",INDEX('Data Interface'!AB:AB,$A30))</f>
        <v>0</v>
      </c>
      <c r="DT30" s="442">
        <f>IF($A30="","",INDEX('Data Interface'!AC:AC,$A30))</f>
        <v>0</v>
      </c>
      <c r="DU30" s="442">
        <f>IF($A30="","",INDEX('Data Interface'!AD:AD,$A30))</f>
        <v>0</v>
      </c>
      <c r="DV30" s="442">
        <f>IF($A30="","",INDEX('Data Interface'!AE:AE,$A30))</f>
        <v>0</v>
      </c>
      <c r="DW30" s="442">
        <f>IF($A30="","",INDEX('Data Interface'!AF:AF,$A30))</f>
        <v>0</v>
      </c>
      <c r="DX30" s="442">
        <f>IF($A30="","",INDEX('Data Interface'!AG:AG,$A30))</f>
        <v>0</v>
      </c>
      <c r="DZ30" s="906">
        <f>IF(OR($B30=0,$A30=0,$H30&lt;&gt;1),"",INDEX(Assumptions!EO:EO,$B30))</f>
        <v>0</v>
      </c>
      <c r="EA30" s="906">
        <f>IF(OR($B30=0,$A30=0,$H30&lt;&gt;1),"",INDEX(Assumptions!EP:EP,$B30))</f>
        <v>0</v>
      </c>
      <c r="EB30" s="906">
        <f>IF(OR($B30=0,$A30=0,$H30&lt;&gt;1),"",INDEX(Assumptions!EQ:EQ,$B30))</f>
        <v>0</v>
      </c>
      <c r="EC30" s="906">
        <f>IF(OR($B30=0,$A30=0,$H30&lt;&gt;1),"",INDEX(Assumptions!ER:ER,$B30))</f>
        <v>0</v>
      </c>
      <c r="ED30" s="906">
        <f>IF(OR($B30=0,$A30=0,$H30&lt;&gt;1),"",INDEX(Assumptions!ES:ES,$B30))</f>
        <v>0</v>
      </c>
      <c r="EE30" s="906">
        <f>IF(OR($B30=0,$A30=0,$H30&lt;&gt;1),"",INDEX(Assumptions!ET:ET,$B30))</f>
        <v>0</v>
      </c>
      <c r="EF30" s="906">
        <f>IF(OR($B30=0,$A30=0,$H30&lt;&gt;1),"",INDEX(Assumptions!EU:EU,$B30))</f>
        <v>0</v>
      </c>
      <c r="EG30" s="906">
        <f>IF(OR($B30=0,$A30=0,$H30&lt;&gt;1),"",INDEX(Assumptions!EV:EV,$B30))</f>
        <v>0</v>
      </c>
      <c r="EH30" s="906">
        <f>IF(OR($B30=0,$A30=0,$H30&lt;&gt;1),"",INDEX(Assumptions!EW:EW,$B30))</f>
        <v>0</v>
      </c>
      <c r="EI30" s="906">
        <f>IF(OR($B30=0,$A30=0,$H30&lt;&gt;1),"",INDEX(Assumptions!EX:EX,$B30))</f>
        <v>0</v>
      </c>
      <c r="EJ30" s="906">
        <f>IF(OR($B30=0,$A30=0,$H30&lt;&gt;1),"",INDEX(Assumptions!EY:EY,$B30))</f>
        <v>0</v>
      </c>
      <c r="EK30" s="906">
        <f>IF(OR($B30=0,$A30=0,$H30&lt;&gt;1),"",INDEX(Assumptions!EZ:EZ,$B30))</f>
        <v>0</v>
      </c>
      <c r="EL30" s="906">
        <f>IF(OR($B30=0,$A30=0,$H30&lt;&gt;1),"",INDEX(Assumptions!FA:FA,$B30))</f>
        <v>0</v>
      </c>
      <c r="EM30" s="906">
        <f>IF(OR($B30=0,$A30=0,$H30&lt;&gt;1),"",INDEX(Assumptions!FB:FB,$B30))</f>
        <v>0</v>
      </c>
      <c r="EN30" s="906">
        <f>IF(OR($B30=0,$A30=0,$H30&lt;&gt;1),"",INDEX(Assumptions!FC:FC,$B30))</f>
        <v>0</v>
      </c>
      <c r="EO30" s="906">
        <f>IF(OR($B30=0,$A30=0,$H30&lt;&gt;1),"",INDEX(Assumptions!FD:FD,$B30))</f>
        <v>0</v>
      </c>
      <c r="EP30" s="906">
        <f>IF(OR($B30=0,$A30=0,$H30&lt;&gt;1),"",INDEX(Assumptions!FE:FE,$B30))</f>
        <v>0</v>
      </c>
      <c r="EQ30" s="906">
        <f>IF(OR($B30=0,$A30=0,$H30&lt;&gt;1),"",INDEX(Assumptions!FF:FF,$B30))</f>
        <v>0</v>
      </c>
      <c r="ER30" s="906">
        <f>IF(OR($B30=0,$A30=0,$H30&lt;&gt;1),"",INDEX(Assumptions!FG:FG,$B30))</f>
        <v>0</v>
      </c>
      <c r="ES30" s="906">
        <f>IF(OR($B30=0,$A30=0,$H30&lt;&gt;1),"",INDEX(Assumptions!FH:FH,$B30))</f>
        <v>0</v>
      </c>
      <c r="ET30" s="906">
        <f>IF(OR($B30=0,$A30=0,$H30&lt;&gt;1),"",INDEX(Assumptions!FI:FI,$B30))</f>
        <v>0</v>
      </c>
      <c r="EU30" s="906">
        <f>IF(OR($B30=0,$A30=0,$H30&lt;&gt;1),"",INDEX(Assumptions!FJ:FJ,$B30))</f>
        <v>0</v>
      </c>
      <c r="EV30" s="906">
        <f>IF(OR($B30=0,$A30=0,$H30&lt;&gt;1),"",INDEX(Assumptions!FK:FK,$B30))</f>
        <v>0</v>
      </c>
      <c r="EW30" s="906">
        <f>IF(OR($B30=0,$A30=0,$H30&lt;&gt;1),"",INDEX(Assumptions!FL:FL,$B30))</f>
        <v>0</v>
      </c>
      <c r="EX30" s="906">
        <f>IF(OR($B30=0,$A30=0,$H30&lt;&gt;1),"",INDEX(Assumptions!FM:FM,$B30))</f>
        <v>0</v>
      </c>
      <c r="EY30" s="906">
        <f>IF(OR($B30=0,$A30=0,$H30&lt;&gt;1),"",INDEX(Assumptions!FN:FN,$B30))</f>
        <v>0</v>
      </c>
      <c r="EZ30" s="906">
        <f>IF(OR($B30=0,$A30=0,$H30&lt;&gt;1),"",INDEX(Assumptions!FO:FO,$B30))</f>
        <v>0</v>
      </c>
      <c r="FB30" s="820" t="str">
        <f t="shared" si="18"/>
        <v/>
      </c>
      <c r="FC30" s="820" t="str">
        <f t="shared" si="19"/>
        <v/>
      </c>
      <c r="FD30" s="820" t="str">
        <f t="shared" si="20"/>
        <v/>
      </c>
      <c r="FE30" s="820" t="str">
        <f t="shared" si="21"/>
        <v/>
      </c>
      <c r="FF30" s="820" t="str">
        <f t="shared" si="22"/>
        <v/>
      </c>
    </row>
    <row r="31" spans="1:162">
      <c r="A31" s="440">
        <f>IFERROR(MATCH(C31,'Data Interface'!B:B,0),0)</f>
        <v>31</v>
      </c>
      <c r="B31" s="440">
        <f>IFERROR(MATCH(C31,Assumptions!$B:$B,0),0)</f>
        <v>38</v>
      </c>
      <c r="C31" s="441" t="s">
        <v>1161</v>
      </c>
      <c r="E31" s="441" t="s">
        <v>1219</v>
      </c>
      <c r="F31" s="440" t="s">
        <v>34</v>
      </c>
      <c r="G31" s="440" t="str">
        <f>IF(A31=0,"",INDEX('Data Interface'!$C:$C,$A31))</f>
        <v>Due to Affiliate - Demand - US</v>
      </c>
      <c r="H31" s="440">
        <v>0</v>
      </c>
      <c r="I31" s="819">
        <f t="shared" ca="1" si="10"/>
        <v>0.12</v>
      </c>
      <c r="J31" s="819">
        <f t="shared" ca="1" si="11"/>
        <v>0.15000000000000002</v>
      </c>
      <c r="K31" s="439" t="str">
        <f t="shared" ca="1" si="12"/>
        <v>12% of Current Balance</v>
      </c>
      <c r="L31" s="439" t="s">
        <v>1149</v>
      </c>
      <c r="M31" s="439" t="s">
        <v>1528</v>
      </c>
      <c r="O31" s="442">
        <f>IF(OR($A31="",$A31=0),0,INDEX('Data Interface'!D:D,$A31))</f>
        <v>8.3589006299999991</v>
      </c>
      <c r="P31" s="442">
        <f ca="1">$O31-SUM($AS31:AS31)</f>
        <v>8.0245446047999991</v>
      </c>
      <c r="Q31" s="442">
        <f ca="1">$O31-SUM($AS31:AT31)</f>
        <v>7.9688186005999988</v>
      </c>
      <c r="R31" s="442">
        <f ca="1">$O31-SUM($AS31:AU31)</f>
        <v>7.9130925963999994</v>
      </c>
      <c r="S31" s="442">
        <f ca="1">$O31-SUM($AS31:AV31)</f>
        <v>7.8573665921999991</v>
      </c>
      <c r="T31" s="442">
        <f ca="1">$O31-SUM($AS31:AW31)</f>
        <v>7.8016405879999988</v>
      </c>
      <c r="U31" s="442">
        <f ca="1">$O31-SUM($AS31:AX31)</f>
        <v>7.7459145837999994</v>
      </c>
      <c r="V31" s="442">
        <f ca="1">$O31-SUM($AS31:AY31)</f>
        <v>7.6901885795999991</v>
      </c>
      <c r="W31" s="442">
        <f ca="1">$O31-SUM($AS31:AZ31)</f>
        <v>7.6424234331428567</v>
      </c>
      <c r="X31" s="442">
        <f ca="1">$O31-SUM($AS31:BA31)</f>
        <v>7.5946582866857133</v>
      </c>
      <c r="Y31" s="442">
        <f ca="1">$O31-SUM($AS31:BB31)</f>
        <v>7.5468931402285708</v>
      </c>
      <c r="Z31" s="442">
        <f ca="1">$O31-SUM($AS31:BC31)</f>
        <v>7.4991279937714284</v>
      </c>
      <c r="AA31" s="442">
        <f ca="1">$O31-SUM($AS31:BD31)</f>
        <v>7.451362847314285</v>
      </c>
      <c r="AB31" s="442">
        <f ca="1">$O31-SUM($AS31:BE31)</f>
        <v>7.4035977008571425</v>
      </c>
      <c r="AC31" s="442">
        <f ca="1">$O31-SUM($AS31:BF31)</f>
        <v>7.3558325543999992</v>
      </c>
      <c r="AD31" s="442">
        <f ca="1">$O31-SUM($AS31:BG31)</f>
        <v>7.2304490449499994</v>
      </c>
      <c r="AE31" s="442">
        <f ca="1">$O31-SUM($AS31:BH31)</f>
        <v>7.1050655354999996</v>
      </c>
      <c r="AF31" s="442">
        <f ca="1">$O31-SUM($AS31:BI31)</f>
        <v>6.9796820260499999</v>
      </c>
      <c r="AG31" s="442">
        <f ca="1">$O31-SUM($AS31:BJ31)</f>
        <v>6.8542985166000001</v>
      </c>
      <c r="AH31" s="442">
        <f ca="1">$O31-SUM($AS31:BK31)</f>
        <v>6.8125040134499999</v>
      </c>
      <c r="AI31" s="442">
        <f ca="1">$O31-SUM($AS31:BL31)</f>
        <v>6.7707095102999997</v>
      </c>
      <c r="AJ31" s="442">
        <f ca="1">$O31-SUM($AS31:BM31)</f>
        <v>6.7289150071499995</v>
      </c>
      <c r="AK31" s="442">
        <f ca="1">$O31-SUM($AS31:BN31)</f>
        <v>6.6871205039999992</v>
      </c>
      <c r="AL31" s="442">
        <f ca="1">$O31-SUM($AS31:BO31)</f>
        <v>6.6453260008499999</v>
      </c>
      <c r="AM31" s="442">
        <f ca="1">$O31-SUM($AS31:BP31)</f>
        <v>6.6035314976999997</v>
      </c>
      <c r="AN31" s="442">
        <f ca="1">$O31-SUM($AS31:BQ31)</f>
        <v>6.5617369945499995</v>
      </c>
      <c r="AO31" s="442">
        <f ca="1">$O31-SUM($AS31:BR31)</f>
        <v>6.5199424914000002</v>
      </c>
      <c r="AP31" s="442">
        <f ca="1">$O31-SUM($AS31:BS31)</f>
        <v>6.4781479882499999</v>
      </c>
      <c r="AR31" s="439" t="s">
        <v>1202</v>
      </c>
      <c r="AS31" s="442">
        <f ca="1">IF($H31="",0,IF($H31=1,IF('Para Adj'!$B$5 = 1,O31-($O31-SUMPRODUCT($CX31:CX31,$BU31:BU31))*(1-SUM($DZ31:DZ31)),BU31*CX31),$O31*BU31))</f>
        <v>0.33435602519999991</v>
      </c>
      <c r="AT31" s="442">
        <f ca="1">IF($H31="",0,IF($H31=1,IF('Para Adj'!$B$5 = 1,P31-($O31-SUMPRODUCT($CX31:CY31,$BU31:BV31))*(1-SUM($DZ31:EA31)),BV31*CY31),$O31*BV31))</f>
        <v>5.5726004199999991E-2</v>
      </c>
      <c r="AU31" s="442">
        <f ca="1">IF($H31="",0,IF($H31=1,IF('Para Adj'!$B$5 = 1,Q31-($O31-SUMPRODUCT($CX31:CZ31,$BU31:BW31))*(1-SUM($DZ31:EB31)),BW31*CZ31),$O31*BW31))</f>
        <v>5.5726004199999991E-2</v>
      </c>
      <c r="AV31" s="442">
        <f ca="1">IF($H31="",0,IF($H31=1,IF('Para Adj'!$B$5 = 1,R31-($O31-SUMPRODUCT($CX31:DA31,$BU31:BX31))*(1-SUM($DZ31:EC31)),BX31*DA31),$O31*BX31))</f>
        <v>5.5726004199999991E-2</v>
      </c>
      <c r="AW31" s="442">
        <f ca="1">IF($H31="",0,IF($H31=1,IF('Para Adj'!$B$5 = 1,S31-($O31-SUMPRODUCT($CX31:DB31,$BU31:BY31))*(1-SUM($DZ31:ED31)),BY31*DB31),$O31*BY31))</f>
        <v>5.5726004199999991E-2</v>
      </c>
      <c r="AX31" s="442">
        <f ca="1">IF($H31="",0,IF($H31=1,IF('Para Adj'!$B$5 = 1,T31-($O31-SUMPRODUCT($CX31:DC31,$BU31:BZ31))*(1-SUM($DZ31:EE31)),BZ31*DC31),$O31*BZ31))</f>
        <v>5.5726004199999991E-2</v>
      </c>
      <c r="AY31" s="442">
        <f ca="1">IF($H31="",0,IF($H31=1,IF('Para Adj'!$B$5 = 1,U31-($O31-SUMPRODUCT($CX31:DD31,$BU31:CA31))*(1-SUM($DZ31:EF31)),CA31*DD31),$O31*CA31))</f>
        <v>5.5726004199999991E-2</v>
      </c>
      <c r="AZ31" s="442">
        <f ca="1">IF($H31="",0,IF($H31=1,IF('Para Adj'!$B$5 = 1,V31-($O31-SUMPRODUCT($CX31:DE31,$BU31:CB31))*(1-SUM($DZ31:EG31)),CB31*DE31),$O31*CB31))</f>
        <v>4.7765146457142853E-2</v>
      </c>
      <c r="BA31" s="442">
        <f ca="1">IF($H31="",0,IF($H31=1,IF('Para Adj'!$B$5 = 1,W31-($O31-SUMPRODUCT($CX31:DF31,$BU31:CC31))*(1-SUM($DZ31:EH31)),CC31*DF31),$O31*CC31))</f>
        <v>4.7765146457142853E-2</v>
      </c>
      <c r="BB31" s="442">
        <f ca="1">IF($H31="",0,IF($H31=1,IF('Para Adj'!$B$5 = 1,X31-($O31-SUMPRODUCT($CX31:DG31,$BU31:CD31))*(1-SUM($DZ31:EI31)),CD31*DG31),$O31*CD31))</f>
        <v>4.7765146457142853E-2</v>
      </c>
      <c r="BC31" s="442">
        <f ca="1">IF($H31="",0,IF($H31=1,IF('Para Adj'!$B$5 = 1,Y31-($O31-SUMPRODUCT($CX31:DH31,$BU31:CE31))*(1-SUM($DZ31:EJ31)),CE31*DH31),$O31*CE31))</f>
        <v>4.7765146457142853E-2</v>
      </c>
      <c r="BD31" s="442">
        <f ca="1">IF($H31="",0,IF($H31=1,IF('Para Adj'!$B$5 = 1,Z31-($O31-SUMPRODUCT($CX31:DI31,$BU31:CF31))*(1-SUM($DZ31:EK31)),CF31*DI31),$O31*CF31))</f>
        <v>4.7765146457142853E-2</v>
      </c>
      <c r="BE31" s="442">
        <f ca="1">IF($H31="",0,IF($H31=1,IF('Para Adj'!$B$5 = 1,AA31-($O31-SUMPRODUCT($CX31:DJ31,$BU31:CG31))*(1-SUM($DZ31:EL31)),CG31*DJ31),$O31*CG31))</f>
        <v>4.7765146457142853E-2</v>
      </c>
      <c r="BF31" s="442">
        <f ca="1">IF($H31="",0,IF($H31=1,IF('Para Adj'!$B$5 = 1,AB31-($O31-SUMPRODUCT($CX31:DK31,$BU31:CH31))*(1-SUM($DZ31:EM31)),CH31*DK31),$O31*CH31))</f>
        <v>4.7765146457142853E-2</v>
      </c>
      <c r="BG31" s="442">
        <f ca="1">IF($H31="",0,IF($H31=1,IF('Para Adj'!$B$5 = 1,AC31-($O31-SUMPRODUCT($CX31:DL31,$BU31:CI31))*(1-SUM($DZ31:EN31)),CI31*DL31),$O31*CI31))</f>
        <v>0.12538350944999999</v>
      </c>
      <c r="BH31" s="442">
        <f ca="1">IF($H31="",0,IF($H31=1,IF('Para Adj'!$B$5 = 1,AD31-($O31-SUMPRODUCT($CX31:DM31,$BU31:CJ31))*(1-SUM($DZ31:EO31)),CJ31*DM31),$O31*CJ31))</f>
        <v>0.12538350944999999</v>
      </c>
      <c r="BI31" s="442">
        <f ca="1">IF($H31="",0,IF($H31=1,IF('Para Adj'!$B$5 = 1,AE31-($O31-SUMPRODUCT($CX31:DN31,$BU31:CK31))*(1-SUM($DZ31:EP31)),CK31*DN31),$O31*CK31))</f>
        <v>0.12538350944999999</v>
      </c>
      <c r="BJ31" s="442">
        <f ca="1">IF($H31="",0,IF($H31=1,IF('Para Adj'!$B$5 = 1,AF31-($O31-SUMPRODUCT($CX31:DO31,$BU31:CL31))*(1-SUM($DZ31:EQ31)),CL31*DO31),$O31*CL31))</f>
        <v>0.12538350944999999</v>
      </c>
      <c r="BK31" s="442">
        <f ca="1">IF($H31="",0,IF($H31=1,IF('Para Adj'!$B$5 = 1,AG31-($O31-SUMPRODUCT($CX31:DP31,$BU31:CM31))*(1-SUM($DZ31:ER31)),CM31*DP31),$O31*CM31))</f>
        <v>4.1794503149999981E-2</v>
      </c>
      <c r="BL31" s="442">
        <f ca="1">IF($H31="",0,IF($H31=1,IF('Para Adj'!$B$5 = 1,AH31-($O31-SUMPRODUCT($CX31:DQ31,$BU31:CN31))*(1-SUM($DZ31:ES31)),CN31*DQ31),$O31*CN31))</f>
        <v>4.1794503149999981E-2</v>
      </c>
      <c r="BM31" s="442">
        <f ca="1">IF($H31="",0,IF($H31=1,IF('Para Adj'!$B$5 = 1,AI31-($O31-SUMPRODUCT($CX31:DR31,$BU31:CO31))*(1-SUM($DZ31:ET31)),CO31*DR31),$O31*CO31))</f>
        <v>4.1794503149999981E-2</v>
      </c>
      <c r="BN31" s="442">
        <f ca="1">IF($H31="",0,IF($H31=1,IF('Para Adj'!$B$5 = 1,AJ31-($O31-SUMPRODUCT($CX31:DS31,$BU31:CP31))*(1-SUM($DZ31:EU31)),CP31*DS31),$O31*CP31))</f>
        <v>4.1794503149999981E-2</v>
      </c>
      <c r="BO31" s="442">
        <f ca="1">IF($H31="",0,IF($H31=1,IF('Para Adj'!$B$5 = 1,AK31-($O31-SUMPRODUCT($CX31:DT31,$BU31:CQ31))*(1-SUM($DZ31:EV31)),CQ31*DT31),$O31*CQ31))</f>
        <v>4.1794503149999981E-2</v>
      </c>
      <c r="BP31" s="442">
        <f ca="1">IF($H31="",0,IF($H31=1,IF('Para Adj'!$B$5 = 1,AL31-($O31-SUMPRODUCT($CX31:DU31,$BU31:CR31))*(1-SUM($DZ31:EW31)),CR31*DU31),$O31*CR31))</f>
        <v>4.1794503149999981E-2</v>
      </c>
      <c r="BQ31" s="442">
        <f ca="1">IF($H31="",0,IF($H31=1,IF('Para Adj'!$B$5 = 1,AM31-($O31-SUMPRODUCT($CX31:DV31,$BU31:CS31))*(1-SUM($DZ31:EX31)),CS31*DV31),$O31*CS31))</f>
        <v>4.1794503149999981E-2</v>
      </c>
      <c r="BR31" s="442">
        <f ca="1">IF($H31="",0,IF($H31=1,IF('Para Adj'!$B$5 = 1,AN31-($O31-SUMPRODUCT($CX31:DW31,$BU31:CT31))*(1-SUM($DZ31:EY31)),CT31*DW31),$O31*CT31))</f>
        <v>4.1794503149999981E-2</v>
      </c>
      <c r="BS31" s="442">
        <f ca="1">IF($H31="",0,IF($H31=1,IF('Para Adj'!$B$5 = 1,AO31-($O31-SUMPRODUCT($CX31:DX31,$BU31:CU31))*(1-SUM($DZ31:EZ31)),CU31*DX31),$O31*CU31))</f>
        <v>4.1794503149999981E-2</v>
      </c>
      <c r="BU31" s="820">
        <f ca="1">IF($B31=0,"",INDEX(Assumptions!G:G,$B31))</f>
        <v>3.9999999999999994E-2</v>
      </c>
      <c r="BV31" s="820">
        <f ca="1">IF($B31=0,"",INDEX(Assumptions!H:H,$B31))</f>
        <v>6.6666666666666662E-3</v>
      </c>
      <c r="BW31" s="820">
        <f ca="1">IF($B31=0,"",INDEX(Assumptions!I:I,$B31))</f>
        <v>6.6666666666666662E-3</v>
      </c>
      <c r="BX31" s="820">
        <f ca="1">IF($B31=0,"",INDEX(Assumptions!J:J,$B31))</f>
        <v>6.6666666666666662E-3</v>
      </c>
      <c r="BY31" s="820">
        <f ca="1">IF($B31=0,"",INDEX(Assumptions!K:K,$B31))</f>
        <v>6.6666666666666662E-3</v>
      </c>
      <c r="BZ31" s="820">
        <f ca="1">IF($B31=0,"",INDEX(Assumptions!L:L,$B31))</f>
        <v>6.6666666666666662E-3</v>
      </c>
      <c r="CA31" s="820">
        <f ca="1">IF($B31=0,"",INDEX(Assumptions!M:M,$B31))</f>
        <v>6.6666666666666662E-3</v>
      </c>
      <c r="CB31" s="820">
        <f ca="1">IF($B31=0,"",INDEX(Assumptions!N:N,$B31))</f>
        <v>5.7142857142857143E-3</v>
      </c>
      <c r="CC31" s="820">
        <f ca="1">IF($B31=0,"",INDEX(Assumptions!O:O,$B31))</f>
        <v>5.7142857142857143E-3</v>
      </c>
      <c r="CD31" s="820">
        <f ca="1">IF($B31=0,"",INDEX(Assumptions!P:P,$B31))</f>
        <v>5.7142857142857143E-3</v>
      </c>
      <c r="CE31" s="820">
        <f ca="1">IF($B31=0,"",INDEX(Assumptions!Q:Q,$B31))</f>
        <v>5.7142857142857143E-3</v>
      </c>
      <c r="CF31" s="820">
        <f ca="1">IF($B31=0,"",INDEX(Assumptions!R:R,$B31))</f>
        <v>5.7142857142857143E-3</v>
      </c>
      <c r="CG31" s="820">
        <f ca="1">IF($B31=0,"",INDEX(Assumptions!S:S,$B31))</f>
        <v>5.7142857142857143E-3</v>
      </c>
      <c r="CH31" s="820">
        <f ca="1">IF($B31=0,"",INDEX(Assumptions!T:T,$B31))</f>
        <v>5.7142857142857143E-3</v>
      </c>
      <c r="CI31" s="820">
        <f ca="1">IF($B31=0,"",INDEX(Assumptions!U:U,$B31))</f>
        <v>1.4999999999999999E-2</v>
      </c>
      <c r="CJ31" s="820">
        <f ca="1">IF($B31=0,"",INDEX(Assumptions!V:V,$B31))</f>
        <v>1.4999999999999999E-2</v>
      </c>
      <c r="CK31" s="820">
        <f ca="1">IF($B31=0,"",INDEX(Assumptions!W:W,$B31))</f>
        <v>1.4999999999999999E-2</v>
      </c>
      <c r="CL31" s="820">
        <f ca="1">IF($B31=0,"",INDEX(Assumptions!X:X,$B31))</f>
        <v>1.4999999999999999E-2</v>
      </c>
      <c r="CM31" s="820">
        <f ca="1">IF($B31=0,"",INDEX(Assumptions!Y:Y,$B31))</f>
        <v>4.9999999999999984E-3</v>
      </c>
      <c r="CN31" s="820">
        <f ca="1">IF($B31=0,"",INDEX(Assumptions!Z:Z,$B31))</f>
        <v>4.9999999999999984E-3</v>
      </c>
      <c r="CO31" s="820">
        <f ca="1">IF($B31=0,"",INDEX(Assumptions!AA:AA,$B31))</f>
        <v>4.9999999999999984E-3</v>
      </c>
      <c r="CP31" s="820">
        <f ca="1">IF($B31=0,"",INDEX(Assumptions!AB:AB,$B31))</f>
        <v>4.9999999999999984E-3</v>
      </c>
      <c r="CQ31" s="820">
        <f ca="1">IF($B31=0,"",INDEX(Assumptions!AC:AC,$B31))</f>
        <v>4.9999999999999984E-3</v>
      </c>
      <c r="CR31" s="820">
        <f ca="1">IF($B31=0,"",INDEX(Assumptions!AD:AD,$B31))</f>
        <v>4.9999999999999984E-3</v>
      </c>
      <c r="CS31" s="820">
        <f ca="1">IF($B31=0,"",INDEX(Assumptions!AE:AE,$B31))</f>
        <v>4.9999999999999984E-3</v>
      </c>
      <c r="CT31" s="820">
        <f ca="1">IF($B31=0,"",INDEX(Assumptions!AF:AF,$B31))</f>
        <v>4.9999999999999984E-3</v>
      </c>
      <c r="CU31" s="820">
        <f ca="1">IF($B31=0,"",INDEX(Assumptions!AG:AG,$B31))</f>
        <v>4.9999999999999984E-3</v>
      </c>
      <c r="CX31" s="442">
        <f>IF($A31="","",INDEX('Data Interface'!G:G,$A31))</f>
        <v>8.3589006299999991</v>
      </c>
      <c r="CY31" s="442">
        <f>IF($A31="","",INDEX('Data Interface'!H:H,$A31))</f>
        <v>0</v>
      </c>
      <c r="CZ31" s="442">
        <f>IF($A31="","",INDEX('Data Interface'!I:I,$A31))</f>
        <v>0</v>
      </c>
      <c r="DA31" s="442">
        <f>IF($A31="","",INDEX('Data Interface'!J:J,$A31))</f>
        <v>0</v>
      </c>
      <c r="DB31" s="442">
        <f>IF($A31="","",INDEX('Data Interface'!K:K,$A31))</f>
        <v>0</v>
      </c>
      <c r="DC31" s="442">
        <f>IF($A31="","",INDEX('Data Interface'!L:L,$A31))</f>
        <v>0</v>
      </c>
      <c r="DD31" s="442">
        <f>IF($A31="","",INDEX('Data Interface'!M:M,$A31))</f>
        <v>0</v>
      </c>
      <c r="DE31" s="442">
        <f>IF($A31="","",INDEX('Data Interface'!N:N,$A31))</f>
        <v>0</v>
      </c>
      <c r="DF31" s="442">
        <f>IF($A31="","",INDEX('Data Interface'!O:O,$A31))</f>
        <v>0</v>
      </c>
      <c r="DG31" s="442">
        <f>IF($A31="","",INDEX('Data Interface'!P:P,$A31))</f>
        <v>0</v>
      </c>
      <c r="DH31" s="442">
        <f>IF($A31="","",INDEX('Data Interface'!Q:Q,$A31))</f>
        <v>0</v>
      </c>
      <c r="DI31" s="442">
        <f>IF($A31="","",INDEX('Data Interface'!R:R,$A31))</f>
        <v>0</v>
      </c>
      <c r="DJ31" s="442">
        <f>IF($A31="","",INDEX('Data Interface'!S:S,$A31))</f>
        <v>0</v>
      </c>
      <c r="DK31" s="442">
        <f>IF($A31="","",INDEX('Data Interface'!T:T,$A31))</f>
        <v>0</v>
      </c>
      <c r="DL31" s="442">
        <f>IF($A31="","",INDEX('Data Interface'!U:U,$A31))</f>
        <v>0</v>
      </c>
      <c r="DM31" s="442">
        <f>IF($A31="","",INDEX('Data Interface'!V:V,$A31))</f>
        <v>0</v>
      </c>
      <c r="DN31" s="442">
        <f>IF($A31="","",INDEX('Data Interface'!W:W,$A31))</f>
        <v>0</v>
      </c>
      <c r="DO31" s="442">
        <f>IF($A31="","",INDEX('Data Interface'!X:X,$A31))</f>
        <v>0</v>
      </c>
      <c r="DP31" s="442">
        <f>IF($A31="","",INDEX('Data Interface'!Y:Y,$A31))</f>
        <v>0</v>
      </c>
      <c r="DQ31" s="442">
        <f>IF($A31="","",INDEX('Data Interface'!Z:Z,$A31))</f>
        <v>0</v>
      </c>
      <c r="DR31" s="442">
        <f>IF($A31="","",INDEX('Data Interface'!AA:AA,$A31))</f>
        <v>0</v>
      </c>
      <c r="DS31" s="442">
        <f>IF($A31="","",INDEX('Data Interface'!AB:AB,$A31))</f>
        <v>0</v>
      </c>
      <c r="DT31" s="442">
        <f>IF($A31="","",INDEX('Data Interface'!AC:AC,$A31))</f>
        <v>0</v>
      </c>
      <c r="DU31" s="442">
        <f>IF($A31="","",INDEX('Data Interface'!AD:AD,$A31))</f>
        <v>0</v>
      </c>
      <c r="DV31" s="442">
        <f>IF($A31="","",INDEX('Data Interface'!AE:AE,$A31))</f>
        <v>0</v>
      </c>
      <c r="DW31" s="442">
        <f>IF($A31="","",INDEX('Data Interface'!AF:AF,$A31))</f>
        <v>0</v>
      </c>
      <c r="DX31" s="442">
        <f>IF($A31="","",INDEX('Data Interface'!AG:AG,$A31))</f>
        <v>0</v>
      </c>
      <c r="DZ31" s="906" t="str">
        <f>IF(OR($B31=0,$A31=0,$H31&lt;&gt;1),"",INDEX(Assumptions!EO:EO,$B31))</f>
        <v/>
      </c>
      <c r="EA31" s="906" t="str">
        <f>IF(OR($B31=0,$A31=0,$H31&lt;&gt;1),"",INDEX(Assumptions!EP:EP,$B31))</f>
        <v/>
      </c>
      <c r="EB31" s="906" t="str">
        <f>IF(OR($B31=0,$A31=0,$H31&lt;&gt;1),"",INDEX(Assumptions!EQ:EQ,$B31))</f>
        <v/>
      </c>
      <c r="EC31" s="906" t="str">
        <f>IF(OR($B31=0,$A31=0,$H31&lt;&gt;1),"",INDEX(Assumptions!ER:ER,$B31))</f>
        <v/>
      </c>
      <c r="ED31" s="906" t="str">
        <f>IF(OR($B31=0,$A31=0,$H31&lt;&gt;1),"",INDEX(Assumptions!ES:ES,$B31))</f>
        <v/>
      </c>
      <c r="EE31" s="906" t="str">
        <f>IF(OR($B31=0,$A31=0,$H31&lt;&gt;1),"",INDEX(Assumptions!ET:ET,$B31))</f>
        <v/>
      </c>
      <c r="EF31" s="906" t="str">
        <f>IF(OR($B31=0,$A31=0,$H31&lt;&gt;1),"",INDEX(Assumptions!EU:EU,$B31))</f>
        <v/>
      </c>
      <c r="EG31" s="906" t="str">
        <f>IF(OR($B31=0,$A31=0,$H31&lt;&gt;1),"",INDEX(Assumptions!EV:EV,$B31))</f>
        <v/>
      </c>
      <c r="EH31" s="906" t="str">
        <f>IF(OR($B31=0,$A31=0,$H31&lt;&gt;1),"",INDEX(Assumptions!EW:EW,$B31))</f>
        <v/>
      </c>
      <c r="EI31" s="906" t="str">
        <f>IF(OR($B31=0,$A31=0,$H31&lt;&gt;1),"",INDEX(Assumptions!EX:EX,$B31))</f>
        <v/>
      </c>
      <c r="EJ31" s="906" t="str">
        <f>IF(OR($B31=0,$A31=0,$H31&lt;&gt;1),"",INDEX(Assumptions!EY:EY,$B31))</f>
        <v/>
      </c>
      <c r="EK31" s="906" t="str">
        <f>IF(OR($B31=0,$A31=0,$H31&lt;&gt;1),"",INDEX(Assumptions!EZ:EZ,$B31))</f>
        <v/>
      </c>
      <c r="EL31" s="906" t="str">
        <f>IF(OR($B31=0,$A31=0,$H31&lt;&gt;1),"",INDEX(Assumptions!FA:FA,$B31))</f>
        <v/>
      </c>
      <c r="EM31" s="906" t="str">
        <f>IF(OR($B31=0,$A31=0,$H31&lt;&gt;1),"",INDEX(Assumptions!FB:FB,$B31))</f>
        <v/>
      </c>
      <c r="EN31" s="906" t="str">
        <f>IF(OR($B31=0,$A31=0,$H31&lt;&gt;1),"",INDEX(Assumptions!FC:FC,$B31))</f>
        <v/>
      </c>
      <c r="EO31" s="906" t="str">
        <f>IF(OR($B31=0,$A31=0,$H31&lt;&gt;1),"",INDEX(Assumptions!FD:FD,$B31))</f>
        <v/>
      </c>
      <c r="EP31" s="906" t="str">
        <f>IF(OR($B31=0,$A31=0,$H31&lt;&gt;1),"",INDEX(Assumptions!FE:FE,$B31))</f>
        <v/>
      </c>
      <c r="EQ31" s="906" t="str">
        <f>IF(OR($B31=0,$A31=0,$H31&lt;&gt;1),"",INDEX(Assumptions!FF:FF,$B31))</f>
        <v/>
      </c>
      <c r="ER31" s="906" t="str">
        <f>IF(OR($B31=0,$A31=0,$H31&lt;&gt;1),"",INDEX(Assumptions!FG:FG,$B31))</f>
        <v/>
      </c>
      <c r="ES31" s="906" t="str">
        <f>IF(OR($B31=0,$A31=0,$H31&lt;&gt;1),"",INDEX(Assumptions!FH:FH,$B31))</f>
        <v/>
      </c>
      <c r="ET31" s="906" t="str">
        <f>IF(OR($B31=0,$A31=0,$H31&lt;&gt;1),"",INDEX(Assumptions!FI:FI,$B31))</f>
        <v/>
      </c>
      <c r="EU31" s="906" t="str">
        <f>IF(OR($B31=0,$A31=0,$H31&lt;&gt;1),"",INDEX(Assumptions!FJ:FJ,$B31))</f>
        <v/>
      </c>
      <c r="EV31" s="906" t="str">
        <f>IF(OR($B31=0,$A31=0,$H31&lt;&gt;1),"",INDEX(Assumptions!FK:FK,$B31))</f>
        <v/>
      </c>
      <c r="EW31" s="906" t="str">
        <f>IF(OR($B31=0,$A31=0,$H31&lt;&gt;1),"",INDEX(Assumptions!FL:FL,$B31))</f>
        <v/>
      </c>
      <c r="EX31" s="906" t="str">
        <f>IF(OR($B31=0,$A31=0,$H31&lt;&gt;1),"",INDEX(Assumptions!FM:FM,$B31))</f>
        <v/>
      </c>
      <c r="EY31" s="906" t="str">
        <f>IF(OR($B31=0,$A31=0,$H31&lt;&gt;1),"",INDEX(Assumptions!FN:FN,$B31))</f>
        <v/>
      </c>
      <c r="EZ31" s="906" t="str">
        <f>IF(OR($B31=0,$A31=0,$H31&lt;&gt;1),"",INDEX(Assumptions!FO:FO,$B31))</f>
        <v/>
      </c>
      <c r="FB31" s="820" t="str">
        <f t="shared" si="18"/>
        <v/>
      </c>
      <c r="FC31" s="820" t="str">
        <f t="shared" si="19"/>
        <v/>
      </c>
      <c r="FD31" s="820" t="str">
        <f t="shared" si="20"/>
        <v/>
      </c>
      <c r="FE31" s="820" t="str">
        <f t="shared" si="21"/>
        <v/>
      </c>
      <c r="FF31" s="820" t="str">
        <f t="shared" si="22"/>
        <v/>
      </c>
    </row>
    <row r="32" spans="1:162">
      <c r="A32" s="440">
        <f>IFERROR(MATCH(C32,'Data Interface'!B:B,0),0)</f>
        <v>32</v>
      </c>
      <c r="B32" s="440">
        <f>IFERROR(MATCH(C32,Assumptions!$B:$B,0),0)</f>
        <v>39</v>
      </c>
      <c r="C32" s="441" t="s">
        <v>1162</v>
      </c>
      <c r="E32" s="441" t="s">
        <v>1219</v>
      </c>
      <c r="F32" s="440" t="s">
        <v>34</v>
      </c>
      <c r="G32" s="440" t="str">
        <f>IF(A32=0,"",INDEX('Data Interface'!$C:$C,$A32))</f>
        <v>Due to Affiliate - Demand - Non-US</v>
      </c>
      <c r="H32" s="440">
        <v>0</v>
      </c>
      <c r="I32" s="819">
        <f t="shared" ca="1" si="10"/>
        <v>0.12</v>
      </c>
      <c r="J32" s="819">
        <f t="shared" ca="1" si="11"/>
        <v>0.15000000000000002</v>
      </c>
      <c r="K32" s="439" t="str">
        <f t="shared" ca="1" si="12"/>
        <v>12% of Current Balance</v>
      </c>
      <c r="L32" s="439" t="s">
        <v>1149</v>
      </c>
      <c r="M32" s="439" t="s">
        <v>1528</v>
      </c>
      <c r="O32" s="442">
        <f>IF(OR($A32="",$A32=0),0,INDEX('Data Interface'!D:D,$A32))</f>
        <v>9.7052584900000003</v>
      </c>
      <c r="P32" s="442">
        <f ca="1">$O32-SUM($AS32:AS32)</f>
        <v>9.3170481503999998</v>
      </c>
      <c r="Q32" s="442">
        <f ca="1">$O32-SUM($AS32:AT32)</f>
        <v>9.2523464271333342</v>
      </c>
      <c r="R32" s="442">
        <f ca="1">$O32-SUM($AS32:AU32)</f>
        <v>9.1876447038666669</v>
      </c>
      <c r="S32" s="442">
        <f ca="1">$O32-SUM($AS32:AV32)</f>
        <v>9.1229429805999995</v>
      </c>
      <c r="T32" s="442">
        <f ca="1">$O32-SUM($AS32:AW32)</f>
        <v>9.058241257333334</v>
      </c>
      <c r="U32" s="442">
        <f ca="1">$O32-SUM($AS32:AX32)</f>
        <v>8.9935395340666666</v>
      </c>
      <c r="V32" s="442">
        <f ca="1">$O32-SUM($AS32:AY32)</f>
        <v>8.9288378108000011</v>
      </c>
      <c r="W32" s="442">
        <f ca="1">$O32-SUM($AS32:AZ32)</f>
        <v>8.8733791908571433</v>
      </c>
      <c r="X32" s="442">
        <f ca="1">$O32-SUM($AS32:BA32)</f>
        <v>8.8179205709142856</v>
      </c>
      <c r="Y32" s="442">
        <f ca="1">$O32-SUM($AS32:BB32)</f>
        <v>8.7624619509714279</v>
      </c>
      <c r="Z32" s="442">
        <f ca="1">$O32-SUM($AS32:BC32)</f>
        <v>8.7070033310285719</v>
      </c>
      <c r="AA32" s="442">
        <f ca="1">$O32-SUM($AS32:BD32)</f>
        <v>8.6515447110857142</v>
      </c>
      <c r="AB32" s="442">
        <f ca="1">$O32-SUM($AS32:BE32)</f>
        <v>8.5960860911428583</v>
      </c>
      <c r="AC32" s="442">
        <f ca="1">$O32-SUM($AS32:BF32)</f>
        <v>8.5406274712000005</v>
      </c>
      <c r="AD32" s="442">
        <f ca="1">$O32-SUM($AS32:BG32)</f>
        <v>8.3950485938499995</v>
      </c>
      <c r="AE32" s="442">
        <f ca="1">$O32-SUM($AS32:BH32)</f>
        <v>8.2494697165000002</v>
      </c>
      <c r="AF32" s="442">
        <f ca="1">$O32-SUM($AS32:BI32)</f>
        <v>8.1038908391500009</v>
      </c>
      <c r="AG32" s="442">
        <f ca="1">$O32-SUM($AS32:BJ32)</f>
        <v>7.9583119618000007</v>
      </c>
      <c r="AH32" s="442">
        <f ca="1">$O32-SUM($AS32:BK32)</f>
        <v>7.9097856693500006</v>
      </c>
      <c r="AI32" s="442">
        <f ca="1">$O32-SUM($AS32:BL32)</f>
        <v>7.8612593769000005</v>
      </c>
      <c r="AJ32" s="442">
        <f ca="1">$O32-SUM($AS32:BM32)</f>
        <v>7.8127330844500005</v>
      </c>
      <c r="AK32" s="442">
        <f ca="1">$O32-SUM($AS32:BN32)</f>
        <v>7.7642067920000004</v>
      </c>
      <c r="AL32" s="442">
        <f ca="1">$O32-SUM($AS32:BO32)</f>
        <v>7.7156804995500003</v>
      </c>
      <c r="AM32" s="442">
        <f ca="1">$O32-SUM($AS32:BP32)</f>
        <v>7.6671542071000003</v>
      </c>
      <c r="AN32" s="442">
        <f ca="1">$O32-SUM($AS32:BQ32)</f>
        <v>7.6186279146500002</v>
      </c>
      <c r="AO32" s="442">
        <f ca="1">$O32-SUM($AS32:BR32)</f>
        <v>7.5701016222000002</v>
      </c>
      <c r="AP32" s="442">
        <f ca="1">$O32-SUM($AS32:BS32)</f>
        <v>7.5215753297500001</v>
      </c>
      <c r="AR32" s="439" t="s">
        <v>1202</v>
      </c>
      <c r="AS32" s="442">
        <f ca="1">IF($H32="",0,IF($H32=1,IF('Para Adj'!$B$5 = 1,O32-($O32-SUMPRODUCT($CX32:CX32,$BU32:BU32))*(1-SUM($DZ32:DZ32)),BU32*CX32),$O32*BU32))</f>
        <v>0.38821033959999995</v>
      </c>
      <c r="AT32" s="442">
        <f ca="1">IF($H32="",0,IF($H32=1,IF('Para Adj'!$B$5 = 1,P32-($O32-SUMPRODUCT($CX32:CY32,$BU32:BV32))*(1-SUM($DZ32:EA32)),BV32*CY32),$O32*BV32))</f>
        <v>6.4701723266666664E-2</v>
      </c>
      <c r="AU32" s="442">
        <f ca="1">IF($H32="",0,IF($H32=1,IF('Para Adj'!$B$5 = 1,Q32-($O32-SUMPRODUCT($CX32:CZ32,$BU32:BW32))*(1-SUM($DZ32:EB32)),BW32*CZ32),$O32*BW32))</f>
        <v>6.4701723266666664E-2</v>
      </c>
      <c r="AV32" s="442">
        <f ca="1">IF($H32="",0,IF($H32=1,IF('Para Adj'!$B$5 = 1,R32-($O32-SUMPRODUCT($CX32:DA32,$BU32:BX32))*(1-SUM($DZ32:EC32)),BX32*DA32),$O32*BX32))</f>
        <v>6.4701723266666664E-2</v>
      </c>
      <c r="AW32" s="442">
        <f ca="1">IF($H32="",0,IF($H32=1,IF('Para Adj'!$B$5 = 1,S32-($O32-SUMPRODUCT($CX32:DB32,$BU32:BY32))*(1-SUM($DZ32:ED32)),BY32*DB32),$O32*BY32))</f>
        <v>6.4701723266666664E-2</v>
      </c>
      <c r="AX32" s="442">
        <f ca="1">IF($H32="",0,IF($H32=1,IF('Para Adj'!$B$5 = 1,T32-($O32-SUMPRODUCT($CX32:DC32,$BU32:BZ32))*(1-SUM($DZ32:EE32)),BZ32*DC32),$O32*BZ32))</f>
        <v>6.4701723266666664E-2</v>
      </c>
      <c r="AY32" s="442">
        <f ca="1">IF($H32="",0,IF($H32=1,IF('Para Adj'!$B$5 = 1,U32-($O32-SUMPRODUCT($CX32:DD32,$BU32:CA32))*(1-SUM($DZ32:EF32)),CA32*DD32),$O32*CA32))</f>
        <v>6.4701723266666664E-2</v>
      </c>
      <c r="AZ32" s="442">
        <f ca="1">IF($H32="",0,IF($H32=1,IF('Para Adj'!$B$5 = 1,V32-($O32-SUMPRODUCT($CX32:DE32,$BU32:CB32))*(1-SUM($DZ32:EG32)),CB32*DE32),$O32*CB32))</f>
        <v>5.5458619942857147E-2</v>
      </c>
      <c r="BA32" s="442">
        <f ca="1">IF($H32="",0,IF($H32=1,IF('Para Adj'!$B$5 = 1,W32-($O32-SUMPRODUCT($CX32:DF32,$BU32:CC32))*(1-SUM($DZ32:EH32)),CC32*DF32),$O32*CC32))</f>
        <v>5.5458619942857147E-2</v>
      </c>
      <c r="BB32" s="442">
        <f ca="1">IF($H32="",0,IF($H32=1,IF('Para Adj'!$B$5 = 1,X32-($O32-SUMPRODUCT($CX32:DG32,$BU32:CD32))*(1-SUM($DZ32:EI32)),CD32*DG32),$O32*CD32))</f>
        <v>5.5458619942857147E-2</v>
      </c>
      <c r="BC32" s="442">
        <f ca="1">IF($H32="",0,IF($H32=1,IF('Para Adj'!$B$5 = 1,Y32-($O32-SUMPRODUCT($CX32:DH32,$BU32:CE32))*(1-SUM($DZ32:EJ32)),CE32*DH32),$O32*CE32))</f>
        <v>5.5458619942857147E-2</v>
      </c>
      <c r="BD32" s="442">
        <f ca="1">IF($H32="",0,IF($H32=1,IF('Para Adj'!$B$5 = 1,Z32-($O32-SUMPRODUCT($CX32:DI32,$BU32:CF32))*(1-SUM($DZ32:EK32)),CF32*DI32),$O32*CF32))</f>
        <v>5.5458619942857147E-2</v>
      </c>
      <c r="BE32" s="442">
        <f ca="1">IF($H32="",0,IF($H32=1,IF('Para Adj'!$B$5 = 1,AA32-($O32-SUMPRODUCT($CX32:DJ32,$BU32:CG32))*(1-SUM($DZ32:EL32)),CG32*DJ32),$O32*CG32))</f>
        <v>5.5458619942857147E-2</v>
      </c>
      <c r="BF32" s="442">
        <f ca="1">IF($H32="",0,IF($H32=1,IF('Para Adj'!$B$5 = 1,AB32-($O32-SUMPRODUCT($CX32:DK32,$BU32:CH32))*(1-SUM($DZ32:EM32)),CH32*DK32),$O32*CH32))</f>
        <v>5.5458619942857147E-2</v>
      </c>
      <c r="BG32" s="442">
        <f ca="1">IF($H32="",0,IF($H32=1,IF('Para Adj'!$B$5 = 1,AC32-($O32-SUMPRODUCT($CX32:DL32,$BU32:CI32))*(1-SUM($DZ32:EN32)),CI32*DL32),$O32*CI32))</f>
        <v>0.14557887735</v>
      </c>
      <c r="BH32" s="442">
        <f ca="1">IF($H32="",0,IF($H32=1,IF('Para Adj'!$B$5 = 1,AD32-($O32-SUMPRODUCT($CX32:DM32,$BU32:CJ32))*(1-SUM($DZ32:EO32)),CJ32*DM32),$O32*CJ32))</f>
        <v>0.14557887735</v>
      </c>
      <c r="BI32" s="442">
        <f ca="1">IF($H32="",0,IF($H32=1,IF('Para Adj'!$B$5 = 1,AE32-($O32-SUMPRODUCT($CX32:DN32,$BU32:CK32))*(1-SUM($DZ32:EP32)),CK32*DN32),$O32*CK32))</f>
        <v>0.14557887735</v>
      </c>
      <c r="BJ32" s="442">
        <f ca="1">IF($H32="",0,IF($H32=1,IF('Para Adj'!$B$5 = 1,AF32-($O32-SUMPRODUCT($CX32:DO32,$BU32:CL32))*(1-SUM($DZ32:EQ32)),CL32*DO32),$O32*CL32))</f>
        <v>0.14557887735</v>
      </c>
      <c r="BK32" s="442">
        <f ca="1">IF($H32="",0,IF($H32=1,IF('Para Adj'!$B$5 = 1,AG32-($O32-SUMPRODUCT($CX32:DP32,$BU32:CM32))*(1-SUM($DZ32:ER32)),CM32*DP32),$O32*CM32))</f>
        <v>4.8526292449999987E-2</v>
      </c>
      <c r="BL32" s="442">
        <f ca="1">IF($H32="",0,IF($H32=1,IF('Para Adj'!$B$5 = 1,AH32-($O32-SUMPRODUCT($CX32:DQ32,$BU32:CN32))*(1-SUM($DZ32:ES32)),CN32*DQ32),$O32*CN32))</f>
        <v>4.8526292449999987E-2</v>
      </c>
      <c r="BM32" s="442">
        <f ca="1">IF($H32="",0,IF($H32=1,IF('Para Adj'!$B$5 = 1,AI32-($O32-SUMPRODUCT($CX32:DR32,$BU32:CO32))*(1-SUM($DZ32:ET32)),CO32*DR32),$O32*CO32))</f>
        <v>4.8526292449999987E-2</v>
      </c>
      <c r="BN32" s="442">
        <f ca="1">IF($H32="",0,IF($H32=1,IF('Para Adj'!$B$5 = 1,AJ32-($O32-SUMPRODUCT($CX32:DS32,$BU32:CP32))*(1-SUM($DZ32:EU32)),CP32*DS32),$O32*CP32))</f>
        <v>4.8526292449999987E-2</v>
      </c>
      <c r="BO32" s="442">
        <f ca="1">IF($H32="",0,IF($H32=1,IF('Para Adj'!$B$5 = 1,AK32-($O32-SUMPRODUCT($CX32:DT32,$BU32:CQ32))*(1-SUM($DZ32:EV32)),CQ32*DT32),$O32*CQ32))</f>
        <v>4.8526292449999987E-2</v>
      </c>
      <c r="BP32" s="442">
        <f ca="1">IF($H32="",0,IF($H32=1,IF('Para Adj'!$B$5 = 1,AL32-($O32-SUMPRODUCT($CX32:DU32,$BU32:CR32))*(1-SUM($DZ32:EW32)),CR32*DU32),$O32*CR32))</f>
        <v>4.8526292449999987E-2</v>
      </c>
      <c r="BQ32" s="442">
        <f ca="1">IF($H32="",0,IF($H32=1,IF('Para Adj'!$B$5 = 1,AM32-($O32-SUMPRODUCT($CX32:DV32,$BU32:CS32))*(1-SUM($DZ32:EX32)),CS32*DV32),$O32*CS32))</f>
        <v>4.8526292449999987E-2</v>
      </c>
      <c r="BR32" s="442">
        <f ca="1">IF($H32="",0,IF($H32=1,IF('Para Adj'!$B$5 = 1,AN32-($O32-SUMPRODUCT($CX32:DW32,$BU32:CT32))*(1-SUM($DZ32:EY32)),CT32*DW32),$O32*CT32))</f>
        <v>4.8526292449999987E-2</v>
      </c>
      <c r="BS32" s="442">
        <f ca="1">IF($H32="",0,IF($H32=1,IF('Para Adj'!$B$5 = 1,AO32-($O32-SUMPRODUCT($CX32:DX32,$BU32:CU32))*(1-SUM($DZ32:EZ32)),CU32*DX32),$O32*CU32))</f>
        <v>4.8526292449999987E-2</v>
      </c>
      <c r="BU32" s="820">
        <f ca="1">IF($B32=0,"",INDEX(Assumptions!G:G,$B32))</f>
        <v>3.9999999999999994E-2</v>
      </c>
      <c r="BV32" s="820">
        <f ca="1">IF($B32=0,"",INDEX(Assumptions!H:H,$B32))</f>
        <v>6.6666666666666662E-3</v>
      </c>
      <c r="BW32" s="820">
        <f ca="1">IF($B32=0,"",INDEX(Assumptions!I:I,$B32))</f>
        <v>6.6666666666666662E-3</v>
      </c>
      <c r="BX32" s="820">
        <f ca="1">IF($B32=0,"",INDEX(Assumptions!J:J,$B32))</f>
        <v>6.6666666666666662E-3</v>
      </c>
      <c r="BY32" s="820">
        <f ca="1">IF($B32=0,"",INDEX(Assumptions!K:K,$B32))</f>
        <v>6.6666666666666662E-3</v>
      </c>
      <c r="BZ32" s="820">
        <f ca="1">IF($B32=0,"",INDEX(Assumptions!L:L,$B32))</f>
        <v>6.6666666666666662E-3</v>
      </c>
      <c r="CA32" s="820">
        <f ca="1">IF($B32=0,"",INDEX(Assumptions!M:M,$B32))</f>
        <v>6.6666666666666662E-3</v>
      </c>
      <c r="CB32" s="820">
        <f ca="1">IF($B32=0,"",INDEX(Assumptions!N:N,$B32))</f>
        <v>5.7142857142857143E-3</v>
      </c>
      <c r="CC32" s="820">
        <f ca="1">IF($B32=0,"",INDEX(Assumptions!O:O,$B32))</f>
        <v>5.7142857142857143E-3</v>
      </c>
      <c r="CD32" s="820">
        <f ca="1">IF($B32=0,"",INDEX(Assumptions!P:P,$B32))</f>
        <v>5.7142857142857143E-3</v>
      </c>
      <c r="CE32" s="820">
        <f ca="1">IF($B32=0,"",INDEX(Assumptions!Q:Q,$B32))</f>
        <v>5.7142857142857143E-3</v>
      </c>
      <c r="CF32" s="820">
        <f ca="1">IF($B32=0,"",INDEX(Assumptions!R:R,$B32))</f>
        <v>5.7142857142857143E-3</v>
      </c>
      <c r="CG32" s="820">
        <f ca="1">IF($B32=0,"",INDEX(Assumptions!S:S,$B32))</f>
        <v>5.7142857142857143E-3</v>
      </c>
      <c r="CH32" s="820">
        <f ca="1">IF($B32=0,"",INDEX(Assumptions!T:T,$B32))</f>
        <v>5.7142857142857143E-3</v>
      </c>
      <c r="CI32" s="820">
        <f ca="1">IF($B32=0,"",INDEX(Assumptions!U:U,$B32))</f>
        <v>1.4999999999999999E-2</v>
      </c>
      <c r="CJ32" s="820">
        <f ca="1">IF($B32=0,"",INDEX(Assumptions!V:V,$B32))</f>
        <v>1.4999999999999999E-2</v>
      </c>
      <c r="CK32" s="820">
        <f ca="1">IF($B32=0,"",INDEX(Assumptions!W:W,$B32))</f>
        <v>1.4999999999999999E-2</v>
      </c>
      <c r="CL32" s="820">
        <f ca="1">IF($B32=0,"",INDEX(Assumptions!X:X,$B32))</f>
        <v>1.4999999999999999E-2</v>
      </c>
      <c r="CM32" s="820">
        <f ca="1">IF($B32=0,"",INDEX(Assumptions!Y:Y,$B32))</f>
        <v>4.9999999999999984E-3</v>
      </c>
      <c r="CN32" s="820">
        <f ca="1">IF($B32=0,"",INDEX(Assumptions!Z:Z,$B32))</f>
        <v>4.9999999999999984E-3</v>
      </c>
      <c r="CO32" s="820">
        <f ca="1">IF($B32=0,"",INDEX(Assumptions!AA:AA,$B32))</f>
        <v>4.9999999999999984E-3</v>
      </c>
      <c r="CP32" s="820">
        <f ca="1">IF($B32=0,"",INDEX(Assumptions!AB:AB,$B32))</f>
        <v>4.9999999999999984E-3</v>
      </c>
      <c r="CQ32" s="820">
        <f ca="1">IF($B32=0,"",INDEX(Assumptions!AC:AC,$B32))</f>
        <v>4.9999999999999984E-3</v>
      </c>
      <c r="CR32" s="820">
        <f ca="1">IF($B32=0,"",INDEX(Assumptions!AD:AD,$B32))</f>
        <v>4.9999999999999984E-3</v>
      </c>
      <c r="CS32" s="820">
        <f ca="1">IF($B32=0,"",INDEX(Assumptions!AE:AE,$B32))</f>
        <v>4.9999999999999984E-3</v>
      </c>
      <c r="CT32" s="820">
        <f ca="1">IF($B32=0,"",INDEX(Assumptions!AF:AF,$B32))</f>
        <v>4.9999999999999984E-3</v>
      </c>
      <c r="CU32" s="820">
        <f ca="1">IF($B32=0,"",INDEX(Assumptions!AG:AG,$B32))</f>
        <v>4.9999999999999984E-3</v>
      </c>
      <c r="CX32" s="442">
        <f>IF($A32="","",INDEX('Data Interface'!G:G,$A32))</f>
        <v>9.7052584900000003</v>
      </c>
      <c r="CY32" s="442">
        <f>IF($A32="","",INDEX('Data Interface'!H:H,$A32))</f>
        <v>0</v>
      </c>
      <c r="CZ32" s="442">
        <f>IF($A32="","",INDEX('Data Interface'!I:I,$A32))</f>
        <v>0</v>
      </c>
      <c r="DA32" s="442">
        <f>IF($A32="","",INDEX('Data Interface'!J:J,$A32))</f>
        <v>0</v>
      </c>
      <c r="DB32" s="442">
        <f>IF($A32="","",INDEX('Data Interface'!K:K,$A32))</f>
        <v>0</v>
      </c>
      <c r="DC32" s="442">
        <f>IF($A32="","",INDEX('Data Interface'!L:L,$A32))</f>
        <v>0</v>
      </c>
      <c r="DD32" s="442">
        <f>IF($A32="","",INDEX('Data Interface'!M:M,$A32))</f>
        <v>0</v>
      </c>
      <c r="DE32" s="442">
        <f>IF($A32="","",INDEX('Data Interface'!N:N,$A32))</f>
        <v>0</v>
      </c>
      <c r="DF32" s="442">
        <f>IF($A32="","",INDEX('Data Interface'!O:O,$A32))</f>
        <v>0</v>
      </c>
      <c r="DG32" s="442">
        <f>IF($A32="","",INDEX('Data Interface'!P:P,$A32))</f>
        <v>0</v>
      </c>
      <c r="DH32" s="442">
        <f>IF($A32="","",INDEX('Data Interface'!Q:Q,$A32))</f>
        <v>0</v>
      </c>
      <c r="DI32" s="442">
        <f>IF($A32="","",INDEX('Data Interface'!R:R,$A32))</f>
        <v>0</v>
      </c>
      <c r="DJ32" s="442">
        <f>IF($A32="","",INDEX('Data Interface'!S:S,$A32))</f>
        <v>0</v>
      </c>
      <c r="DK32" s="442">
        <f>IF($A32="","",INDEX('Data Interface'!T:T,$A32))</f>
        <v>0</v>
      </c>
      <c r="DL32" s="442">
        <f>IF($A32="","",INDEX('Data Interface'!U:U,$A32))</f>
        <v>0</v>
      </c>
      <c r="DM32" s="442">
        <f>IF($A32="","",INDEX('Data Interface'!V:V,$A32))</f>
        <v>0</v>
      </c>
      <c r="DN32" s="442">
        <f>IF($A32="","",INDEX('Data Interface'!W:W,$A32))</f>
        <v>0</v>
      </c>
      <c r="DO32" s="442">
        <f>IF($A32="","",INDEX('Data Interface'!X:X,$A32))</f>
        <v>0</v>
      </c>
      <c r="DP32" s="442">
        <f>IF($A32="","",INDEX('Data Interface'!Y:Y,$A32))</f>
        <v>0</v>
      </c>
      <c r="DQ32" s="442">
        <f>IF($A32="","",INDEX('Data Interface'!Z:Z,$A32))</f>
        <v>0</v>
      </c>
      <c r="DR32" s="442">
        <f>IF($A32="","",INDEX('Data Interface'!AA:AA,$A32))</f>
        <v>0</v>
      </c>
      <c r="DS32" s="442">
        <f>IF($A32="","",INDEX('Data Interface'!AB:AB,$A32))</f>
        <v>0</v>
      </c>
      <c r="DT32" s="442">
        <f>IF($A32="","",INDEX('Data Interface'!AC:AC,$A32))</f>
        <v>0</v>
      </c>
      <c r="DU32" s="442">
        <f>IF($A32="","",INDEX('Data Interface'!AD:AD,$A32))</f>
        <v>0</v>
      </c>
      <c r="DV32" s="442">
        <f>IF($A32="","",INDEX('Data Interface'!AE:AE,$A32))</f>
        <v>0</v>
      </c>
      <c r="DW32" s="442">
        <f>IF($A32="","",INDEX('Data Interface'!AF:AF,$A32))</f>
        <v>0</v>
      </c>
      <c r="DX32" s="442">
        <f>IF($A32="","",INDEX('Data Interface'!AG:AG,$A32))</f>
        <v>0</v>
      </c>
      <c r="DZ32" s="906" t="str">
        <f>IF(OR($B32=0,$A32=0,$H32&lt;&gt;1),"",INDEX(Assumptions!EO:EO,$B32))</f>
        <v/>
      </c>
      <c r="EA32" s="906" t="str">
        <f>IF(OR($B32=0,$A32=0,$H32&lt;&gt;1),"",INDEX(Assumptions!EP:EP,$B32))</f>
        <v/>
      </c>
      <c r="EB32" s="906" t="str">
        <f>IF(OR($B32=0,$A32=0,$H32&lt;&gt;1),"",INDEX(Assumptions!EQ:EQ,$B32))</f>
        <v/>
      </c>
      <c r="EC32" s="906" t="str">
        <f>IF(OR($B32=0,$A32=0,$H32&lt;&gt;1),"",INDEX(Assumptions!ER:ER,$B32))</f>
        <v/>
      </c>
      <c r="ED32" s="906" t="str">
        <f>IF(OR($B32=0,$A32=0,$H32&lt;&gt;1),"",INDEX(Assumptions!ES:ES,$B32))</f>
        <v/>
      </c>
      <c r="EE32" s="906" t="str">
        <f>IF(OR($B32=0,$A32=0,$H32&lt;&gt;1),"",INDEX(Assumptions!ET:ET,$B32))</f>
        <v/>
      </c>
      <c r="EF32" s="906" t="str">
        <f>IF(OR($B32=0,$A32=0,$H32&lt;&gt;1),"",INDEX(Assumptions!EU:EU,$B32))</f>
        <v/>
      </c>
      <c r="EG32" s="906" t="str">
        <f>IF(OR($B32=0,$A32=0,$H32&lt;&gt;1),"",INDEX(Assumptions!EV:EV,$B32))</f>
        <v/>
      </c>
      <c r="EH32" s="906" t="str">
        <f>IF(OR($B32=0,$A32=0,$H32&lt;&gt;1),"",INDEX(Assumptions!EW:EW,$B32))</f>
        <v/>
      </c>
      <c r="EI32" s="906" t="str">
        <f>IF(OR($B32=0,$A32=0,$H32&lt;&gt;1),"",INDEX(Assumptions!EX:EX,$B32))</f>
        <v/>
      </c>
      <c r="EJ32" s="906" t="str">
        <f>IF(OR($B32=0,$A32=0,$H32&lt;&gt;1),"",INDEX(Assumptions!EY:EY,$B32))</f>
        <v/>
      </c>
      <c r="EK32" s="906" t="str">
        <f>IF(OR($B32=0,$A32=0,$H32&lt;&gt;1),"",INDEX(Assumptions!EZ:EZ,$B32))</f>
        <v/>
      </c>
      <c r="EL32" s="906" t="str">
        <f>IF(OR($B32=0,$A32=0,$H32&lt;&gt;1),"",INDEX(Assumptions!FA:FA,$B32))</f>
        <v/>
      </c>
      <c r="EM32" s="906" t="str">
        <f>IF(OR($B32=0,$A32=0,$H32&lt;&gt;1),"",INDEX(Assumptions!FB:FB,$B32))</f>
        <v/>
      </c>
      <c r="EN32" s="906" t="str">
        <f>IF(OR($B32=0,$A32=0,$H32&lt;&gt;1),"",INDEX(Assumptions!FC:FC,$B32))</f>
        <v/>
      </c>
      <c r="EO32" s="906" t="str">
        <f>IF(OR($B32=0,$A32=0,$H32&lt;&gt;1),"",INDEX(Assumptions!FD:FD,$B32))</f>
        <v/>
      </c>
      <c r="EP32" s="906" t="str">
        <f>IF(OR($B32=0,$A32=0,$H32&lt;&gt;1),"",INDEX(Assumptions!FE:FE,$B32))</f>
        <v/>
      </c>
      <c r="EQ32" s="906" t="str">
        <f>IF(OR($B32=0,$A32=0,$H32&lt;&gt;1),"",INDEX(Assumptions!FF:FF,$B32))</f>
        <v/>
      </c>
      <c r="ER32" s="906" t="str">
        <f>IF(OR($B32=0,$A32=0,$H32&lt;&gt;1),"",INDEX(Assumptions!FG:FG,$B32))</f>
        <v/>
      </c>
      <c r="ES32" s="906" t="str">
        <f>IF(OR($B32=0,$A32=0,$H32&lt;&gt;1),"",INDEX(Assumptions!FH:FH,$B32))</f>
        <v/>
      </c>
      <c r="ET32" s="906" t="str">
        <f>IF(OR($B32=0,$A32=0,$H32&lt;&gt;1),"",INDEX(Assumptions!FI:FI,$B32))</f>
        <v/>
      </c>
      <c r="EU32" s="906" t="str">
        <f>IF(OR($B32=0,$A32=0,$H32&lt;&gt;1),"",INDEX(Assumptions!FJ:FJ,$B32))</f>
        <v/>
      </c>
      <c r="EV32" s="906" t="str">
        <f>IF(OR($B32=0,$A32=0,$H32&lt;&gt;1),"",INDEX(Assumptions!FK:FK,$B32))</f>
        <v/>
      </c>
      <c r="EW32" s="906" t="str">
        <f>IF(OR($B32=0,$A32=0,$H32&lt;&gt;1),"",INDEX(Assumptions!FL:FL,$B32))</f>
        <v/>
      </c>
      <c r="EX32" s="906" t="str">
        <f>IF(OR($B32=0,$A32=0,$H32&lt;&gt;1),"",INDEX(Assumptions!FM:FM,$B32))</f>
        <v/>
      </c>
      <c r="EY32" s="906" t="str">
        <f>IF(OR($B32=0,$A32=0,$H32&lt;&gt;1),"",INDEX(Assumptions!FN:FN,$B32))</f>
        <v/>
      </c>
      <c r="EZ32" s="906" t="str">
        <f>IF(OR($B32=0,$A32=0,$H32&lt;&gt;1),"",INDEX(Assumptions!FO:FO,$B32))</f>
        <v/>
      </c>
      <c r="FB32" s="820" t="str">
        <f t="shared" si="18"/>
        <v/>
      </c>
      <c r="FC32" s="820" t="str">
        <f t="shared" si="19"/>
        <v/>
      </c>
      <c r="FD32" s="820" t="str">
        <f t="shared" si="20"/>
        <v/>
      </c>
      <c r="FE32" s="820" t="str">
        <f t="shared" si="21"/>
        <v/>
      </c>
      <c r="FF32" s="820" t="str">
        <f t="shared" si="22"/>
        <v/>
      </c>
    </row>
    <row r="33" spans="1:162">
      <c r="A33" s="440">
        <f>IFERROR(MATCH(C33,'Data Interface'!B:B,0),0)</f>
        <v>33</v>
      </c>
      <c r="B33" s="440">
        <f>IFERROR(MATCH(C33,Assumptions!$B:$B,0),0)</f>
        <v>40</v>
      </c>
      <c r="C33" s="441" t="s">
        <v>1163</v>
      </c>
      <c r="E33" s="441" t="s">
        <v>1219</v>
      </c>
      <c r="F33" s="440" t="s">
        <v>34</v>
      </c>
      <c r="G33" s="440" t="str">
        <f>IF(A33=0,"",INDEX('Data Interface'!$C:$C,$A33))</f>
        <v>Due to Affiliate - Investment - US</v>
      </c>
      <c r="H33" s="440">
        <v>0</v>
      </c>
      <c r="I33" s="819">
        <f t="shared" ca="1" si="10"/>
        <v>0.12</v>
      </c>
      <c r="J33" s="819">
        <f t="shared" ca="1" si="11"/>
        <v>0.15000000000000002</v>
      </c>
      <c r="K33" s="439" t="str">
        <f t="shared" ca="1" si="12"/>
        <v>12% of Current Balance</v>
      </c>
      <c r="L33" s="439" t="s">
        <v>1149</v>
      </c>
      <c r="M33" s="439" t="s">
        <v>1528</v>
      </c>
      <c r="O33" s="442">
        <f>IF(OR($A33="",$A33=0),0,INDEX('Data Interface'!D:D,$A33))</f>
        <v>1.3937934699999999</v>
      </c>
      <c r="P33" s="442">
        <f ca="1">$O33-SUM($AS33:AS33)</f>
        <v>1.3380417311999999</v>
      </c>
      <c r="Q33" s="442">
        <f ca="1">$O33-SUM($AS33:AT33)</f>
        <v>1.3287497747333332</v>
      </c>
      <c r="R33" s="442">
        <f ca="1">$O33-SUM($AS33:AU33)</f>
        <v>1.3194578182666665</v>
      </c>
      <c r="S33" s="442">
        <f ca="1">$O33-SUM($AS33:AV33)</f>
        <v>1.3101658617999998</v>
      </c>
      <c r="T33" s="442">
        <f ca="1">$O33-SUM($AS33:AW33)</f>
        <v>1.3008739053333331</v>
      </c>
      <c r="U33" s="442">
        <f ca="1">$O33-SUM($AS33:AX33)</f>
        <v>1.2915819488666664</v>
      </c>
      <c r="V33" s="442">
        <f ca="1">$O33-SUM($AS33:AY33)</f>
        <v>1.2822899924</v>
      </c>
      <c r="W33" s="442">
        <f ca="1">$O33-SUM($AS33:AZ33)</f>
        <v>1.2743254582857142</v>
      </c>
      <c r="X33" s="442">
        <f ca="1">$O33-SUM($AS33:BA33)</f>
        <v>1.2663609241714284</v>
      </c>
      <c r="Y33" s="442">
        <f ca="1">$O33-SUM($AS33:BB33)</f>
        <v>1.2583963900571427</v>
      </c>
      <c r="Z33" s="442">
        <f ca="1">$O33-SUM($AS33:BC33)</f>
        <v>1.2504318559428571</v>
      </c>
      <c r="AA33" s="442">
        <f ca="1">$O33-SUM($AS33:BD33)</f>
        <v>1.2424673218285713</v>
      </c>
      <c r="AB33" s="442">
        <f ca="1">$O33-SUM($AS33:BE33)</f>
        <v>1.2345027877142856</v>
      </c>
      <c r="AC33" s="442">
        <f ca="1">$O33-SUM($AS33:BF33)</f>
        <v>1.2265382535999998</v>
      </c>
      <c r="AD33" s="442">
        <f ca="1">$O33-SUM($AS33:BG33)</f>
        <v>1.2056313515499999</v>
      </c>
      <c r="AE33" s="442">
        <f ca="1">$O33-SUM($AS33:BH33)</f>
        <v>1.1847244494999998</v>
      </c>
      <c r="AF33" s="442">
        <f ca="1">$O33-SUM($AS33:BI33)</f>
        <v>1.1638175474499999</v>
      </c>
      <c r="AG33" s="442">
        <f ca="1">$O33-SUM($AS33:BJ33)</f>
        <v>1.1429106453999998</v>
      </c>
      <c r="AH33" s="442">
        <f ca="1">$O33-SUM($AS33:BK33)</f>
        <v>1.1359416780499998</v>
      </c>
      <c r="AI33" s="442">
        <f ca="1">$O33-SUM($AS33:BL33)</f>
        <v>1.1289727106999998</v>
      </c>
      <c r="AJ33" s="442">
        <f ca="1">$O33-SUM($AS33:BM33)</f>
        <v>1.1220037433499999</v>
      </c>
      <c r="AK33" s="442">
        <f ca="1">$O33-SUM($AS33:BN33)</f>
        <v>1.1150347759999999</v>
      </c>
      <c r="AL33" s="442">
        <f ca="1">$O33-SUM($AS33:BO33)</f>
        <v>1.1080658086499997</v>
      </c>
      <c r="AM33" s="442">
        <f ca="1">$O33-SUM($AS33:BP33)</f>
        <v>1.1010968412999997</v>
      </c>
      <c r="AN33" s="442">
        <f ca="1">$O33-SUM($AS33:BQ33)</f>
        <v>1.0941278739499998</v>
      </c>
      <c r="AO33" s="442">
        <f ca="1">$O33-SUM($AS33:BR33)</f>
        <v>1.0871589065999996</v>
      </c>
      <c r="AP33" s="442">
        <f ca="1">$O33-SUM($AS33:BS33)</f>
        <v>1.0801899392499996</v>
      </c>
      <c r="AR33" s="439" t="s">
        <v>1202</v>
      </c>
      <c r="AS33" s="442">
        <f ca="1">IF($H33="",0,IF($H33=1,IF('Para Adj'!$B$5 = 1,O33-($O33-SUMPRODUCT($CX33:CX33,$BU33:BU33))*(1-SUM($DZ33:DZ33)),BU33*CX33),$O33*BU33))</f>
        <v>5.5751738799999985E-2</v>
      </c>
      <c r="AT33" s="442">
        <f ca="1">IF($H33="",0,IF($H33=1,IF('Para Adj'!$B$5 = 1,P33-($O33-SUMPRODUCT($CX33:CY33,$BU33:BV33))*(1-SUM($DZ33:EA33)),BV33*CY33),$O33*BV33))</f>
        <v>9.2919564666666659E-3</v>
      </c>
      <c r="AU33" s="442">
        <f ca="1">IF($H33="",0,IF($H33=1,IF('Para Adj'!$B$5 = 1,Q33-($O33-SUMPRODUCT($CX33:CZ33,$BU33:BW33))*(1-SUM($DZ33:EB33)),BW33*CZ33),$O33*BW33))</f>
        <v>9.2919564666666659E-3</v>
      </c>
      <c r="AV33" s="442">
        <f ca="1">IF($H33="",0,IF($H33=1,IF('Para Adj'!$B$5 = 1,R33-($O33-SUMPRODUCT($CX33:DA33,$BU33:BX33))*(1-SUM($DZ33:EC33)),BX33*DA33),$O33*BX33))</f>
        <v>9.2919564666666659E-3</v>
      </c>
      <c r="AW33" s="442">
        <f ca="1">IF($H33="",0,IF($H33=1,IF('Para Adj'!$B$5 = 1,S33-($O33-SUMPRODUCT($CX33:DB33,$BU33:BY33))*(1-SUM($DZ33:ED33)),BY33*DB33),$O33*BY33))</f>
        <v>9.2919564666666659E-3</v>
      </c>
      <c r="AX33" s="442">
        <f ca="1">IF($H33="",0,IF($H33=1,IF('Para Adj'!$B$5 = 1,T33-($O33-SUMPRODUCT($CX33:DC33,$BU33:BZ33))*(1-SUM($DZ33:EE33)),BZ33*DC33),$O33*BZ33))</f>
        <v>9.2919564666666659E-3</v>
      </c>
      <c r="AY33" s="442">
        <f ca="1">IF($H33="",0,IF($H33=1,IF('Para Adj'!$B$5 = 1,U33-($O33-SUMPRODUCT($CX33:DD33,$BU33:CA33))*(1-SUM($DZ33:EF33)),CA33*DD33),$O33*CA33))</f>
        <v>9.2919564666666659E-3</v>
      </c>
      <c r="AZ33" s="442">
        <f ca="1">IF($H33="",0,IF($H33=1,IF('Para Adj'!$B$5 = 1,V33-($O33-SUMPRODUCT($CX33:DE33,$BU33:CB33))*(1-SUM($DZ33:EG33)),CB33*DE33),$O33*CB33))</f>
        <v>7.9645341142857134E-3</v>
      </c>
      <c r="BA33" s="442">
        <f ca="1">IF($H33="",0,IF($H33=1,IF('Para Adj'!$B$5 = 1,W33-($O33-SUMPRODUCT($CX33:DF33,$BU33:CC33))*(1-SUM($DZ33:EH33)),CC33*DF33),$O33*CC33))</f>
        <v>7.9645341142857134E-3</v>
      </c>
      <c r="BB33" s="442">
        <f ca="1">IF($H33="",0,IF($H33=1,IF('Para Adj'!$B$5 = 1,X33-($O33-SUMPRODUCT($CX33:DG33,$BU33:CD33))*(1-SUM($DZ33:EI33)),CD33*DG33),$O33*CD33))</f>
        <v>7.9645341142857134E-3</v>
      </c>
      <c r="BC33" s="442">
        <f ca="1">IF($H33="",0,IF($H33=1,IF('Para Adj'!$B$5 = 1,Y33-($O33-SUMPRODUCT($CX33:DH33,$BU33:CE33))*(1-SUM($DZ33:EJ33)),CE33*DH33),$O33*CE33))</f>
        <v>7.9645341142857134E-3</v>
      </c>
      <c r="BD33" s="442">
        <f ca="1">IF($H33="",0,IF($H33=1,IF('Para Adj'!$B$5 = 1,Z33-($O33-SUMPRODUCT($CX33:DI33,$BU33:CF33))*(1-SUM($DZ33:EK33)),CF33*DI33),$O33*CF33))</f>
        <v>7.9645341142857134E-3</v>
      </c>
      <c r="BE33" s="442">
        <f ca="1">IF($H33="",0,IF($H33=1,IF('Para Adj'!$B$5 = 1,AA33-($O33-SUMPRODUCT($CX33:DJ33,$BU33:CG33))*(1-SUM($DZ33:EL33)),CG33*DJ33),$O33*CG33))</f>
        <v>7.9645341142857134E-3</v>
      </c>
      <c r="BF33" s="442">
        <f ca="1">IF($H33="",0,IF($H33=1,IF('Para Adj'!$B$5 = 1,AB33-($O33-SUMPRODUCT($CX33:DK33,$BU33:CH33))*(1-SUM($DZ33:EM33)),CH33*DK33),$O33*CH33))</f>
        <v>7.9645341142857134E-3</v>
      </c>
      <c r="BG33" s="442">
        <f ca="1">IF($H33="",0,IF($H33=1,IF('Para Adj'!$B$5 = 1,AC33-($O33-SUMPRODUCT($CX33:DL33,$BU33:CI33))*(1-SUM($DZ33:EN33)),CI33*DL33),$O33*CI33))</f>
        <v>2.0906902049999999E-2</v>
      </c>
      <c r="BH33" s="442">
        <f ca="1">IF($H33="",0,IF($H33=1,IF('Para Adj'!$B$5 = 1,AD33-($O33-SUMPRODUCT($CX33:DM33,$BU33:CJ33))*(1-SUM($DZ33:EO33)),CJ33*DM33),$O33*CJ33))</f>
        <v>2.0906902049999999E-2</v>
      </c>
      <c r="BI33" s="442">
        <f ca="1">IF($H33="",0,IF($H33=1,IF('Para Adj'!$B$5 = 1,AE33-($O33-SUMPRODUCT($CX33:DN33,$BU33:CK33))*(1-SUM($DZ33:EP33)),CK33*DN33),$O33*CK33))</f>
        <v>2.0906902049999999E-2</v>
      </c>
      <c r="BJ33" s="442">
        <f ca="1">IF($H33="",0,IF($H33=1,IF('Para Adj'!$B$5 = 1,AF33-($O33-SUMPRODUCT($CX33:DO33,$BU33:CL33))*(1-SUM($DZ33:EQ33)),CL33*DO33),$O33*CL33))</f>
        <v>2.0906902049999999E-2</v>
      </c>
      <c r="BK33" s="442">
        <f ca="1">IF($H33="",0,IF($H33=1,IF('Para Adj'!$B$5 = 1,AG33-($O33-SUMPRODUCT($CX33:DP33,$BU33:CM33))*(1-SUM($DZ33:ER33)),CM33*DP33),$O33*CM33))</f>
        <v>6.9689673499999973E-3</v>
      </c>
      <c r="BL33" s="442">
        <f ca="1">IF($H33="",0,IF($H33=1,IF('Para Adj'!$B$5 = 1,AH33-($O33-SUMPRODUCT($CX33:DQ33,$BU33:CN33))*(1-SUM($DZ33:ES33)),CN33*DQ33),$O33*CN33))</f>
        <v>6.9689673499999973E-3</v>
      </c>
      <c r="BM33" s="442">
        <f ca="1">IF($H33="",0,IF($H33=1,IF('Para Adj'!$B$5 = 1,AI33-($O33-SUMPRODUCT($CX33:DR33,$BU33:CO33))*(1-SUM($DZ33:ET33)),CO33*DR33),$O33*CO33))</f>
        <v>6.9689673499999973E-3</v>
      </c>
      <c r="BN33" s="442">
        <f ca="1">IF($H33="",0,IF($H33=1,IF('Para Adj'!$B$5 = 1,AJ33-($O33-SUMPRODUCT($CX33:DS33,$BU33:CP33))*(1-SUM($DZ33:EU33)),CP33*DS33),$O33*CP33))</f>
        <v>6.9689673499999973E-3</v>
      </c>
      <c r="BO33" s="442">
        <f ca="1">IF($H33="",0,IF($H33=1,IF('Para Adj'!$B$5 = 1,AK33-($O33-SUMPRODUCT($CX33:DT33,$BU33:CQ33))*(1-SUM($DZ33:EV33)),CQ33*DT33),$O33*CQ33))</f>
        <v>6.9689673499999973E-3</v>
      </c>
      <c r="BP33" s="442">
        <f ca="1">IF($H33="",0,IF($H33=1,IF('Para Adj'!$B$5 = 1,AL33-($O33-SUMPRODUCT($CX33:DU33,$BU33:CR33))*(1-SUM($DZ33:EW33)),CR33*DU33),$O33*CR33))</f>
        <v>6.9689673499999973E-3</v>
      </c>
      <c r="BQ33" s="442">
        <f ca="1">IF($H33="",0,IF($H33=1,IF('Para Adj'!$B$5 = 1,AM33-($O33-SUMPRODUCT($CX33:DV33,$BU33:CS33))*(1-SUM($DZ33:EX33)),CS33*DV33),$O33*CS33))</f>
        <v>6.9689673499999973E-3</v>
      </c>
      <c r="BR33" s="442">
        <f ca="1">IF($H33="",0,IF($H33=1,IF('Para Adj'!$B$5 = 1,AN33-($O33-SUMPRODUCT($CX33:DW33,$BU33:CT33))*(1-SUM($DZ33:EY33)),CT33*DW33),$O33*CT33))</f>
        <v>6.9689673499999973E-3</v>
      </c>
      <c r="BS33" s="442">
        <f ca="1">IF($H33="",0,IF($H33=1,IF('Para Adj'!$B$5 = 1,AO33-($O33-SUMPRODUCT($CX33:DX33,$BU33:CU33))*(1-SUM($DZ33:EZ33)),CU33*DX33),$O33*CU33))</f>
        <v>6.9689673499999973E-3</v>
      </c>
      <c r="BU33" s="820">
        <f ca="1">IF($B33=0,"",INDEX(Assumptions!G:G,$B33))</f>
        <v>3.9999999999999994E-2</v>
      </c>
      <c r="BV33" s="820">
        <f ca="1">IF($B33=0,"",INDEX(Assumptions!H:H,$B33))</f>
        <v>6.6666666666666662E-3</v>
      </c>
      <c r="BW33" s="820">
        <f ca="1">IF($B33=0,"",INDEX(Assumptions!I:I,$B33))</f>
        <v>6.6666666666666662E-3</v>
      </c>
      <c r="BX33" s="820">
        <f ca="1">IF($B33=0,"",INDEX(Assumptions!J:J,$B33))</f>
        <v>6.6666666666666662E-3</v>
      </c>
      <c r="BY33" s="820">
        <f ca="1">IF($B33=0,"",INDEX(Assumptions!K:K,$B33))</f>
        <v>6.6666666666666662E-3</v>
      </c>
      <c r="BZ33" s="820">
        <f ca="1">IF($B33=0,"",INDEX(Assumptions!L:L,$B33))</f>
        <v>6.6666666666666662E-3</v>
      </c>
      <c r="CA33" s="820">
        <f ca="1">IF($B33=0,"",INDEX(Assumptions!M:M,$B33))</f>
        <v>6.6666666666666662E-3</v>
      </c>
      <c r="CB33" s="820">
        <f ca="1">IF($B33=0,"",INDEX(Assumptions!N:N,$B33))</f>
        <v>5.7142857142857143E-3</v>
      </c>
      <c r="CC33" s="820">
        <f ca="1">IF($B33=0,"",INDEX(Assumptions!O:O,$B33))</f>
        <v>5.7142857142857143E-3</v>
      </c>
      <c r="CD33" s="820">
        <f ca="1">IF($B33=0,"",INDEX(Assumptions!P:P,$B33))</f>
        <v>5.7142857142857143E-3</v>
      </c>
      <c r="CE33" s="820">
        <f ca="1">IF($B33=0,"",INDEX(Assumptions!Q:Q,$B33))</f>
        <v>5.7142857142857143E-3</v>
      </c>
      <c r="CF33" s="820">
        <f ca="1">IF($B33=0,"",INDEX(Assumptions!R:R,$B33))</f>
        <v>5.7142857142857143E-3</v>
      </c>
      <c r="CG33" s="820">
        <f ca="1">IF($B33=0,"",INDEX(Assumptions!S:S,$B33))</f>
        <v>5.7142857142857143E-3</v>
      </c>
      <c r="CH33" s="820">
        <f ca="1">IF($B33=0,"",INDEX(Assumptions!T:T,$B33))</f>
        <v>5.7142857142857143E-3</v>
      </c>
      <c r="CI33" s="820">
        <f ca="1">IF($B33=0,"",INDEX(Assumptions!U:U,$B33))</f>
        <v>1.4999999999999999E-2</v>
      </c>
      <c r="CJ33" s="820">
        <f ca="1">IF($B33=0,"",INDEX(Assumptions!V:V,$B33))</f>
        <v>1.4999999999999999E-2</v>
      </c>
      <c r="CK33" s="820">
        <f ca="1">IF($B33=0,"",INDEX(Assumptions!W:W,$B33))</f>
        <v>1.4999999999999999E-2</v>
      </c>
      <c r="CL33" s="820">
        <f ca="1">IF($B33=0,"",INDEX(Assumptions!X:X,$B33))</f>
        <v>1.4999999999999999E-2</v>
      </c>
      <c r="CM33" s="820">
        <f ca="1">IF($B33=0,"",INDEX(Assumptions!Y:Y,$B33))</f>
        <v>4.9999999999999984E-3</v>
      </c>
      <c r="CN33" s="820">
        <f ca="1">IF($B33=0,"",INDEX(Assumptions!Z:Z,$B33))</f>
        <v>4.9999999999999984E-3</v>
      </c>
      <c r="CO33" s="820">
        <f ca="1">IF($B33=0,"",INDEX(Assumptions!AA:AA,$B33))</f>
        <v>4.9999999999999984E-3</v>
      </c>
      <c r="CP33" s="820">
        <f ca="1">IF($B33=0,"",INDEX(Assumptions!AB:AB,$B33))</f>
        <v>4.9999999999999984E-3</v>
      </c>
      <c r="CQ33" s="820">
        <f ca="1">IF($B33=0,"",INDEX(Assumptions!AC:AC,$B33))</f>
        <v>4.9999999999999984E-3</v>
      </c>
      <c r="CR33" s="820">
        <f ca="1">IF($B33=0,"",INDEX(Assumptions!AD:AD,$B33))</f>
        <v>4.9999999999999984E-3</v>
      </c>
      <c r="CS33" s="820">
        <f ca="1">IF($B33=0,"",INDEX(Assumptions!AE:AE,$B33))</f>
        <v>4.9999999999999984E-3</v>
      </c>
      <c r="CT33" s="820">
        <f ca="1">IF($B33=0,"",INDEX(Assumptions!AF:AF,$B33))</f>
        <v>4.9999999999999984E-3</v>
      </c>
      <c r="CU33" s="820">
        <f ca="1">IF($B33=0,"",INDEX(Assumptions!AG:AG,$B33))</f>
        <v>4.9999999999999984E-3</v>
      </c>
      <c r="CX33" s="442">
        <f>IF($A33="","",INDEX('Data Interface'!G:G,$A33))</f>
        <v>1.3937934699999999</v>
      </c>
      <c r="CY33" s="442">
        <f>IF($A33="","",INDEX('Data Interface'!H:H,$A33))</f>
        <v>0</v>
      </c>
      <c r="CZ33" s="442">
        <f>IF($A33="","",INDEX('Data Interface'!I:I,$A33))</f>
        <v>0</v>
      </c>
      <c r="DA33" s="442">
        <f>IF($A33="","",INDEX('Data Interface'!J:J,$A33))</f>
        <v>0</v>
      </c>
      <c r="DB33" s="442">
        <f>IF($A33="","",INDEX('Data Interface'!K:K,$A33))</f>
        <v>0</v>
      </c>
      <c r="DC33" s="442">
        <f>IF($A33="","",INDEX('Data Interface'!L:L,$A33))</f>
        <v>0</v>
      </c>
      <c r="DD33" s="442">
        <f>IF($A33="","",INDEX('Data Interface'!M:M,$A33))</f>
        <v>0</v>
      </c>
      <c r="DE33" s="442">
        <f>IF($A33="","",INDEX('Data Interface'!N:N,$A33))</f>
        <v>0</v>
      </c>
      <c r="DF33" s="442">
        <f>IF($A33="","",INDEX('Data Interface'!O:O,$A33))</f>
        <v>0</v>
      </c>
      <c r="DG33" s="442">
        <f>IF($A33="","",INDEX('Data Interface'!P:P,$A33))</f>
        <v>0</v>
      </c>
      <c r="DH33" s="442">
        <f>IF($A33="","",INDEX('Data Interface'!Q:Q,$A33))</f>
        <v>0</v>
      </c>
      <c r="DI33" s="442">
        <f>IF($A33="","",INDEX('Data Interface'!R:R,$A33))</f>
        <v>0</v>
      </c>
      <c r="DJ33" s="442">
        <f>IF($A33="","",INDEX('Data Interface'!S:S,$A33))</f>
        <v>0</v>
      </c>
      <c r="DK33" s="442">
        <f>IF($A33="","",INDEX('Data Interface'!T:T,$A33))</f>
        <v>0</v>
      </c>
      <c r="DL33" s="442">
        <f>IF($A33="","",INDEX('Data Interface'!U:U,$A33))</f>
        <v>0</v>
      </c>
      <c r="DM33" s="442">
        <f>IF($A33="","",INDEX('Data Interface'!V:V,$A33))</f>
        <v>0</v>
      </c>
      <c r="DN33" s="442">
        <f>IF($A33="","",INDEX('Data Interface'!W:W,$A33))</f>
        <v>0</v>
      </c>
      <c r="DO33" s="442">
        <f>IF($A33="","",INDEX('Data Interface'!X:X,$A33))</f>
        <v>0</v>
      </c>
      <c r="DP33" s="442">
        <f>IF($A33="","",INDEX('Data Interface'!Y:Y,$A33))</f>
        <v>0</v>
      </c>
      <c r="DQ33" s="442">
        <f>IF($A33="","",INDEX('Data Interface'!Z:Z,$A33))</f>
        <v>0</v>
      </c>
      <c r="DR33" s="442">
        <f>IF($A33="","",INDEX('Data Interface'!AA:AA,$A33))</f>
        <v>0</v>
      </c>
      <c r="DS33" s="442">
        <f>IF($A33="","",INDEX('Data Interface'!AB:AB,$A33))</f>
        <v>0</v>
      </c>
      <c r="DT33" s="442">
        <f>IF($A33="","",INDEX('Data Interface'!AC:AC,$A33))</f>
        <v>0</v>
      </c>
      <c r="DU33" s="442">
        <f>IF($A33="","",INDEX('Data Interface'!AD:AD,$A33))</f>
        <v>0</v>
      </c>
      <c r="DV33" s="442">
        <f>IF($A33="","",INDEX('Data Interface'!AE:AE,$A33))</f>
        <v>0</v>
      </c>
      <c r="DW33" s="442">
        <f>IF($A33="","",INDEX('Data Interface'!AF:AF,$A33))</f>
        <v>0</v>
      </c>
      <c r="DX33" s="442">
        <f>IF($A33="","",INDEX('Data Interface'!AG:AG,$A33))</f>
        <v>0</v>
      </c>
      <c r="DZ33" s="906" t="str">
        <f>IF(OR($B33=0,$A33=0,$H33&lt;&gt;1),"",INDEX(Assumptions!EO:EO,$B33))</f>
        <v/>
      </c>
      <c r="EA33" s="906" t="str">
        <f>IF(OR($B33=0,$A33=0,$H33&lt;&gt;1),"",INDEX(Assumptions!EP:EP,$B33))</f>
        <v/>
      </c>
      <c r="EB33" s="906" t="str">
        <f>IF(OR($B33=0,$A33=0,$H33&lt;&gt;1),"",INDEX(Assumptions!EQ:EQ,$B33))</f>
        <v/>
      </c>
      <c r="EC33" s="906" t="str">
        <f>IF(OR($B33=0,$A33=0,$H33&lt;&gt;1),"",INDEX(Assumptions!ER:ER,$B33))</f>
        <v/>
      </c>
      <c r="ED33" s="906" t="str">
        <f>IF(OR($B33=0,$A33=0,$H33&lt;&gt;1),"",INDEX(Assumptions!ES:ES,$B33))</f>
        <v/>
      </c>
      <c r="EE33" s="906" t="str">
        <f>IF(OR($B33=0,$A33=0,$H33&lt;&gt;1),"",INDEX(Assumptions!ET:ET,$B33))</f>
        <v/>
      </c>
      <c r="EF33" s="906" t="str">
        <f>IF(OR($B33=0,$A33=0,$H33&lt;&gt;1),"",INDEX(Assumptions!EU:EU,$B33))</f>
        <v/>
      </c>
      <c r="EG33" s="906" t="str">
        <f>IF(OR($B33=0,$A33=0,$H33&lt;&gt;1),"",INDEX(Assumptions!EV:EV,$B33))</f>
        <v/>
      </c>
      <c r="EH33" s="906" t="str">
        <f>IF(OR($B33=0,$A33=0,$H33&lt;&gt;1),"",INDEX(Assumptions!EW:EW,$B33))</f>
        <v/>
      </c>
      <c r="EI33" s="906" t="str">
        <f>IF(OR($B33=0,$A33=0,$H33&lt;&gt;1),"",INDEX(Assumptions!EX:EX,$B33))</f>
        <v/>
      </c>
      <c r="EJ33" s="906" t="str">
        <f>IF(OR($B33=0,$A33=0,$H33&lt;&gt;1),"",INDEX(Assumptions!EY:EY,$B33))</f>
        <v/>
      </c>
      <c r="EK33" s="906" t="str">
        <f>IF(OR($B33=0,$A33=0,$H33&lt;&gt;1),"",INDEX(Assumptions!EZ:EZ,$B33))</f>
        <v/>
      </c>
      <c r="EL33" s="906" t="str">
        <f>IF(OR($B33=0,$A33=0,$H33&lt;&gt;1),"",INDEX(Assumptions!FA:FA,$B33))</f>
        <v/>
      </c>
      <c r="EM33" s="906" t="str">
        <f>IF(OR($B33=0,$A33=0,$H33&lt;&gt;1),"",INDEX(Assumptions!FB:FB,$B33))</f>
        <v/>
      </c>
      <c r="EN33" s="906" t="str">
        <f>IF(OR($B33=0,$A33=0,$H33&lt;&gt;1),"",INDEX(Assumptions!FC:FC,$B33))</f>
        <v/>
      </c>
      <c r="EO33" s="906" t="str">
        <f>IF(OR($B33=0,$A33=0,$H33&lt;&gt;1),"",INDEX(Assumptions!FD:FD,$B33))</f>
        <v/>
      </c>
      <c r="EP33" s="906" t="str">
        <f>IF(OR($B33=0,$A33=0,$H33&lt;&gt;1),"",INDEX(Assumptions!FE:FE,$B33))</f>
        <v/>
      </c>
      <c r="EQ33" s="906" t="str">
        <f>IF(OR($B33=0,$A33=0,$H33&lt;&gt;1),"",INDEX(Assumptions!FF:FF,$B33))</f>
        <v/>
      </c>
      <c r="ER33" s="906" t="str">
        <f>IF(OR($B33=0,$A33=0,$H33&lt;&gt;1),"",INDEX(Assumptions!FG:FG,$B33))</f>
        <v/>
      </c>
      <c r="ES33" s="906" t="str">
        <f>IF(OR($B33=0,$A33=0,$H33&lt;&gt;1),"",INDEX(Assumptions!FH:FH,$B33))</f>
        <v/>
      </c>
      <c r="ET33" s="906" t="str">
        <f>IF(OR($B33=0,$A33=0,$H33&lt;&gt;1),"",INDEX(Assumptions!FI:FI,$B33))</f>
        <v/>
      </c>
      <c r="EU33" s="906" t="str">
        <f>IF(OR($B33=0,$A33=0,$H33&lt;&gt;1),"",INDEX(Assumptions!FJ:FJ,$B33))</f>
        <v/>
      </c>
      <c r="EV33" s="906" t="str">
        <f>IF(OR($B33=0,$A33=0,$H33&lt;&gt;1),"",INDEX(Assumptions!FK:FK,$B33))</f>
        <v/>
      </c>
      <c r="EW33" s="906" t="str">
        <f>IF(OR($B33=0,$A33=0,$H33&lt;&gt;1),"",INDEX(Assumptions!FL:FL,$B33))</f>
        <v/>
      </c>
      <c r="EX33" s="906" t="str">
        <f>IF(OR($B33=0,$A33=0,$H33&lt;&gt;1),"",INDEX(Assumptions!FM:FM,$B33))</f>
        <v/>
      </c>
      <c r="EY33" s="906" t="str">
        <f>IF(OR($B33=0,$A33=0,$H33&lt;&gt;1),"",INDEX(Assumptions!FN:FN,$B33))</f>
        <v/>
      </c>
      <c r="EZ33" s="906" t="str">
        <f>IF(OR($B33=0,$A33=0,$H33&lt;&gt;1),"",INDEX(Assumptions!FO:FO,$B33))</f>
        <v/>
      </c>
      <c r="FB33" s="820" t="str">
        <f t="shared" si="18"/>
        <v/>
      </c>
      <c r="FC33" s="820" t="str">
        <f t="shared" si="19"/>
        <v/>
      </c>
      <c r="FD33" s="820" t="str">
        <f t="shared" si="20"/>
        <v/>
      </c>
      <c r="FE33" s="820" t="str">
        <f t="shared" si="21"/>
        <v/>
      </c>
      <c r="FF33" s="820" t="str">
        <f t="shared" si="22"/>
        <v/>
      </c>
    </row>
    <row r="34" spans="1:162">
      <c r="A34" s="440">
        <f>IFERROR(MATCH(C34,'Data Interface'!B:B,0),0)</f>
        <v>29</v>
      </c>
      <c r="B34" s="440">
        <f>IFERROR(MATCH(C34,Assumptions!$B:$B,0),0)</f>
        <v>47</v>
      </c>
      <c r="C34" s="441" t="s">
        <v>997</v>
      </c>
      <c r="E34" s="441" t="s">
        <v>1219</v>
      </c>
      <c r="F34" s="440" t="s">
        <v>34</v>
      </c>
      <c r="G34" s="440" t="str">
        <f>IF(A34=0,"",INDEX('Data Interface'!$C:$C,$A34))</f>
        <v>Due to Affiliate - Investment - Non-US</v>
      </c>
      <c r="H34" s="440">
        <v>0</v>
      </c>
      <c r="I34" s="819">
        <f t="shared" ca="1" si="10"/>
        <v>0.12</v>
      </c>
      <c r="J34" s="819">
        <f t="shared" ca="1" si="11"/>
        <v>0.15000000000000002</v>
      </c>
      <c r="K34" s="439" t="str">
        <f t="shared" ca="1" si="12"/>
        <v>12% of Current Balance</v>
      </c>
      <c r="L34" s="439" t="s">
        <v>1149</v>
      </c>
      <c r="M34" s="439" t="s">
        <v>1528</v>
      </c>
      <c r="O34" s="442">
        <f>IF(OR($A34="",$A34=0),0,INDEX('Data Interface'!D:D,$A34))</f>
        <v>316.77946496999999</v>
      </c>
      <c r="P34" s="442">
        <f ca="1">$O34-SUM($AS34:AS34)</f>
        <v>304.10828637119999</v>
      </c>
      <c r="Q34" s="442">
        <f ca="1">$O34-SUM($AS34:AT34)</f>
        <v>301.99642327139998</v>
      </c>
      <c r="R34" s="442">
        <f ca="1">$O34-SUM($AS34:AU34)</f>
        <v>299.88456017160001</v>
      </c>
      <c r="S34" s="442">
        <f ca="1">$O34-SUM($AS34:AV34)</f>
        <v>297.7726970718</v>
      </c>
      <c r="T34" s="442">
        <f ca="1">$O34-SUM($AS34:AW34)</f>
        <v>295.66083397199998</v>
      </c>
      <c r="U34" s="442">
        <f ca="1">$O34-SUM($AS34:AX34)</f>
        <v>293.54897087220002</v>
      </c>
      <c r="V34" s="442">
        <f ca="1">$O34-SUM($AS34:AY34)</f>
        <v>291.4371077724</v>
      </c>
      <c r="W34" s="442">
        <f ca="1">$O34-SUM($AS34:AZ34)</f>
        <v>289.62693940114286</v>
      </c>
      <c r="X34" s="442">
        <f ca="1">$O34-SUM($AS34:BA34)</f>
        <v>287.81677102988573</v>
      </c>
      <c r="Y34" s="442">
        <f ca="1">$O34-SUM($AS34:BB34)</f>
        <v>286.00660265862859</v>
      </c>
      <c r="Z34" s="442">
        <f ca="1">$O34-SUM($AS34:BC34)</f>
        <v>284.1964342873714</v>
      </c>
      <c r="AA34" s="442">
        <f ca="1">$O34-SUM($AS34:BD34)</f>
        <v>282.38626591611427</v>
      </c>
      <c r="AB34" s="442">
        <f ca="1">$O34-SUM($AS34:BE34)</f>
        <v>280.57609754485713</v>
      </c>
      <c r="AC34" s="442">
        <f ca="1">$O34-SUM($AS34:BF34)</f>
        <v>278.7659291736</v>
      </c>
      <c r="AD34" s="442">
        <f ca="1">$O34-SUM($AS34:BG34)</f>
        <v>274.01423719905</v>
      </c>
      <c r="AE34" s="442">
        <f ca="1">$O34-SUM($AS34:BH34)</f>
        <v>269.2625452245</v>
      </c>
      <c r="AF34" s="442">
        <f ca="1">$O34-SUM($AS34:BI34)</f>
        <v>264.51085324995</v>
      </c>
      <c r="AG34" s="442">
        <f ca="1">$O34-SUM($AS34:BJ34)</f>
        <v>259.7591612754</v>
      </c>
      <c r="AH34" s="442">
        <f ca="1">$O34-SUM($AS34:BK34)</f>
        <v>258.17526395055</v>
      </c>
      <c r="AI34" s="442">
        <f ca="1">$O34-SUM($AS34:BL34)</f>
        <v>256.5913666257</v>
      </c>
      <c r="AJ34" s="442">
        <f ca="1">$O34-SUM($AS34:BM34)</f>
        <v>255.00746930085</v>
      </c>
      <c r="AK34" s="442">
        <f ca="1">$O34-SUM($AS34:BN34)</f>
        <v>253.42357197600001</v>
      </c>
      <c r="AL34" s="442">
        <f ca="1">$O34-SUM($AS34:BO34)</f>
        <v>251.83967465115001</v>
      </c>
      <c r="AM34" s="442">
        <f ca="1">$O34-SUM($AS34:BP34)</f>
        <v>250.25577732630001</v>
      </c>
      <c r="AN34" s="442">
        <f ca="1">$O34-SUM($AS34:BQ34)</f>
        <v>248.67188000145001</v>
      </c>
      <c r="AO34" s="442">
        <f ca="1">$O34-SUM($AS34:BR34)</f>
        <v>247.08798267660001</v>
      </c>
      <c r="AP34" s="442">
        <f ca="1">$O34-SUM($AS34:BS34)</f>
        <v>245.50408535175001</v>
      </c>
      <c r="AR34" s="439" t="s">
        <v>1202</v>
      </c>
      <c r="AS34" s="442">
        <f ca="1">IF($H34="",0,IF($H34=1,IF('Para Adj'!$B$5 = 1,O34-($O34-SUMPRODUCT($CX34:CX34,$BU34:BU34))*(1-SUM($DZ34:DZ34)),BU34*CX34),$O34*BU34))</f>
        <v>12.671178598799997</v>
      </c>
      <c r="AT34" s="442">
        <f ca="1">IF($H34="",0,IF($H34=1,IF('Para Adj'!$B$5 = 1,P34-($O34-SUMPRODUCT($CX34:CY34,$BU34:BV34))*(1-SUM($DZ34:EA34)),BV34*CY34),$O34*BV34))</f>
        <v>2.1118630997999999</v>
      </c>
      <c r="AU34" s="442">
        <f ca="1">IF($H34="",0,IF($H34=1,IF('Para Adj'!$B$5 = 1,Q34-($O34-SUMPRODUCT($CX34:CZ34,$BU34:BW34))*(1-SUM($DZ34:EB34)),BW34*CZ34),$O34*BW34))</f>
        <v>2.1118630997999999</v>
      </c>
      <c r="AV34" s="442">
        <f ca="1">IF($H34="",0,IF($H34=1,IF('Para Adj'!$B$5 = 1,R34-($O34-SUMPRODUCT($CX34:DA34,$BU34:BX34))*(1-SUM($DZ34:EC34)),BX34*DA34),$O34*BX34))</f>
        <v>2.1118630997999999</v>
      </c>
      <c r="AW34" s="442">
        <f ca="1">IF($H34="",0,IF($H34=1,IF('Para Adj'!$B$5 = 1,S34-($O34-SUMPRODUCT($CX34:DB34,$BU34:BY34))*(1-SUM($DZ34:ED34)),BY34*DB34),$O34*BY34))</f>
        <v>2.1118630997999999</v>
      </c>
      <c r="AX34" s="442">
        <f ca="1">IF($H34="",0,IF($H34=1,IF('Para Adj'!$B$5 = 1,T34-($O34-SUMPRODUCT($CX34:DC34,$BU34:BZ34))*(1-SUM($DZ34:EE34)),BZ34*DC34),$O34*BZ34))</f>
        <v>2.1118630997999999</v>
      </c>
      <c r="AY34" s="442">
        <f ca="1">IF($H34="",0,IF($H34=1,IF('Para Adj'!$B$5 = 1,U34-($O34-SUMPRODUCT($CX34:DD34,$BU34:CA34))*(1-SUM($DZ34:EF34)),CA34*DD34),$O34*CA34))</f>
        <v>2.1118630997999999</v>
      </c>
      <c r="AZ34" s="442">
        <f ca="1">IF($H34="",0,IF($H34=1,IF('Para Adj'!$B$5 = 1,V34-($O34-SUMPRODUCT($CX34:DE34,$BU34:CB34))*(1-SUM($DZ34:EG34)),CB34*DE34),$O34*CB34))</f>
        <v>1.8101683712571428</v>
      </c>
      <c r="BA34" s="442">
        <f ca="1">IF($H34="",0,IF($H34=1,IF('Para Adj'!$B$5 = 1,W34-($O34-SUMPRODUCT($CX34:DF34,$BU34:CC34))*(1-SUM($DZ34:EH34)),CC34*DF34),$O34*CC34))</f>
        <v>1.8101683712571428</v>
      </c>
      <c r="BB34" s="442">
        <f ca="1">IF($H34="",0,IF($H34=1,IF('Para Adj'!$B$5 = 1,X34-($O34-SUMPRODUCT($CX34:DG34,$BU34:CD34))*(1-SUM($DZ34:EI34)),CD34*DG34),$O34*CD34))</f>
        <v>1.8101683712571428</v>
      </c>
      <c r="BC34" s="442">
        <f ca="1">IF($H34="",0,IF($H34=1,IF('Para Adj'!$B$5 = 1,Y34-($O34-SUMPRODUCT($CX34:DH34,$BU34:CE34))*(1-SUM($DZ34:EJ34)),CE34*DH34),$O34*CE34))</f>
        <v>1.8101683712571428</v>
      </c>
      <c r="BD34" s="442">
        <f ca="1">IF($H34="",0,IF($H34=1,IF('Para Adj'!$B$5 = 1,Z34-($O34-SUMPRODUCT($CX34:DI34,$BU34:CF34))*(1-SUM($DZ34:EK34)),CF34*DI34),$O34*CF34))</f>
        <v>1.8101683712571428</v>
      </c>
      <c r="BE34" s="442">
        <f ca="1">IF($H34="",0,IF($H34=1,IF('Para Adj'!$B$5 = 1,AA34-($O34-SUMPRODUCT($CX34:DJ34,$BU34:CG34))*(1-SUM($DZ34:EL34)),CG34*DJ34),$O34*CG34))</f>
        <v>1.8101683712571428</v>
      </c>
      <c r="BF34" s="442">
        <f ca="1">IF($H34="",0,IF($H34=1,IF('Para Adj'!$B$5 = 1,AB34-($O34-SUMPRODUCT($CX34:DK34,$BU34:CH34))*(1-SUM($DZ34:EM34)),CH34*DK34),$O34*CH34))</f>
        <v>1.8101683712571428</v>
      </c>
      <c r="BG34" s="442">
        <f ca="1">IF($H34="",0,IF($H34=1,IF('Para Adj'!$B$5 = 1,AC34-($O34-SUMPRODUCT($CX34:DL34,$BU34:CI34))*(1-SUM($DZ34:EN34)),CI34*DL34),$O34*CI34))</f>
        <v>4.7516919745499999</v>
      </c>
      <c r="BH34" s="442">
        <f ca="1">IF($H34="",0,IF($H34=1,IF('Para Adj'!$B$5 = 1,AD34-($O34-SUMPRODUCT($CX34:DM34,$BU34:CJ34))*(1-SUM($DZ34:EO34)),CJ34*DM34),$O34*CJ34))</f>
        <v>4.7516919745499999</v>
      </c>
      <c r="BI34" s="442">
        <f ca="1">IF($H34="",0,IF($H34=1,IF('Para Adj'!$B$5 = 1,AE34-($O34-SUMPRODUCT($CX34:DN34,$BU34:CK34))*(1-SUM($DZ34:EP34)),CK34*DN34),$O34*CK34))</f>
        <v>4.7516919745499999</v>
      </c>
      <c r="BJ34" s="442">
        <f ca="1">IF($H34="",0,IF($H34=1,IF('Para Adj'!$B$5 = 1,AF34-($O34-SUMPRODUCT($CX34:DO34,$BU34:CL34))*(1-SUM($DZ34:EQ34)),CL34*DO34),$O34*CL34))</f>
        <v>4.7516919745499999</v>
      </c>
      <c r="BK34" s="442">
        <f ca="1">IF($H34="",0,IF($H34=1,IF('Para Adj'!$B$5 = 1,AG34-($O34-SUMPRODUCT($CX34:DP34,$BU34:CM34))*(1-SUM($DZ34:ER34)),CM34*DP34),$O34*CM34))</f>
        <v>1.5838973248499995</v>
      </c>
      <c r="BL34" s="442">
        <f ca="1">IF($H34="",0,IF($H34=1,IF('Para Adj'!$B$5 = 1,AH34-($O34-SUMPRODUCT($CX34:DQ34,$BU34:CN34))*(1-SUM($DZ34:ES34)),CN34*DQ34),$O34*CN34))</f>
        <v>1.5838973248499995</v>
      </c>
      <c r="BM34" s="442">
        <f ca="1">IF($H34="",0,IF($H34=1,IF('Para Adj'!$B$5 = 1,AI34-($O34-SUMPRODUCT($CX34:DR34,$BU34:CO34))*(1-SUM($DZ34:ET34)),CO34*DR34),$O34*CO34))</f>
        <v>1.5838973248499995</v>
      </c>
      <c r="BN34" s="442">
        <f ca="1">IF($H34="",0,IF($H34=1,IF('Para Adj'!$B$5 = 1,AJ34-($O34-SUMPRODUCT($CX34:DS34,$BU34:CP34))*(1-SUM($DZ34:EU34)),CP34*DS34),$O34*CP34))</f>
        <v>1.5838973248499995</v>
      </c>
      <c r="BO34" s="442">
        <f ca="1">IF($H34="",0,IF($H34=1,IF('Para Adj'!$B$5 = 1,AK34-($O34-SUMPRODUCT($CX34:DT34,$BU34:CQ34))*(1-SUM($DZ34:EV34)),CQ34*DT34),$O34*CQ34))</f>
        <v>1.5838973248499995</v>
      </c>
      <c r="BP34" s="442">
        <f ca="1">IF($H34="",0,IF($H34=1,IF('Para Adj'!$B$5 = 1,AL34-($O34-SUMPRODUCT($CX34:DU34,$BU34:CR34))*(1-SUM($DZ34:EW34)),CR34*DU34),$O34*CR34))</f>
        <v>1.5838973248499995</v>
      </c>
      <c r="BQ34" s="442">
        <f ca="1">IF($H34="",0,IF($H34=1,IF('Para Adj'!$B$5 = 1,AM34-($O34-SUMPRODUCT($CX34:DV34,$BU34:CS34))*(1-SUM($DZ34:EX34)),CS34*DV34),$O34*CS34))</f>
        <v>1.5838973248499995</v>
      </c>
      <c r="BR34" s="442">
        <f ca="1">IF($H34="",0,IF($H34=1,IF('Para Adj'!$B$5 = 1,AN34-($O34-SUMPRODUCT($CX34:DW34,$BU34:CT34))*(1-SUM($DZ34:EY34)),CT34*DW34),$O34*CT34))</f>
        <v>1.5838973248499995</v>
      </c>
      <c r="BS34" s="442">
        <f ca="1">IF($H34="",0,IF($H34=1,IF('Para Adj'!$B$5 = 1,AO34-($O34-SUMPRODUCT($CX34:DX34,$BU34:CU34))*(1-SUM($DZ34:EZ34)),CU34*DX34),$O34*CU34))</f>
        <v>1.5838973248499995</v>
      </c>
      <c r="BU34" s="820">
        <f ca="1">IF($B34=0,"",INDEX(Assumptions!G:G,$B34))</f>
        <v>3.9999999999999994E-2</v>
      </c>
      <c r="BV34" s="820">
        <f ca="1">IF($B34=0,"",INDEX(Assumptions!H:H,$B34))</f>
        <v>6.6666666666666662E-3</v>
      </c>
      <c r="BW34" s="820">
        <f ca="1">IF($B34=0,"",INDEX(Assumptions!I:I,$B34))</f>
        <v>6.6666666666666662E-3</v>
      </c>
      <c r="BX34" s="820">
        <f ca="1">IF($B34=0,"",INDEX(Assumptions!J:J,$B34))</f>
        <v>6.6666666666666662E-3</v>
      </c>
      <c r="BY34" s="820">
        <f ca="1">IF($B34=0,"",INDEX(Assumptions!K:K,$B34))</f>
        <v>6.6666666666666662E-3</v>
      </c>
      <c r="BZ34" s="820">
        <f ca="1">IF($B34=0,"",INDEX(Assumptions!L:L,$B34))</f>
        <v>6.6666666666666662E-3</v>
      </c>
      <c r="CA34" s="820">
        <f ca="1">IF($B34=0,"",INDEX(Assumptions!M:M,$B34))</f>
        <v>6.6666666666666662E-3</v>
      </c>
      <c r="CB34" s="820">
        <f ca="1">IF($B34=0,"",INDEX(Assumptions!N:N,$B34))</f>
        <v>5.7142857142857143E-3</v>
      </c>
      <c r="CC34" s="820">
        <f ca="1">IF($B34=0,"",INDEX(Assumptions!O:O,$B34))</f>
        <v>5.7142857142857143E-3</v>
      </c>
      <c r="CD34" s="820">
        <f ca="1">IF($B34=0,"",INDEX(Assumptions!P:P,$B34))</f>
        <v>5.7142857142857143E-3</v>
      </c>
      <c r="CE34" s="820">
        <f ca="1">IF($B34=0,"",INDEX(Assumptions!Q:Q,$B34))</f>
        <v>5.7142857142857143E-3</v>
      </c>
      <c r="CF34" s="820">
        <f ca="1">IF($B34=0,"",INDEX(Assumptions!R:R,$B34))</f>
        <v>5.7142857142857143E-3</v>
      </c>
      <c r="CG34" s="820">
        <f ca="1">IF($B34=0,"",INDEX(Assumptions!S:S,$B34))</f>
        <v>5.7142857142857143E-3</v>
      </c>
      <c r="CH34" s="820">
        <f ca="1">IF($B34=0,"",INDEX(Assumptions!T:T,$B34))</f>
        <v>5.7142857142857143E-3</v>
      </c>
      <c r="CI34" s="820">
        <f ca="1">IF($B34=0,"",INDEX(Assumptions!U:U,$B34))</f>
        <v>1.4999999999999999E-2</v>
      </c>
      <c r="CJ34" s="820">
        <f ca="1">IF($B34=0,"",INDEX(Assumptions!V:V,$B34))</f>
        <v>1.4999999999999999E-2</v>
      </c>
      <c r="CK34" s="820">
        <f ca="1">IF($B34=0,"",INDEX(Assumptions!W:W,$B34))</f>
        <v>1.4999999999999999E-2</v>
      </c>
      <c r="CL34" s="820">
        <f ca="1">IF($B34=0,"",INDEX(Assumptions!X:X,$B34))</f>
        <v>1.4999999999999999E-2</v>
      </c>
      <c r="CM34" s="820">
        <f ca="1">IF($B34=0,"",INDEX(Assumptions!Y:Y,$B34))</f>
        <v>4.9999999999999984E-3</v>
      </c>
      <c r="CN34" s="820">
        <f ca="1">IF($B34=0,"",INDEX(Assumptions!Z:Z,$B34))</f>
        <v>4.9999999999999984E-3</v>
      </c>
      <c r="CO34" s="820">
        <f ca="1">IF($B34=0,"",INDEX(Assumptions!AA:AA,$B34))</f>
        <v>4.9999999999999984E-3</v>
      </c>
      <c r="CP34" s="820">
        <f ca="1">IF($B34=0,"",INDEX(Assumptions!AB:AB,$B34))</f>
        <v>4.9999999999999984E-3</v>
      </c>
      <c r="CQ34" s="820">
        <f ca="1">IF($B34=0,"",INDEX(Assumptions!AC:AC,$B34))</f>
        <v>4.9999999999999984E-3</v>
      </c>
      <c r="CR34" s="820">
        <f ca="1">IF($B34=0,"",INDEX(Assumptions!AD:AD,$B34))</f>
        <v>4.9999999999999984E-3</v>
      </c>
      <c r="CS34" s="820">
        <f ca="1">IF($B34=0,"",INDEX(Assumptions!AE:AE,$B34))</f>
        <v>4.9999999999999984E-3</v>
      </c>
      <c r="CT34" s="820">
        <f ca="1">IF($B34=0,"",INDEX(Assumptions!AF:AF,$B34))</f>
        <v>4.9999999999999984E-3</v>
      </c>
      <c r="CU34" s="820">
        <f ca="1">IF($B34=0,"",INDEX(Assumptions!AG:AG,$B34))</f>
        <v>4.9999999999999984E-3</v>
      </c>
      <c r="CX34" s="442">
        <f>IF($A34="","",INDEX('Data Interface'!G:G,$A34))</f>
        <v>316.77946496999999</v>
      </c>
      <c r="CY34" s="442">
        <f>IF($A34="","",INDEX('Data Interface'!H:H,$A34))</f>
        <v>0</v>
      </c>
      <c r="CZ34" s="442">
        <f>IF($A34="","",INDEX('Data Interface'!I:I,$A34))</f>
        <v>0</v>
      </c>
      <c r="DA34" s="442">
        <f>IF($A34="","",INDEX('Data Interface'!J:J,$A34))</f>
        <v>0</v>
      </c>
      <c r="DB34" s="442">
        <f>IF($A34="","",INDEX('Data Interface'!K:K,$A34))</f>
        <v>0</v>
      </c>
      <c r="DC34" s="442">
        <f>IF($A34="","",INDEX('Data Interface'!L:L,$A34))</f>
        <v>0</v>
      </c>
      <c r="DD34" s="442">
        <f>IF($A34="","",INDEX('Data Interface'!M:M,$A34))</f>
        <v>0</v>
      </c>
      <c r="DE34" s="442">
        <f>IF($A34="","",INDEX('Data Interface'!N:N,$A34))</f>
        <v>0</v>
      </c>
      <c r="DF34" s="442">
        <f>IF($A34="","",INDEX('Data Interface'!O:O,$A34))</f>
        <v>0</v>
      </c>
      <c r="DG34" s="442">
        <f>IF($A34="","",INDEX('Data Interface'!P:P,$A34))</f>
        <v>0</v>
      </c>
      <c r="DH34" s="442">
        <f>IF($A34="","",INDEX('Data Interface'!Q:Q,$A34))</f>
        <v>0</v>
      </c>
      <c r="DI34" s="442">
        <f>IF($A34="","",INDEX('Data Interface'!R:R,$A34))</f>
        <v>0</v>
      </c>
      <c r="DJ34" s="442">
        <f>IF($A34="","",INDEX('Data Interface'!S:S,$A34))</f>
        <v>0</v>
      </c>
      <c r="DK34" s="442">
        <f>IF($A34="","",INDEX('Data Interface'!T:T,$A34))</f>
        <v>0</v>
      </c>
      <c r="DL34" s="442">
        <f>IF($A34="","",INDEX('Data Interface'!U:U,$A34))</f>
        <v>0</v>
      </c>
      <c r="DM34" s="442">
        <f>IF($A34="","",INDEX('Data Interface'!V:V,$A34))</f>
        <v>0</v>
      </c>
      <c r="DN34" s="442">
        <f>IF($A34="","",INDEX('Data Interface'!W:W,$A34))</f>
        <v>0</v>
      </c>
      <c r="DO34" s="442">
        <f>IF($A34="","",INDEX('Data Interface'!X:X,$A34))</f>
        <v>0</v>
      </c>
      <c r="DP34" s="442">
        <f>IF($A34="","",INDEX('Data Interface'!Y:Y,$A34))</f>
        <v>0</v>
      </c>
      <c r="DQ34" s="442">
        <f>IF($A34="","",INDEX('Data Interface'!Z:Z,$A34))</f>
        <v>0</v>
      </c>
      <c r="DR34" s="442">
        <f>IF($A34="","",INDEX('Data Interface'!AA:AA,$A34))</f>
        <v>0</v>
      </c>
      <c r="DS34" s="442">
        <f>IF($A34="","",INDEX('Data Interface'!AB:AB,$A34))</f>
        <v>0</v>
      </c>
      <c r="DT34" s="442">
        <f>IF($A34="","",INDEX('Data Interface'!AC:AC,$A34))</f>
        <v>0</v>
      </c>
      <c r="DU34" s="442">
        <f>IF($A34="","",INDEX('Data Interface'!AD:AD,$A34))</f>
        <v>0</v>
      </c>
      <c r="DV34" s="442">
        <f>IF($A34="","",INDEX('Data Interface'!AE:AE,$A34))</f>
        <v>0</v>
      </c>
      <c r="DW34" s="442">
        <f>IF($A34="","",INDEX('Data Interface'!AF:AF,$A34))</f>
        <v>0</v>
      </c>
      <c r="DX34" s="442">
        <f>IF($A34="","",INDEX('Data Interface'!AG:AG,$A34))</f>
        <v>0</v>
      </c>
      <c r="DZ34" s="906" t="str">
        <f>IF(OR($B34=0,$A34=0,$H34&lt;&gt;1),"",INDEX(Assumptions!EO:EO,$B34))</f>
        <v/>
      </c>
      <c r="EA34" s="906" t="str">
        <f>IF(OR($B34=0,$A34=0,$H34&lt;&gt;1),"",INDEX(Assumptions!EP:EP,$B34))</f>
        <v/>
      </c>
      <c r="EB34" s="906" t="str">
        <f>IF(OR($B34=0,$A34=0,$H34&lt;&gt;1),"",INDEX(Assumptions!EQ:EQ,$B34))</f>
        <v/>
      </c>
      <c r="EC34" s="906" t="str">
        <f>IF(OR($B34=0,$A34=0,$H34&lt;&gt;1),"",INDEX(Assumptions!ER:ER,$B34))</f>
        <v/>
      </c>
      <c r="ED34" s="906" t="str">
        <f>IF(OR($B34=0,$A34=0,$H34&lt;&gt;1),"",INDEX(Assumptions!ES:ES,$B34))</f>
        <v/>
      </c>
      <c r="EE34" s="906" t="str">
        <f>IF(OR($B34=0,$A34=0,$H34&lt;&gt;1),"",INDEX(Assumptions!ET:ET,$B34))</f>
        <v/>
      </c>
      <c r="EF34" s="906" t="str">
        <f>IF(OR($B34=0,$A34=0,$H34&lt;&gt;1),"",INDEX(Assumptions!EU:EU,$B34))</f>
        <v/>
      </c>
      <c r="EG34" s="906" t="str">
        <f>IF(OR($B34=0,$A34=0,$H34&lt;&gt;1),"",INDEX(Assumptions!EV:EV,$B34))</f>
        <v/>
      </c>
      <c r="EH34" s="906" t="str">
        <f>IF(OR($B34=0,$A34=0,$H34&lt;&gt;1),"",INDEX(Assumptions!EW:EW,$B34))</f>
        <v/>
      </c>
      <c r="EI34" s="906" t="str">
        <f>IF(OR($B34=0,$A34=0,$H34&lt;&gt;1),"",INDEX(Assumptions!EX:EX,$B34))</f>
        <v/>
      </c>
      <c r="EJ34" s="906" t="str">
        <f>IF(OR($B34=0,$A34=0,$H34&lt;&gt;1),"",INDEX(Assumptions!EY:EY,$B34))</f>
        <v/>
      </c>
      <c r="EK34" s="906" t="str">
        <f>IF(OR($B34=0,$A34=0,$H34&lt;&gt;1),"",INDEX(Assumptions!EZ:EZ,$B34))</f>
        <v/>
      </c>
      <c r="EL34" s="906" t="str">
        <f>IF(OR($B34=0,$A34=0,$H34&lt;&gt;1),"",INDEX(Assumptions!FA:FA,$B34))</f>
        <v/>
      </c>
      <c r="EM34" s="906" t="str">
        <f>IF(OR($B34=0,$A34=0,$H34&lt;&gt;1),"",INDEX(Assumptions!FB:FB,$B34))</f>
        <v/>
      </c>
      <c r="EN34" s="906" t="str">
        <f>IF(OR($B34=0,$A34=0,$H34&lt;&gt;1),"",INDEX(Assumptions!FC:FC,$B34))</f>
        <v/>
      </c>
      <c r="EO34" s="906" t="str">
        <f>IF(OR($B34=0,$A34=0,$H34&lt;&gt;1),"",INDEX(Assumptions!FD:FD,$B34))</f>
        <v/>
      </c>
      <c r="EP34" s="906" t="str">
        <f>IF(OR($B34=0,$A34=0,$H34&lt;&gt;1),"",INDEX(Assumptions!FE:FE,$B34))</f>
        <v/>
      </c>
      <c r="EQ34" s="906" t="str">
        <f>IF(OR($B34=0,$A34=0,$H34&lt;&gt;1),"",INDEX(Assumptions!FF:FF,$B34))</f>
        <v/>
      </c>
      <c r="ER34" s="906" t="str">
        <f>IF(OR($B34=0,$A34=0,$H34&lt;&gt;1),"",INDEX(Assumptions!FG:FG,$B34))</f>
        <v/>
      </c>
      <c r="ES34" s="906" t="str">
        <f>IF(OR($B34=0,$A34=0,$H34&lt;&gt;1),"",INDEX(Assumptions!FH:FH,$B34))</f>
        <v/>
      </c>
      <c r="ET34" s="906" t="str">
        <f>IF(OR($B34=0,$A34=0,$H34&lt;&gt;1),"",INDEX(Assumptions!FI:FI,$B34))</f>
        <v/>
      </c>
      <c r="EU34" s="906" t="str">
        <f>IF(OR($B34=0,$A34=0,$H34&lt;&gt;1),"",INDEX(Assumptions!FJ:FJ,$B34))</f>
        <v/>
      </c>
      <c r="EV34" s="906" t="str">
        <f>IF(OR($B34=0,$A34=0,$H34&lt;&gt;1),"",INDEX(Assumptions!FK:FK,$B34))</f>
        <v/>
      </c>
      <c r="EW34" s="906" t="str">
        <f>IF(OR($B34=0,$A34=0,$H34&lt;&gt;1),"",INDEX(Assumptions!FL:FL,$B34))</f>
        <v/>
      </c>
      <c r="EX34" s="906" t="str">
        <f>IF(OR($B34=0,$A34=0,$H34&lt;&gt;1),"",INDEX(Assumptions!FM:FM,$B34))</f>
        <v/>
      </c>
      <c r="EY34" s="906" t="str">
        <f>IF(OR($B34=0,$A34=0,$H34&lt;&gt;1),"",INDEX(Assumptions!FN:FN,$B34))</f>
        <v/>
      </c>
      <c r="EZ34" s="906" t="str">
        <f>IF(OR($B34=0,$A34=0,$H34&lt;&gt;1),"",INDEX(Assumptions!FO:FO,$B34))</f>
        <v/>
      </c>
      <c r="FB34" s="820" t="str">
        <f t="shared" si="18"/>
        <v/>
      </c>
      <c r="FC34" s="820" t="str">
        <f t="shared" si="19"/>
        <v/>
      </c>
      <c r="FD34" s="820" t="str">
        <f t="shared" si="20"/>
        <v/>
      </c>
      <c r="FE34" s="820" t="str">
        <f t="shared" si="21"/>
        <v/>
      </c>
      <c r="FF34" s="820" t="str">
        <f t="shared" si="22"/>
        <v/>
      </c>
    </row>
    <row r="35" spans="1:162">
      <c r="A35" s="440">
        <f>IFERROR(MATCH(C35,'Data Interface'!B:B,0),0)</f>
        <v>30</v>
      </c>
      <c r="B35" s="440">
        <f>IFERROR(MATCH(C35,Assumptions!$B:$B,0),0)</f>
        <v>48</v>
      </c>
      <c r="C35" s="441" t="s">
        <v>1351</v>
      </c>
      <c r="E35" s="441" t="s">
        <v>1219</v>
      </c>
      <c r="F35" s="440" t="s">
        <v>34</v>
      </c>
      <c r="G35" s="440" t="str">
        <f>IF(A35=0,"",INDEX('Data Interface'!$C:$C,$A35))</f>
        <v>Due to Affiliate - Investment - BOC HK LTD</v>
      </c>
      <c r="H35" s="440">
        <v>0</v>
      </c>
      <c r="I35" s="819">
        <f t="shared" ca="1" si="10"/>
        <v>0.12</v>
      </c>
      <c r="J35" s="819">
        <f t="shared" ca="1" si="11"/>
        <v>0.15000000000000002</v>
      </c>
      <c r="K35" s="439" t="str">
        <f t="shared" ca="1" si="12"/>
        <v>12% of Current Balance</v>
      </c>
      <c r="L35" s="439" t="s">
        <v>1149</v>
      </c>
      <c r="M35" s="439" t="s">
        <v>1528</v>
      </c>
      <c r="O35" s="442">
        <f>IF(OR($A35="",$A35=0),0,INDEX('Data Interface'!D:D,$A35))</f>
        <v>8.2450289999999996E-2</v>
      </c>
      <c r="P35" s="442">
        <f ca="1">$O35-SUM($AS35:AS35)</f>
        <v>7.9152278399999998E-2</v>
      </c>
      <c r="Q35" s="442">
        <f ca="1">$O35-SUM($AS35:AT35)</f>
        <v>7.8602609800000001E-2</v>
      </c>
      <c r="R35" s="442">
        <f ca="1">$O35-SUM($AS35:AU35)</f>
        <v>7.8052941200000003E-2</v>
      </c>
      <c r="S35" s="442">
        <f ca="1">$O35-SUM($AS35:AV35)</f>
        <v>7.7503272599999992E-2</v>
      </c>
      <c r="T35" s="442">
        <f ca="1">$O35-SUM($AS35:AW35)</f>
        <v>7.6953603999999995E-2</v>
      </c>
      <c r="U35" s="442">
        <f ca="1">$O35-SUM($AS35:AX35)</f>
        <v>7.6403935399999998E-2</v>
      </c>
      <c r="V35" s="442">
        <f ca="1">$O35-SUM($AS35:AY35)</f>
        <v>7.58542668E-2</v>
      </c>
      <c r="W35" s="442">
        <f ca="1">$O35-SUM($AS35:AZ35)</f>
        <v>7.5383122285714282E-2</v>
      </c>
      <c r="X35" s="442">
        <f ca="1">$O35-SUM($AS35:BA35)</f>
        <v>7.4911977771428565E-2</v>
      </c>
      <c r="Y35" s="442">
        <f ca="1">$O35-SUM($AS35:BB35)</f>
        <v>7.4440833257142847E-2</v>
      </c>
      <c r="Z35" s="442">
        <f ca="1">$O35-SUM($AS35:BC35)</f>
        <v>7.3969688742857143E-2</v>
      </c>
      <c r="AA35" s="442">
        <f ca="1">$O35-SUM($AS35:BD35)</f>
        <v>7.3498544228571425E-2</v>
      </c>
      <c r="AB35" s="442">
        <f ca="1">$O35-SUM($AS35:BE35)</f>
        <v>7.3027399714285707E-2</v>
      </c>
      <c r="AC35" s="442">
        <f ca="1">$O35-SUM($AS35:BF35)</f>
        <v>7.2556255200000003E-2</v>
      </c>
      <c r="AD35" s="442">
        <f ca="1">$O35-SUM($AS35:BG35)</f>
        <v>7.1319500849999995E-2</v>
      </c>
      <c r="AE35" s="442">
        <f ca="1">$O35-SUM($AS35:BH35)</f>
        <v>7.0082746499999987E-2</v>
      </c>
      <c r="AF35" s="442">
        <f ca="1">$O35-SUM($AS35:BI35)</f>
        <v>6.8845992149999993E-2</v>
      </c>
      <c r="AG35" s="442">
        <f ca="1">$O35-SUM($AS35:BJ35)</f>
        <v>6.7609237799999999E-2</v>
      </c>
      <c r="AH35" s="442">
        <f ca="1">$O35-SUM($AS35:BK35)</f>
        <v>6.7196986349999988E-2</v>
      </c>
      <c r="AI35" s="442">
        <f ca="1">$O35-SUM($AS35:BL35)</f>
        <v>6.678473489999999E-2</v>
      </c>
      <c r="AJ35" s="442">
        <f ca="1">$O35-SUM($AS35:BM35)</f>
        <v>6.6372483449999992E-2</v>
      </c>
      <c r="AK35" s="442">
        <f ca="1">$O35-SUM($AS35:BN35)</f>
        <v>6.5960231999999994E-2</v>
      </c>
      <c r="AL35" s="442">
        <f ca="1">$O35-SUM($AS35:BO35)</f>
        <v>6.5547980549999996E-2</v>
      </c>
      <c r="AM35" s="442">
        <f ca="1">$O35-SUM($AS35:BP35)</f>
        <v>6.5135729099999984E-2</v>
      </c>
      <c r="AN35" s="442">
        <f ca="1">$O35-SUM($AS35:BQ35)</f>
        <v>6.4723477649999986E-2</v>
      </c>
      <c r="AO35" s="442">
        <f ca="1">$O35-SUM($AS35:BR35)</f>
        <v>6.4311226199999988E-2</v>
      </c>
      <c r="AP35" s="442">
        <f ca="1">$O35-SUM($AS35:BS35)</f>
        <v>6.3898974749999976E-2</v>
      </c>
      <c r="AR35" s="439" t="s">
        <v>1202</v>
      </c>
      <c r="AS35" s="442">
        <f ca="1">IF($H35="",0,IF($H35=1,IF('Para Adj'!$B$5 = 1,O35-($O35-SUMPRODUCT($CX35:CX35,$BU35:BU35))*(1-SUM($DZ35:DZ35)),BU35*CX35),$O35*BU35))</f>
        <v>3.2980115999999993E-3</v>
      </c>
      <c r="AT35" s="442">
        <f ca="1">IF($H35="",0,IF($H35=1,IF('Para Adj'!$B$5 = 1,P35-($O35-SUMPRODUCT($CX35:CY35,$BU35:BV35))*(1-SUM($DZ35:EA35)),BV35*CY35),$O35*BV35))</f>
        <v>5.4966859999999989E-4</v>
      </c>
      <c r="AU35" s="442">
        <f ca="1">IF($H35="",0,IF($H35=1,IF('Para Adj'!$B$5 = 1,Q35-($O35-SUMPRODUCT($CX35:CZ35,$BU35:BW35))*(1-SUM($DZ35:EB35)),BW35*CZ35),$O35*BW35))</f>
        <v>5.4966859999999989E-4</v>
      </c>
      <c r="AV35" s="442">
        <f ca="1">IF($H35="",0,IF($H35=1,IF('Para Adj'!$B$5 = 1,R35-($O35-SUMPRODUCT($CX35:DA35,$BU35:BX35))*(1-SUM($DZ35:EC35)),BX35*DA35),$O35*BX35))</f>
        <v>5.4966859999999989E-4</v>
      </c>
      <c r="AW35" s="442">
        <f ca="1">IF($H35="",0,IF($H35=1,IF('Para Adj'!$B$5 = 1,S35-($O35-SUMPRODUCT($CX35:DB35,$BU35:BY35))*(1-SUM($DZ35:ED35)),BY35*DB35),$O35*BY35))</f>
        <v>5.4966859999999989E-4</v>
      </c>
      <c r="AX35" s="442">
        <f ca="1">IF($H35="",0,IF($H35=1,IF('Para Adj'!$B$5 = 1,T35-($O35-SUMPRODUCT($CX35:DC35,$BU35:BZ35))*(1-SUM($DZ35:EE35)),BZ35*DC35),$O35*BZ35))</f>
        <v>5.4966859999999989E-4</v>
      </c>
      <c r="AY35" s="442">
        <f ca="1">IF($H35="",0,IF($H35=1,IF('Para Adj'!$B$5 = 1,U35-($O35-SUMPRODUCT($CX35:DD35,$BU35:CA35))*(1-SUM($DZ35:EF35)),CA35*DD35),$O35*CA35))</f>
        <v>5.4966859999999989E-4</v>
      </c>
      <c r="AZ35" s="442">
        <f ca="1">IF($H35="",0,IF($H35=1,IF('Para Adj'!$B$5 = 1,V35-($O35-SUMPRODUCT($CX35:DE35,$BU35:CB35))*(1-SUM($DZ35:EG35)),CB35*DE35),$O35*CB35))</f>
        <v>4.7114451428571428E-4</v>
      </c>
      <c r="BA35" s="442">
        <f ca="1">IF($H35="",0,IF($H35=1,IF('Para Adj'!$B$5 = 1,W35-($O35-SUMPRODUCT($CX35:DF35,$BU35:CC35))*(1-SUM($DZ35:EH35)),CC35*DF35),$O35*CC35))</f>
        <v>4.7114451428571428E-4</v>
      </c>
      <c r="BB35" s="442">
        <f ca="1">IF($H35="",0,IF($H35=1,IF('Para Adj'!$B$5 = 1,X35-($O35-SUMPRODUCT($CX35:DG35,$BU35:CD35))*(1-SUM($DZ35:EI35)),CD35*DG35),$O35*CD35))</f>
        <v>4.7114451428571428E-4</v>
      </c>
      <c r="BC35" s="442">
        <f ca="1">IF($H35="",0,IF($H35=1,IF('Para Adj'!$B$5 = 1,Y35-($O35-SUMPRODUCT($CX35:DH35,$BU35:CE35))*(1-SUM($DZ35:EJ35)),CE35*DH35),$O35*CE35))</f>
        <v>4.7114451428571428E-4</v>
      </c>
      <c r="BD35" s="442">
        <f ca="1">IF($H35="",0,IF($H35=1,IF('Para Adj'!$B$5 = 1,Z35-($O35-SUMPRODUCT($CX35:DI35,$BU35:CF35))*(1-SUM($DZ35:EK35)),CF35*DI35),$O35*CF35))</f>
        <v>4.7114451428571428E-4</v>
      </c>
      <c r="BE35" s="442">
        <f ca="1">IF($H35="",0,IF($H35=1,IF('Para Adj'!$B$5 = 1,AA35-($O35-SUMPRODUCT($CX35:DJ35,$BU35:CG35))*(1-SUM($DZ35:EL35)),CG35*DJ35),$O35*CG35))</f>
        <v>4.7114451428571428E-4</v>
      </c>
      <c r="BF35" s="442">
        <f ca="1">IF($H35="",0,IF($H35=1,IF('Para Adj'!$B$5 = 1,AB35-($O35-SUMPRODUCT($CX35:DK35,$BU35:CH35))*(1-SUM($DZ35:EM35)),CH35*DK35),$O35*CH35))</f>
        <v>4.7114451428571428E-4</v>
      </c>
      <c r="BG35" s="442">
        <f ca="1">IF($H35="",0,IF($H35=1,IF('Para Adj'!$B$5 = 1,AC35-($O35-SUMPRODUCT($CX35:DL35,$BU35:CI35))*(1-SUM($DZ35:EN35)),CI35*DL35),$O35*CI35))</f>
        <v>1.23675435E-3</v>
      </c>
      <c r="BH35" s="442">
        <f ca="1">IF($H35="",0,IF($H35=1,IF('Para Adj'!$B$5 = 1,AD35-($O35-SUMPRODUCT($CX35:DM35,$BU35:CJ35))*(1-SUM($DZ35:EO35)),CJ35*DM35),$O35*CJ35))</f>
        <v>1.23675435E-3</v>
      </c>
      <c r="BI35" s="442">
        <f ca="1">IF($H35="",0,IF($H35=1,IF('Para Adj'!$B$5 = 1,AE35-($O35-SUMPRODUCT($CX35:DN35,$BU35:CK35))*(1-SUM($DZ35:EP35)),CK35*DN35),$O35*CK35))</f>
        <v>1.23675435E-3</v>
      </c>
      <c r="BJ35" s="442">
        <f ca="1">IF($H35="",0,IF($H35=1,IF('Para Adj'!$B$5 = 1,AF35-($O35-SUMPRODUCT($CX35:DO35,$BU35:CL35))*(1-SUM($DZ35:EQ35)),CL35*DO35),$O35*CL35))</f>
        <v>1.23675435E-3</v>
      </c>
      <c r="BK35" s="442">
        <f ca="1">IF($H35="",0,IF($H35=1,IF('Para Adj'!$B$5 = 1,AG35-($O35-SUMPRODUCT($CX35:DP35,$BU35:CM35))*(1-SUM($DZ35:ER35)),CM35*DP35),$O35*CM35))</f>
        <v>4.1225144999999986E-4</v>
      </c>
      <c r="BL35" s="442">
        <f ca="1">IF($H35="",0,IF($H35=1,IF('Para Adj'!$B$5 = 1,AH35-($O35-SUMPRODUCT($CX35:DQ35,$BU35:CN35))*(1-SUM($DZ35:ES35)),CN35*DQ35),$O35*CN35))</f>
        <v>4.1225144999999986E-4</v>
      </c>
      <c r="BM35" s="442">
        <f ca="1">IF($H35="",0,IF($H35=1,IF('Para Adj'!$B$5 = 1,AI35-($O35-SUMPRODUCT($CX35:DR35,$BU35:CO35))*(1-SUM($DZ35:ET35)),CO35*DR35),$O35*CO35))</f>
        <v>4.1225144999999986E-4</v>
      </c>
      <c r="BN35" s="442">
        <f ca="1">IF($H35="",0,IF($H35=1,IF('Para Adj'!$B$5 = 1,AJ35-($O35-SUMPRODUCT($CX35:DS35,$BU35:CP35))*(1-SUM($DZ35:EU35)),CP35*DS35),$O35*CP35))</f>
        <v>4.1225144999999986E-4</v>
      </c>
      <c r="BO35" s="442">
        <f ca="1">IF($H35="",0,IF($H35=1,IF('Para Adj'!$B$5 = 1,AK35-($O35-SUMPRODUCT($CX35:DT35,$BU35:CQ35))*(1-SUM($DZ35:EV35)),CQ35*DT35),$O35*CQ35))</f>
        <v>4.1225144999999986E-4</v>
      </c>
      <c r="BP35" s="442">
        <f ca="1">IF($H35="",0,IF($H35=1,IF('Para Adj'!$B$5 = 1,AL35-($O35-SUMPRODUCT($CX35:DU35,$BU35:CR35))*(1-SUM($DZ35:EW35)),CR35*DU35),$O35*CR35))</f>
        <v>4.1225144999999986E-4</v>
      </c>
      <c r="BQ35" s="442">
        <f ca="1">IF($H35="",0,IF($H35=1,IF('Para Adj'!$B$5 = 1,AM35-($O35-SUMPRODUCT($CX35:DV35,$BU35:CS35))*(1-SUM($DZ35:EX35)),CS35*DV35),$O35*CS35))</f>
        <v>4.1225144999999986E-4</v>
      </c>
      <c r="BR35" s="442">
        <f ca="1">IF($H35="",0,IF($H35=1,IF('Para Adj'!$B$5 = 1,AN35-($O35-SUMPRODUCT($CX35:DW35,$BU35:CT35))*(1-SUM($DZ35:EY35)),CT35*DW35),$O35*CT35))</f>
        <v>4.1225144999999986E-4</v>
      </c>
      <c r="BS35" s="442">
        <f ca="1">IF($H35="",0,IF($H35=1,IF('Para Adj'!$B$5 = 1,AO35-($O35-SUMPRODUCT($CX35:DX35,$BU35:CU35))*(1-SUM($DZ35:EZ35)),CU35*DX35),$O35*CU35))</f>
        <v>4.1225144999999986E-4</v>
      </c>
      <c r="BU35" s="820">
        <f ca="1">IF($B35=0,"",INDEX(Assumptions!G:G,$B35))</f>
        <v>3.9999999999999994E-2</v>
      </c>
      <c r="BV35" s="820">
        <f ca="1">IF($B35=0,"",INDEX(Assumptions!H:H,$B35))</f>
        <v>6.6666666666666662E-3</v>
      </c>
      <c r="BW35" s="820">
        <f ca="1">IF($B35=0,"",INDEX(Assumptions!I:I,$B35))</f>
        <v>6.6666666666666662E-3</v>
      </c>
      <c r="BX35" s="820">
        <f ca="1">IF($B35=0,"",INDEX(Assumptions!J:J,$B35))</f>
        <v>6.6666666666666662E-3</v>
      </c>
      <c r="BY35" s="820">
        <f ca="1">IF($B35=0,"",INDEX(Assumptions!K:K,$B35))</f>
        <v>6.6666666666666662E-3</v>
      </c>
      <c r="BZ35" s="820">
        <f ca="1">IF($B35=0,"",INDEX(Assumptions!L:L,$B35))</f>
        <v>6.6666666666666662E-3</v>
      </c>
      <c r="CA35" s="820">
        <f ca="1">IF($B35=0,"",INDEX(Assumptions!M:M,$B35))</f>
        <v>6.6666666666666662E-3</v>
      </c>
      <c r="CB35" s="820">
        <f ca="1">IF($B35=0,"",INDEX(Assumptions!N:N,$B35))</f>
        <v>5.7142857142857143E-3</v>
      </c>
      <c r="CC35" s="820">
        <f ca="1">IF($B35=0,"",INDEX(Assumptions!O:O,$B35))</f>
        <v>5.7142857142857143E-3</v>
      </c>
      <c r="CD35" s="820">
        <f ca="1">IF($B35=0,"",INDEX(Assumptions!P:P,$B35))</f>
        <v>5.7142857142857143E-3</v>
      </c>
      <c r="CE35" s="820">
        <f ca="1">IF($B35=0,"",INDEX(Assumptions!Q:Q,$B35))</f>
        <v>5.7142857142857143E-3</v>
      </c>
      <c r="CF35" s="820">
        <f ca="1">IF($B35=0,"",INDEX(Assumptions!R:R,$B35))</f>
        <v>5.7142857142857143E-3</v>
      </c>
      <c r="CG35" s="820">
        <f ca="1">IF($B35=0,"",INDEX(Assumptions!S:S,$B35))</f>
        <v>5.7142857142857143E-3</v>
      </c>
      <c r="CH35" s="820">
        <f ca="1">IF($B35=0,"",INDEX(Assumptions!T:T,$B35))</f>
        <v>5.7142857142857143E-3</v>
      </c>
      <c r="CI35" s="820">
        <f ca="1">IF($B35=0,"",INDEX(Assumptions!U:U,$B35))</f>
        <v>1.4999999999999999E-2</v>
      </c>
      <c r="CJ35" s="820">
        <f ca="1">IF($B35=0,"",INDEX(Assumptions!V:V,$B35))</f>
        <v>1.4999999999999999E-2</v>
      </c>
      <c r="CK35" s="820">
        <f ca="1">IF($B35=0,"",INDEX(Assumptions!W:W,$B35))</f>
        <v>1.4999999999999999E-2</v>
      </c>
      <c r="CL35" s="820">
        <f ca="1">IF($B35=0,"",INDEX(Assumptions!X:X,$B35))</f>
        <v>1.4999999999999999E-2</v>
      </c>
      <c r="CM35" s="820">
        <f ca="1">IF($B35=0,"",INDEX(Assumptions!Y:Y,$B35))</f>
        <v>4.9999999999999984E-3</v>
      </c>
      <c r="CN35" s="820">
        <f ca="1">IF($B35=0,"",INDEX(Assumptions!Z:Z,$B35))</f>
        <v>4.9999999999999984E-3</v>
      </c>
      <c r="CO35" s="820">
        <f ca="1">IF($B35=0,"",INDEX(Assumptions!AA:AA,$B35))</f>
        <v>4.9999999999999984E-3</v>
      </c>
      <c r="CP35" s="820">
        <f ca="1">IF($B35=0,"",INDEX(Assumptions!AB:AB,$B35))</f>
        <v>4.9999999999999984E-3</v>
      </c>
      <c r="CQ35" s="820">
        <f ca="1">IF($B35=0,"",INDEX(Assumptions!AC:AC,$B35))</f>
        <v>4.9999999999999984E-3</v>
      </c>
      <c r="CR35" s="820">
        <f ca="1">IF($B35=0,"",INDEX(Assumptions!AD:AD,$B35))</f>
        <v>4.9999999999999984E-3</v>
      </c>
      <c r="CS35" s="820">
        <f ca="1">IF($B35=0,"",INDEX(Assumptions!AE:AE,$B35))</f>
        <v>4.9999999999999984E-3</v>
      </c>
      <c r="CT35" s="820">
        <f ca="1">IF($B35=0,"",INDEX(Assumptions!AF:AF,$B35))</f>
        <v>4.9999999999999984E-3</v>
      </c>
      <c r="CU35" s="820">
        <f ca="1">IF($B35=0,"",INDEX(Assumptions!AG:AG,$B35))</f>
        <v>4.9999999999999984E-3</v>
      </c>
      <c r="CX35" s="442">
        <f>IF($A35="","",INDEX('Data Interface'!G:G,$A35))</f>
        <v>8.2450289999999996E-2</v>
      </c>
      <c r="CY35" s="442">
        <f>IF($A35="","",INDEX('Data Interface'!H:H,$A35))</f>
        <v>0</v>
      </c>
      <c r="CZ35" s="442">
        <f>IF($A35="","",INDEX('Data Interface'!I:I,$A35))</f>
        <v>0</v>
      </c>
      <c r="DA35" s="442">
        <f>IF($A35="","",INDEX('Data Interface'!J:J,$A35))</f>
        <v>0</v>
      </c>
      <c r="DB35" s="442">
        <f>IF($A35="","",INDEX('Data Interface'!K:K,$A35))</f>
        <v>0</v>
      </c>
      <c r="DC35" s="442">
        <f>IF($A35="","",INDEX('Data Interface'!L:L,$A35))</f>
        <v>0</v>
      </c>
      <c r="DD35" s="442">
        <f>IF($A35="","",INDEX('Data Interface'!M:M,$A35))</f>
        <v>0</v>
      </c>
      <c r="DE35" s="442">
        <f>IF($A35="","",INDEX('Data Interface'!N:N,$A35))</f>
        <v>0</v>
      </c>
      <c r="DF35" s="442">
        <f>IF($A35="","",INDEX('Data Interface'!O:O,$A35))</f>
        <v>0</v>
      </c>
      <c r="DG35" s="442">
        <f>IF($A35="","",INDEX('Data Interface'!P:P,$A35))</f>
        <v>0</v>
      </c>
      <c r="DH35" s="442">
        <f>IF($A35="","",INDEX('Data Interface'!Q:Q,$A35))</f>
        <v>0</v>
      </c>
      <c r="DI35" s="442">
        <f>IF($A35="","",INDEX('Data Interface'!R:R,$A35))</f>
        <v>0</v>
      </c>
      <c r="DJ35" s="442">
        <f>IF($A35="","",INDEX('Data Interface'!S:S,$A35))</f>
        <v>0</v>
      </c>
      <c r="DK35" s="442">
        <f>IF($A35="","",INDEX('Data Interface'!T:T,$A35))</f>
        <v>0</v>
      </c>
      <c r="DL35" s="442">
        <f>IF($A35="","",INDEX('Data Interface'!U:U,$A35))</f>
        <v>0</v>
      </c>
      <c r="DM35" s="442">
        <f>IF($A35="","",INDEX('Data Interface'!V:V,$A35))</f>
        <v>0</v>
      </c>
      <c r="DN35" s="442">
        <f>IF($A35="","",INDEX('Data Interface'!W:W,$A35))</f>
        <v>0</v>
      </c>
      <c r="DO35" s="442">
        <f>IF($A35="","",INDEX('Data Interface'!X:X,$A35))</f>
        <v>0</v>
      </c>
      <c r="DP35" s="442">
        <f>IF($A35="","",INDEX('Data Interface'!Y:Y,$A35))</f>
        <v>0</v>
      </c>
      <c r="DQ35" s="442">
        <f>IF($A35="","",INDEX('Data Interface'!Z:Z,$A35))</f>
        <v>0</v>
      </c>
      <c r="DR35" s="442">
        <f>IF($A35="","",INDEX('Data Interface'!AA:AA,$A35))</f>
        <v>0</v>
      </c>
      <c r="DS35" s="442">
        <f>IF($A35="","",INDEX('Data Interface'!AB:AB,$A35))</f>
        <v>0</v>
      </c>
      <c r="DT35" s="442">
        <f>IF($A35="","",INDEX('Data Interface'!AC:AC,$A35))</f>
        <v>0</v>
      </c>
      <c r="DU35" s="442">
        <f>IF($A35="","",INDEX('Data Interface'!AD:AD,$A35))</f>
        <v>0</v>
      </c>
      <c r="DV35" s="442">
        <f>IF($A35="","",INDEX('Data Interface'!AE:AE,$A35))</f>
        <v>0</v>
      </c>
      <c r="DW35" s="442">
        <f>IF($A35="","",INDEX('Data Interface'!AF:AF,$A35))</f>
        <v>0</v>
      </c>
      <c r="DX35" s="442">
        <f>IF($A35="","",INDEX('Data Interface'!AG:AG,$A35))</f>
        <v>0</v>
      </c>
      <c r="DZ35" s="906" t="str">
        <f>IF(OR($B35=0,$A35=0,$H35&lt;&gt;1),"",INDEX(Assumptions!EO:EO,$B35))</f>
        <v/>
      </c>
      <c r="EA35" s="906" t="str">
        <f>IF(OR($B35=0,$A35=0,$H35&lt;&gt;1),"",INDEX(Assumptions!EP:EP,$B35))</f>
        <v/>
      </c>
      <c r="EB35" s="906" t="str">
        <f>IF(OR($B35=0,$A35=0,$H35&lt;&gt;1),"",INDEX(Assumptions!EQ:EQ,$B35))</f>
        <v/>
      </c>
      <c r="EC35" s="906" t="str">
        <f>IF(OR($B35=0,$A35=0,$H35&lt;&gt;1),"",INDEX(Assumptions!ER:ER,$B35))</f>
        <v/>
      </c>
      <c r="ED35" s="906" t="str">
        <f>IF(OR($B35=0,$A35=0,$H35&lt;&gt;1),"",INDEX(Assumptions!ES:ES,$B35))</f>
        <v/>
      </c>
      <c r="EE35" s="906" t="str">
        <f>IF(OR($B35=0,$A35=0,$H35&lt;&gt;1),"",INDEX(Assumptions!ET:ET,$B35))</f>
        <v/>
      </c>
      <c r="EF35" s="906" t="str">
        <f>IF(OR($B35=0,$A35=0,$H35&lt;&gt;1),"",INDEX(Assumptions!EU:EU,$B35))</f>
        <v/>
      </c>
      <c r="EG35" s="906" t="str">
        <f>IF(OR($B35=0,$A35=0,$H35&lt;&gt;1),"",INDEX(Assumptions!EV:EV,$B35))</f>
        <v/>
      </c>
      <c r="EH35" s="906" t="str">
        <f>IF(OR($B35=0,$A35=0,$H35&lt;&gt;1),"",INDEX(Assumptions!EW:EW,$B35))</f>
        <v/>
      </c>
      <c r="EI35" s="906" t="str">
        <f>IF(OR($B35=0,$A35=0,$H35&lt;&gt;1),"",INDEX(Assumptions!EX:EX,$B35))</f>
        <v/>
      </c>
      <c r="EJ35" s="906" t="str">
        <f>IF(OR($B35=0,$A35=0,$H35&lt;&gt;1),"",INDEX(Assumptions!EY:EY,$B35))</f>
        <v/>
      </c>
      <c r="EK35" s="906" t="str">
        <f>IF(OR($B35=0,$A35=0,$H35&lt;&gt;1),"",INDEX(Assumptions!EZ:EZ,$B35))</f>
        <v/>
      </c>
      <c r="EL35" s="906" t="str">
        <f>IF(OR($B35=0,$A35=0,$H35&lt;&gt;1),"",INDEX(Assumptions!FA:FA,$B35))</f>
        <v/>
      </c>
      <c r="EM35" s="906" t="str">
        <f>IF(OR($B35=0,$A35=0,$H35&lt;&gt;1),"",INDEX(Assumptions!FB:FB,$B35))</f>
        <v/>
      </c>
      <c r="EN35" s="906" t="str">
        <f>IF(OR($B35=0,$A35=0,$H35&lt;&gt;1),"",INDEX(Assumptions!FC:FC,$B35))</f>
        <v/>
      </c>
      <c r="EO35" s="906" t="str">
        <f>IF(OR($B35=0,$A35=0,$H35&lt;&gt;1),"",INDEX(Assumptions!FD:FD,$B35))</f>
        <v/>
      </c>
      <c r="EP35" s="906" t="str">
        <f>IF(OR($B35=0,$A35=0,$H35&lt;&gt;1),"",INDEX(Assumptions!FE:FE,$B35))</f>
        <v/>
      </c>
      <c r="EQ35" s="906" t="str">
        <f>IF(OR($B35=0,$A35=0,$H35&lt;&gt;1),"",INDEX(Assumptions!FF:FF,$B35))</f>
        <v/>
      </c>
      <c r="ER35" s="906" t="str">
        <f>IF(OR($B35=0,$A35=0,$H35&lt;&gt;1),"",INDEX(Assumptions!FG:FG,$B35))</f>
        <v/>
      </c>
      <c r="ES35" s="906" t="str">
        <f>IF(OR($B35=0,$A35=0,$H35&lt;&gt;1),"",INDEX(Assumptions!FH:FH,$B35))</f>
        <v/>
      </c>
      <c r="ET35" s="906" t="str">
        <f>IF(OR($B35=0,$A35=0,$H35&lt;&gt;1),"",INDEX(Assumptions!FI:FI,$B35))</f>
        <v/>
      </c>
      <c r="EU35" s="906" t="str">
        <f>IF(OR($B35=0,$A35=0,$H35&lt;&gt;1),"",INDEX(Assumptions!FJ:FJ,$B35))</f>
        <v/>
      </c>
      <c r="EV35" s="906" t="str">
        <f>IF(OR($B35=0,$A35=0,$H35&lt;&gt;1),"",INDEX(Assumptions!FK:FK,$B35))</f>
        <v/>
      </c>
      <c r="EW35" s="906" t="str">
        <f>IF(OR($B35=0,$A35=0,$H35&lt;&gt;1),"",INDEX(Assumptions!FL:FL,$B35))</f>
        <v/>
      </c>
      <c r="EX35" s="906" t="str">
        <f>IF(OR($B35=0,$A35=0,$H35&lt;&gt;1),"",INDEX(Assumptions!FM:FM,$B35))</f>
        <v/>
      </c>
      <c r="EY35" s="906" t="str">
        <f>IF(OR($B35=0,$A35=0,$H35&lt;&gt;1),"",INDEX(Assumptions!FN:FN,$B35))</f>
        <v/>
      </c>
      <c r="EZ35" s="906" t="str">
        <f>IF(OR($B35=0,$A35=0,$H35&lt;&gt;1),"",INDEX(Assumptions!FO:FO,$B35))</f>
        <v/>
      </c>
      <c r="FB35" s="820" t="str">
        <f t="shared" si="18"/>
        <v/>
      </c>
      <c r="FC35" s="820" t="str">
        <f t="shared" si="19"/>
        <v/>
      </c>
      <c r="FD35" s="820" t="str">
        <f t="shared" si="20"/>
        <v/>
      </c>
      <c r="FE35" s="820" t="str">
        <f t="shared" si="21"/>
        <v/>
      </c>
      <c r="FF35" s="820" t="str">
        <f t="shared" si="22"/>
        <v/>
      </c>
    </row>
    <row r="36" spans="1:162">
      <c r="A36" s="440">
        <f>IFERROR(MATCH(C36,'Data Interface'!B:B,0),0)</f>
        <v>34</v>
      </c>
      <c r="B36" s="440">
        <f>IFERROR(MATCH(C36,Assumptions!$B:$B,0),0)</f>
        <v>41</v>
      </c>
      <c r="C36" s="441" t="s">
        <v>1164</v>
      </c>
      <c r="E36" s="441" t="s">
        <v>1219</v>
      </c>
      <c r="F36" s="440" t="s">
        <v>34</v>
      </c>
      <c r="G36" s="440" t="str">
        <f>IF(A36=0,"",INDEX('Data Interface'!$C:$C,$A36))</f>
        <v>Due to Affiliate - Draft</v>
      </c>
      <c r="H36" s="440">
        <v>0</v>
      </c>
      <c r="I36" s="819">
        <f t="shared" ca="1" si="10"/>
        <v>0.12</v>
      </c>
      <c r="J36" s="819">
        <f t="shared" ca="1" si="11"/>
        <v>0.15000000000000002</v>
      </c>
      <c r="K36" s="439" t="str">
        <f t="shared" ca="1" si="12"/>
        <v>12% of Current Balance</v>
      </c>
      <c r="L36" s="439" t="s">
        <v>1149</v>
      </c>
      <c r="M36" s="439" t="s">
        <v>1528</v>
      </c>
      <c r="O36" s="442">
        <f>IF(OR($A36="",$A36=0),0,INDEX('Data Interface'!D:D,$A36))</f>
        <v>0</v>
      </c>
      <c r="P36" s="442">
        <f ca="1">$O36-SUM($AS36:AS36)</f>
        <v>0</v>
      </c>
      <c r="Q36" s="442">
        <f ca="1">$O36-SUM($AS36:AT36)</f>
        <v>0</v>
      </c>
      <c r="R36" s="442">
        <f ca="1">$O36-SUM($AS36:AU36)</f>
        <v>0</v>
      </c>
      <c r="S36" s="442">
        <f ca="1">$O36-SUM($AS36:AV36)</f>
        <v>0</v>
      </c>
      <c r="T36" s="442">
        <f ca="1">$O36-SUM($AS36:AW36)</f>
        <v>0</v>
      </c>
      <c r="U36" s="442">
        <f ca="1">$O36-SUM($AS36:AX36)</f>
        <v>0</v>
      </c>
      <c r="V36" s="442">
        <f ca="1">$O36-SUM($AS36:AY36)</f>
        <v>0</v>
      </c>
      <c r="W36" s="442">
        <f ca="1">$O36-SUM($AS36:AZ36)</f>
        <v>0</v>
      </c>
      <c r="X36" s="442">
        <f ca="1">$O36-SUM($AS36:BA36)</f>
        <v>0</v>
      </c>
      <c r="Y36" s="442">
        <f ca="1">$O36-SUM($AS36:BB36)</f>
        <v>0</v>
      </c>
      <c r="Z36" s="442">
        <f ca="1">$O36-SUM($AS36:BC36)</f>
        <v>0</v>
      </c>
      <c r="AA36" s="442">
        <f ca="1">$O36-SUM($AS36:BD36)</f>
        <v>0</v>
      </c>
      <c r="AB36" s="442">
        <f ca="1">$O36-SUM($AS36:BE36)</f>
        <v>0</v>
      </c>
      <c r="AC36" s="442">
        <f ca="1">$O36-SUM($AS36:BF36)</f>
        <v>0</v>
      </c>
      <c r="AD36" s="442">
        <f ca="1">$O36-SUM($AS36:BG36)</f>
        <v>0</v>
      </c>
      <c r="AE36" s="442">
        <f ca="1">$O36-SUM($AS36:BH36)</f>
        <v>0</v>
      </c>
      <c r="AF36" s="442">
        <f ca="1">$O36-SUM($AS36:BI36)</f>
        <v>0</v>
      </c>
      <c r="AG36" s="442">
        <f ca="1">$O36-SUM($AS36:BJ36)</f>
        <v>0</v>
      </c>
      <c r="AH36" s="442">
        <f ca="1">$O36-SUM($AS36:BK36)</f>
        <v>0</v>
      </c>
      <c r="AI36" s="442">
        <f ca="1">$O36-SUM($AS36:BL36)</f>
        <v>0</v>
      </c>
      <c r="AJ36" s="442">
        <f ca="1">$O36-SUM($AS36:BM36)</f>
        <v>0</v>
      </c>
      <c r="AK36" s="442">
        <f ca="1">$O36-SUM($AS36:BN36)</f>
        <v>0</v>
      </c>
      <c r="AL36" s="442">
        <f ca="1">$O36-SUM($AS36:BO36)</f>
        <v>0</v>
      </c>
      <c r="AM36" s="442">
        <f ca="1">$O36-SUM($AS36:BP36)</f>
        <v>0</v>
      </c>
      <c r="AN36" s="442">
        <f ca="1">$O36-SUM($AS36:BQ36)</f>
        <v>0</v>
      </c>
      <c r="AO36" s="442">
        <f ca="1">$O36-SUM($AS36:BR36)</f>
        <v>0</v>
      </c>
      <c r="AP36" s="442">
        <f ca="1">$O36-SUM($AS36:BS36)</f>
        <v>0</v>
      </c>
      <c r="AR36" s="439" t="s">
        <v>1202</v>
      </c>
      <c r="AS36" s="442">
        <f ca="1">IF($H36="",0,IF($H36=1,IF('Para Adj'!$B$5 = 1,O36-($O36-SUMPRODUCT($CX36:CX36,$BU36:BU36))*(1-SUM($DZ36:DZ36)),BU36*CX36),$O36*BU36))</f>
        <v>0</v>
      </c>
      <c r="AT36" s="442">
        <f ca="1">IF($H36="",0,IF($H36=1,IF('Para Adj'!$B$5 = 1,P36-($O36-SUMPRODUCT($CX36:CY36,$BU36:BV36))*(1-SUM($DZ36:EA36)),BV36*CY36),$O36*BV36))</f>
        <v>0</v>
      </c>
      <c r="AU36" s="442">
        <f ca="1">IF($H36="",0,IF($H36=1,IF('Para Adj'!$B$5 = 1,Q36-($O36-SUMPRODUCT($CX36:CZ36,$BU36:BW36))*(1-SUM($DZ36:EB36)),BW36*CZ36),$O36*BW36))</f>
        <v>0</v>
      </c>
      <c r="AV36" s="442">
        <f ca="1">IF($H36="",0,IF($H36=1,IF('Para Adj'!$B$5 = 1,R36-($O36-SUMPRODUCT($CX36:DA36,$BU36:BX36))*(1-SUM($DZ36:EC36)),BX36*DA36),$O36*BX36))</f>
        <v>0</v>
      </c>
      <c r="AW36" s="442">
        <f ca="1">IF($H36="",0,IF($H36=1,IF('Para Adj'!$B$5 = 1,S36-($O36-SUMPRODUCT($CX36:DB36,$BU36:BY36))*(1-SUM($DZ36:ED36)),BY36*DB36),$O36*BY36))</f>
        <v>0</v>
      </c>
      <c r="AX36" s="442">
        <f ca="1">IF($H36="",0,IF($H36=1,IF('Para Adj'!$B$5 = 1,T36-($O36-SUMPRODUCT($CX36:DC36,$BU36:BZ36))*(1-SUM($DZ36:EE36)),BZ36*DC36),$O36*BZ36))</f>
        <v>0</v>
      </c>
      <c r="AY36" s="442">
        <f ca="1">IF($H36="",0,IF($H36=1,IF('Para Adj'!$B$5 = 1,U36-($O36-SUMPRODUCT($CX36:DD36,$BU36:CA36))*(1-SUM($DZ36:EF36)),CA36*DD36),$O36*CA36))</f>
        <v>0</v>
      </c>
      <c r="AZ36" s="442">
        <f ca="1">IF($H36="",0,IF($H36=1,IF('Para Adj'!$B$5 = 1,V36-($O36-SUMPRODUCT($CX36:DE36,$BU36:CB36))*(1-SUM($DZ36:EG36)),CB36*DE36),$O36*CB36))</f>
        <v>0</v>
      </c>
      <c r="BA36" s="442">
        <f ca="1">IF($H36="",0,IF($H36=1,IF('Para Adj'!$B$5 = 1,W36-($O36-SUMPRODUCT($CX36:DF36,$BU36:CC36))*(1-SUM($DZ36:EH36)),CC36*DF36),$O36*CC36))</f>
        <v>0</v>
      </c>
      <c r="BB36" s="442">
        <f ca="1">IF($H36="",0,IF($H36=1,IF('Para Adj'!$B$5 = 1,X36-($O36-SUMPRODUCT($CX36:DG36,$BU36:CD36))*(1-SUM($DZ36:EI36)),CD36*DG36),$O36*CD36))</f>
        <v>0</v>
      </c>
      <c r="BC36" s="442">
        <f ca="1">IF($H36="",0,IF($H36=1,IF('Para Adj'!$B$5 = 1,Y36-($O36-SUMPRODUCT($CX36:DH36,$BU36:CE36))*(1-SUM($DZ36:EJ36)),CE36*DH36),$O36*CE36))</f>
        <v>0</v>
      </c>
      <c r="BD36" s="442">
        <f ca="1">IF($H36="",0,IF($H36=1,IF('Para Adj'!$B$5 = 1,Z36-($O36-SUMPRODUCT($CX36:DI36,$BU36:CF36))*(1-SUM($DZ36:EK36)),CF36*DI36),$O36*CF36))</f>
        <v>0</v>
      </c>
      <c r="BE36" s="442">
        <f ca="1">IF($H36="",0,IF($H36=1,IF('Para Adj'!$B$5 = 1,AA36-($O36-SUMPRODUCT($CX36:DJ36,$BU36:CG36))*(1-SUM($DZ36:EL36)),CG36*DJ36),$O36*CG36))</f>
        <v>0</v>
      </c>
      <c r="BF36" s="442">
        <f ca="1">IF($H36="",0,IF($H36=1,IF('Para Adj'!$B$5 = 1,AB36-($O36-SUMPRODUCT($CX36:DK36,$BU36:CH36))*(1-SUM($DZ36:EM36)),CH36*DK36),$O36*CH36))</f>
        <v>0</v>
      </c>
      <c r="BG36" s="442">
        <f ca="1">IF($H36="",0,IF($H36=1,IF('Para Adj'!$B$5 = 1,AC36-($O36-SUMPRODUCT($CX36:DL36,$BU36:CI36))*(1-SUM($DZ36:EN36)),CI36*DL36),$O36*CI36))</f>
        <v>0</v>
      </c>
      <c r="BH36" s="442">
        <f ca="1">IF($H36="",0,IF($H36=1,IF('Para Adj'!$B$5 = 1,AD36-($O36-SUMPRODUCT($CX36:DM36,$BU36:CJ36))*(1-SUM($DZ36:EO36)),CJ36*DM36),$O36*CJ36))</f>
        <v>0</v>
      </c>
      <c r="BI36" s="442">
        <f ca="1">IF($H36="",0,IF($H36=1,IF('Para Adj'!$B$5 = 1,AE36-($O36-SUMPRODUCT($CX36:DN36,$BU36:CK36))*(1-SUM($DZ36:EP36)),CK36*DN36),$O36*CK36))</f>
        <v>0</v>
      </c>
      <c r="BJ36" s="442">
        <f ca="1">IF($H36="",0,IF($H36=1,IF('Para Adj'!$B$5 = 1,AF36-($O36-SUMPRODUCT($CX36:DO36,$BU36:CL36))*(1-SUM($DZ36:EQ36)),CL36*DO36),$O36*CL36))</f>
        <v>0</v>
      </c>
      <c r="BK36" s="442">
        <f ca="1">IF($H36="",0,IF($H36=1,IF('Para Adj'!$B$5 = 1,AG36-($O36-SUMPRODUCT($CX36:DP36,$BU36:CM36))*(1-SUM($DZ36:ER36)),CM36*DP36),$O36*CM36))</f>
        <v>0</v>
      </c>
      <c r="BL36" s="442">
        <f ca="1">IF($H36="",0,IF($H36=1,IF('Para Adj'!$B$5 = 1,AH36-($O36-SUMPRODUCT($CX36:DQ36,$BU36:CN36))*(1-SUM($DZ36:ES36)),CN36*DQ36),$O36*CN36))</f>
        <v>0</v>
      </c>
      <c r="BM36" s="442">
        <f ca="1">IF($H36="",0,IF($H36=1,IF('Para Adj'!$B$5 = 1,AI36-($O36-SUMPRODUCT($CX36:DR36,$BU36:CO36))*(1-SUM($DZ36:ET36)),CO36*DR36),$O36*CO36))</f>
        <v>0</v>
      </c>
      <c r="BN36" s="442">
        <f ca="1">IF($H36="",0,IF($H36=1,IF('Para Adj'!$B$5 = 1,AJ36-($O36-SUMPRODUCT($CX36:DS36,$BU36:CP36))*(1-SUM($DZ36:EU36)),CP36*DS36),$O36*CP36))</f>
        <v>0</v>
      </c>
      <c r="BO36" s="442">
        <f ca="1">IF($H36="",0,IF($H36=1,IF('Para Adj'!$B$5 = 1,AK36-($O36-SUMPRODUCT($CX36:DT36,$BU36:CQ36))*(1-SUM($DZ36:EV36)),CQ36*DT36),$O36*CQ36))</f>
        <v>0</v>
      </c>
      <c r="BP36" s="442">
        <f ca="1">IF($H36="",0,IF($H36=1,IF('Para Adj'!$B$5 = 1,AL36-($O36-SUMPRODUCT($CX36:DU36,$BU36:CR36))*(1-SUM($DZ36:EW36)),CR36*DU36),$O36*CR36))</f>
        <v>0</v>
      </c>
      <c r="BQ36" s="442">
        <f ca="1">IF($H36="",0,IF($H36=1,IF('Para Adj'!$B$5 = 1,AM36-($O36-SUMPRODUCT($CX36:DV36,$BU36:CS36))*(1-SUM($DZ36:EX36)),CS36*DV36),$O36*CS36))</f>
        <v>0</v>
      </c>
      <c r="BR36" s="442">
        <f ca="1">IF($H36="",0,IF($H36=1,IF('Para Adj'!$B$5 = 1,AN36-($O36-SUMPRODUCT($CX36:DW36,$BU36:CT36))*(1-SUM($DZ36:EY36)),CT36*DW36),$O36*CT36))</f>
        <v>0</v>
      </c>
      <c r="BS36" s="442">
        <f ca="1">IF($H36="",0,IF($H36=1,IF('Para Adj'!$B$5 = 1,AO36-($O36-SUMPRODUCT($CX36:DX36,$BU36:CU36))*(1-SUM($DZ36:EZ36)),CU36*DX36),$O36*CU36))</f>
        <v>0</v>
      </c>
      <c r="BU36" s="820">
        <f ca="1">IF($B36=0,"",INDEX(Assumptions!G:G,$B36))</f>
        <v>3.9999999999999994E-2</v>
      </c>
      <c r="BV36" s="820">
        <f ca="1">IF($B36=0,"",INDEX(Assumptions!H:H,$B36))</f>
        <v>6.6666666666666662E-3</v>
      </c>
      <c r="BW36" s="820">
        <f ca="1">IF($B36=0,"",INDEX(Assumptions!I:I,$B36))</f>
        <v>6.6666666666666662E-3</v>
      </c>
      <c r="BX36" s="820">
        <f ca="1">IF($B36=0,"",INDEX(Assumptions!J:J,$B36))</f>
        <v>6.6666666666666662E-3</v>
      </c>
      <c r="BY36" s="820">
        <f ca="1">IF($B36=0,"",INDEX(Assumptions!K:K,$B36))</f>
        <v>6.6666666666666662E-3</v>
      </c>
      <c r="BZ36" s="820">
        <f ca="1">IF($B36=0,"",INDEX(Assumptions!L:L,$B36))</f>
        <v>6.6666666666666662E-3</v>
      </c>
      <c r="CA36" s="820">
        <f ca="1">IF($B36=0,"",INDEX(Assumptions!M:M,$B36))</f>
        <v>6.6666666666666662E-3</v>
      </c>
      <c r="CB36" s="820">
        <f ca="1">IF($B36=0,"",INDEX(Assumptions!N:N,$B36))</f>
        <v>5.7142857142857143E-3</v>
      </c>
      <c r="CC36" s="820">
        <f ca="1">IF($B36=0,"",INDEX(Assumptions!O:O,$B36))</f>
        <v>5.7142857142857143E-3</v>
      </c>
      <c r="CD36" s="820">
        <f ca="1">IF($B36=0,"",INDEX(Assumptions!P:P,$B36))</f>
        <v>5.7142857142857143E-3</v>
      </c>
      <c r="CE36" s="820">
        <f ca="1">IF($B36=0,"",INDEX(Assumptions!Q:Q,$B36))</f>
        <v>5.7142857142857143E-3</v>
      </c>
      <c r="CF36" s="820">
        <f ca="1">IF($B36=0,"",INDEX(Assumptions!R:R,$B36))</f>
        <v>5.7142857142857143E-3</v>
      </c>
      <c r="CG36" s="820">
        <f ca="1">IF($B36=0,"",INDEX(Assumptions!S:S,$B36))</f>
        <v>5.7142857142857143E-3</v>
      </c>
      <c r="CH36" s="820">
        <f ca="1">IF($B36=0,"",INDEX(Assumptions!T:T,$B36))</f>
        <v>5.7142857142857143E-3</v>
      </c>
      <c r="CI36" s="820">
        <f ca="1">IF($B36=0,"",INDEX(Assumptions!U:U,$B36))</f>
        <v>1.4999999999999999E-2</v>
      </c>
      <c r="CJ36" s="820">
        <f ca="1">IF($B36=0,"",INDEX(Assumptions!V:V,$B36))</f>
        <v>1.4999999999999999E-2</v>
      </c>
      <c r="CK36" s="820">
        <f ca="1">IF($B36=0,"",INDEX(Assumptions!W:W,$B36))</f>
        <v>1.4999999999999999E-2</v>
      </c>
      <c r="CL36" s="820">
        <f ca="1">IF($B36=0,"",INDEX(Assumptions!X:X,$B36))</f>
        <v>1.4999999999999999E-2</v>
      </c>
      <c r="CM36" s="820">
        <f ca="1">IF($B36=0,"",INDEX(Assumptions!Y:Y,$B36))</f>
        <v>4.9999999999999984E-3</v>
      </c>
      <c r="CN36" s="820">
        <f ca="1">IF($B36=0,"",INDEX(Assumptions!Z:Z,$B36))</f>
        <v>4.9999999999999984E-3</v>
      </c>
      <c r="CO36" s="820">
        <f ca="1">IF($B36=0,"",INDEX(Assumptions!AA:AA,$B36))</f>
        <v>4.9999999999999984E-3</v>
      </c>
      <c r="CP36" s="820">
        <f ca="1">IF($B36=0,"",INDEX(Assumptions!AB:AB,$B36))</f>
        <v>4.9999999999999984E-3</v>
      </c>
      <c r="CQ36" s="820">
        <f ca="1">IF($B36=0,"",INDEX(Assumptions!AC:AC,$B36))</f>
        <v>4.9999999999999984E-3</v>
      </c>
      <c r="CR36" s="820">
        <f ca="1">IF($B36=0,"",INDEX(Assumptions!AD:AD,$B36))</f>
        <v>4.9999999999999984E-3</v>
      </c>
      <c r="CS36" s="820">
        <f ca="1">IF($B36=0,"",INDEX(Assumptions!AE:AE,$B36))</f>
        <v>4.9999999999999984E-3</v>
      </c>
      <c r="CT36" s="820">
        <f ca="1">IF($B36=0,"",INDEX(Assumptions!AF:AF,$B36))</f>
        <v>4.9999999999999984E-3</v>
      </c>
      <c r="CU36" s="820">
        <f ca="1">IF($B36=0,"",INDEX(Assumptions!AG:AG,$B36))</f>
        <v>4.9999999999999984E-3</v>
      </c>
      <c r="CX36" s="442">
        <f>IF($A36="","",INDEX('Data Interface'!G:G,$A36))</f>
        <v>0</v>
      </c>
      <c r="CY36" s="442">
        <f>IF($A36="","",INDEX('Data Interface'!H:H,$A36))</f>
        <v>0</v>
      </c>
      <c r="CZ36" s="442">
        <f>IF($A36="","",INDEX('Data Interface'!I:I,$A36))</f>
        <v>0</v>
      </c>
      <c r="DA36" s="442">
        <f>IF($A36="","",INDEX('Data Interface'!J:J,$A36))</f>
        <v>0</v>
      </c>
      <c r="DB36" s="442">
        <f>IF($A36="","",INDEX('Data Interface'!K:K,$A36))</f>
        <v>0</v>
      </c>
      <c r="DC36" s="442">
        <f>IF($A36="","",INDEX('Data Interface'!L:L,$A36))</f>
        <v>0</v>
      </c>
      <c r="DD36" s="442">
        <f>IF($A36="","",INDEX('Data Interface'!M:M,$A36))</f>
        <v>0</v>
      </c>
      <c r="DE36" s="442">
        <f>IF($A36="","",INDEX('Data Interface'!N:N,$A36))</f>
        <v>0</v>
      </c>
      <c r="DF36" s="442">
        <f>IF($A36="","",INDEX('Data Interface'!O:O,$A36))</f>
        <v>0</v>
      </c>
      <c r="DG36" s="442">
        <f>IF($A36="","",INDEX('Data Interface'!P:P,$A36))</f>
        <v>0</v>
      </c>
      <c r="DH36" s="442">
        <f>IF($A36="","",INDEX('Data Interface'!Q:Q,$A36))</f>
        <v>0</v>
      </c>
      <c r="DI36" s="442">
        <f>IF($A36="","",INDEX('Data Interface'!R:R,$A36))</f>
        <v>0</v>
      </c>
      <c r="DJ36" s="442">
        <f>IF($A36="","",INDEX('Data Interface'!S:S,$A36))</f>
        <v>0</v>
      </c>
      <c r="DK36" s="442">
        <f>IF($A36="","",INDEX('Data Interface'!T:T,$A36))</f>
        <v>0</v>
      </c>
      <c r="DL36" s="442">
        <f>IF($A36="","",INDEX('Data Interface'!U:U,$A36))</f>
        <v>0</v>
      </c>
      <c r="DM36" s="442">
        <f>IF($A36="","",INDEX('Data Interface'!V:V,$A36))</f>
        <v>0</v>
      </c>
      <c r="DN36" s="442">
        <f>IF($A36="","",INDEX('Data Interface'!W:W,$A36))</f>
        <v>0</v>
      </c>
      <c r="DO36" s="442">
        <f>IF($A36="","",INDEX('Data Interface'!X:X,$A36))</f>
        <v>0</v>
      </c>
      <c r="DP36" s="442">
        <f>IF($A36="","",INDEX('Data Interface'!Y:Y,$A36))</f>
        <v>0</v>
      </c>
      <c r="DQ36" s="442">
        <f>IF($A36="","",INDEX('Data Interface'!Z:Z,$A36))</f>
        <v>0</v>
      </c>
      <c r="DR36" s="442">
        <f>IF($A36="","",INDEX('Data Interface'!AA:AA,$A36))</f>
        <v>0</v>
      </c>
      <c r="DS36" s="442">
        <f>IF($A36="","",INDEX('Data Interface'!AB:AB,$A36))</f>
        <v>0</v>
      </c>
      <c r="DT36" s="442">
        <f>IF($A36="","",INDEX('Data Interface'!AC:AC,$A36))</f>
        <v>0</v>
      </c>
      <c r="DU36" s="442">
        <f>IF($A36="","",INDEX('Data Interface'!AD:AD,$A36))</f>
        <v>0</v>
      </c>
      <c r="DV36" s="442">
        <f>IF($A36="","",INDEX('Data Interface'!AE:AE,$A36))</f>
        <v>0</v>
      </c>
      <c r="DW36" s="442">
        <f>IF($A36="","",INDEX('Data Interface'!AF:AF,$A36))</f>
        <v>0</v>
      </c>
      <c r="DX36" s="442">
        <f>IF($A36="","",INDEX('Data Interface'!AG:AG,$A36))</f>
        <v>0</v>
      </c>
      <c r="DZ36" s="906" t="str">
        <f>IF(OR($B36=0,$A36=0,$H36&lt;&gt;1),"",INDEX(Assumptions!EO:EO,$B36))</f>
        <v/>
      </c>
      <c r="EA36" s="906" t="str">
        <f>IF(OR($B36=0,$A36=0,$H36&lt;&gt;1),"",INDEX(Assumptions!EP:EP,$B36))</f>
        <v/>
      </c>
      <c r="EB36" s="906" t="str">
        <f>IF(OR($B36=0,$A36=0,$H36&lt;&gt;1),"",INDEX(Assumptions!EQ:EQ,$B36))</f>
        <v/>
      </c>
      <c r="EC36" s="906" t="str">
        <f>IF(OR($B36=0,$A36=0,$H36&lt;&gt;1),"",INDEX(Assumptions!ER:ER,$B36))</f>
        <v/>
      </c>
      <c r="ED36" s="906" t="str">
        <f>IF(OR($B36=0,$A36=0,$H36&lt;&gt;1),"",INDEX(Assumptions!ES:ES,$B36))</f>
        <v/>
      </c>
      <c r="EE36" s="906" t="str">
        <f>IF(OR($B36=0,$A36=0,$H36&lt;&gt;1),"",INDEX(Assumptions!ET:ET,$B36))</f>
        <v/>
      </c>
      <c r="EF36" s="906" t="str">
        <f>IF(OR($B36=0,$A36=0,$H36&lt;&gt;1),"",INDEX(Assumptions!EU:EU,$B36))</f>
        <v/>
      </c>
      <c r="EG36" s="906" t="str">
        <f>IF(OR($B36=0,$A36=0,$H36&lt;&gt;1),"",INDEX(Assumptions!EV:EV,$B36))</f>
        <v/>
      </c>
      <c r="EH36" s="906" t="str">
        <f>IF(OR($B36=0,$A36=0,$H36&lt;&gt;1),"",INDEX(Assumptions!EW:EW,$B36))</f>
        <v/>
      </c>
      <c r="EI36" s="906" t="str">
        <f>IF(OR($B36=0,$A36=0,$H36&lt;&gt;1),"",INDEX(Assumptions!EX:EX,$B36))</f>
        <v/>
      </c>
      <c r="EJ36" s="906" t="str">
        <f>IF(OR($B36=0,$A36=0,$H36&lt;&gt;1),"",INDEX(Assumptions!EY:EY,$B36))</f>
        <v/>
      </c>
      <c r="EK36" s="906" t="str">
        <f>IF(OR($B36=0,$A36=0,$H36&lt;&gt;1),"",INDEX(Assumptions!EZ:EZ,$B36))</f>
        <v/>
      </c>
      <c r="EL36" s="906" t="str">
        <f>IF(OR($B36=0,$A36=0,$H36&lt;&gt;1),"",INDEX(Assumptions!FA:FA,$B36))</f>
        <v/>
      </c>
      <c r="EM36" s="906" t="str">
        <f>IF(OR($B36=0,$A36=0,$H36&lt;&gt;1),"",INDEX(Assumptions!FB:FB,$B36))</f>
        <v/>
      </c>
      <c r="EN36" s="906" t="str">
        <f>IF(OR($B36=0,$A36=0,$H36&lt;&gt;1),"",INDEX(Assumptions!FC:FC,$B36))</f>
        <v/>
      </c>
      <c r="EO36" s="906" t="str">
        <f>IF(OR($B36=0,$A36=0,$H36&lt;&gt;1),"",INDEX(Assumptions!FD:FD,$B36))</f>
        <v/>
      </c>
      <c r="EP36" s="906" t="str">
        <f>IF(OR($B36=0,$A36=0,$H36&lt;&gt;1),"",INDEX(Assumptions!FE:FE,$B36))</f>
        <v/>
      </c>
      <c r="EQ36" s="906" t="str">
        <f>IF(OR($B36=0,$A36=0,$H36&lt;&gt;1),"",INDEX(Assumptions!FF:FF,$B36))</f>
        <v/>
      </c>
      <c r="ER36" s="906" t="str">
        <f>IF(OR($B36=0,$A36=0,$H36&lt;&gt;1),"",INDEX(Assumptions!FG:FG,$B36))</f>
        <v/>
      </c>
      <c r="ES36" s="906" t="str">
        <f>IF(OR($B36=0,$A36=0,$H36&lt;&gt;1),"",INDEX(Assumptions!FH:FH,$B36))</f>
        <v/>
      </c>
      <c r="ET36" s="906" t="str">
        <f>IF(OR($B36=0,$A36=0,$H36&lt;&gt;1),"",INDEX(Assumptions!FI:FI,$B36))</f>
        <v/>
      </c>
      <c r="EU36" s="906" t="str">
        <f>IF(OR($B36=0,$A36=0,$H36&lt;&gt;1),"",INDEX(Assumptions!FJ:FJ,$B36))</f>
        <v/>
      </c>
      <c r="EV36" s="906" t="str">
        <f>IF(OR($B36=0,$A36=0,$H36&lt;&gt;1),"",INDEX(Assumptions!FK:FK,$B36))</f>
        <v/>
      </c>
      <c r="EW36" s="906" t="str">
        <f>IF(OR($B36=0,$A36=0,$H36&lt;&gt;1),"",INDEX(Assumptions!FL:FL,$B36))</f>
        <v/>
      </c>
      <c r="EX36" s="906" t="str">
        <f>IF(OR($B36=0,$A36=0,$H36&lt;&gt;1),"",INDEX(Assumptions!FM:FM,$B36))</f>
        <v/>
      </c>
      <c r="EY36" s="906" t="str">
        <f>IF(OR($B36=0,$A36=0,$H36&lt;&gt;1),"",INDEX(Assumptions!FN:FN,$B36))</f>
        <v/>
      </c>
      <c r="EZ36" s="906" t="str">
        <f>IF(OR($B36=0,$A36=0,$H36&lt;&gt;1),"",INDEX(Assumptions!FO:FO,$B36))</f>
        <v/>
      </c>
      <c r="FB36" s="820" t="str">
        <f t="shared" si="18"/>
        <v/>
      </c>
      <c r="FC36" s="820" t="str">
        <f t="shared" si="19"/>
        <v/>
      </c>
      <c r="FD36" s="820" t="str">
        <f t="shared" si="20"/>
        <v/>
      </c>
      <c r="FE36" s="820" t="str">
        <f t="shared" si="21"/>
        <v/>
      </c>
      <c r="FF36" s="820" t="str">
        <f t="shared" si="22"/>
        <v/>
      </c>
    </row>
    <row r="37" spans="1:162">
      <c r="A37" s="440">
        <f>IFERROR(MATCH(C37,'Data Interface'!B:B,0),0)</f>
        <v>35</v>
      </c>
      <c r="B37" s="440">
        <f>IFERROR(MATCH(C37,Assumptions!$B:$B,0),0)</f>
        <v>13</v>
      </c>
      <c r="C37" s="441" t="s">
        <v>1165</v>
      </c>
      <c r="E37" s="441" t="s">
        <v>1219</v>
      </c>
      <c r="F37" s="440" t="s">
        <v>34</v>
      </c>
      <c r="G37" s="440" t="str">
        <f>IF(A37=0,"",INDEX('Data Interface'!$C:$C,$A37))</f>
        <v>Due to Affiliate - Call Loans</v>
      </c>
      <c r="H37" s="440">
        <v>1</v>
      </c>
      <c r="I37" s="819">
        <f t="shared" ca="1" si="10"/>
        <v>1</v>
      </c>
      <c r="J37" s="819">
        <f t="shared" ca="1" si="11"/>
        <v>1</v>
      </c>
      <c r="K37" s="439" t="str">
        <f t="shared" ca="1" si="12"/>
        <v>100% of Contractual Maturity</v>
      </c>
      <c r="L37" s="439" t="s">
        <v>1149</v>
      </c>
      <c r="M37" s="439" t="s">
        <v>1528</v>
      </c>
      <c r="O37" s="442">
        <f>IF(OR($A37="",$A37=0),0,INDEX('Data Interface'!D:D,$A37))</f>
        <v>0</v>
      </c>
      <c r="P37" s="442">
        <f ca="1">$O37-SUM($AS37:AS37)</f>
        <v>0</v>
      </c>
      <c r="Q37" s="442">
        <f ca="1">$O37-SUM($AS37:AT37)</f>
        <v>0</v>
      </c>
      <c r="R37" s="442">
        <f ca="1">$O37-SUM($AS37:AU37)</f>
        <v>0</v>
      </c>
      <c r="S37" s="442">
        <f ca="1">$O37-SUM($AS37:AV37)</f>
        <v>0</v>
      </c>
      <c r="T37" s="442">
        <f ca="1">$O37-SUM($AS37:AW37)</f>
        <v>0</v>
      </c>
      <c r="U37" s="442">
        <f ca="1">$O37-SUM($AS37:AX37)</f>
        <v>0</v>
      </c>
      <c r="V37" s="442">
        <f ca="1">$O37-SUM($AS37:AY37)</f>
        <v>0</v>
      </c>
      <c r="W37" s="442">
        <f ca="1">$O37-SUM($AS37:AZ37)</f>
        <v>0</v>
      </c>
      <c r="X37" s="442">
        <f ca="1">$O37-SUM($AS37:BA37)</f>
        <v>0</v>
      </c>
      <c r="Y37" s="442">
        <f ca="1">$O37-SUM($AS37:BB37)</f>
        <v>0</v>
      </c>
      <c r="Z37" s="442">
        <f ca="1">$O37-SUM($AS37:BC37)</f>
        <v>0</v>
      </c>
      <c r="AA37" s="442">
        <f ca="1">$O37-SUM($AS37:BD37)</f>
        <v>0</v>
      </c>
      <c r="AB37" s="442">
        <f ca="1">$O37-SUM($AS37:BE37)</f>
        <v>0</v>
      </c>
      <c r="AC37" s="442">
        <f ca="1">$O37-SUM($AS37:BF37)</f>
        <v>0</v>
      </c>
      <c r="AD37" s="442">
        <f ca="1">$O37-SUM($AS37:BG37)</f>
        <v>0</v>
      </c>
      <c r="AE37" s="442">
        <f ca="1">$O37-SUM($AS37:BH37)</f>
        <v>0</v>
      </c>
      <c r="AF37" s="442">
        <f ca="1">$O37-SUM($AS37:BI37)</f>
        <v>0</v>
      </c>
      <c r="AG37" s="442">
        <f ca="1">$O37-SUM($AS37:BJ37)</f>
        <v>0</v>
      </c>
      <c r="AH37" s="442">
        <f ca="1">$O37-SUM($AS37:BK37)</f>
        <v>0</v>
      </c>
      <c r="AI37" s="442">
        <f ca="1">$O37-SUM($AS37:BL37)</f>
        <v>0</v>
      </c>
      <c r="AJ37" s="442">
        <f ca="1">$O37-SUM($AS37:BM37)</f>
        <v>0</v>
      </c>
      <c r="AK37" s="442">
        <f ca="1">$O37-SUM($AS37:BN37)</f>
        <v>0</v>
      </c>
      <c r="AL37" s="442">
        <f ca="1">$O37-SUM($AS37:BO37)</f>
        <v>0</v>
      </c>
      <c r="AM37" s="442">
        <f ca="1">$O37-SUM($AS37:BP37)</f>
        <v>0</v>
      </c>
      <c r="AN37" s="442">
        <f ca="1">$O37-SUM($AS37:BQ37)</f>
        <v>0</v>
      </c>
      <c r="AO37" s="442">
        <f ca="1">$O37-SUM($AS37:BR37)</f>
        <v>0</v>
      </c>
      <c r="AP37" s="442">
        <f ca="1">$O37-SUM($AS37:BS37)</f>
        <v>0</v>
      </c>
      <c r="AR37" s="439" t="s">
        <v>1202</v>
      </c>
      <c r="AS37" s="442">
        <f ca="1">IF($H37="",0,IF($H37=1,IF('Para Adj'!$B$5 = 1,O37-($O37-SUMPRODUCT($CX37:CX37,$BU37:BU37))*(1-SUM($DZ37:DZ37)),BU37*CX37),$O37*BU37))</f>
        <v>0</v>
      </c>
      <c r="AT37" s="442">
        <f ca="1">IF($H37="",0,IF($H37=1,IF('Para Adj'!$B$5 = 1,P37-($O37-SUMPRODUCT($CX37:CY37,$BU37:BV37))*(1-SUM($DZ37:EA37)),BV37*CY37),$O37*BV37))</f>
        <v>0</v>
      </c>
      <c r="AU37" s="442">
        <f ca="1">IF($H37="",0,IF($H37=1,IF('Para Adj'!$B$5 = 1,Q37-($O37-SUMPRODUCT($CX37:CZ37,$BU37:BW37))*(1-SUM($DZ37:EB37)),BW37*CZ37),$O37*BW37))</f>
        <v>0</v>
      </c>
      <c r="AV37" s="442">
        <f ca="1">IF($H37="",0,IF($H37=1,IF('Para Adj'!$B$5 = 1,R37-($O37-SUMPRODUCT($CX37:DA37,$BU37:BX37))*(1-SUM($DZ37:EC37)),BX37*DA37),$O37*BX37))</f>
        <v>0</v>
      </c>
      <c r="AW37" s="442">
        <f ca="1">IF($H37="",0,IF($H37=1,IF('Para Adj'!$B$5 = 1,S37-($O37-SUMPRODUCT($CX37:DB37,$BU37:BY37))*(1-SUM($DZ37:ED37)),BY37*DB37),$O37*BY37))</f>
        <v>0</v>
      </c>
      <c r="AX37" s="442">
        <f ca="1">IF($H37="",0,IF($H37=1,IF('Para Adj'!$B$5 = 1,T37-($O37-SUMPRODUCT($CX37:DC37,$BU37:BZ37))*(1-SUM($DZ37:EE37)),BZ37*DC37),$O37*BZ37))</f>
        <v>0</v>
      </c>
      <c r="AY37" s="442">
        <f ca="1">IF($H37="",0,IF($H37=1,IF('Para Adj'!$B$5 = 1,U37-($O37-SUMPRODUCT($CX37:DD37,$BU37:CA37))*(1-SUM($DZ37:EF37)),CA37*DD37),$O37*CA37))</f>
        <v>0</v>
      </c>
      <c r="AZ37" s="442">
        <f ca="1">IF($H37="",0,IF($H37=1,IF('Para Adj'!$B$5 = 1,V37-($O37-SUMPRODUCT($CX37:DE37,$BU37:CB37))*(1-SUM($DZ37:EG37)),CB37*DE37),$O37*CB37))</f>
        <v>0</v>
      </c>
      <c r="BA37" s="442">
        <f ca="1">IF($H37="",0,IF($H37=1,IF('Para Adj'!$B$5 = 1,W37-($O37-SUMPRODUCT($CX37:DF37,$BU37:CC37))*(1-SUM($DZ37:EH37)),CC37*DF37),$O37*CC37))</f>
        <v>0</v>
      </c>
      <c r="BB37" s="442">
        <f ca="1">IF($H37="",0,IF($H37=1,IF('Para Adj'!$B$5 = 1,X37-($O37-SUMPRODUCT($CX37:DG37,$BU37:CD37))*(1-SUM($DZ37:EI37)),CD37*DG37),$O37*CD37))</f>
        <v>0</v>
      </c>
      <c r="BC37" s="442">
        <f ca="1">IF($H37="",0,IF($H37=1,IF('Para Adj'!$B$5 = 1,Y37-($O37-SUMPRODUCT($CX37:DH37,$BU37:CE37))*(1-SUM($DZ37:EJ37)),CE37*DH37),$O37*CE37))</f>
        <v>0</v>
      </c>
      <c r="BD37" s="442">
        <f ca="1">IF($H37="",0,IF($H37=1,IF('Para Adj'!$B$5 = 1,Z37-($O37-SUMPRODUCT($CX37:DI37,$BU37:CF37))*(1-SUM($DZ37:EK37)),CF37*DI37),$O37*CF37))</f>
        <v>0</v>
      </c>
      <c r="BE37" s="442">
        <f ca="1">IF($H37="",0,IF($H37=1,IF('Para Adj'!$B$5 = 1,AA37-($O37-SUMPRODUCT($CX37:DJ37,$BU37:CG37))*(1-SUM($DZ37:EL37)),CG37*DJ37),$O37*CG37))</f>
        <v>0</v>
      </c>
      <c r="BF37" s="442">
        <f ca="1">IF($H37="",0,IF($H37=1,IF('Para Adj'!$B$5 = 1,AB37-($O37-SUMPRODUCT($CX37:DK37,$BU37:CH37))*(1-SUM($DZ37:EM37)),CH37*DK37),$O37*CH37))</f>
        <v>0</v>
      </c>
      <c r="BG37" s="442">
        <f ca="1">IF($H37="",0,IF($H37=1,IF('Para Adj'!$B$5 = 1,AC37-($O37-SUMPRODUCT($CX37:DL37,$BU37:CI37))*(1-SUM($DZ37:EN37)),CI37*DL37),$O37*CI37))</f>
        <v>0</v>
      </c>
      <c r="BH37" s="442">
        <f ca="1">IF($H37="",0,IF($H37=1,IF('Para Adj'!$B$5 = 1,AD37-($O37-SUMPRODUCT($CX37:DM37,$BU37:CJ37))*(1-SUM($DZ37:EO37)),CJ37*DM37),$O37*CJ37))</f>
        <v>0</v>
      </c>
      <c r="BI37" s="442">
        <f ca="1">IF($H37="",0,IF($H37=1,IF('Para Adj'!$B$5 = 1,AE37-($O37-SUMPRODUCT($CX37:DN37,$BU37:CK37))*(1-SUM($DZ37:EP37)),CK37*DN37),$O37*CK37))</f>
        <v>0</v>
      </c>
      <c r="BJ37" s="442">
        <f ca="1">IF($H37="",0,IF($H37=1,IF('Para Adj'!$B$5 = 1,AF37-($O37-SUMPRODUCT($CX37:DO37,$BU37:CL37))*(1-SUM($DZ37:EQ37)),CL37*DO37),$O37*CL37))</f>
        <v>0</v>
      </c>
      <c r="BK37" s="442">
        <f ca="1">IF($H37="",0,IF($H37=1,IF('Para Adj'!$B$5 = 1,AG37-($O37-SUMPRODUCT($CX37:DP37,$BU37:CM37))*(1-SUM($DZ37:ER37)),CM37*DP37),$O37*CM37))</f>
        <v>0</v>
      </c>
      <c r="BL37" s="442">
        <f ca="1">IF($H37="",0,IF($H37=1,IF('Para Adj'!$B$5 = 1,AH37-($O37-SUMPRODUCT($CX37:DQ37,$BU37:CN37))*(1-SUM($DZ37:ES37)),CN37*DQ37),$O37*CN37))</f>
        <v>0</v>
      </c>
      <c r="BM37" s="442">
        <f ca="1">IF($H37="",0,IF($H37=1,IF('Para Adj'!$B$5 = 1,AI37-($O37-SUMPRODUCT($CX37:DR37,$BU37:CO37))*(1-SUM($DZ37:ET37)),CO37*DR37),$O37*CO37))</f>
        <v>0</v>
      </c>
      <c r="BN37" s="442">
        <f ca="1">IF($H37="",0,IF($H37=1,IF('Para Adj'!$B$5 = 1,AJ37-($O37-SUMPRODUCT($CX37:DS37,$BU37:CP37))*(1-SUM($DZ37:EU37)),CP37*DS37),$O37*CP37))</f>
        <v>0</v>
      </c>
      <c r="BO37" s="442">
        <f ca="1">IF($H37="",0,IF($H37=1,IF('Para Adj'!$B$5 = 1,AK37-($O37-SUMPRODUCT($CX37:DT37,$BU37:CQ37))*(1-SUM($DZ37:EV37)),CQ37*DT37),$O37*CQ37))</f>
        <v>0</v>
      </c>
      <c r="BP37" s="442">
        <f ca="1">IF($H37="",0,IF($H37=1,IF('Para Adj'!$B$5 = 1,AL37-($O37-SUMPRODUCT($CX37:DU37,$BU37:CR37))*(1-SUM($DZ37:EW37)),CR37*DU37),$O37*CR37))</f>
        <v>0</v>
      </c>
      <c r="BQ37" s="442">
        <f ca="1">IF($H37="",0,IF($H37=1,IF('Para Adj'!$B$5 = 1,AM37-($O37-SUMPRODUCT($CX37:DV37,$BU37:CS37))*(1-SUM($DZ37:EX37)),CS37*DV37),$O37*CS37))</f>
        <v>0</v>
      </c>
      <c r="BR37" s="442">
        <f ca="1">IF($H37="",0,IF($H37=1,IF('Para Adj'!$B$5 = 1,AN37-($O37-SUMPRODUCT($CX37:DW37,$BU37:CT37))*(1-SUM($DZ37:EY37)),CT37*DW37),$O37*CT37))</f>
        <v>0</v>
      </c>
      <c r="BS37" s="442">
        <f ca="1">IF($H37="",0,IF($H37=1,IF('Para Adj'!$B$5 = 1,AO37-($O37-SUMPRODUCT($CX37:DX37,$BU37:CU37))*(1-SUM($DZ37:EZ37)),CU37*DX37),$O37*CU37))</f>
        <v>0</v>
      </c>
      <c r="BU37" s="820">
        <f ca="1">IF($B37=0,"",INDEX(Assumptions!G:G,$B37))</f>
        <v>1</v>
      </c>
      <c r="BV37" s="820">
        <f ca="1">IF($B37=0,"",INDEX(Assumptions!H:H,$B37))</f>
        <v>1</v>
      </c>
      <c r="BW37" s="820">
        <f ca="1">IF($B37=0,"",INDEX(Assumptions!I:I,$B37))</f>
        <v>1</v>
      </c>
      <c r="BX37" s="820">
        <f ca="1">IF($B37=0,"",INDEX(Assumptions!J:J,$B37))</f>
        <v>1</v>
      </c>
      <c r="BY37" s="820">
        <f ca="1">IF($B37=0,"",INDEX(Assumptions!K:K,$B37))</f>
        <v>1</v>
      </c>
      <c r="BZ37" s="820">
        <f ca="1">IF($B37=0,"",INDEX(Assumptions!L:L,$B37))</f>
        <v>1</v>
      </c>
      <c r="CA37" s="820">
        <f ca="1">IF($B37=0,"",INDEX(Assumptions!M:M,$B37))</f>
        <v>1</v>
      </c>
      <c r="CB37" s="820">
        <f ca="1">IF($B37=0,"",INDEX(Assumptions!N:N,$B37))</f>
        <v>1</v>
      </c>
      <c r="CC37" s="820">
        <f ca="1">IF($B37=0,"",INDEX(Assumptions!O:O,$B37))</f>
        <v>1</v>
      </c>
      <c r="CD37" s="820">
        <f ca="1">IF($B37=0,"",INDEX(Assumptions!P:P,$B37))</f>
        <v>1</v>
      </c>
      <c r="CE37" s="820">
        <f ca="1">IF($B37=0,"",INDEX(Assumptions!Q:Q,$B37))</f>
        <v>1</v>
      </c>
      <c r="CF37" s="820">
        <f ca="1">IF($B37=0,"",INDEX(Assumptions!R:R,$B37))</f>
        <v>1</v>
      </c>
      <c r="CG37" s="820">
        <f ca="1">IF($B37=0,"",INDEX(Assumptions!S:S,$B37))</f>
        <v>1</v>
      </c>
      <c r="CH37" s="820">
        <f ca="1">IF($B37=0,"",INDEX(Assumptions!T:T,$B37))</f>
        <v>1</v>
      </c>
      <c r="CI37" s="820">
        <f ca="1">IF($B37=0,"",INDEX(Assumptions!U:U,$B37))</f>
        <v>1</v>
      </c>
      <c r="CJ37" s="820">
        <f ca="1">IF($B37=0,"",INDEX(Assumptions!V:V,$B37))</f>
        <v>1</v>
      </c>
      <c r="CK37" s="820">
        <f ca="1">IF($B37=0,"",INDEX(Assumptions!W:W,$B37))</f>
        <v>1</v>
      </c>
      <c r="CL37" s="820">
        <f ca="1">IF($B37=0,"",INDEX(Assumptions!X:X,$B37))</f>
        <v>1</v>
      </c>
      <c r="CM37" s="820">
        <f ca="1">IF($B37=0,"",INDEX(Assumptions!Y:Y,$B37))</f>
        <v>1</v>
      </c>
      <c r="CN37" s="820">
        <f ca="1">IF($B37=0,"",INDEX(Assumptions!Z:Z,$B37))</f>
        <v>1</v>
      </c>
      <c r="CO37" s="820">
        <f ca="1">IF($B37=0,"",INDEX(Assumptions!AA:AA,$B37))</f>
        <v>1</v>
      </c>
      <c r="CP37" s="820">
        <f ca="1">IF($B37=0,"",INDEX(Assumptions!AB:AB,$B37))</f>
        <v>1</v>
      </c>
      <c r="CQ37" s="820">
        <f ca="1">IF($B37=0,"",INDEX(Assumptions!AC:AC,$B37))</f>
        <v>1</v>
      </c>
      <c r="CR37" s="820">
        <f ca="1">IF($B37=0,"",INDEX(Assumptions!AD:AD,$B37))</f>
        <v>1</v>
      </c>
      <c r="CS37" s="820">
        <f ca="1">IF($B37=0,"",INDEX(Assumptions!AE:AE,$B37))</f>
        <v>1</v>
      </c>
      <c r="CT37" s="820">
        <f ca="1">IF($B37=0,"",INDEX(Assumptions!AF:AF,$B37))</f>
        <v>1</v>
      </c>
      <c r="CU37" s="820">
        <f ca="1">IF($B37=0,"",INDEX(Assumptions!AG:AG,$B37))</f>
        <v>1</v>
      </c>
      <c r="CX37" s="442">
        <f>IF($A37="","",INDEX('Data Interface'!G:G,$A37))</f>
        <v>0</v>
      </c>
      <c r="CY37" s="442">
        <f>IF($A37="","",INDEX('Data Interface'!H:H,$A37))</f>
        <v>0</v>
      </c>
      <c r="CZ37" s="442">
        <f>IF($A37="","",INDEX('Data Interface'!I:I,$A37))</f>
        <v>0</v>
      </c>
      <c r="DA37" s="442">
        <f>IF($A37="","",INDEX('Data Interface'!J:J,$A37))</f>
        <v>0</v>
      </c>
      <c r="DB37" s="442">
        <f>IF($A37="","",INDEX('Data Interface'!K:K,$A37))</f>
        <v>0</v>
      </c>
      <c r="DC37" s="442">
        <f>IF($A37="","",INDEX('Data Interface'!L:L,$A37))</f>
        <v>0</v>
      </c>
      <c r="DD37" s="442">
        <f>IF($A37="","",INDEX('Data Interface'!M:M,$A37))</f>
        <v>0</v>
      </c>
      <c r="DE37" s="442">
        <f>IF($A37="","",INDEX('Data Interface'!N:N,$A37))</f>
        <v>0</v>
      </c>
      <c r="DF37" s="442">
        <f>IF($A37="","",INDEX('Data Interface'!O:O,$A37))</f>
        <v>0</v>
      </c>
      <c r="DG37" s="442">
        <f>IF($A37="","",INDEX('Data Interface'!P:P,$A37))</f>
        <v>0</v>
      </c>
      <c r="DH37" s="442">
        <f>IF($A37="","",INDEX('Data Interface'!Q:Q,$A37))</f>
        <v>0</v>
      </c>
      <c r="DI37" s="442">
        <f>IF($A37="","",INDEX('Data Interface'!R:R,$A37))</f>
        <v>0</v>
      </c>
      <c r="DJ37" s="442">
        <f>IF($A37="","",INDEX('Data Interface'!S:S,$A37))</f>
        <v>0</v>
      </c>
      <c r="DK37" s="442">
        <f>IF($A37="","",INDEX('Data Interface'!T:T,$A37))</f>
        <v>0</v>
      </c>
      <c r="DL37" s="442">
        <f>IF($A37="","",INDEX('Data Interface'!U:U,$A37))</f>
        <v>0</v>
      </c>
      <c r="DM37" s="442">
        <f>IF($A37="","",INDEX('Data Interface'!V:V,$A37))</f>
        <v>0</v>
      </c>
      <c r="DN37" s="442">
        <f>IF($A37="","",INDEX('Data Interface'!W:W,$A37))</f>
        <v>0</v>
      </c>
      <c r="DO37" s="442">
        <f>IF($A37="","",INDEX('Data Interface'!X:X,$A37))</f>
        <v>0</v>
      </c>
      <c r="DP37" s="442">
        <f>IF($A37="","",INDEX('Data Interface'!Y:Y,$A37))</f>
        <v>0</v>
      </c>
      <c r="DQ37" s="442">
        <f>IF($A37="","",INDEX('Data Interface'!Z:Z,$A37))</f>
        <v>0</v>
      </c>
      <c r="DR37" s="442">
        <f>IF($A37="","",INDEX('Data Interface'!AA:AA,$A37))</f>
        <v>0</v>
      </c>
      <c r="DS37" s="442">
        <f>IF($A37="","",INDEX('Data Interface'!AB:AB,$A37))</f>
        <v>0</v>
      </c>
      <c r="DT37" s="442">
        <f>IF($A37="","",INDEX('Data Interface'!AC:AC,$A37))</f>
        <v>0</v>
      </c>
      <c r="DU37" s="442">
        <f>IF($A37="","",INDEX('Data Interface'!AD:AD,$A37))</f>
        <v>0</v>
      </c>
      <c r="DV37" s="442">
        <f>IF($A37="","",INDEX('Data Interface'!AE:AE,$A37))</f>
        <v>0</v>
      </c>
      <c r="DW37" s="442">
        <f>IF($A37="","",INDEX('Data Interface'!AF:AF,$A37))</f>
        <v>0</v>
      </c>
      <c r="DX37" s="442">
        <f>IF($A37="","",INDEX('Data Interface'!AG:AG,$A37))</f>
        <v>0</v>
      </c>
      <c r="DZ37" s="906">
        <f>IF(OR($B37=0,$A37=0,$H37&lt;&gt;1),"",INDEX(Assumptions!EO:EO,$B37))</f>
        <v>0</v>
      </c>
      <c r="EA37" s="906">
        <f>IF(OR($B37=0,$A37=0,$H37&lt;&gt;1),"",INDEX(Assumptions!EP:EP,$B37))</f>
        <v>0</v>
      </c>
      <c r="EB37" s="906">
        <f>IF(OR($B37=0,$A37=0,$H37&lt;&gt;1),"",INDEX(Assumptions!EQ:EQ,$B37))</f>
        <v>0</v>
      </c>
      <c r="EC37" s="906">
        <f>IF(OR($B37=0,$A37=0,$H37&lt;&gt;1),"",INDEX(Assumptions!ER:ER,$B37))</f>
        <v>0</v>
      </c>
      <c r="ED37" s="906">
        <f>IF(OR($B37=0,$A37=0,$H37&lt;&gt;1),"",INDEX(Assumptions!ES:ES,$B37))</f>
        <v>0</v>
      </c>
      <c r="EE37" s="906">
        <f>IF(OR($B37=0,$A37=0,$H37&lt;&gt;1),"",INDEX(Assumptions!ET:ET,$B37))</f>
        <v>0</v>
      </c>
      <c r="EF37" s="906">
        <f>IF(OR($B37=0,$A37=0,$H37&lt;&gt;1),"",INDEX(Assumptions!EU:EU,$B37))</f>
        <v>0</v>
      </c>
      <c r="EG37" s="906">
        <f>IF(OR($B37=0,$A37=0,$H37&lt;&gt;1),"",INDEX(Assumptions!EV:EV,$B37))</f>
        <v>0</v>
      </c>
      <c r="EH37" s="906">
        <f>IF(OR($B37=0,$A37=0,$H37&lt;&gt;1),"",INDEX(Assumptions!EW:EW,$B37))</f>
        <v>0</v>
      </c>
      <c r="EI37" s="906">
        <f>IF(OR($B37=0,$A37=0,$H37&lt;&gt;1),"",INDEX(Assumptions!EX:EX,$B37))</f>
        <v>0</v>
      </c>
      <c r="EJ37" s="906">
        <f>IF(OR($B37=0,$A37=0,$H37&lt;&gt;1),"",INDEX(Assumptions!EY:EY,$B37))</f>
        <v>0</v>
      </c>
      <c r="EK37" s="906">
        <f>IF(OR($B37=0,$A37=0,$H37&lt;&gt;1),"",INDEX(Assumptions!EZ:EZ,$B37))</f>
        <v>0</v>
      </c>
      <c r="EL37" s="906">
        <f>IF(OR($B37=0,$A37=0,$H37&lt;&gt;1),"",INDEX(Assumptions!FA:FA,$B37))</f>
        <v>0</v>
      </c>
      <c r="EM37" s="906">
        <f>IF(OR($B37=0,$A37=0,$H37&lt;&gt;1),"",INDEX(Assumptions!FB:FB,$B37))</f>
        <v>0</v>
      </c>
      <c r="EN37" s="906">
        <f>IF(OR($B37=0,$A37=0,$H37&lt;&gt;1),"",INDEX(Assumptions!FC:FC,$B37))</f>
        <v>0</v>
      </c>
      <c r="EO37" s="906">
        <f>IF(OR($B37=0,$A37=0,$H37&lt;&gt;1),"",INDEX(Assumptions!FD:FD,$B37))</f>
        <v>0</v>
      </c>
      <c r="EP37" s="906">
        <f>IF(OR($B37=0,$A37=0,$H37&lt;&gt;1),"",INDEX(Assumptions!FE:FE,$B37))</f>
        <v>0</v>
      </c>
      <c r="EQ37" s="906">
        <f>IF(OR($B37=0,$A37=0,$H37&lt;&gt;1),"",INDEX(Assumptions!FF:FF,$B37))</f>
        <v>0</v>
      </c>
      <c r="ER37" s="906">
        <f>IF(OR($B37=0,$A37=0,$H37&lt;&gt;1),"",INDEX(Assumptions!FG:FG,$B37))</f>
        <v>0</v>
      </c>
      <c r="ES37" s="906">
        <f>IF(OR($B37=0,$A37=0,$H37&lt;&gt;1),"",INDEX(Assumptions!FH:FH,$B37))</f>
        <v>0</v>
      </c>
      <c r="ET37" s="906">
        <f>IF(OR($B37=0,$A37=0,$H37&lt;&gt;1),"",INDEX(Assumptions!FI:FI,$B37))</f>
        <v>0</v>
      </c>
      <c r="EU37" s="906">
        <f>IF(OR($B37=0,$A37=0,$H37&lt;&gt;1),"",INDEX(Assumptions!FJ:FJ,$B37))</f>
        <v>0</v>
      </c>
      <c r="EV37" s="906">
        <f>IF(OR($B37=0,$A37=0,$H37&lt;&gt;1),"",INDEX(Assumptions!FK:FK,$B37))</f>
        <v>0</v>
      </c>
      <c r="EW37" s="906">
        <f>IF(OR($B37=0,$A37=0,$H37&lt;&gt;1),"",INDEX(Assumptions!FL:FL,$B37))</f>
        <v>0</v>
      </c>
      <c r="EX37" s="906">
        <f>IF(OR($B37=0,$A37=0,$H37&lt;&gt;1),"",INDEX(Assumptions!FM:FM,$B37))</f>
        <v>0</v>
      </c>
      <c r="EY37" s="906">
        <f>IF(OR($B37=0,$A37=0,$H37&lt;&gt;1),"",INDEX(Assumptions!FN:FN,$B37))</f>
        <v>0</v>
      </c>
      <c r="EZ37" s="906">
        <f>IF(OR($B37=0,$A37=0,$H37&lt;&gt;1),"",INDEX(Assumptions!FO:FO,$B37))</f>
        <v>0</v>
      </c>
      <c r="FB37" s="820" t="str">
        <f t="shared" si="18"/>
        <v/>
      </c>
      <c r="FC37" s="820" t="str">
        <f t="shared" si="19"/>
        <v/>
      </c>
      <c r="FD37" s="820" t="str">
        <f t="shared" si="20"/>
        <v/>
      </c>
      <c r="FE37" s="820" t="str">
        <f t="shared" si="21"/>
        <v/>
      </c>
      <c r="FF37" s="820" t="str">
        <f t="shared" si="22"/>
        <v/>
      </c>
    </row>
    <row r="38" spans="1:162">
      <c r="A38" s="440">
        <f>IFERROR(MATCH(C38,'Data Interface'!B:B,0),0)</f>
        <v>52</v>
      </c>
      <c r="B38" s="440">
        <f>IFERROR(MATCH(C38,Assumptions!$B:$B,0),0)</f>
        <v>20</v>
      </c>
      <c r="C38" s="441" t="s">
        <v>1315</v>
      </c>
      <c r="E38" s="441" t="s">
        <v>1219</v>
      </c>
      <c r="F38" s="440" t="s">
        <v>34</v>
      </c>
      <c r="G38" s="440" t="str">
        <f>IF(A38=0,"",INDEX('Data Interface'!$C:$C,$A38))</f>
        <v>Federal Fund Purchased</v>
      </c>
      <c r="H38" s="440">
        <v>1</v>
      </c>
      <c r="I38" s="819">
        <f t="shared" ref="I38:I67" ca="1" si="23">IF(H38=1,CH38,IF(H38=0,SUM(BU38:CH38),""))</f>
        <v>1</v>
      </c>
      <c r="J38" s="819">
        <f t="shared" ref="J38:J67" ca="1" si="24">IF(H38=1,CJ38,IF(H38=0,SUM(BU38:CJ38),""))</f>
        <v>1</v>
      </c>
      <c r="K38" s="439" t="str">
        <f t="shared" ref="K38:K67" ca="1" si="25">IF(H38=1,ROUND(I38*100,1)&amp;"% of Contractual Maturity",IF(H38="","No Run-off",ROUND(I38*100,1)&amp;"% of Current Balance"))</f>
        <v>100% of Contractual Maturity</v>
      </c>
      <c r="L38" s="439" t="s">
        <v>1148</v>
      </c>
      <c r="M38" s="439" t="s">
        <v>1504</v>
      </c>
      <c r="O38" s="442">
        <f>IF(OR($A38="",$A38=0),0,INDEX('Data Interface'!D:D,$A38))</f>
        <v>0</v>
      </c>
      <c r="P38" s="442">
        <f ca="1">$O38-SUM($AS38:AS38)</f>
        <v>0</v>
      </c>
      <c r="Q38" s="442">
        <f ca="1">$O38-SUM($AS38:AT38)</f>
        <v>0</v>
      </c>
      <c r="R38" s="442">
        <f ca="1">$O38-SUM($AS38:AU38)</f>
        <v>0</v>
      </c>
      <c r="S38" s="442">
        <f ca="1">$O38-SUM($AS38:AV38)</f>
        <v>0</v>
      </c>
      <c r="T38" s="442">
        <f ca="1">$O38-SUM($AS38:AW38)</f>
        <v>0</v>
      </c>
      <c r="U38" s="442">
        <f ca="1">$O38-SUM($AS38:AX38)</f>
        <v>0</v>
      </c>
      <c r="V38" s="442">
        <f ca="1">$O38-SUM($AS38:AY38)</f>
        <v>0</v>
      </c>
      <c r="W38" s="442">
        <f ca="1">$O38-SUM($AS38:AZ38)</f>
        <v>0</v>
      </c>
      <c r="X38" s="442">
        <f ca="1">$O38-SUM($AS38:BA38)</f>
        <v>0</v>
      </c>
      <c r="Y38" s="442">
        <f ca="1">$O38-SUM($AS38:BB38)</f>
        <v>0</v>
      </c>
      <c r="Z38" s="442">
        <f ca="1">$O38-SUM($AS38:BC38)</f>
        <v>0</v>
      </c>
      <c r="AA38" s="442">
        <f ca="1">$O38-SUM($AS38:BD38)</f>
        <v>0</v>
      </c>
      <c r="AB38" s="442">
        <f ca="1">$O38-SUM($AS38:BE38)</f>
        <v>0</v>
      </c>
      <c r="AC38" s="442">
        <f ca="1">$O38-SUM($AS38:BF38)</f>
        <v>0</v>
      </c>
      <c r="AD38" s="442">
        <f ca="1">$O38-SUM($AS38:BG38)</f>
        <v>0</v>
      </c>
      <c r="AE38" s="442">
        <f ca="1">$O38-SUM($AS38:BH38)</f>
        <v>0</v>
      </c>
      <c r="AF38" s="442">
        <f ca="1">$O38-SUM($AS38:BI38)</f>
        <v>0</v>
      </c>
      <c r="AG38" s="442">
        <f ca="1">$O38-SUM($AS38:BJ38)</f>
        <v>0</v>
      </c>
      <c r="AH38" s="442">
        <f ca="1">$O38-SUM($AS38:BK38)</f>
        <v>0</v>
      </c>
      <c r="AI38" s="442">
        <f ca="1">$O38-SUM($AS38:BL38)</f>
        <v>0</v>
      </c>
      <c r="AJ38" s="442">
        <f ca="1">$O38-SUM($AS38:BM38)</f>
        <v>0</v>
      </c>
      <c r="AK38" s="442">
        <f ca="1">$O38-SUM($AS38:BN38)</f>
        <v>0</v>
      </c>
      <c r="AL38" s="442">
        <f ca="1">$O38-SUM($AS38:BO38)</f>
        <v>0</v>
      </c>
      <c r="AM38" s="442">
        <f ca="1">$O38-SUM($AS38:BP38)</f>
        <v>0</v>
      </c>
      <c r="AN38" s="442">
        <f ca="1">$O38-SUM($AS38:BQ38)</f>
        <v>0</v>
      </c>
      <c r="AO38" s="442">
        <f ca="1">$O38-SUM($AS38:BR38)</f>
        <v>0</v>
      </c>
      <c r="AP38" s="442">
        <f ca="1">$O38-SUM($AS38:BS38)</f>
        <v>0</v>
      </c>
      <c r="AR38" s="439" t="s">
        <v>1202</v>
      </c>
      <c r="AS38" s="442">
        <f ca="1">IF($H38="",0,IF($H38=1,IF('Para Adj'!$B$5 = 1,O38-($O38-SUMPRODUCT($CX38:CX38,$BU38:BU38))*(1-SUM($DZ38:DZ38)),BU38*CX38),$O38*BU38))</f>
        <v>0</v>
      </c>
      <c r="AT38" s="442">
        <f ca="1">IF($H38="",0,IF($H38=1,IF('Para Adj'!$B$5 = 1,P38-($O38-SUMPRODUCT($CX38:CY38,$BU38:BV38))*(1-SUM($DZ38:EA38)),BV38*CY38),$O38*BV38))</f>
        <v>0</v>
      </c>
      <c r="AU38" s="442">
        <f ca="1">IF($H38="",0,IF($H38=1,IF('Para Adj'!$B$5 = 1,Q38-($O38-SUMPRODUCT($CX38:CZ38,$BU38:BW38))*(1-SUM($DZ38:EB38)),BW38*CZ38),$O38*BW38))</f>
        <v>0</v>
      </c>
      <c r="AV38" s="442">
        <f ca="1">IF($H38="",0,IF($H38=1,IF('Para Adj'!$B$5 = 1,R38-($O38-SUMPRODUCT($CX38:DA38,$BU38:BX38))*(1-SUM($DZ38:EC38)),BX38*DA38),$O38*BX38))</f>
        <v>0</v>
      </c>
      <c r="AW38" s="442">
        <f ca="1">IF($H38="",0,IF($H38=1,IF('Para Adj'!$B$5 = 1,S38-($O38-SUMPRODUCT($CX38:DB38,$BU38:BY38))*(1-SUM($DZ38:ED38)),BY38*DB38),$O38*BY38))</f>
        <v>0</v>
      </c>
      <c r="AX38" s="442">
        <f ca="1">IF($H38="",0,IF($H38=1,IF('Para Adj'!$B$5 = 1,T38-($O38-SUMPRODUCT($CX38:DC38,$BU38:BZ38))*(1-SUM($DZ38:EE38)),BZ38*DC38),$O38*BZ38))</f>
        <v>0</v>
      </c>
      <c r="AY38" s="442">
        <f ca="1">IF($H38="",0,IF($H38=1,IF('Para Adj'!$B$5 = 1,U38-($O38-SUMPRODUCT($CX38:DD38,$BU38:CA38))*(1-SUM($DZ38:EF38)),CA38*DD38),$O38*CA38))</f>
        <v>0</v>
      </c>
      <c r="AZ38" s="442">
        <f ca="1">IF($H38="",0,IF($H38=1,IF('Para Adj'!$B$5 = 1,V38-($O38-SUMPRODUCT($CX38:DE38,$BU38:CB38))*(1-SUM($DZ38:EG38)),CB38*DE38),$O38*CB38))</f>
        <v>0</v>
      </c>
      <c r="BA38" s="442">
        <f ca="1">IF($H38="",0,IF($H38=1,IF('Para Adj'!$B$5 = 1,W38-($O38-SUMPRODUCT($CX38:DF38,$BU38:CC38))*(1-SUM($DZ38:EH38)),CC38*DF38),$O38*CC38))</f>
        <v>0</v>
      </c>
      <c r="BB38" s="442">
        <f ca="1">IF($H38="",0,IF($H38=1,IF('Para Adj'!$B$5 = 1,X38-($O38-SUMPRODUCT($CX38:DG38,$BU38:CD38))*(1-SUM($DZ38:EI38)),CD38*DG38),$O38*CD38))</f>
        <v>0</v>
      </c>
      <c r="BC38" s="442">
        <f ca="1">IF($H38="",0,IF($H38=1,IF('Para Adj'!$B$5 = 1,Y38-($O38-SUMPRODUCT($CX38:DH38,$BU38:CE38))*(1-SUM($DZ38:EJ38)),CE38*DH38),$O38*CE38))</f>
        <v>0</v>
      </c>
      <c r="BD38" s="442">
        <f ca="1">IF($H38="",0,IF($H38=1,IF('Para Adj'!$B$5 = 1,Z38-($O38-SUMPRODUCT($CX38:DI38,$BU38:CF38))*(1-SUM($DZ38:EK38)),CF38*DI38),$O38*CF38))</f>
        <v>0</v>
      </c>
      <c r="BE38" s="442">
        <f ca="1">IF($H38="",0,IF($H38=1,IF('Para Adj'!$B$5 = 1,AA38-($O38-SUMPRODUCT($CX38:DJ38,$BU38:CG38))*(1-SUM($DZ38:EL38)),CG38*DJ38),$O38*CG38))</f>
        <v>0</v>
      </c>
      <c r="BF38" s="442">
        <f ca="1">IF($H38="",0,IF($H38=1,IF('Para Adj'!$B$5 = 1,AB38-($O38-SUMPRODUCT($CX38:DK38,$BU38:CH38))*(1-SUM($DZ38:EM38)),CH38*DK38),$O38*CH38))</f>
        <v>0</v>
      </c>
      <c r="BG38" s="442">
        <f ca="1">IF($H38="",0,IF($H38=1,IF('Para Adj'!$B$5 = 1,AC38-($O38-SUMPRODUCT($CX38:DL38,$BU38:CI38))*(1-SUM($DZ38:EN38)),CI38*DL38),$O38*CI38))</f>
        <v>0</v>
      </c>
      <c r="BH38" s="442">
        <f ca="1">IF($H38="",0,IF($H38=1,IF('Para Adj'!$B$5 = 1,AD38-($O38-SUMPRODUCT($CX38:DM38,$BU38:CJ38))*(1-SUM($DZ38:EO38)),CJ38*DM38),$O38*CJ38))</f>
        <v>0</v>
      </c>
      <c r="BI38" s="442">
        <f ca="1">IF($H38="",0,IF($H38=1,IF('Para Adj'!$B$5 = 1,AE38-($O38-SUMPRODUCT($CX38:DN38,$BU38:CK38))*(1-SUM($DZ38:EP38)),CK38*DN38),$O38*CK38))</f>
        <v>0</v>
      </c>
      <c r="BJ38" s="442">
        <f ca="1">IF($H38="",0,IF($H38=1,IF('Para Adj'!$B$5 = 1,AF38-($O38-SUMPRODUCT($CX38:DO38,$BU38:CL38))*(1-SUM($DZ38:EQ38)),CL38*DO38),$O38*CL38))</f>
        <v>0</v>
      </c>
      <c r="BK38" s="442">
        <f ca="1">IF($H38="",0,IF($H38=1,IF('Para Adj'!$B$5 = 1,AG38-($O38-SUMPRODUCT($CX38:DP38,$BU38:CM38))*(1-SUM($DZ38:ER38)),CM38*DP38),$O38*CM38))</f>
        <v>0</v>
      </c>
      <c r="BL38" s="442">
        <f ca="1">IF($H38="",0,IF($H38=1,IF('Para Adj'!$B$5 = 1,AH38-($O38-SUMPRODUCT($CX38:DQ38,$BU38:CN38))*(1-SUM($DZ38:ES38)),CN38*DQ38),$O38*CN38))</f>
        <v>0</v>
      </c>
      <c r="BM38" s="442">
        <f ca="1">IF($H38="",0,IF($H38=1,IF('Para Adj'!$B$5 = 1,AI38-($O38-SUMPRODUCT($CX38:DR38,$BU38:CO38))*(1-SUM($DZ38:ET38)),CO38*DR38),$O38*CO38))</f>
        <v>0</v>
      </c>
      <c r="BN38" s="442">
        <f ca="1">IF($H38="",0,IF($H38=1,IF('Para Adj'!$B$5 = 1,AJ38-($O38-SUMPRODUCT($CX38:DS38,$BU38:CP38))*(1-SUM($DZ38:EU38)),CP38*DS38),$O38*CP38))</f>
        <v>0</v>
      </c>
      <c r="BO38" s="442">
        <f ca="1">IF($H38="",0,IF($H38=1,IF('Para Adj'!$B$5 = 1,AK38-($O38-SUMPRODUCT($CX38:DT38,$BU38:CQ38))*(1-SUM($DZ38:EV38)),CQ38*DT38),$O38*CQ38))</f>
        <v>0</v>
      </c>
      <c r="BP38" s="442">
        <f ca="1">IF($H38="",0,IF($H38=1,IF('Para Adj'!$B$5 = 1,AL38-($O38-SUMPRODUCT($CX38:DU38,$BU38:CR38))*(1-SUM($DZ38:EW38)),CR38*DU38),$O38*CR38))</f>
        <v>0</v>
      </c>
      <c r="BQ38" s="442">
        <f ca="1">IF($H38="",0,IF($H38=1,IF('Para Adj'!$B$5 = 1,AM38-($O38-SUMPRODUCT($CX38:DV38,$BU38:CS38))*(1-SUM($DZ38:EX38)),CS38*DV38),$O38*CS38))</f>
        <v>0</v>
      </c>
      <c r="BR38" s="442">
        <f ca="1">IF($H38="",0,IF($H38=1,IF('Para Adj'!$B$5 = 1,AN38-($O38-SUMPRODUCT($CX38:DW38,$BU38:CT38))*(1-SUM($DZ38:EY38)),CT38*DW38),$O38*CT38))</f>
        <v>0</v>
      </c>
      <c r="BS38" s="442">
        <f ca="1">IF($H38="",0,IF($H38=1,IF('Para Adj'!$B$5 = 1,AO38-($O38-SUMPRODUCT($CX38:DX38,$BU38:CU38))*(1-SUM($DZ38:EZ38)),CU38*DX38),$O38*CU38))</f>
        <v>0</v>
      </c>
      <c r="BU38" s="820">
        <f ca="1">IF($B38=0,"",INDEX(Assumptions!G:G,$B38))</f>
        <v>1</v>
      </c>
      <c r="BV38" s="820">
        <f ca="1">IF($B38=0,"",INDEX(Assumptions!H:H,$B38))</f>
        <v>1</v>
      </c>
      <c r="BW38" s="820">
        <f ca="1">IF($B38=0,"",INDEX(Assumptions!I:I,$B38))</f>
        <v>1</v>
      </c>
      <c r="BX38" s="820">
        <f ca="1">IF($B38=0,"",INDEX(Assumptions!J:J,$B38))</f>
        <v>1</v>
      </c>
      <c r="BY38" s="820">
        <f ca="1">IF($B38=0,"",INDEX(Assumptions!K:K,$B38))</f>
        <v>1</v>
      </c>
      <c r="BZ38" s="820">
        <f ca="1">IF($B38=0,"",INDEX(Assumptions!L:L,$B38))</f>
        <v>1</v>
      </c>
      <c r="CA38" s="820">
        <f ca="1">IF($B38=0,"",INDEX(Assumptions!M:M,$B38))</f>
        <v>1</v>
      </c>
      <c r="CB38" s="820">
        <f ca="1">IF($B38=0,"",INDEX(Assumptions!N:N,$B38))</f>
        <v>1</v>
      </c>
      <c r="CC38" s="820">
        <f ca="1">IF($B38=0,"",INDEX(Assumptions!O:O,$B38))</f>
        <v>1</v>
      </c>
      <c r="CD38" s="820">
        <f ca="1">IF($B38=0,"",INDEX(Assumptions!P:P,$B38))</f>
        <v>1</v>
      </c>
      <c r="CE38" s="820">
        <f ca="1">IF($B38=0,"",INDEX(Assumptions!Q:Q,$B38))</f>
        <v>1</v>
      </c>
      <c r="CF38" s="820">
        <f ca="1">IF($B38=0,"",INDEX(Assumptions!R:R,$B38))</f>
        <v>1</v>
      </c>
      <c r="CG38" s="820">
        <f ca="1">IF($B38=0,"",INDEX(Assumptions!S:S,$B38))</f>
        <v>1</v>
      </c>
      <c r="CH38" s="820">
        <f ca="1">IF($B38=0,"",INDEX(Assumptions!T:T,$B38))</f>
        <v>1</v>
      </c>
      <c r="CI38" s="820">
        <f ca="1">IF($B38=0,"",INDEX(Assumptions!U:U,$B38))</f>
        <v>1</v>
      </c>
      <c r="CJ38" s="820">
        <f ca="1">IF($B38=0,"",INDEX(Assumptions!V:V,$B38))</f>
        <v>1</v>
      </c>
      <c r="CK38" s="820">
        <f ca="1">IF($B38=0,"",INDEX(Assumptions!W:W,$B38))</f>
        <v>1</v>
      </c>
      <c r="CL38" s="820">
        <f ca="1">IF($B38=0,"",INDEX(Assumptions!X:X,$B38))</f>
        <v>1</v>
      </c>
      <c r="CM38" s="820">
        <f ca="1">IF($B38=0,"",INDEX(Assumptions!Y:Y,$B38))</f>
        <v>1</v>
      </c>
      <c r="CN38" s="820">
        <f ca="1">IF($B38=0,"",INDEX(Assumptions!Z:Z,$B38))</f>
        <v>1</v>
      </c>
      <c r="CO38" s="820">
        <f ca="1">IF($B38=0,"",INDEX(Assumptions!AA:AA,$B38))</f>
        <v>1</v>
      </c>
      <c r="CP38" s="820">
        <f ca="1">IF($B38=0,"",INDEX(Assumptions!AB:AB,$B38))</f>
        <v>1</v>
      </c>
      <c r="CQ38" s="820">
        <f ca="1">IF($B38=0,"",INDEX(Assumptions!AC:AC,$B38))</f>
        <v>1</v>
      </c>
      <c r="CR38" s="820">
        <f ca="1">IF($B38=0,"",INDEX(Assumptions!AD:AD,$B38))</f>
        <v>1</v>
      </c>
      <c r="CS38" s="820">
        <f ca="1">IF($B38=0,"",INDEX(Assumptions!AE:AE,$B38))</f>
        <v>1</v>
      </c>
      <c r="CT38" s="820">
        <f ca="1">IF($B38=0,"",INDEX(Assumptions!AF:AF,$B38))</f>
        <v>1</v>
      </c>
      <c r="CU38" s="820">
        <f ca="1">IF($B38=0,"",INDEX(Assumptions!AG:AG,$B38))</f>
        <v>1</v>
      </c>
      <c r="CX38" s="442">
        <f>IF($A38="","",INDEX('Data Interface'!G:G,$A38))</f>
        <v>0</v>
      </c>
      <c r="CY38" s="442">
        <f>IF($A38="","",INDEX('Data Interface'!H:H,$A38))</f>
        <v>0</v>
      </c>
      <c r="CZ38" s="442">
        <f>IF($A38="","",INDEX('Data Interface'!I:I,$A38))</f>
        <v>0</v>
      </c>
      <c r="DA38" s="442">
        <f>IF($A38="","",INDEX('Data Interface'!J:J,$A38))</f>
        <v>0</v>
      </c>
      <c r="DB38" s="442">
        <f>IF($A38="","",INDEX('Data Interface'!K:K,$A38))</f>
        <v>0</v>
      </c>
      <c r="DC38" s="442">
        <f>IF($A38="","",INDEX('Data Interface'!L:L,$A38))</f>
        <v>0</v>
      </c>
      <c r="DD38" s="442">
        <f>IF($A38="","",INDEX('Data Interface'!M:M,$A38))</f>
        <v>0</v>
      </c>
      <c r="DE38" s="442">
        <f>IF($A38="","",INDEX('Data Interface'!N:N,$A38))</f>
        <v>0</v>
      </c>
      <c r="DF38" s="442">
        <f>IF($A38="","",INDEX('Data Interface'!O:O,$A38))</f>
        <v>0</v>
      </c>
      <c r="DG38" s="442">
        <f>IF($A38="","",INDEX('Data Interface'!P:P,$A38))</f>
        <v>0</v>
      </c>
      <c r="DH38" s="442">
        <f>IF($A38="","",INDEX('Data Interface'!Q:Q,$A38))</f>
        <v>0</v>
      </c>
      <c r="DI38" s="442">
        <f>IF($A38="","",INDEX('Data Interface'!R:R,$A38))</f>
        <v>0</v>
      </c>
      <c r="DJ38" s="442">
        <f>IF($A38="","",INDEX('Data Interface'!S:S,$A38))</f>
        <v>0</v>
      </c>
      <c r="DK38" s="442">
        <f>IF($A38="","",INDEX('Data Interface'!T:T,$A38))</f>
        <v>0</v>
      </c>
      <c r="DL38" s="442">
        <f>IF($A38="","",INDEX('Data Interface'!U:U,$A38))</f>
        <v>0</v>
      </c>
      <c r="DM38" s="442">
        <f>IF($A38="","",INDEX('Data Interface'!V:V,$A38))</f>
        <v>0</v>
      </c>
      <c r="DN38" s="442">
        <f>IF($A38="","",INDEX('Data Interface'!W:W,$A38))</f>
        <v>0</v>
      </c>
      <c r="DO38" s="442">
        <f>IF($A38="","",INDEX('Data Interface'!X:X,$A38))</f>
        <v>0</v>
      </c>
      <c r="DP38" s="442">
        <f>IF($A38="","",INDEX('Data Interface'!Y:Y,$A38))</f>
        <v>0</v>
      </c>
      <c r="DQ38" s="442">
        <f>IF($A38="","",INDEX('Data Interface'!Z:Z,$A38))</f>
        <v>0</v>
      </c>
      <c r="DR38" s="442">
        <f>IF($A38="","",INDEX('Data Interface'!AA:AA,$A38))</f>
        <v>0</v>
      </c>
      <c r="DS38" s="442">
        <f>IF($A38="","",INDEX('Data Interface'!AB:AB,$A38))</f>
        <v>0</v>
      </c>
      <c r="DT38" s="442">
        <f>IF($A38="","",INDEX('Data Interface'!AC:AC,$A38))</f>
        <v>0</v>
      </c>
      <c r="DU38" s="442">
        <f>IF($A38="","",INDEX('Data Interface'!AD:AD,$A38))</f>
        <v>0</v>
      </c>
      <c r="DV38" s="442">
        <f>IF($A38="","",INDEX('Data Interface'!AE:AE,$A38))</f>
        <v>0</v>
      </c>
      <c r="DW38" s="442">
        <f>IF($A38="","",INDEX('Data Interface'!AF:AF,$A38))</f>
        <v>0</v>
      </c>
      <c r="DX38" s="442">
        <f>IF($A38="","",INDEX('Data Interface'!AG:AG,$A38))</f>
        <v>0</v>
      </c>
      <c r="DZ38" s="906">
        <f>IF(OR($B38=0,$A38=0,$H38&lt;&gt;1),"",INDEX(Assumptions!EO:EO,$B38))</f>
        <v>0</v>
      </c>
      <c r="EA38" s="906">
        <f>IF(OR($B38=0,$A38=0,$H38&lt;&gt;1),"",INDEX(Assumptions!EP:EP,$B38))</f>
        <v>0</v>
      </c>
      <c r="EB38" s="906">
        <f>IF(OR($B38=0,$A38=0,$H38&lt;&gt;1),"",INDEX(Assumptions!EQ:EQ,$B38))</f>
        <v>0</v>
      </c>
      <c r="EC38" s="906">
        <f>IF(OR($B38=0,$A38=0,$H38&lt;&gt;1),"",INDEX(Assumptions!ER:ER,$B38))</f>
        <v>0</v>
      </c>
      <c r="ED38" s="906">
        <f>IF(OR($B38=0,$A38=0,$H38&lt;&gt;1),"",INDEX(Assumptions!ES:ES,$B38))</f>
        <v>0</v>
      </c>
      <c r="EE38" s="906">
        <f>IF(OR($B38=0,$A38=0,$H38&lt;&gt;1),"",INDEX(Assumptions!ET:ET,$B38))</f>
        <v>0</v>
      </c>
      <c r="EF38" s="906">
        <f>IF(OR($B38=0,$A38=0,$H38&lt;&gt;1),"",INDEX(Assumptions!EU:EU,$B38))</f>
        <v>0</v>
      </c>
      <c r="EG38" s="906">
        <f>IF(OR($B38=0,$A38=0,$H38&lt;&gt;1),"",INDEX(Assumptions!EV:EV,$B38))</f>
        <v>0</v>
      </c>
      <c r="EH38" s="906">
        <f>IF(OR($B38=0,$A38=0,$H38&lt;&gt;1),"",INDEX(Assumptions!EW:EW,$B38))</f>
        <v>0</v>
      </c>
      <c r="EI38" s="906">
        <f>IF(OR($B38=0,$A38=0,$H38&lt;&gt;1),"",INDEX(Assumptions!EX:EX,$B38))</f>
        <v>0</v>
      </c>
      <c r="EJ38" s="906">
        <f>IF(OR($B38=0,$A38=0,$H38&lt;&gt;1),"",INDEX(Assumptions!EY:EY,$B38))</f>
        <v>0</v>
      </c>
      <c r="EK38" s="906">
        <f>IF(OR($B38=0,$A38=0,$H38&lt;&gt;1),"",INDEX(Assumptions!EZ:EZ,$B38))</f>
        <v>0</v>
      </c>
      <c r="EL38" s="906">
        <f>IF(OR($B38=0,$A38=0,$H38&lt;&gt;1),"",INDEX(Assumptions!FA:FA,$B38))</f>
        <v>0</v>
      </c>
      <c r="EM38" s="906">
        <f>IF(OR($B38=0,$A38=0,$H38&lt;&gt;1),"",INDEX(Assumptions!FB:FB,$B38))</f>
        <v>0</v>
      </c>
      <c r="EN38" s="906">
        <f>IF(OR($B38=0,$A38=0,$H38&lt;&gt;1),"",INDEX(Assumptions!FC:FC,$B38))</f>
        <v>0</v>
      </c>
      <c r="EO38" s="906">
        <f>IF(OR($B38=0,$A38=0,$H38&lt;&gt;1),"",INDEX(Assumptions!FD:FD,$B38))</f>
        <v>0</v>
      </c>
      <c r="EP38" s="906">
        <f>IF(OR($B38=0,$A38=0,$H38&lt;&gt;1),"",INDEX(Assumptions!FE:FE,$B38))</f>
        <v>0</v>
      </c>
      <c r="EQ38" s="906">
        <f>IF(OR($B38=0,$A38=0,$H38&lt;&gt;1),"",INDEX(Assumptions!FF:FF,$B38))</f>
        <v>0</v>
      </c>
      <c r="ER38" s="906">
        <f>IF(OR($B38=0,$A38=0,$H38&lt;&gt;1),"",INDEX(Assumptions!FG:FG,$B38))</f>
        <v>0</v>
      </c>
      <c r="ES38" s="906">
        <f>IF(OR($B38=0,$A38=0,$H38&lt;&gt;1),"",INDEX(Assumptions!FH:FH,$B38))</f>
        <v>0</v>
      </c>
      <c r="ET38" s="906">
        <f>IF(OR($B38=0,$A38=0,$H38&lt;&gt;1),"",INDEX(Assumptions!FI:FI,$B38))</f>
        <v>0</v>
      </c>
      <c r="EU38" s="906">
        <f>IF(OR($B38=0,$A38=0,$H38&lt;&gt;1),"",INDEX(Assumptions!FJ:FJ,$B38))</f>
        <v>0</v>
      </c>
      <c r="EV38" s="906">
        <f>IF(OR($B38=0,$A38=0,$H38&lt;&gt;1),"",INDEX(Assumptions!FK:FK,$B38))</f>
        <v>0</v>
      </c>
      <c r="EW38" s="906">
        <f>IF(OR($B38=0,$A38=0,$H38&lt;&gt;1),"",INDEX(Assumptions!FL:FL,$B38))</f>
        <v>0</v>
      </c>
      <c r="EX38" s="906">
        <f>IF(OR($B38=0,$A38=0,$H38&lt;&gt;1),"",INDEX(Assumptions!FM:FM,$B38))</f>
        <v>0</v>
      </c>
      <c r="EY38" s="906">
        <f>IF(OR($B38=0,$A38=0,$H38&lt;&gt;1),"",INDEX(Assumptions!FN:FN,$B38))</f>
        <v>0</v>
      </c>
      <c r="EZ38" s="906">
        <f>IF(OR($B38=0,$A38=0,$H38&lt;&gt;1),"",INDEX(Assumptions!FO:FO,$B38))</f>
        <v>0</v>
      </c>
      <c r="FB38" s="820" t="str">
        <f t="shared" si="18"/>
        <v/>
      </c>
      <c r="FC38" s="820" t="str">
        <f t="shared" si="19"/>
        <v/>
      </c>
      <c r="FD38" s="820" t="str">
        <f t="shared" si="20"/>
        <v/>
      </c>
      <c r="FE38" s="820" t="str">
        <f t="shared" si="21"/>
        <v/>
      </c>
      <c r="FF38" s="820" t="str">
        <f t="shared" si="22"/>
        <v/>
      </c>
    </row>
    <row r="39" spans="1:162">
      <c r="A39" s="440">
        <f>IFERROR(MATCH(C39,'Data Interface'!B:B,0),0)</f>
        <v>36</v>
      </c>
      <c r="B39" s="440">
        <f>IFERROR(MATCH(C39,Assumptions!$B:$B,0),0)</f>
        <v>49</v>
      </c>
      <c r="C39" s="441" t="s">
        <v>1299</v>
      </c>
      <c r="E39" s="441" t="s">
        <v>1219</v>
      </c>
      <c r="F39" s="440" t="s">
        <v>36</v>
      </c>
      <c r="G39" s="440" t="str">
        <f>IF(A39=0,"",INDEX('Data Interface'!$C:$C,$A39))</f>
        <v>Due to Banks - Demand</v>
      </c>
      <c r="H39" s="440">
        <v>0</v>
      </c>
      <c r="I39" s="819">
        <f t="shared" ca="1" si="23"/>
        <v>0.18400000000000016</v>
      </c>
      <c r="J39" s="819">
        <f t="shared" ca="1" si="24"/>
        <v>0.23000000000000015</v>
      </c>
      <c r="K39" s="439" t="str">
        <f t="shared" ca="1" si="25"/>
        <v>18.4% of Current Balance</v>
      </c>
      <c r="L39" s="439" t="s">
        <v>1148</v>
      </c>
      <c r="M39" s="439" t="s">
        <v>1507</v>
      </c>
      <c r="O39" s="442">
        <f>IF(OR($A39="",$A39=0),0,INDEX('Data Interface'!D:D,$A39))</f>
        <v>174.70603417999999</v>
      </c>
      <c r="P39" s="442">
        <f ca="1">$O39-SUM($AS39:AS39)</f>
        <v>163.99073075029332</v>
      </c>
      <c r="Q39" s="442">
        <f ca="1">$O39-SUM($AS39:AT39)</f>
        <v>162.20484684534222</v>
      </c>
      <c r="R39" s="442">
        <f ca="1">$O39-SUM($AS39:AU39)</f>
        <v>160.41896294039111</v>
      </c>
      <c r="S39" s="442">
        <f ca="1">$O39-SUM($AS39:AV39)</f>
        <v>158.63307903543998</v>
      </c>
      <c r="T39" s="442">
        <f ca="1">$O39-SUM($AS39:AW39)</f>
        <v>156.84719513048887</v>
      </c>
      <c r="U39" s="442">
        <f ca="1">$O39-SUM($AS39:AX39)</f>
        <v>155.06131122553776</v>
      </c>
      <c r="V39" s="442">
        <f ca="1">$O39-SUM($AS39:AY39)</f>
        <v>153.27542732058663</v>
      </c>
      <c r="W39" s="442">
        <f ca="1">$O39-SUM($AS39:AZ39)</f>
        <v>151.74466968777142</v>
      </c>
      <c r="X39" s="442">
        <f ca="1">$O39-SUM($AS39:BA39)</f>
        <v>150.21391205495615</v>
      </c>
      <c r="Y39" s="442">
        <f ca="1">$O39-SUM($AS39:BB39)</f>
        <v>148.68315442214094</v>
      </c>
      <c r="Z39" s="442">
        <f ca="1">$O39-SUM($AS39:BC39)</f>
        <v>147.15239678932568</v>
      </c>
      <c r="AA39" s="442">
        <f ca="1">$O39-SUM($AS39:BD39)</f>
        <v>145.62163915651047</v>
      </c>
      <c r="AB39" s="442">
        <f ca="1">$O39-SUM($AS39:BE39)</f>
        <v>144.0908815236952</v>
      </c>
      <c r="AC39" s="442">
        <f ca="1">$O39-SUM($AS39:BF39)</f>
        <v>142.56012389087999</v>
      </c>
      <c r="AD39" s="442">
        <f ca="1">$O39-SUM($AS39:BG39)</f>
        <v>138.54188510473998</v>
      </c>
      <c r="AE39" s="442">
        <f ca="1">$O39-SUM($AS39:BH39)</f>
        <v>134.52364631859999</v>
      </c>
      <c r="AF39" s="442">
        <f ca="1">$O39-SUM($AS39:BI39)</f>
        <v>130.50540753245997</v>
      </c>
      <c r="AG39" s="442">
        <f ca="1">$O39-SUM($AS39:BJ39)</f>
        <v>126.48716874631998</v>
      </c>
      <c r="AH39" s="442">
        <f ca="1">$O39-SUM($AS39:BK39)</f>
        <v>125.14775581760665</v>
      </c>
      <c r="AI39" s="442">
        <f ca="1">$O39-SUM($AS39:BL39)</f>
        <v>123.80834288889331</v>
      </c>
      <c r="AJ39" s="442">
        <f ca="1">$O39-SUM($AS39:BM39)</f>
        <v>122.46892996017996</v>
      </c>
      <c r="AK39" s="442">
        <f ca="1">$O39-SUM($AS39:BN39)</f>
        <v>121.12951703146663</v>
      </c>
      <c r="AL39" s="442">
        <f ca="1">$O39-SUM($AS39:BO39)</f>
        <v>119.7901041027533</v>
      </c>
      <c r="AM39" s="442">
        <f ca="1">$O39-SUM($AS39:BP39)</f>
        <v>118.45069117403996</v>
      </c>
      <c r="AN39" s="442">
        <f ca="1">$O39-SUM($AS39:BQ39)</f>
        <v>117.11127824532662</v>
      </c>
      <c r="AO39" s="442">
        <f ca="1">$O39-SUM($AS39:BR39)</f>
        <v>115.77186531661329</v>
      </c>
      <c r="AP39" s="442">
        <f ca="1">$O39-SUM($AS39:BS39)</f>
        <v>114.43245238789996</v>
      </c>
      <c r="AR39" s="439" t="s">
        <v>1202</v>
      </c>
      <c r="AS39" s="442">
        <f ca="1">IF($H39="",0,IF($H39=1,IF('Para Adj'!$B$5 = 1,O39-($O39-SUMPRODUCT($CX39:CX39,$BU39:BU39))*(1-SUM($DZ39:DZ39)),BU39*CX39),$O39*BU39))</f>
        <v>10.715303429706669</v>
      </c>
      <c r="AT39" s="442">
        <f ca="1">IF($H39="",0,IF($H39=1,IF('Para Adj'!$B$5 = 1,P39-($O39-SUMPRODUCT($CX39:CY39,$BU39:BV39))*(1-SUM($DZ39:EA39)),BV39*CY39),$O39*BV39))</f>
        <v>1.7858839049511115</v>
      </c>
      <c r="AU39" s="442">
        <f ca="1">IF($H39="",0,IF($H39=1,IF('Para Adj'!$B$5 = 1,Q39-($O39-SUMPRODUCT($CX39:CZ39,$BU39:BW39))*(1-SUM($DZ39:EB39)),BW39*CZ39),$O39*BW39))</f>
        <v>1.7858839049511115</v>
      </c>
      <c r="AV39" s="442">
        <f ca="1">IF($H39="",0,IF($H39=1,IF('Para Adj'!$B$5 = 1,R39-($O39-SUMPRODUCT($CX39:DA39,$BU39:BX39))*(1-SUM($DZ39:EC39)),BX39*DA39),$O39*BX39))</f>
        <v>1.7858839049511115</v>
      </c>
      <c r="AW39" s="442">
        <f ca="1">IF($H39="",0,IF($H39=1,IF('Para Adj'!$B$5 = 1,S39-($O39-SUMPRODUCT($CX39:DB39,$BU39:BY39))*(1-SUM($DZ39:ED39)),BY39*DB39),$O39*BY39))</f>
        <v>1.7858839049511115</v>
      </c>
      <c r="AX39" s="442">
        <f ca="1">IF($H39="",0,IF($H39=1,IF('Para Adj'!$B$5 = 1,T39-($O39-SUMPRODUCT($CX39:DC39,$BU39:BZ39))*(1-SUM($DZ39:EE39)),BZ39*DC39),$O39*BZ39))</f>
        <v>1.7858839049511115</v>
      </c>
      <c r="AY39" s="442">
        <f ca="1">IF($H39="",0,IF($H39=1,IF('Para Adj'!$B$5 = 1,U39-($O39-SUMPRODUCT($CX39:DD39,$BU39:CA39))*(1-SUM($DZ39:EF39)),CA39*DD39),$O39*CA39))</f>
        <v>1.7858839049511115</v>
      </c>
      <c r="AZ39" s="442">
        <f ca="1">IF($H39="",0,IF($H39=1,IF('Para Adj'!$B$5 = 1,V39-($O39-SUMPRODUCT($CX39:DE39,$BU39:CB39))*(1-SUM($DZ39:EG39)),CB39*DE39),$O39*CB39))</f>
        <v>1.5307576328152388</v>
      </c>
      <c r="BA39" s="442">
        <f ca="1">IF($H39="",0,IF($H39=1,IF('Para Adj'!$B$5 = 1,W39-($O39-SUMPRODUCT($CX39:DF39,$BU39:CC39))*(1-SUM($DZ39:EH39)),CC39*DF39),$O39*CC39))</f>
        <v>1.5307576328152388</v>
      </c>
      <c r="BB39" s="442">
        <f ca="1">IF($H39="",0,IF($H39=1,IF('Para Adj'!$B$5 = 1,X39-($O39-SUMPRODUCT($CX39:DG39,$BU39:CD39))*(1-SUM($DZ39:EI39)),CD39*DG39),$O39*CD39))</f>
        <v>1.5307576328152388</v>
      </c>
      <c r="BC39" s="442">
        <f ca="1">IF($H39="",0,IF($H39=1,IF('Para Adj'!$B$5 = 1,Y39-($O39-SUMPRODUCT($CX39:DH39,$BU39:CE39))*(1-SUM($DZ39:EJ39)),CE39*DH39),$O39*CE39))</f>
        <v>1.5307576328152388</v>
      </c>
      <c r="BD39" s="442">
        <f ca="1">IF($H39="",0,IF($H39=1,IF('Para Adj'!$B$5 = 1,Z39-($O39-SUMPRODUCT($CX39:DI39,$BU39:CF39))*(1-SUM($DZ39:EK39)),CF39*DI39),$O39*CF39))</f>
        <v>1.5307576328152388</v>
      </c>
      <c r="BE39" s="442">
        <f ca="1">IF($H39="",0,IF($H39=1,IF('Para Adj'!$B$5 = 1,AA39-($O39-SUMPRODUCT($CX39:DJ39,$BU39:CG39))*(1-SUM($DZ39:EL39)),CG39*DJ39),$O39*CG39))</f>
        <v>1.5307576328152388</v>
      </c>
      <c r="BF39" s="442">
        <f ca="1">IF($H39="",0,IF($H39=1,IF('Para Adj'!$B$5 = 1,AB39-($O39-SUMPRODUCT($CX39:DK39,$BU39:CH39))*(1-SUM($DZ39:EM39)),CH39*DK39),$O39*CH39))</f>
        <v>1.5307576328152388</v>
      </c>
      <c r="BG39" s="442">
        <f ca="1">IF($H39="",0,IF($H39=1,IF('Para Adj'!$B$5 = 1,AC39-($O39-SUMPRODUCT($CX39:DL39,$BU39:CI39))*(1-SUM($DZ39:EN39)),CI39*DL39),$O39*CI39))</f>
        <v>4.0182387861399986</v>
      </c>
      <c r="BH39" s="442">
        <f ca="1">IF($H39="",0,IF($H39=1,IF('Para Adj'!$B$5 = 1,AD39-($O39-SUMPRODUCT($CX39:DM39,$BU39:CJ39))*(1-SUM($DZ39:EO39)),CJ39*DM39),$O39*CJ39))</f>
        <v>4.0182387861399986</v>
      </c>
      <c r="BI39" s="442">
        <f ca="1">IF($H39="",0,IF($H39=1,IF('Para Adj'!$B$5 = 1,AE39-($O39-SUMPRODUCT($CX39:DN39,$BU39:CK39))*(1-SUM($DZ39:EP39)),CK39*DN39),$O39*CK39))</f>
        <v>4.0182387861400013</v>
      </c>
      <c r="BJ39" s="442">
        <f ca="1">IF($H39="",0,IF($H39=1,IF('Para Adj'!$B$5 = 1,AF39-($O39-SUMPRODUCT($CX39:DO39,$BU39:CL39))*(1-SUM($DZ39:EQ39)),CL39*DO39),$O39*CL39))</f>
        <v>4.0182387861400013</v>
      </c>
      <c r="BK39" s="442">
        <f ca="1">IF($H39="",0,IF($H39=1,IF('Para Adj'!$B$5 = 1,AG39-($O39-SUMPRODUCT($CX39:DP39,$BU39:CM39))*(1-SUM($DZ39:ER39)),CM39*DP39),$O39*CM39))</f>
        <v>1.3394129287133334</v>
      </c>
      <c r="BL39" s="442">
        <f ca="1">IF($H39="",0,IF($H39=1,IF('Para Adj'!$B$5 = 1,AH39-($O39-SUMPRODUCT($CX39:DQ39,$BU39:CN39))*(1-SUM($DZ39:ES39)),CN39*DQ39),$O39*CN39))</f>
        <v>1.3394129287133334</v>
      </c>
      <c r="BM39" s="442">
        <f ca="1">IF($H39="",0,IF($H39=1,IF('Para Adj'!$B$5 = 1,AI39-($O39-SUMPRODUCT($CX39:DR39,$BU39:CO39))*(1-SUM($DZ39:ET39)),CO39*DR39),$O39*CO39))</f>
        <v>1.3394129287133334</v>
      </c>
      <c r="BN39" s="442">
        <f ca="1">IF($H39="",0,IF($H39=1,IF('Para Adj'!$B$5 = 1,AJ39-($O39-SUMPRODUCT($CX39:DS39,$BU39:CP39))*(1-SUM($DZ39:EU39)),CP39*DS39),$O39*CP39))</f>
        <v>1.3394129287133334</v>
      </c>
      <c r="BO39" s="442">
        <f ca="1">IF($H39="",0,IF($H39=1,IF('Para Adj'!$B$5 = 1,AK39-($O39-SUMPRODUCT($CX39:DT39,$BU39:CQ39))*(1-SUM($DZ39:EV39)),CQ39*DT39),$O39*CQ39))</f>
        <v>1.3394129287133334</v>
      </c>
      <c r="BP39" s="442">
        <f ca="1">IF($H39="",0,IF($H39=1,IF('Para Adj'!$B$5 = 1,AL39-($O39-SUMPRODUCT($CX39:DU39,$BU39:CR39))*(1-SUM($DZ39:EW39)),CR39*DU39),$O39*CR39))</f>
        <v>1.3394129287133334</v>
      </c>
      <c r="BQ39" s="442">
        <f ca="1">IF($H39="",0,IF($H39=1,IF('Para Adj'!$B$5 = 1,AM39-($O39-SUMPRODUCT($CX39:DV39,$BU39:CS39))*(1-SUM($DZ39:EX39)),CS39*DV39),$O39*CS39))</f>
        <v>1.3394129287133334</v>
      </c>
      <c r="BR39" s="442">
        <f ca="1">IF($H39="",0,IF($H39=1,IF('Para Adj'!$B$5 = 1,AN39-($O39-SUMPRODUCT($CX39:DW39,$BU39:CT39))*(1-SUM($DZ39:EY39)),CT39*DW39),$O39*CT39))</f>
        <v>1.3394129287133334</v>
      </c>
      <c r="BS39" s="442">
        <f ca="1">IF($H39="",0,IF($H39=1,IF('Para Adj'!$B$5 = 1,AO39-($O39-SUMPRODUCT($CX39:DX39,$BU39:CU39))*(1-SUM($DZ39:EZ39)),CU39*DX39),$O39*CU39))</f>
        <v>1.3394129287133334</v>
      </c>
      <c r="BU39" s="820">
        <f ca="1">IF($B39=0,"",INDEX(Assumptions!G:G,$B39))</f>
        <v>6.1333333333333351E-2</v>
      </c>
      <c r="BV39" s="820">
        <f ca="1">IF($B39=0,"",INDEX(Assumptions!H:H,$B39))</f>
        <v>1.0222222222222225E-2</v>
      </c>
      <c r="BW39" s="820">
        <f ca="1">IF($B39=0,"",INDEX(Assumptions!I:I,$B39))</f>
        <v>1.0222222222222225E-2</v>
      </c>
      <c r="BX39" s="820">
        <f ca="1">IF($B39=0,"",INDEX(Assumptions!J:J,$B39))</f>
        <v>1.0222222222222225E-2</v>
      </c>
      <c r="BY39" s="820">
        <f ca="1">IF($B39=0,"",INDEX(Assumptions!K:K,$B39))</f>
        <v>1.0222222222222225E-2</v>
      </c>
      <c r="BZ39" s="820">
        <f ca="1">IF($B39=0,"",INDEX(Assumptions!L:L,$B39))</f>
        <v>1.0222222222222225E-2</v>
      </c>
      <c r="CA39" s="820">
        <f ca="1">IF($B39=0,"",INDEX(Assumptions!M:M,$B39))</f>
        <v>1.0222222222222225E-2</v>
      </c>
      <c r="CB39" s="820">
        <f ca="1">IF($B39=0,"",INDEX(Assumptions!N:N,$B39))</f>
        <v>8.7619047619047659E-3</v>
      </c>
      <c r="CC39" s="820">
        <f ca="1">IF($B39=0,"",INDEX(Assumptions!O:O,$B39))</f>
        <v>8.7619047619047659E-3</v>
      </c>
      <c r="CD39" s="820">
        <f ca="1">IF($B39=0,"",INDEX(Assumptions!P:P,$B39))</f>
        <v>8.7619047619047659E-3</v>
      </c>
      <c r="CE39" s="820">
        <f ca="1">IF($B39=0,"",INDEX(Assumptions!Q:Q,$B39))</f>
        <v>8.7619047619047659E-3</v>
      </c>
      <c r="CF39" s="820">
        <f ca="1">IF($B39=0,"",INDEX(Assumptions!R:R,$B39))</f>
        <v>8.7619047619047659E-3</v>
      </c>
      <c r="CG39" s="820">
        <f ca="1">IF($B39=0,"",INDEX(Assumptions!S:S,$B39))</f>
        <v>8.7619047619047659E-3</v>
      </c>
      <c r="CH39" s="820">
        <f ca="1">IF($B39=0,"",INDEX(Assumptions!T:T,$B39))</f>
        <v>8.7619047619047659E-3</v>
      </c>
      <c r="CI39" s="820">
        <f ca="1">IF($B39=0,"",INDEX(Assumptions!U:U,$B39))</f>
        <v>2.2999999999999993E-2</v>
      </c>
      <c r="CJ39" s="820">
        <f ca="1">IF($B39=0,"",INDEX(Assumptions!V:V,$B39))</f>
        <v>2.2999999999999993E-2</v>
      </c>
      <c r="CK39" s="820">
        <f ca="1">IF($B39=0,"",INDEX(Assumptions!W:W,$B39))</f>
        <v>2.3000000000000007E-2</v>
      </c>
      <c r="CL39" s="820">
        <f ca="1">IF($B39=0,"",INDEX(Assumptions!X:X,$B39))</f>
        <v>2.3000000000000007E-2</v>
      </c>
      <c r="CM39" s="820">
        <f ca="1">IF($B39=0,"",INDEX(Assumptions!Y:Y,$B39))</f>
        <v>7.6666666666666671E-3</v>
      </c>
      <c r="CN39" s="820">
        <f ca="1">IF($B39=0,"",INDEX(Assumptions!Z:Z,$B39))</f>
        <v>7.6666666666666671E-3</v>
      </c>
      <c r="CO39" s="820">
        <f ca="1">IF($B39=0,"",INDEX(Assumptions!AA:AA,$B39))</f>
        <v>7.6666666666666671E-3</v>
      </c>
      <c r="CP39" s="820">
        <f ca="1">IF($B39=0,"",INDEX(Assumptions!AB:AB,$B39))</f>
        <v>7.6666666666666671E-3</v>
      </c>
      <c r="CQ39" s="820">
        <f ca="1">IF($B39=0,"",INDEX(Assumptions!AC:AC,$B39))</f>
        <v>7.6666666666666671E-3</v>
      </c>
      <c r="CR39" s="820">
        <f ca="1">IF($B39=0,"",INDEX(Assumptions!AD:AD,$B39))</f>
        <v>7.6666666666666671E-3</v>
      </c>
      <c r="CS39" s="820">
        <f ca="1">IF($B39=0,"",INDEX(Assumptions!AE:AE,$B39))</f>
        <v>7.6666666666666671E-3</v>
      </c>
      <c r="CT39" s="820">
        <f ca="1">IF($B39=0,"",INDEX(Assumptions!AF:AF,$B39))</f>
        <v>7.6666666666666671E-3</v>
      </c>
      <c r="CU39" s="820">
        <f ca="1">IF($B39=0,"",INDEX(Assumptions!AG:AG,$B39))</f>
        <v>7.6666666666666671E-3</v>
      </c>
      <c r="CX39" s="442">
        <f>IF($A39="","",INDEX('Data Interface'!G:G,$A39))</f>
        <v>174.70603417999999</v>
      </c>
      <c r="CY39" s="442">
        <f>IF($A39="","",INDEX('Data Interface'!H:H,$A39))</f>
        <v>0</v>
      </c>
      <c r="CZ39" s="442">
        <f>IF($A39="","",INDEX('Data Interface'!I:I,$A39))</f>
        <v>0</v>
      </c>
      <c r="DA39" s="442">
        <f>IF($A39="","",INDEX('Data Interface'!J:J,$A39))</f>
        <v>0</v>
      </c>
      <c r="DB39" s="442">
        <f>IF($A39="","",INDEX('Data Interface'!K:K,$A39))</f>
        <v>0</v>
      </c>
      <c r="DC39" s="442">
        <f>IF($A39="","",INDEX('Data Interface'!L:L,$A39))</f>
        <v>0</v>
      </c>
      <c r="DD39" s="442">
        <f>IF($A39="","",INDEX('Data Interface'!M:M,$A39))</f>
        <v>0</v>
      </c>
      <c r="DE39" s="442">
        <f>IF($A39="","",INDEX('Data Interface'!N:N,$A39))</f>
        <v>0</v>
      </c>
      <c r="DF39" s="442">
        <f>IF($A39="","",INDEX('Data Interface'!O:O,$A39))</f>
        <v>0</v>
      </c>
      <c r="DG39" s="442">
        <f>IF($A39="","",INDEX('Data Interface'!P:P,$A39))</f>
        <v>0</v>
      </c>
      <c r="DH39" s="442">
        <f>IF($A39="","",INDEX('Data Interface'!Q:Q,$A39))</f>
        <v>0</v>
      </c>
      <c r="DI39" s="442">
        <f>IF($A39="","",INDEX('Data Interface'!R:R,$A39))</f>
        <v>0</v>
      </c>
      <c r="DJ39" s="442">
        <f>IF($A39="","",INDEX('Data Interface'!S:S,$A39))</f>
        <v>0</v>
      </c>
      <c r="DK39" s="442">
        <f>IF($A39="","",INDEX('Data Interface'!T:T,$A39))</f>
        <v>0</v>
      </c>
      <c r="DL39" s="442">
        <f>IF($A39="","",INDEX('Data Interface'!U:U,$A39))</f>
        <v>0</v>
      </c>
      <c r="DM39" s="442">
        <f>IF($A39="","",INDEX('Data Interface'!V:V,$A39))</f>
        <v>0</v>
      </c>
      <c r="DN39" s="442">
        <f>IF($A39="","",INDEX('Data Interface'!W:W,$A39))</f>
        <v>0</v>
      </c>
      <c r="DO39" s="442">
        <f>IF($A39="","",INDEX('Data Interface'!X:X,$A39))</f>
        <v>0</v>
      </c>
      <c r="DP39" s="442">
        <f>IF($A39="","",INDEX('Data Interface'!Y:Y,$A39))</f>
        <v>0</v>
      </c>
      <c r="DQ39" s="442">
        <f>IF($A39="","",INDEX('Data Interface'!Z:Z,$A39))</f>
        <v>0</v>
      </c>
      <c r="DR39" s="442">
        <f>IF($A39="","",INDEX('Data Interface'!AA:AA,$A39))</f>
        <v>0</v>
      </c>
      <c r="DS39" s="442">
        <f>IF($A39="","",INDEX('Data Interface'!AB:AB,$A39))</f>
        <v>0</v>
      </c>
      <c r="DT39" s="442">
        <f>IF($A39="","",INDEX('Data Interface'!AC:AC,$A39))</f>
        <v>0</v>
      </c>
      <c r="DU39" s="442">
        <f>IF($A39="","",INDEX('Data Interface'!AD:AD,$A39))</f>
        <v>0</v>
      </c>
      <c r="DV39" s="442">
        <f>IF($A39="","",INDEX('Data Interface'!AE:AE,$A39))</f>
        <v>0</v>
      </c>
      <c r="DW39" s="442">
        <f>IF($A39="","",INDEX('Data Interface'!AF:AF,$A39))</f>
        <v>0</v>
      </c>
      <c r="DX39" s="442">
        <f>IF($A39="","",INDEX('Data Interface'!AG:AG,$A39))</f>
        <v>0</v>
      </c>
      <c r="DZ39" s="906" t="str">
        <f>IF(OR($B39=0,$A39=0,$H39&lt;&gt;1),"",INDEX(Assumptions!EO:EO,$B39))</f>
        <v/>
      </c>
      <c r="EA39" s="906" t="str">
        <f>IF(OR($B39=0,$A39=0,$H39&lt;&gt;1),"",INDEX(Assumptions!EP:EP,$B39))</f>
        <v/>
      </c>
      <c r="EB39" s="906" t="str">
        <f>IF(OR($B39=0,$A39=0,$H39&lt;&gt;1),"",INDEX(Assumptions!EQ:EQ,$B39))</f>
        <v/>
      </c>
      <c r="EC39" s="906" t="str">
        <f>IF(OR($B39=0,$A39=0,$H39&lt;&gt;1),"",INDEX(Assumptions!ER:ER,$B39))</f>
        <v/>
      </c>
      <c r="ED39" s="906" t="str">
        <f>IF(OR($B39=0,$A39=0,$H39&lt;&gt;1),"",INDEX(Assumptions!ES:ES,$B39))</f>
        <v/>
      </c>
      <c r="EE39" s="906" t="str">
        <f>IF(OR($B39=0,$A39=0,$H39&lt;&gt;1),"",INDEX(Assumptions!ET:ET,$B39))</f>
        <v/>
      </c>
      <c r="EF39" s="906" t="str">
        <f>IF(OR($B39=0,$A39=0,$H39&lt;&gt;1),"",INDEX(Assumptions!EU:EU,$B39))</f>
        <v/>
      </c>
      <c r="EG39" s="906" t="str">
        <f>IF(OR($B39=0,$A39=0,$H39&lt;&gt;1),"",INDEX(Assumptions!EV:EV,$B39))</f>
        <v/>
      </c>
      <c r="EH39" s="906" t="str">
        <f>IF(OR($B39=0,$A39=0,$H39&lt;&gt;1),"",INDEX(Assumptions!EW:EW,$B39))</f>
        <v/>
      </c>
      <c r="EI39" s="906" t="str">
        <f>IF(OR($B39=0,$A39=0,$H39&lt;&gt;1),"",INDEX(Assumptions!EX:EX,$B39))</f>
        <v/>
      </c>
      <c r="EJ39" s="906" t="str">
        <f>IF(OR($B39=0,$A39=0,$H39&lt;&gt;1),"",INDEX(Assumptions!EY:EY,$B39))</f>
        <v/>
      </c>
      <c r="EK39" s="906" t="str">
        <f>IF(OR($B39=0,$A39=0,$H39&lt;&gt;1),"",INDEX(Assumptions!EZ:EZ,$B39))</f>
        <v/>
      </c>
      <c r="EL39" s="906" t="str">
        <f>IF(OR($B39=0,$A39=0,$H39&lt;&gt;1),"",INDEX(Assumptions!FA:FA,$B39))</f>
        <v/>
      </c>
      <c r="EM39" s="906" t="str">
        <f>IF(OR($B39=0,$A39=0,$H39&lt;&gt;1),"",INDEX(Assumptions!FB:FB,$B39))</f>
        <v/>
      </c>
      <c r="EN39" s="906" t="str">
        <f>IF(OR($B39=0,$A39=0,$H39&lt;&gt;1),"",INDEX(Assumptions!FC:FC,$B39))</f>
        <v/>
      </c>
      <c r="EO39" s="906" t="str">
        <f>IF(OR($B39=0,$A39=0,$H39&lt;&gt;1),"",INDEX(Assumptions!FD:FD,$B39))</f>
        <v/>
      </c>
      <c r="EP39" s="906" t="str">
        <f>IF(OR($B39=0,$A39=0,$H39&lt;&gt;1),"",INDEX(Assumptions!FE:FE,$B39))</f>
        <v/>
      </c>
      <c r="EQ39" s="906" t="str">
        <f>IF(OR($B39=0,$A39=0,$H39&lt;&gt;1),"",INDEX(Assumptions!FF:FF,$B39))</f>
        <v/>
      </c>
      <c r="ER39" s="906" t="str">
        <f>IF(OR($B39=0,$A39=0,$H39&lt;&gt;1),"",INDEX(Assumptions!FG:FG,$B39))</f>
        <v/>
      </c>
      <c r="ES39" s="906" t="str">
        <f>IF(OR($B39=0,$A39=0,$H39&lt;&gt;1),"",INDEX(Assumptions!FH:FH,$B39))</f>
        <v/>
      </c>
      <c r="ET39" s="906" t="str">
        <f>IF(OR($B39=0,$A39=0,$H39&lt;&gt;1),"",INDEX(Assumptions!FI:FI,$B39))</f>
        <v/>
      </c>
      <c r="EU39" s="906" t="str">
        <f>IF(OR($B39=0,$A39=0,$H39&lt;&gt;1),"",INDEX(Assumptions!FJ:FJ,$B39))</f>
        <v/>
      </c>
      <c r="EV39" s="906" t="str">
        <f>IF(OR($B39=0,$A39=0,$H39&lt;&gt;1),"",INDEX(Assumptions!FK:FK,$B39))</f>
        <v/>
      </c>
      <c r="EW39" s="906" t="str">
        <f>IF(OR($B39=0,$A39=0,$H39&lt;&gt;1),"",INDEX(Assumptions!FL:FL,$B39))</f>
        <v/>
      </c>
      <c r="EX39" s="906" t="str">
        <f>IF(OR($B39=0,$A39=0,$H39&lt;&gt;1),"",INDEX(Assumptions!FM:FM,$B39))</f>
        <v/>
      </c>
      <c r="EY39" s="906" t="str">
        <f>IF(OR($B39=0,$A39=0,$H39&lt;&gt;1),"",INDEX(Assumptions!FN:FN,$B39))</f>
        <v/>
      </c>
      <c r="EZ39" s="906" t="str">
        <f>IF(OR($B39=0,$A39=0,$H39&lt;&gt;1),"",INDEX(Assumptions!FO:FO,$B39))</f>
        <v/>
      </c>
      <c r="FB39" s="820" t="str">
        <f t="shared" si="18"/>
        <v/>
      </c>
      <c r="FC39" s="820" t="str">
        <f t="shared" si="19"/>
        <v/>
      </c>
      <c r="FD39" s="820" t="str">
        <f t="shared" si="20"/>
        <v/>
      </c>
      <c r="FE39" s="820" t="str">
        <f t="shared" si="21"/>
        <v/>
      </c>
      <c r="FF39" s="820" t="str">
        <f t="shared" si="22"/>
        <v/>
      </c>
    </row>
    <row r="40" spans="1:162">
      <c r="A40" s="440">
        <f>IFERROR(MATCH(C40,'Data Interface'!B:B,0),0)</f>
        <v>37</v>
      </c>
      <c r="B40" s="440">
        <f>IFERROR(MATCH(C40,Assumptions!$B:$B,0),0)</f>
        <v>17</v>
      </c>
      <c r="C40" s="441" t="s">
        <v>1300</v>
      </c>
      <c r="E40" s="441" t="s">
        <v>1219</v>
      </c>
      <c r="F40" s="440" t="s">
        <v>36</v>
      </c>
      <c r="G40" s="440" t="str">
        <f>IF(A40=0,"",INDEX('Data Interface'!$C:$C,$A40))</f>
        <v>Due to Banks - Call Loans</v>
      </c>
      <c r="H40" s="440">
        <v>1</v>
      </c>
      <c r="I40" s="819">
        <f t="shared" ca="1" si="23"/>
        <v>1</v>
      </c>
      <c r="J40" s="819">
        <f t="shared" ca="1" si="24"/>
        <v>1</v>
      </c>
      <c r="K40" s="439" t="str">
        <f t="shared" ca="1" si="25"/>
        <v>100% of Contractual Maturity</v>
      </c>
      <c r="L40" s="439" t="s">
        <v>1148</v>
      </c>
      <c r="M40" s="439" t="s">
        <v>1507</v>
      </c>
      <c r="O40" s="442">
        <f>IF(OR($A40="",$A40=0),0,INDEX('Data Interface'!D:D,$A40))</f>
        <v>0</v>
      </c>
      <c r="P40" s="442">
        <f ca="1">$O40-SUM($AS40:AS40)</f>
        <v>0</v>
      </c>
      <c r="Q40" s="442">
        <f ca="1">$O40-SUM($AS40:AT40)</f>
        <v>0</v>
      </c>
      <c r="R40" s="442">
        <f ca="1">$O40-SUM($AS40:AU40)</f>
        <v>0</v>
      </c>
      <c r="S40" s="442">
        <f ca="1">$O40-SUM($AS40:AV40)</f>
        <v>0</v>
      </c>
      <c r="T40" s="442">
        <f ca="1">$O40-SUM($AS40:AW40)</f>
        <v>0</v>
      </c>
      <c r="U40" s="442">
        <f ca="1">$O40-SUM($AS40:AX40)</f>
        <v>0</v>
      </c>
      <c r="V40" s="442">
        <f ca="1">$O40-SUM($AS40:AY40)</f>
        <v>0</v>
      </c>
      <c r="W40" s="442">
        <f ca="1">$O40-SUM($AS40:AZ40)</f>
        <v>0</v>
      </c>
      <c r="X40" s="442">
        <f ca="1">$O40-SUM($AS40:BA40)</f>
        <v>0</v>
      </c>
      <c r="Y40" s="442">
        <f ca="1">$O40-SUM($AS40:BB40)</f>
        <v>0</v>
      </c>
      <c r="Z40" s="442">
        <f ca="1">$O40-SUM($AS40:BC40)</f>
        <v>0</v>
      </c>
      <c r="AA40" s="442">
        <f ca="1">$O40-SUM($AS40:BD40)</f>
        <v>0</v>
      </c>
      <c r="AB40" s="442">
        <f ca="1">$O40-SUM($AS40:BE40)</f>
        <v>0</v>
      </c>
      <c r="AC40" s="442">
        <f ca="1">$O40-SUM($AS40:BF40)</f>
        <v>0</v>
      </c>
      <c r="AD40" s="442">
        <f ca="1">$O40-SUM($AS40:BG40)</f>
        <v>0</v>
      </c>
      <c r="AE40" s="442">
        <f ca="1">$O40-SUM($AS40:BH40)</f>
        <v>0</v>
      </c>
      <c r="AF40" s="442">
        <f ca="1">$O40-SUM($AS40:BI40)</f>
        <v>0</v>
      </c>
      <c r="AG40" s="442">
        <f ca="1">$O40-SUM($AS40:BJ40)</f>
        <v>0</v>
      </c>
      <c r="AH40" s="442">
        <f ca="1">$O40-SUM($AS40:BK40)</f>
        <v>0</v>
      </c>
      <c r="AI40" s="442">
        <f ca="1">$O40-SUM($AS40:BL40)</f>
        <v>0</v>
      </c>
      <c r="AJ40" s="442">
        <f ca="1">$O40-SUM($AS40:BM40)</f>
        <v>0</v>
      </c>
      <c r="AK40" s="442">
        <f ca="1">$O40-SUM($AS40:BN40)</f>
        <v>0</v>
      </c>
      <c r="AL40" s="442">
        <f ca="1">$O40-SUM($AS40:BO40)</f>
        <v>0</v>
      </c>
      <c r="AM40" s="442">
        <f ca="1">$O40-SUM($AS40:BP40)</f>
        <v>0</v>
      </c>
      <c r="AN40" s="442">
        <f ca="1">$O40-SUM($AS40:BQ40)</f>
        <v>0</v>
      </c>
      <c r="AO40" s="442">
        <f ca="1">$O40-SUM($AS40:BR40)</f>
        <v>0</v>
      </c>
      <c r="AP40" s="442">
        <f ca="1">$O40-SUM($AS40:BS40)</f>
        <v>0</v>
      </c>
      <c r="AR40" s="439" t="s">
        <v>1202</v>
      </c>
      <c r="AS40" s="442">
        <f ca="1">IF($H40="",0,IF($H40=1,IF('Para Adj'!$B$5 = 1,O40-($O40-SUMPRODUCT($CX40:CX40,$BU40:BU40))*(1-SUM($DZ40:DZ40)),BU40*CX40),$O40*BU40))</f>
        <v>0</v>
      </c>
      <c r="AT40" s="442">
        <f ca="1">IF($H40="",0,IF($H40=1,IF('Para Adj'!$B$5 = 1,P40-($O40-SUMPRODUCT($CX40:CY40,$BU40:BV40))*(1-SUM($DZ40:EA40)),BV40*CY40),$O40*BV40))</f>
        <v>0</v>
      </c>
      <c r="AU40" s="442">
        <f ca="1">IF($H40="",0,IF($H40=1,IF('Para Adj'!$B$5 = 1,Q40-($O40-SUMPRODUCT($CX40:CZ40,$BU40:BW40))*(1-SUM($DZ40:EB40)),BW40*CZ40),$O40*BW40))</f>
        <v>0</v>
      </c>
      <c r="AV40" s="442">
        <f ca="1">IF($H40="",0,IF($H40=1,IF('Para Adj'!$B$5 = 1,R40-($O40-SUMPRODUCT($CX40:DA40,$BU40:BX40))*(1-SUM($DZ40:EC40)),BX40*DA40),$O40*BX40))</f>
        <v>0</v>
      </c>
      <c r="AW40" s="442">
        <f ca="1">IF($H40="",0,IF($H40=1,IF('Para Adj'!$B$5 = 1,S40-($O40-SUMPRODUCT($CX40:DB40,$BU40:BY40))*(1-SUM($DZ40:ED40)),BY40*DB40),$O40*BY40))</f>
        <v>0</v>
      </c>
      <c r="AX40" s="442">
        <f ca="1">IF($H40="",0,IF($H40=1,IF('Para Adj'!$B$5 = 1,T40-($O40-SUMPRODUCT($CX40:DC40,$BU40:BZ40))*(1-SUM($DZ40:EE40)),BZ40*DC40),$O40*BZ40))</f>
        <v>0</v>
      </c>
      <c r="AY40" s="442">
        <f ca="1">IF($H40="",0,IF($H40=1,IF('Para Adj'!$B$5 = 1,U40-($O40-SUMPRODUCT($CX40:DD40,$BU40:CA40))*(1-SUM($DZ40:EF40)),CA40*DD40),$O40*CA40))</f>
        <v>0</v>
      </c>
      <c r="AZ40" s="442">
        <f ca="1">IF($H40="",0,IF($H40=1,IF('Para Adj'!$B$5 = 1,V40-($O40-SUMPRODUCT($CX40:DE40,$BU40:CB40))*(1-SUM($DZ40:EG40)),CB40*DE40),$O40*CB40))</f>
        <v>0</v>
      </c>
      <c r="BA40" s="442">
        <f ca="1">IF($H40="",0,IF($H40=1,IF('Para Adj'!$B$5 = 1,W40-($O40-SUMPRODUCT($CX40:DF40,$BU40:CC40))*(1-SUM($DZ40:EH40)),CC40*DF40),$O40*CC40))</f>
        <v>0</v>
      </c>
      <c r="BB40" s="442">
        <f ca="1">IF($H40="",0,IF($H40=1,IF('Para Adj'!$B$5 = 1,X40-($O40-SUMPRODUCT($CX40:DG40,$BU40:CD40))*(1-SUM($DZ40:EI40)),CD40*DG40),$O40*CD40))</f>
        <v>0</v>
      </c>
      <c r="BC40" s="442">
        <f ca="1">IF($H40="",0,IF($H40=1,IF('Para Adj'!$B$5 = 1,Y40-($O40-SUMPRODUCT($CX40:DH40,$BU40:CE40))*(1-SUM($DZ40:EJ40)),CE40*DH40),$O40*CE40))</f>
        <v>0</v>
      </c>
      <c r="BD40" s="442">
        <f ca="1">IF($H40="",0,IF($H40=1,IF('Para Adj'!$B$5 = 1,Z40-($O40-SUMPRODUCT($CX40:DI40,$BU40:CF40))*(1-SUM($DZ40:EK40)),CF40*DI40),$O40*CF40))</f>
        <v>0</v>
      </c>
      <c r="BE40" s="442">
        <f ca="1">IF($H40="",0,IF($H40=1,IF('Para Adj'!$B$5 = 1,AA40-($O40-SUMPRODUCT($CX40:DJ40,$BU40:CG40))*(1-SUM($DZ40:EL40)),CG40*DJ40),$O40*CG40))</f>
        <v>0</v>
      </c>
      <c r="BF40" s="442">
        <f ca="1">IF($H40="",0,IF($H40=1,IF('Para Adj'!$B$5 = 1,AB40-($O40-SUMPRODUCT($CX40:DK40,$BU40:CH40))*(1-SUM($DZ40:EM40)),CH40*DK40),$O40*CH40))</f>
        <v>0</v>
      </c>
      <c r="BG40" s="442">
        <f ca="1">IF($H40="",0,IF($H40=1,IF('Para Adj'!$B$5 = 1,AC40-($O40-SUMPRODUCT($CX40:DL40,$BU40:CI40))*(1-SUM($DZ40:EN40)),CI40*DL40),$O40*CI40))</f>
        <v>0</v>
      </c>
      <c r="BH40" s="442">
        <f ca="1">IF($H40="",0,IF($H40=1,IF('Para Adj'!$B$5 = 1,AD40-($O40-SUMPRODUCT($CX40:DM40,$BU40:CJ40))*(1-SUM($DZ40:EO40)),CJ40*DM40),$O40*CJ40))</f>
        <v>0</v>
      </c>
      <c r="BI40" s="442">
        <f ca="1">IF($H40="",0,IF($H40=1,IF('Para Adj'!$B$5 = 1,AE40-($O40-SUMPRODUCT($CX40:DN40,$BU40:CK40))*(1-SUM($DZ40:EP40)),CK40*DN40),$O40*CK40))</f>
        <v>0</v>
      </c>
      <c r="BJ40" s="442">
        <f ca="1">IF($H40="",0,IF($H40=1,IF('Para Adj'!$B$5 = 1,AF40-($O40-SUMPRODUCT($CX40:DO40,$BU40:CL40))*(1-SUM($DZ40:EQ40)),CL40*DO40),$O40*CL40))</f>
        <v>0</v>
      </c>
      <c r="BK40" s="442">
        <f ca="1">IF($H40="",0,IF($H40=1,IF('Para Adj'!$B$5 = 1,AG40-($O40-SUMPRODUCT($CX40:DP40,$BU40:CM40))*(1-SUM($DZ40:ER40)),CM40*DP40),$O40*CM40))</f>
        <v>0</v>
      </c>
      <c r="BL40" s="442">
        <f ca="1">IF($H40="",0,IF($H40=1,IF('Para Adj'!$B$5 = 1,AH40-($O40-SUMPRODUCT($CX40:DQ40,$BU40:CN40))*(1-SUM($DZ40:ES40)),CN40*DQ40),$O40*CN40))</f>
        <v>0</v>
      </c>
      <c r="BM40" s="442">
        <f ca="1">IF($H40="",0,IF($H40=1,IF('Para Adj'!$B$5 = 1,AI40-($O40-SUMPRODUCT($CX40:DR40,$BU40:CO40))*(1-SUM($DZ40:ET40)),CO40*DR40),$O40*CO40))</f>
        <v>0</v>
      </c>
      <c r="BN40" s="442">
        <f ca="1">IF($H40="",0,IF($H40=1,IF('Para Adj'!$B$5 = 1,AJ40-($O40-SUMPRODUCT($CX40:DS40,$BU40:CP40))*(1-SUM($DZ40:EU40)),CP40*DS40),$O40*CP40))</f>
        <v>0</v>
      </c>
      <c r="BO40" s="442">
        <f ca="1">IF($H40="",0,IF($H40=1,IF('Para Adj'!$B$5 = 1,AK40-($O40-SUMPRODUCT($CX40:DT40,$BU40:CQ40))*(1-SUM($DZ40:EV40)),CQ40*DT40),$O40*CQ40))</f>
        <v>0</v>
      </c>
      <c r="BP40" s="442">
        <f ca="1">IF($H40="",0,IF($H40=1,IF('Para Adj'!$B$5 = 1,AL40-($O40-SUMPRODUCT($CX40:DU40,$BU40:CR40))*(1-SUM($DZ40:EW40)),CR40*DU40),$O40*CR40))</f>
        <v>0</v>
      </c>
      <c r="BQ40" s="442">
        <f ca="1">IF($H40="",0,IF($H40=1,IF('Para Adj'!$B$5 = 1,AM40-($O40-SUMPRODUCT($CX40:DV40,$BU40:CS40))*(1-SUM($DZ40:EX40)),CS40*DV40),$O40*CS40))</f>
        <v>0</v>
      </c>
      <c r="BR40" s="442">
        <f ca="1">IF($H40="",0,IF($H40=1,IF('Para Adj'!$B$5 = 1,AN40-($O40-SUMPRODUCT($CX40:DW40,$BU40:CT40))*(1-SUM($DZ40:EY40)),CT40*DW40),$O40*CT40))</f>
        <v>0</v>
      </c>
      <c r="BS40" s="442">
        <f ca="1">IF($H40="",0,IF($H40=1,IF('Para Adj'!$B$5 = 1,AO40-($O40-SUMPRODUCT($CX40:DX40,$BU40:CU40))*(1-SUM($DZ40:EZ40)),CU40*DX40),$O40*CU40))</f>
        <v>0</v>
      </c>
      <c r="BU40" s="820">
        <f ca="1">IF($B40=0,"",INDEX(Assumptions!G:G,$B40))</f>
        <v>1</v>
      </c>
      <c r="BV40" s="820">
        <f ca="1">IF($B40=0,"",INDEX(Assumptions!H:H,$B40))</f>
        <v>1</v>
      </c>
      <c r="BW40" s="820">
        <f ca="1">IF($B40=0,"",INDEX(Assumptions!I:I,$B40))</f>
        <v>1</v>
      </c>
      <c r="BX40" s="820">
        <f ca="1">IF($B40=0,"",INDEX(Assumptions!J:J,$B40))</f>
        <v>1</v>
      </c>
      <c r="BY40" s="820">
        <f ca="1">IF($B40=0,"",INDEX(Assumptions!K:K,$B40))</f>
        <v>1</v>
      </c>
      <c r="BZ40" s="820">
        <f ca="1">IF($B40=0,"",INDEX(Assumptions!L:L,$B40))</f>
        <v>1</v>
      </c>
      <c r="CA40" s="820">
        <f ca="1">IF($B40=0,"",INDEX(Assumptions!M:M,$B40))</f>
        <v>1</v>
      </c>
      <c r="CB40" s="820">
        <f ca="1">IF($B40=0,"",INDEX(Assumptions!N:N,$B40))</f>
        <v>1</v>
      </c>
      <c r="CC40" s="820">
        <f ca="1">IF($B40=0,"",INDEX(Assumptions!O:O,$B40))</f>
        <v>1</v>
      </c>
      <c r="CD40" s="820">
        <f ca="1">IF($B40=0,"",INDEX(Assumptions!P:P,$B40))</f>
        <v>1</v>
      </c>
      <c r="CE40" s="820">
        <f ca="1">IF($B40=0,"",INDEX(Assumptions!Q:Q,$B40))</f>
        <v>1</v>
      </c>
      <c r="CF40" s="820">
        <f ca="1">IF($B40=0,"",INDEX(Assumptions!R:R,$B40))</f>
        <v>1</v>
      </c>
      <c r="CG40" s="820">
        <f ca="1">IF($B40=0,"",INDEX(Assumptions!S:S,$B40))</f>
        <v>1</v>
      </c>
      <c r="CH40" s="820">
        <f ca="1">IF($B40=0,"",INDEX(Assumptions!T:T,$B40))</f>
        <v>1</v>
      </c>
      <c r="CI40" s="820">
        <f ca="1">IF($B40=0,"",INDEX(Assumptions!U:U,$B40))</f>
        <v>1</v>
      </c>
      <c r="CJ40" s="820">
        <f ca="1">IF($B40=0,"",INDEX(Assumptions!V:V,$B40))</f>
        <v>1</v>
      </c>
      <c r="CK40" s="820">
        <f ca="1">IF($B40=0,"",INDEX(Assumptions!W:W,$B40))</f>
        <v>1</v>
      </c>
      <c r="CL40" s="820">
        <f ca="1">IF($B40=0,"",INDEX(Assumptions!X:X,$B40))</f>
        <v>1</v>
      </c>
      <c r="CM40" s="820">
        <f ca="1">IF($B40=0,"",INDEX(Assumptions!Y:Y,$B40))</f>
        <v>1</v>
      </c>
      <c r="CN40" s="820">
        <f ca="1">IF($B40=0,"",INDEX(Assumptions!Z:Z,$B40))</f>
        <v>1</v>
      </c>
      <c r="CO40" s="820">
        <f ca="1">IF($B40=0,"",INDEX(Assumptions!AA:AA,$B40))</f>
        <v>1</v>
      </c>
      <c r="CP40" s="820">
        <f ca="1">IF($B40=0,"",INDEX(Assumptions!AB:AB,$B40))</f>
        <v>1</v>
      </c>
      <c r="CQ40" s="820">
        <f ca="1">IF($B40=0,"",INDEX(Assumptions!AC:AC,$B40))</f>
        <v>1</v>
      </c>
      <c r="CR40" s="820">
        <f ca="1">IF($B40=0,"",INDEX(Assumptions!AD:AD,$B40))</f>
        <v>1</v>
      </c>
      <c r="CS40" s="820">
        <f ca="1">IF($B40=0,"",INDEX(Assumptions!AE:AE,$B40))</f>
        <v>1</v>
      </c>
      <c r="CT40" s="820">
        <f ca="1">IF($B40=0,"",INDEX(Assumptions!AF:AF,$B40))</f>
        <v>1</v>
      </c>
      <c r="CU40" s="820">
        <f ca="1">IF($B40=0,"",INDEX(Assumptions!AG:AG,$B40))</f>
        <v>1</v>
      </c>
      <c r="CX40" s="442">
        <f>IF($A40="","",INDEX('Data Interface'!G:G,$A40))</f>
        <v>0</v>
      </c>
      <c r="CY40" s="442">
        <f>IF($A40="","",INDEX('Data Interface'!H:H,$A40))</f>
        <v>0</v>
      </c>
      <c r="CZ40" s="442">
        <f>IF($A40="","",INDEX('Data Interface'!I:I,$A40))</f>
        <v>0</v>
      </c>
      <c r="DA40" s="442">
        <f>IF($A40="","",INDEX('Data Interface'!J:J,$A40))</f>
        <v>0</v>
      </c>
      <c r="DB40" s="442">
        <f>IF($A40="","",INDEX('Data Interface'!K:K,$A40))</f>
        <v>0</v>
      </c>
      <c r="DC40" s="442">
        <f>IF($A40="","",INDEX('Data Interface'!L:L,$A40))</f>
        <v>0</v>
      </c>
      <c r="DD40" s="442">
        <f>IF($A40="","",INDEX('Data Interface'!M:M,$A40))</f>
        <v>0</v>
      </c>
      <c r="DE40" s="442">
        <f>IF($A40="","",INDEX('Data Interface'!N:N,$A40))</f>
        <v>0</v>
      </c>
      <c r="DF40" s="442">
        <f>IF($A40="","",INDEX('Data Interface'!O:O,$A40))</f>
        <v>0</v>
      </c>
      <c r="DG40" s="442">
        <f>IF($A40="","",INDEX('Data Interface'!P:P,$A40))</f>
        <v>0</v>
      </c>
      <c r="DH40" s="442">
        <f>IF($A40="","",INDEX('Data Interface'!Q:Q,$A40))</f>
        <v>0</v>
      </c>
      <c r="DI40" s="442">
        <f>IF($A40="","",INDEX('Data Interface'!R:R,$A40))</f>
        <v>0</v>
      </c>
      <c r="DJ40" s="442">
        <f>IF($A40="","",INDEX('Data Interface'!S:S,$A40))</f>
        <v>0</v>
      </c>
      <c r="DK40" s="442">
        <f>IF($A40="","",INDEX('Data Interface'!T:T,$A40))</f>
        <v>0</v>
      </c>
      <c r="DL40" s="442">
        <f>IF($A40="","",INDEX('Data Interface'!U:U,$A40))</f>
        <v>0</v>
      </c>
      <c r="DM40" s="442">
        <f>IF($A40="","",INDEX('Data Interface'!V:V,$A40))</f>
        <v>0</v>
      </c>
      <c r="DN40" s="442">
        <f>IF($A40="","",INDEX('Data Interface'!W:W,$A40))</f>
        <v>0</v>
      </c>
      <c r="DO40" s="442">
        <f>IF($A40="","",INDEX('Data Interface'!X:X,$A40))</f>
        <v>0</v>
      </c>
      <c r="DP40" s="442">
        <f>IF($A40="","",INDEX('Data Interface'!Y:Y,$A40))</f>
        <v>0</v>
      </c>
      <c r="DQ40" s="442">
        <f>IF($A40="","",INDEX('Data Interface'!Z:Z,$A40))</f>
        <v>0</v>
      </c>
      <c r="DR40" s="442">
        <f>IF($A40="","",INDEX('Data Interface'!AA:AA,$A40))</f>
        <v>0</v>
      </c>
      <c r="DS40" s="442">
        <f>IF($A40="","",INDEX('Data Interface'!AB:AB,$A40))</f>
        <v>0</v>
      </c>
      <c r="DT40" s="442">
        <f>IF($A40="","",INDEX('Data Interface'!AC:AC,$A40))</f>
        <v>0</v>
      </c>
      <c r="DU40" s="442">
        <f>IF($A40="","",INDEX('Data Interface'!AD:AD,$A40))</f>
        <v>0</v>
      </c>
      <c r="DV40" s="442">
        <f>IF($A40="","",INDEX('Data Interface'!AE:AE,$A40))</f>
        <v>0</v>
      </c>
      <c r="DW40" s="442">
        <f>IF($A40="","",INDEX('Data Interface'!AF:AF,$A40))</f>
        <v>0</v>
      </c>
      <c r="DX40" s="442">
        <f>IF($A40="","",INDEX('Data Interface'!AG:AG,$A40))</f>
        <v>0</v>
      </c>
      <c r="DZ40" s="906">
        <f>IF(OR($B40=0,$A40=0,$H40&lt;&gt;1),"",INDEX(Assumptions!EO:EO,$B40))</f>
        <v>0</v>
      </c>
      <c r="EA40" s="906">
        <f>IF(OR($B40=0,$A40=0,$H40&lt;&gt;1),"",INDEX(Assumptions!EP:EP,$B40))</f>
        <v>0</v>
      </c>
      <c r="EB40" s="906">
        <f>IF(OR($B40=0,$A40=0,$H40&lt;&gt;1),"",INDEX(Assumptions!EQ:EQ,$B40))</f>
        <v>0</v>
      </c>
      <c r="EC40" s="906">
        <f>IF(OR($B40=0,$A40=0,$H40&lt;&gt;1),"",INDEX(Assumptions!ER:ER,$B40))</f>
        <v>0</v>
      </c>
      <c r="ED40" s="906">
        <f>IF(OR($B40=0,$A40=0,$H40&lt;&gt;1),"",INDEX(Assumptions!ES:ES,$B40))</f>
        <v>0</v>
      </c>
      <c r="EE40" s="906">
        <f>IF(OR($B40=0,$A40=0,$H40&lt;&gt;1),"",INDEX(Assumptions!ET:ET,$B40))</f>
        <v>0</v>
      </c>
      <c r="EF40" s="906">
        <f>IF(OR($B40=0,$A40=0,$H40&lt;&gt;1),"",INDEX(Assumptions!EU:EU,$B40))</f>
        <v>0</v>
      </c>
      <c r="EG40" s="906">
        <f>IF(OR($B40=0,$A40=0,$H40&lt;&gt;1),"",INDEX(Assumptions!EV:EV,$B40))</f>
        <v>0</v>
      </c>
      <c r="EH40" s="906">
        <f>IF(OR($B40=0,$A40=0,$H40&lt;&gt;1),"",INDEX(Assumptions!EW:EW,$B40))</f>
        <v>0</v>
      </c>
      <c r="EI40" s="906">
        <f>IF(OR($B40=0,$A40=0,$H40&lt;&gt;1),"",INDEX(Assumptions!EX:EX,$B40))</f>
        <v>0</v>
      </c>
      <c r="EJ40" s="906">
        <f>IF(OR($B40=0,$A40=0,$H40&lt;&gt;1),"",INDEX(Assumptions!EY:EY,$B40))</f>
        <v>0</v>
      </c>
      <c r="EK40" s="906">
        <f>IF(OR($B40=0,$A40=0,$H40&lt;&gt;1),"",INDEX(Assumptions!EZ:EZ,$B40))</f>
        <v>0</v>
      </c>
      <c r="EL40" s="906">
        <f>IF(OR($B40=0,$A40=0,$H40&lt;&gt;1),"",INDEX(Assumptions!FA:FA,$B40))</f>
        <v>0</v>
      </c>
      <c r="EM40" s="906">
        <f>IF(OR($B40=0,$A40=0,$H40&lt;&gt;1),"",INDEX(Assumptions!FB:FB,$B40))</f>
        <v>0</v>
      </c>
      <c r="EN40" s="906">
        <f>IF(OR($B40=0,$A40=0,$H40&lt;&gt;1),"",INDEX(Assumptions!FC:FC,$B40))</f>
        <v>0</v>
      </c>
      <c r="EO40" s="906">
        <f>IF(OR($B40=0,$A40=0,$H40&lt;&gt;1),"",INDEX(Assumptions!FD:FD,$B40))</f>
        <v>0</v>
      </c>
      <c r="EP40" s="906">
        <f>IF(OR($B40=0,$A40=0,$H40&lt;&gt;1),"",INDEX(Assumptions!FE:FE,$B40))</f>
        <v>0</v>
      </c>
      <c r="EQ40" s="906">
        <f>IF(OR($B40=0,$A40=0,$H40&lt;&gt;1),"",INDEX(Assumptions!FF:FF,$B40))</f>
        <v>0</v>
      </c>
      <c r="ER40" s="906">
        <f>IF(OR($B40=0,$A40=0,$H40&lt;&gt;1),"",INDEX(Assumptions!FG:FG,$B40))</f>
        <v>0</v>
      </c>
      <c r="ES40" s="906">
        <f>IF(OR($B40=0,$A40=0,$H40&lt;&gt;1),"",INDEX(Assumptions!FH:FH,$B40))</f>
        <v>0</v>
      </c>
      <c r="ET40" s="906">
        <f>IF(OR($B40=0,$A40=0,$H40&lt;&gt;1),"",INDEX(Assumptions!FI:FI,$B40))</f>
        <v>0</v>
      </c>
      <c r="EU40" s="906">
        <f>IF(OR($B40=0,$A40=0,$H40&lt;&gt;1),"",INDEX(Assumptions!FJ:FJ,$B40))</f>
        <v>0</v>
      </c>
      <c r="EV40" s="906">
        <f>IF(OR($B40=0,$A40=0,$H40&lt;&gt;1),"",INDEX(Assumptions!FK:FK,$B40))</f>
        <v>0</v>
      </c>
      <c r="EW40" s="906">
        <f>IF(OR($B40=0,$A40=0,$H40&lt;&gt;1),"",INDEX(Assumptions!FL:FL,$B40))</f>
        <v>0</v>
      </c>
      <c r="EX40" s="906">
        <f>IF(OR($B40=0,$A40=0,$H40&lt;&gt;1),"",INDEX(Assumptions!FM:FM,$B40))</f>
        <v>0</v>
      </c>
      <c r="EY40" s="906">
        <f>IF(OR($B40=0,$A40=0,$H40&lt;&gt;1),"",INDEX(Assumptions!FN:FN,$B40))</f>
        <v>0</v>
      </c>
      <c r="EZ40" s="906">
        <f>IF(OR($B40=0,$A40=0,$H40&lt;&gt;1),"",INDEX(Assumptions!FO:FO,$B40))</f>
        <v>0</v>
      </c>
      <c r="FB40" s="820" t="str">
        <f t="shared" si="18"/>
        <v/>
      </c>
      <c r="FC40" s="820" t="str">
        <f t="shared" si="19"/>
        <v/>
      </c>
      <c r="FD40" s="820" t="str">
        <f t="shared" si="20"/>
        <v/>
      </c>
      <c r="FE40" s="820" t="str">
        <f t="shared" si="21"/>
        <v/>
      </c>
      <c r="FF40" s="820" t="str">
        <f t="shared" si="22"/>
        <v/>
      </c>
    </row>
    <row r="41" spans="1:162">
      <c r="A41" s="440">
        <f>IFERROR(MATCH(C41,'Data Interface'!B:B,0),0)</f>
        <v>38</v>
      </c>
      <c r="B41" s="440">
        <f>IFERROR(MATCH(C41,Assumptions!$B:$B,0),0)</f>
        <v>50</v>
      </c>
      <c r="C41" s="441" t="s">
        <v>1301</v>
      </c>
      <c r="E41" s="441" t="s">
        <v>1219</v>
      </c>
      <c r="F41" s="440" t="s">
        <v>36</v>
      </c>
      <c r="G41" s="440" t="str">
        <f>IF(A41=0,"",INDEX('Data Interface'!$C:$C,$A41))</f>
        <v>Blocked Account</v>
      </c>
      <c r="H41" s="440">
        <v>0</v>
      </c>
      <c r="I41" s="819">
        <f t="shared" ca="1" si="23"/>
        <v>0.18400000000000014</v>
      </c>
      <c r="J41" s="819">
        <f t="shared" ca="1" si="24"/>
        <v>0.23000000000000012</v>
      </c>
      <c r="K41" s="439" t="str">
        <f t="shared" ca="1" si="25"/>
        <v>18.4% of Current Balance</v>
      </c>
      <c r="L41" s="439" t="s">
        <v>1148</v>
      </c>
      <c r="M41" s="439" t="s">
        <v>1507</v>
      </c>
      <c r="O41" s="442">
        <f>IF(OR($A41="",$A41=0),0,INDEX('Data Interface'!D:D,$A41))</f>
        <v>1.4091577800000004</v>
      </c>
      <c r="P41" s="442">
        <f ca="1">$O41-SUM($AS41:AS41)</f>
        <v>1.3573007736960003</v>
      </c>
      <c r="Q41" s="442">
        <f ca="1">$O41-SUM($AS41:AT41)</f>
        <v>1.3400151049280002</v>
      </c>
      <c r="R41" s="442">
        <f ca="1">$O41-SUM($AS41:AU41)</f>
        <v>1.3227294361600004</v>
      </c>
      <c r="S41" s="442">
        <f ca="1">$O41-SUM($AS41:AV41)</f>
        <v>1.3054437673920003</v>
      </c>
      <c r="T41" s="442">
        <f ca="1">$O41-SUM($AS41:AW41)</f>
        <v>1.2881580986240002</v>
      </c>
      <c r="U41" s="442">
        <f ca="1">$O41-SUM($AS41:AX41)</f>
        <v>1.2708724298560004</v>
      </c>
      <c r="V41" s="442">
        <f ca="1">$O41-SUM($AS41:AY41)</f>
        <v>1.2535867610880003</v>
      </c>
      <c r="W41" s="442">
        <f ca="1">$O41-SUM($AS41:AZ41)</f>
        <v>1.2387704735725718</v>
      </c>
      <c r="X41" s="442">
        <f ca="1">$O41-SUM($AS41:BA41)</f>
        <v>1.223954186057143</v>
      </c>
      <c r="Y41" s="442">
        <f ca="1">$O41-SUM($AS41:BB41)</f>
        <v>1.2091378985417145</v>
      </c>
      <c r="Z41" s="442">
        <f ca="1">$O41-SUM($AS41:BC41)</f>
        <v>1.194321611026286</v>
      </c>
      <c r="AA41" s="442">
        <f ca="1">$O41-SUM($AS41:BD41)</f>
        <v>1.1795053235108575</v>
      </c>
      <c r="AB41" s="442">
        <f ca="1">$O41-SUM($AS41:BE41)</f>
        <v>1.1646890359954289</v>
      </c>
      <c r="AC41" s="442">
        <f ca="1">$O41-SUM($AS41:BF41)</f>
        <v>1.1498727484800002</v>
      </c>
      <c r="AD41" s="442">
        <f ca="1">$O41-SUM($AS41:BG41)</f>
        <v>1.1174621195400003</v>
      </c>
      <c r="AE41" s="442">
        <f ca="1">$O41-SUM($AS41:BH41)</f>
        <v>1.0850514906000002</v>
      </c>
      <c r="AF41" s="442">
        <f ca="1">$O41-SUM($AS41:BI41)</f>
        <v>1.0526408616600003</v>
      </c>
      <c r="AG41" s="442">
        <f ca="1">$O41-SUM($AS41:BJ41)</f>
        <v>1.0202302327200001</v>
      </c>
      <c r="AH41" s="442">
        <f ca="1">$O41-SUM($AS41:BK41)</f>
        <v>1.0094266897400002</v>
      </c>
      <c r="AI41" s="442">
        <f ca="1">$O41-SUM($AS41:BL41)</f>
        <v>0.99862314676000019</v>
      </c>
      <c r="AJ41" s="442">
        <f ca="1">$O41-SUM($AS41:BM41)</f>
        <v>0.98781960378000011</v>
      </c>
      <c r="AK41" s="442">
        <f ca="1">$O41-SUM($AS41:BN41)</f>
        <v>0.97701606080000003</v>
      </c>
      <c r="AL41" s="442">
        <f ca="1">$O41-SUM($AS41:BO41)</f>
        <v>0.96621251782000006</v>
      </c>
      <c r="AM41" s="442">
        <f ca="1">$O41-SUM($AS41:BP41)</f>
        <v>0.95540897484000009</v>
      </c>
      <c r="AN41" s="442">
        <f ca="1">$O41-SUM($AS41:BQ41)</f>
        <v>0.94460543186000001</v>
      </c>
      <c r="AO41" s="442">
        <f ca="1">$O41-SUM($AS41:BR41)</f>
        <v>0.93380188887999993</v>
      </c>
      <c r="AP41" s="442">
        <f ca="1">$O41-SUM($AS41:BS41)</f>
        <v>0.92299834589999996</v>
      </c>
      <c r="AR41" s="439" t="s">
        <v>1202</v>
      </c>
      <c r="AS41" s="442">
        <f ca="1">IF($H41="",0,IF($H41=1,IF('Para Adj'!$B$5 = 1,O41-($O41-SUMPRODUCT($CX41:CX41,$BU41:BU41))*(1-SUM($DZ41:DZ41)),BU41*CX41),$O41*BU41))</f>
        <v>5.1857006304000031E-2</v>
      </c>
      <c r="AT41" s="442">
        <f ca="1">IF($H41="",0,IF($H41=1,IF('Para Adj'!$B$5 = 1,P41-($O41-SUMPRODUCT($CX41:CY41,$BU41:BV41))*(1-SUM($DZ41:EA41)),BV41*CY41),$O41*BV41))</f>
        <v>1.7285668768000011E-2</v>
      </c>
      <c r="AU41" s="442">
        <f ca="1">IF($H41="",0,IF($H41=1,IF('Para Adj'!$B$5 = 1,Q41-($O41-SUMPRODUCT($CX41:CZ41,$BU41:BW41))*(1-SUM($DZ41:EB41)),BW41*CZ41),$O41*BW41))</f>
        <v>1.7285668768000011E-2</v>
      </c>
      <c r="AV41" s="442">
        <f ca="1">IF($H41="",0,IF($H41=1,IF('Para Adj'!$B$5 = 1,R41-($O41-SUMPRODUCT($CX41:DA41,$BU41:BX41))*(1-SUM($DZ41:EC41)),BX41*DA41),$O41*BX41))</f>
        <v>1.7285668768000011E-2</v>
      </c>
      <c r="AW41" s="442">
        <f ca="1">IF($H41="",0,IF($H41=1,IF('Para Adj'!$B$5 = 1,S41-($O41-SUMPRODUCT($CX41:DB41,$BU41:BY41))*(1-SUM($DZ41:ED41)),BY41*DB41),$O41*BY41))</f>
        <v>1.7285668768000011E-2</v>
      </c>
      <c r="AX41" s="442">
        <f ca="1">IF($H41="",0,IF($H41=1,IF('Para Adj'!$B$5 = 1,T41-($O41-SUMPRODUCT($CX41:DC41,$BU41:BZ41))*(1-SUM($DZ41:EE41)),BZ41*DC41),$O41*BZ41))</f>
        <v>1.7285668768000011E-2</v>
      </c>
      <c r="AY41" s="442">
        <f ca="1">IF($H41="",0,IF($H41=1,IF('Para Adj'!$B$5 = 1,U41-($O41-SUMPRODUCT($CX41:DD41,$BU41:CA41))*(1-SUM($DZ41:EF41)),CA41*DD41),$O41*CA41))</f>
        <v>1.7285668768000011E-2</v>
      </c>
      <c r="AZ41" s="442">
        <f ca="1">IF($H41="",0,IF($H41=1,IF('Para Adj'!$B$5 = 1,V41-($O41-SUMPRODUCT($CX41:DE41,$BU41:CB41))*(1-SUM($DZ41:EG41)),CB41*DE41),$O41*CB41))</f>
        <v>1.4816287515428583E-2</v>
      </c>
      <c r="BA41" s="442">
        <f ca="1">IF($H41="",0,IF($H41=1,IF('Para Adj'!$B$5 = 1,W41-($O41-SUMPRODUCT($CX41:DF41,$BU41:CC41))*(1-SUM($DZ41:EH41)),CC41*DF41),$O41*CC41))</f>
        <v>1.4816287515428583E-2</v>
      </c>
      <c r="BB41" s="442">
        <f ca="1">IF($H41="",0,IF($H41=1,IF('Para Adj'!$B$5 = 1,X41-($O41-SUMPRODUCT($CX41:DG41,$BU41:CD41))*(1-SUM($DZ41:EI41)),CD41*DG41),$O41*CD41))</f>
        <v>1.4816287515428583E-2</v>
      </c>
      <c r="BC41" s="442">
        <f ca="1">IF($H41="",0,IF($H41=1,IF('Para Adj'!$B$5 = 1,Y41-($O41-SUMPRODUCT($CX41:DH41,$BU41:CE41))*(1-SUM($DZ41:EJ41)),CE41*DH41),$O41*CE41))</f>
        <v>1.4816287515428583E-2</v>
      </c>
      <c r="BD41" s="442">
        <f ca="1">IF($H41="",0,IF($H41=1,IF('Para Adj'!$B$5 = 1,Z41-($O41-SUMPRODUCT($CX41:DI41,$BU41:CF41))*(1-SUM($DZ41:EK41)),CF41*DI41),$O41*CF41))</f>
        <v>1.4816287515428583E-2</v>
      </c>
      <c r="BE41" s="442">
        <f ca="1">IF($H41="",0,IF($H41=1,IF('Para Adj'!$B$5 = 1,AA41-($O41-SUMPRODUCT($CX41:DJ41,$BU41:CG41))*(1-SUM($DZ41:EL41)),CG41*DJ41),$O41*CG41))</f>
        <v>1.4816287515428583E-2</v>
      </c>
      <c r="BF41" s="442">
        <f ca="1">IF($H41="",0,IF($H41=1,IF('Para Adj'!$B$5 = 1,AB41-($O41-SUMPRODUCT($CX41:DK41,$BU41:CH41))*(1-SUM($DZ41:EM41)),CH41*DK41),$O41*CH41))</f>
        <v>1.4816287515428583E-2</v>
      </c>
      <c r="BG41" s="442">
        <f ca="1">IF($H41="",0,IF($H41=1,IF('Para Adj'!$B$5 = 1,AC41-($O41-SUMPRODUCT($CX41:DL41,$BU41:CI41))*(1-SUM($DZ41:EN41)),CI41*DL41),$O41*CI41))</f>
        <v>3.2410628939999998E-2</v>
      </c>
      <c r="BH41" s="442">
        <f ca="1">IF($H41="",0,IF($H41=1,IF('Para Adj'!$B$5 = 1,AD41-($O41-SUMPRODUCT($CX41:DM41,$BU41:CJ41))*(1-SUM($DZ41:EO41)),CJ41*DM41),$O41*CJ41))</f>
        <v>3.2410628939999998E-2</v>
      </c>
      <c r="BI41" s="442">
        <f ca="1">IF($H41="",0,IF($H41=1,IF('Para Adj'!$B$5 = 1,AE41-($O41-SUMPRODUCT($CX41:DN41,$BU41:CK41))*(1-SUM($DZ41:EP41)),CK41*DN41),$O41*CK41))</f>
        <v>3.2410628940000019E-2</v>
      </c>
      <c r="BJ41" s="442">
        <f ca="1">IF($H41="",0,IF($H41=1,IF('Para Adj'!$B$5 = 1,AF41-($O41-SUMPRODUCT($CX41:DO41,$BU41:CL41))*(1-SUM($DZ41:EQ41)),CL41*DO41),$O41*CL41))</f>
        <v>3.2410628940000019E-2</v>
      </c>
      <c r="BK41" s="442">
        <f ca="1">IF($H41="",0,IF($H41=1,IF('Para Adj'!$B$5 = 1,AG41-($O41-SUMPRODUCT($CX41:DP41,$BU41:CM41))*(1-SUM($DZ41:ER41)),CM41*DP41),$O41*CM41))</f>
        <v>1.0803542980000004E-2</v>
      </c>
      <c r="BL41" s="442">
        <f ca="1">IF($H41="",0,IF($H41=1,IF('Para Adj'!$B$5 = 1,AH41-($O41-SUMPRODUCT($CX41:DQ41,$BU41:CN41))*(1-SUM($DZ41:ES41)),CN41*DQ41),$O41*CN41))</f>
        <v>1.0803542980000004E-2</v>
      </c>
      <c r="BM41" s="442">
        <f ca="1">IF($H41="",0,IF($H41=1,IF('Para Adj'!$B$5 = 1,AI41-($O41-SUMPRODUCT($CX41:DR41,$BU41:CO41))*(1-SUM($DZ41:ET41)),CO41*DR41),$O41*CO41))</f>
        <v>1.0803542980000004E-2</v>
      </c>
      <c r="BN41" s="442">
        <f ca="1">IF($H41="",0,IF($H41=1,IF('Para Adj'!$B$5 = 1,AJ41-($O41-SUMPRODUCT($CX41:DS41,$BU41:CP41))*(1-SUM($DZ41:EU41)),CP41*DS41),$O41*CP41))</f>
        <v>1.0803542980000004E-2</v>
      </c>
      <c r="BO41" s="442">
        <f ca="1">IF($H41="",0,IF($H41=1,IF('Para Adj'!$B$5 = 1,AK41-($O41-SUMPRODUCT($CX41:DT41,$BU41:CQ41))*(1-SUM($DZ41:EV41)),CQ41*DT41),$O41*CQ41))</f>
        <v>1.0803542980000004E-2</v>
      </c>
      <c r="BP41" s="442">
        <f ca="1">IF($H41="",0,IF($H41=1,IF('Para Adj'!$B$5 = 1,AL41-($O41-SUMPRODUCT($CX41:DU41,$BU41:CR41))*(1-SUM($DZ41:EW41)),CR41*DU41),$O41*CR41))</f>
        <v>1.0803542980000004E-2</v>
      </c>
      <c r="BQ41" s="442">
        <f ca="1">IF($H41="",0,IF($H41=1,IF('Para Adj'!$B$5 = 1,AM41-($O41-SUMPRODUCT($CX41:DV41,$BU41:CS41))*(1-SUM($DZ41:EX41)),CS41*DV41),$O41*CS41))</f>
        <v>1.0803542980000004E-2</v>
      </c>
      <c r="BR41" s="442">
        <f ca="1">IF($H41="",0,IF($H41=1,IF('Para Adj'!$B$5 = 1,AN41-($O41-SUMPRODUCT($CX41:DW41,$BU41:CT41))*(1-SUM($DZ41:EY41)),CT41*DW41),$O41*CT41))</f>
        <v>1.0803542980000004E-2</v>
      </c>
      <c r="BS41" s="442">
        <f ca="1">IF($H41="",0,IF($H41=1,IF('Para Adj'!$B$5 = 1,AO41-($O41-SUMPRODUCT($CX41:DX41,$BU41:CU41))*(1-SUM($DZ41:EZ41)),CU41*DX41),$O41*CU41))</f>
        <v>1.0803542980000004E-2</v>
      </c>
      <c r="BU41" s="820">
        <f ca="1">IF($B41=0,"",INDEX(Assumptions!G:G,$B41))</f>
        <v>3.6800000000000013E-2</v>
      </c>
      <c r="BV41" s="820">
        <f ca="1">IF($B41=0,"",INDEX(Assumptions!H:H,$B41))</f>
        <v>1.2266666666666671E-2</v>
      </c>
      <c r="BW41" s="820">
        <f ca="1">IF($B41=0,"",INDEX(Assumptions!I:I,$B41))</f>
        <v>1.2266666666666671E-2</v>
      </c>
      <c r="BX41" s="820">
        <f ca="1">IF($B41=0,"",INDEX(Assumptions!J:J,$B41))</f>
        <v>1.2266666666666671E-2</v>
      </c>
      <c r="BY41" s="820">
        <f ca="1">IF($B41=0,"",INDEX(Assumptions!K:K,$B41))</f>
        <v>1.2266666666666671E-2</v>
      </c>
      <c r="BZ41" s="820">
        <f ca="1">IF($B41=0,"",INDEX(Assumptions!L:L,$B41))</f>
        <v>1.2266666666666671E-2</v>
      </c>
      <c r="CA41" s="820">
        <f ca="1">IF($B41=0,"",INDEX(Assumptions!M:M,$B41))</f>
        <v>1.2266666666666671E-2</v>
      </c>
      <c r="CB41" s="820">
        <f ca="1">IF($B41=0,"",INDEX(Assumptions!N:N,$B41))</f>
        <v>1.0514285714285719E-2</v>
      </c>
      <c r="CC41" s="820">
        <f ca="1">IF($B41=0,"",INDEX(Assumptions!O:O,$B41))</f>
        <v>1.0514285714285719E-2</v>
      </c>
      <c r="CD41" s="820">
        <f ca="1">IF($B41=0,"",INDEX(Assumptions!P:P,$B41))</f>
        <v>1.0514285714285719E-2</v>
      </c>
      <c r="CE41" s="820">
        <f ca="1">IF($B41=0,"",INDEX(Assumptions!Q:Q,$B41))</f>
        <v>1.0514285714285719E-2</v>
      </c>
      <c r="CF41" s="820">
        <f ca="1">IF($B41=0,"",INDEX(Assumptions!R:R,$B41))</f>
        <v>1.0514285714285719E-2</v>
      </c>
      <c r="CG41" s="820">
        <f ca="1">IF($B41=0,"",INDEX(Assumptions!S:S,$B41))</f>
        <v>1.0514285714285719E-2</v>
      </c>
      <c r="CH41" s="820">
        <f ca="1">IF($B41=0,"",INDEX(Assumptions!T:T,$B41))</f>
        <v>1.0514285714285719E-2</v>
      </c>
      <c r="CI41" s="820">
        <f ca="1">IF($B41=0,"",INDEX(Assumptions!U:U,$B41))</f>
        <v>2.2999999999999993E-2</v>
      </c>
      <c r="CJ41" s="820">
        <f ca="1">IF($B41=0,"",INDEX(Assumptions!V:V,$B41))</f>
        <v>2.2999999999999993E-2</v>
      </c>
      <c r="CK41" s="820">
        <f ca="1">IF($B41=0,"",INDEX(Assumptions!W:W,$B41))</f>
        <v>2.3000000000000007E-2</v>
      </c>
      <c r="CL41" s="820">
        <f ca="1">IF($B41=0,"",INDEX(Assumptions!X:X,$B41))</f>
        <v>2.3000000000000007E-2</v>
      </c>
      <c r="CM41" s="820">
        <f ca="1">IF($B41=0,"",INDEX(Assumptions!Y:Y,$B41))</f>
        <v>7.6666666666666671E-3</v>
      </c>
      <c r="CN41" s="820">
        <f ca="1">IF($B41=0,"",INDEX(Assumptions!Z:Z,$B41))</f>
        <v>7.6666666666666671E-3</v>
      </c>
      <c r="CO41" s="820">
        <f ca="1">IF($B41=0,"",INDEX(Assumptions!AA:AA,$B41))</f>
        <v>7.6666666666666671E-3</v>
      </c>
      <c r="CP41" s="820">
        <f ca="1">IF($B41=0,"",INDEX(Assumptions!AB:AB,$B41))</f>
        <v>7.6666666666666671E-3</v>
      </c>
      <c r="CQ41" s="820">
        <f ca="1">IF($B41=0,"",INDEX(Assumptions!AC:AC,$B41))</f>
        <v>7.6666666666666671E-3</v>
      </c>
      <c r="CR41" s="820">
        <f ca="1">IF($B41=0,"",INDEX(Assumptions!AD:AD,$B41))</f>
        <v>7.6666666666666671E-3</v>
      </c>
      <c r="CS41" s="820">
        <f ca="1">IF($B41=0,"",INDEX(Assumptions!AE:AE,$B41))</f>
        <v>7.6666666666666671E-3</v>
      </c>
      <c r="CT41" s="820">
        <f ca="1">IF($B41=0,"",INDEX(Assumptions!AF:AF,$B41))</f>
        <v>7.6666666666666671E-3</v>
      </c>
      <c r="CU41" s="820">
        <f ca="1">IF($B41=0,"",INDEX(Assumptions!AG:AG,$B41))</f>
        <v>7.6666666666666671E-3</v>
      </c>
      <c r="CX41" s="442">
        <f>IF($A41="","",INDEX('Data Interface'!G:G,$A41))</f>
        <v>1.4091577800000004</v>
      </c>
      <c r="CY41" s="442">
        <f>IF($A41="","",INDEX('Data Interface'!H:H,$A41))</f>
        <v>0</v>
      </c>
      <c r="CZ41" s="442">
        <f>IF($A41="","",INDEX('Data Interface'!I:I,$A41))</f>
        <v>0</v>
      </c>
      <c r="DA41" s="442">
        <f>IF($A41="","",INDEX('Data Interface'!J:J,$A41))</f>
        <v>0</v>
      </c>
      <c r="DB41" s="442">
        <f>IF($A41="","",INDEX('Data Interface'!K:K,$A41))</f>
        <v>0</v>
      </c>
      <c r="DC41" s="442">
        <f>IF($A41="","",INDEX('Data Interface'!L:L,$A41))</f>
        <v>0</v>
      </c>
      <c r="DD41" s="442">
        <f>IF($A41="","",INDEX('Data Interface'!M:M,$A41))</f>
        <v>0</v>
      </c>
      <c r="DE41" s="442">
        <f>IF($A41="","",INDEX('Data Interface'!N:N,$A41))</f>
        <v>0</v>
      </c>
      <c r="DF41" s="442">
        <f>IF($A41="","",INDEX('Data Interface'!O:O,$A41))</f>
        <v>0</v>
      </c>
      <c r="DG41" s="442">
        <f>IF($A41="","",INDEX('Data Interface'!P:P,$A41))</f>
        <v>0</v>
      </c>
      <c r="DH41" s="442">
        <f>IF($A41="","",INDEX('Data Interface'!Q:Q,$A41))</f>
        <v>0</v>
      </c>
      <c r="DI41" s="442">
        <f>IF($A41="","",INDEX('Data Interface'!R:R,$A41))</f>
        <v>0</v>
      </c>
      <c r="DJ41" s="442">
        <f>IF($A41="","",INDEX('Data Interface'!S:S,$A41))</f>
        <v>0</v>
      </c>
      <c r="DK41" s="442">
        <f>IF($A41="","",INDEX('Data Interface'!T:T,$A41))</f>
        <v>0</v>
      </c>
      <c r="DL41" s="442">
        <f>IF($A41="","",INDEX('Data Interface'!U:U,$A41))</f>
        <v>0</v>
      </c>
      <c r="DM41" s="442">
        <f>IF($A41="","",INDEX('Data Interface'!V:V,$A41))</f>
        <v>0</v>
      </c>
      <c r="DN41" s="442">
        <f>IF($A41="","",INDEX('Data Interface'!W:W,$A41))</f>
        <v>0</v>
      </c>
      <c r="DO41" s="442">
        <f>IF($A41="","",INDEX('Data Interface'!X:X,$A41))</f>
        <v>0</v>
      </c>
      <c r="DP41" s="442">
        <f>IF($A41="","",INDEX('Data Interface'!Y:Y,$A41))</f>
        <v>0</v>
      </c>
      <c r="DQ41" s="442">
        <f>IF($A41="","",INDEX('Data Interface'!Z:Z,$A41))</f>
        <v>0</v>
      </c>
      <c r="DR41" s="442">
        <f>IF($A41="","",INDEX('Data Interface'!AA:AA,$A41))</f>
        <v>0</v>
      </c>
      <c r="DS41" s="442">
        <f>IF($A41="","",INDEX('Data Interface'!AB:AB,$A41))</f>
        <v>0</v>
      </c>
      <c r="DT41" s="442">
        <f>IF($A41="","",INDEX('Data Interface'!AC:AC,$A41))</f>
        <v>0</v>
      </c>
      <c r="DU41" s="442">
        <f>IF($A41="","",INDEX('Data Interface'!AD:AD,$A41))</f>
        <v>0</v>
      </c>
      <c r="DV41" s="442">
        <f>IF($A41="","",INDEX('Data Interface'!AE:AE,$A41))</f>
        <v>0</v>
      </c>
      <c r="DW41" s="442">
        <f>IF($A41="","",INDEX('Data Interface'!AF:AF,$A41))</f>
        <v>0</v>
      </c>
      <c r="DX41" s="442">
        <f>IF($A41="","",INDEX('Data Interface'!AG:AG,$A41))</f>
        <v>0</v>
      </c>
      <c r="DZ41" s="906" t="str">
        <f>IF(OR($B41=0,$A41=0,$H41&lt;&gt;1),"",INDEX(Assumptions!EO:EO,$B41))</f>
        <v/>
      </c>
      <c r="EA41" s="906" t="str">
        <f>IF(OR($B41=0,$A41=0,$H41&lt;&gt;1),"",INDEX(Assumptions!EP:EP,$B41))</f>
        <v/>
      </c>
      <c r="EB41" s="906" t="str">
        <f>IF(OR($B41=0,$A41=0,$H41&lt;&gt;1),"",INDEX(Assumptions!EQ:EQ,$B41))</f>
        <v/>
      </c>
      <c r="EC41" s="906" t="str">
        <f>IF(OR($B41=0,$A41=0,$H41&lt;&gt;1),"",INDEX(Assumptions!ER:ER,$B41))</f>
        <v/>
      </c>
      <c r="ED41" s="906" t="str">
        <f>IF(OR($B41=0,$A41=0,$H41&lt;&gt;1),"",INDEX(Assumptions!ES:ES,$B41))</f>
        <v/>
      </c>
      <c r="EE41" s="906" t="str">
        <f>IF(OR($B41=0,$A41=0,$H41&lt;&gt;1),"",INDEX(Assumptions!ET:ET,$B41))</f>
        <v/>
      </c>
      <c r="EF41" s="906" t="str">
        <f>IF(OR($B41=0,$A41=0,$H41&lt;&gt;1),"",INDEX(Assumptions!EU:EU,$B41))</f>
        <v/>
      </c>
      <c r="EG41" s="906" t="str">
        <f>IF(OR($B41=0,$A41=0,$H41&lt;&gt;1),"",INDEX(Assumptions!EV:EV,$B41))</f>
        <v/>
      </c>
      <c r="EH41" s="906" t="str">
        <f>IF(OR($B41=0,$A41=0,$H41&lt;&gt;1),"",INDEX(Assumptions!EW:EW,$B41))</f>
        <v/>
      </c>
      <c r="EI41" s="906" t="str">
        <f>IF(OR($B41=0,$A41=0,$H41&lt;&gt;1),"",INDEX(Assumptions!EX:EX,$B41))</f>
        <v/>
      </c>
      <c r="EJ41" s="906" t="str">
        <f>IF(OR($B41=0,$A41=0,$H41&lt;&gt;1),"",INDEX(Assumptions!EY:EY,$B41))</f>
        <v/>
      </c>
      <c r="EK41" s="906" t="str">
        <f>IF(OR($B41=0,$A41=0,$H41&lt;&gt;1),"",INDEX(Assumptions!EZ:EZ,$B41))</f>
        <v/>
      </c>
      <c r="EL41" s="906" t="str">
        <f>IF(OR($B41=0,$A41=0,$H41&lt;&gt;1),"",INDEX(Assumptions!FA:FA,$B41))</f>
        <v/>
      </c>
      <c r="EM41" s="906" t="str">
        <f>IF(OR($B41=0,$A41=0,$H41&lt;&gt;1),"",INDEX(Assumptions!FB:FB,$B41))</f>
        <v/>
      </c>
      <c r="EN41" s="906" t="str">
        <f>IF(OR($B41=0,$A41=0,$H41&lt;&gt;1),"",INDEX(Assumptions!FC:FC,$B41))</f>
        <v/>
      </c>
      <c r="EO41" s="906" t="str">
        <f>IF(OR($B41=0,$A41=0,$H41&lt;&gt;1),"",INDEX(Assumptions!FD:FD,$B41))</f>
        <v/>
      </c>
      <c r="EP41" s="906" t="str">
        <f>IF(OR($B41=0,$A41=0,$H41&lt;&gt;1),"",INDEX(Assumptions!FE:FE,$B41))</f>
        <v/>
      </c>
      <c r="EQ41" s="906" t="str">
        <f>IF(OR($B41=0,$A41=0,$H41&lt;&gt;1),"",INDEX(Assumptions!FF:FF,$B41))</f>
        <v/>
      </c>
      <c r="ER41" s="906" t="str">
        <f>IF(OR($B41=0,$A41=0,$H41&lt;&gt;1),"",INDEX(Assumptions!FG:FG,$B41))</f>
        <v/>
      </c>
      <c r="ES41" s="906" t="str">
        <f>IF(OR($B41=0,$A41=0,$H41&lt;&gt;1),"",INDEX(Assumptions!FH:FH,$B41))</f>
        <v/>
      </c>
      <c r="ET41" s="906" t="str">
        <f>IF(OR($B41=0,$A41=0,$H41&lt;&gt;1),"",INDEX(Assumptions!FI:FI,$B41))</f>
        <v/>
      </c>
      <c r="EU41" s="906" t="str">
        <f>IF(OR($B41=0,$A41=0,$H41&lt;&gt;1),"",INDEX(Assumptions!FJ:FJ,$B41))</f>
        <v/>
      </c>
      <c r="EV41" s="906" t="str">
        <f>IF(OR($B41=0,$A41=0,$H41&lt;&gt;1),"",INDEX(Assumptions!FK:FK,$B41))</f>
        <v/>
      </c>
      <c r="EW41" s="906" t="str">
        <f>IF(OR($B41=0,$A41=0,$H41&lt;&gt;1),"",INDEX(Assumptions!FL:FL,$B41))</f>
        <v/>
      </c>
      <c r="EX41" s="906" t="str">
        <f>IF(OR($B41=0,$A41=0,$H41&lt;&gt;1),"",INDEX(Assumptions!FM:FM,$B41))</f>
        <v/>
      </c>
      <c r="EY41" s="906" t="str">
        <f>IF(OR($B41=0,$A41=0,$H41&lt;&gt;1),"",INDEX(Assumptions!FN:FN,$B41))</f>
        <v/>
      </c>
      <c r="EZ41" s="906" t="str">
        <f>IF(OR($B41=0,$A41=0,$H41&lt;&gt;1),"",INDEX(Assumptions!FO:FO,$B41))</f>
        <v/>
      </c>
      <c r="FB41" s="820" t="str">
        <f t="shared" si="18"/>
        <v/>
      </c>
      <c r="FC41" s="820" t="str">
        <f t="shared" si="19"/>
        <v/>
      </c>
      <c r="FD41" s="820" t="str">
        <f t="shared" si="20"/>
        <v/>
      </c>
      <c r="FE41" s="820" t="str">
        <f t="shared" si="21"/>
        <v/>
      </c>
      <c r="FF41" s="820" t="str">
        <f t="shared" si="22"/>
        <v/>
      </c>
    </row>
    <row r="42" spans="1:162">
      <c r="A42" s="440">
        <f>IFERROR(MATCH(C42,'Data Interface'!B:B,0),0)</f>
        <v>39</v>
      </c>
      <c r="B42" s="440">
        <f>IFERROR(MATCH(C42,Assumptions!$B:$B,0),0)</f>
        <v>51</v>
      </c>
      <c r="C42" s="441" t="s">
        <v>1302</v>
      </c>
      <c r="E42" s="441" t="s">
        <v>1219</v>
      </c>
      <c r="F42" s="440" t="s">
        <v>36</v>
      </c>
      <c r="G42" s="440" t="str">
        <f>IF(A42=0,"",INDEX('Data Interface'!$C:$C,$A42))</f>
        <v>Due to Non-Bank FI (Exclude Large FI)</v>
      </c>
      <c r="H42" s="440">
        <v>0</v>
      </c>
      <c r="I42" s="819">
        <f t="shared" ca="1" si="23"/>
        <v>0.18400000000000016</v>
      </c>
      <c r="J42" s="819">
        <f t="shared" ca="1" si="24"/>
        <v>0.23000000000000015</v>
      </c>
      <c r="K42" s="439" t="str">
        <f t="shared" ca="1" si="25"/>
        <v>18.4% of Current Balance</v>
      </c>
      <c r="L42" s="439" t="s">
        <v>1148</v>
      </c>
      <c r="M42" s="439" t="s">
        <v>1507</v>
      </c>
      <c r="O42" s="442">
        <f>IF(OR($A42="",$A42=0),0,INDEX('Data Interface'!D:D,$A42))</f>
        <v>366.42940659000016</v>
      </c>
      <c r="P42" s="442">
        <f ca="1">$O42-SUM($AS42:AS42)</f>
        <v>343.95506965248012</v>
      </c>
      <c r="Q42" s="442">
        <f ca="1">$O42-SUM($AS42:AT42)</f>
        <v>340.20934682956016</v>
      </c>
      <c r="R42" s="442">
        <f ca="1">$O42-SUM($AS42:AU42)</f>
        <v>336.46362400664015</v>
      </c>
      <c r="S42" s="442">
        <f ca="1">$O42-SUM($AS42:AV42)</f>
        <v>332.71790118372013</v>
      </c>
      <c r="T42" s="442">
        <f ca="1">$O42-SUM($AS42:AW42)</f>
        <v>328.97217836080011</v>
      </c>
      <c r="U42" s="442">
        <f ca="1">$O42-SUM($AS42:AX42)</f>
        <v>325.22645553788016</v>
      </c>
      <c r="V42" s="442">
        <f ca="1">$O42-SUM($AS42:AY42)</f>
        <v>321.48073271496014</v>
      </c>
      <c r="W42" s="442">
        <f ca="1">$O42-SUM($AS42:AZ42)</f>
        <v>318.27011315245727</v>
      </c>
      <c r="X42" s="442">
        <f ca="1">$O42-SUM($AS42:BA42)</f>
        <v>315.0594935899544</v>
      </c>
      <c r="Y42" s="442">
        <f ca="1">$O42-SUM($AS42:BB42)</f>
        <v>311.84887402745153</v>
      </c>
      <c r="Z42" s="442">
        <f ca="1">$O42-SUM($AS42:BC42)</f>
        <v>308.63825446494866</v>
      </c>
      <c r="AA42" s="442">
        <f ca="1">$O42-SUM($AS42:BD42)</f>
        <v>305.42763490244579</v>
      </c>
      <c r="AB42" s="442">
        <f ca="1">$O42-SUM($AS42:BE42)</f>
        <v>302.21701533994298</v>
      </c>
      <c r="AC42" s="442">
        <f ca="1">$O42-SUM($AS42:BF42)</f>
        <v>299.0063957774401</v>
      </c>
      <c r="AD42" s="442">
        <f ca="1">$O42-SUM($AS42:BG42)</f>
        <v>290.57851942587013</v>
      </c>
      <c r="AE42" s="442">
        <f ca="1">$O42-SUM($AS42:BH42)</f>
        <v>282.15064307430009</v>
      </c>
      <c r="AF42" s="442">
        <f ca="1">$O42-SUM($AS42:BI42)</f>
        <v>273.72276672273006</v>
      </c>
      <c r="AG42" s="442">
        <f ca="1">$O42-SUM($AS42:BJ42)</f>
        <v>265.29489037116008</v>
      </c>
      <c r="AH42" s="442">
        <f ca="1">$O42-SUM($AS42:BK42)</f>
        <v>262.48559825397007</v>
      </c>
      <c r="AI42" s="442">
        <f ca="1">$O42-SUM($AS42:BL42)</f>
        <v>259.67630613678011</v>
      </c>
      <c r="AJ42" s="442">
        <f ca="1">$O42-SUM($AS42:BM42)</f>
        <v>256.8670140195901</v>
      </c>
      <c r="AK42" s="442">
        <f ca="1">$O42-SUM($AS42:BN42)</f>
        <v>254.05772190240009</v>
      </c>
      <c r="AL42" s="442">
        <f ca="1">$O42-SUM($AS42:BO42)</f>
        <v>251.24842978521008</v>
      </c>
      <c r="AM42" s="442">
        <f ca="1">$O42-SUM($AS42:BP42)</f>
        <v>248.43913766802009</v>
      </c>
      <c r="AN42" s="442">
        <f ca="1">$O42-SUM($AS42:BQ42)</f>
        <v>245.62984555083011</v>
      </c>
      <c r="AO42" s="442">
        <f ca="1">$O42-SUM($AS42:BR42)</f>
        <v>242.8205534336401</v>
      </c>
      <c r="AP42" s="442">
        <f ca="1">$O42-SUM($AS42:BS42)</f>
        <v>240.01126131645009</v>
      </c>
      <c r="AR42" s="439" t="s">
        <v>1202</v>
      </c>
      <c r="AS42" s="442">
        <f ca="1">IF($H42="",0,IF($H42=1,IF('Para Adj'!$B$5 = 1,O42-($O42-SUMPRODUCT($CX42:CX42,$BU42:BU42))*(1-SUM($DZ42:DZ42)),BU42*CX42),$O42*BU42))</f>
        <v>22.474336937520015</v>
      </c>
      <c r="AT42" s="442">
        <f ca="1">IF($H42="",0,IF($H42=1,IF('Para Adj'!$B$5 = 1,P42-($O42-SUMPRODUCT($CX42:CY42,$BU42:BV42))*(1-SUM($DZ42:EA42)),BV42*CY42),$O42*BV42))</f>
        <v>3.7457228229200026</v>
      </c>
      <c r="AU42" s="442">
        <f ca="1">IF($H42="",0,IF($H42=1,IF('Para Adj'!$B$5 = 1,Q42-($O42-SUMPRODUCT($CX42:CZ42,$BU42:BW42))*(1-SUM($DZ42:EB42)),BW42*CZ42),$O42*BW42))</f>
        <v>3.7457228229200026</v>
      </c>
      <c r="AV42" s="442">
        <f ca="1">IF($H42="",0,IF($H42=1,IF('Para Adj'!$B$5 = 1,R42-($O42-SUMPRODUCT($CX42:DA42,$BU42:BX42))*(1-SUM($DZ42:EC42)),BX42*DA42),$O42*BX42))</f>
        <v>3.7457228229200026</v>
      </c>
      <c r="AW42" s="442">
        <f ca="1">IF($H42="",0,IF($H42=1,IF('Para Adj'!$B$5 = 1,S42-($O42-SUMPRODUCT($CX42:DB42,$BU42:BY42))*(1-SUM($DZ42:ED42)),BY42*DB42),$O42*BY42))</f>
        <v>3.7457228229200026</v>
      </c>
      <c r="AX42" s="442">
        <f ca="1">IF($H42="",0,IF($H42=1,IF('Para Adj'!$B$5 = 1,T42-($O42-SUMPRODUCT($CX42:DC42,$BU42:BZ42))*(1-SUM($DZ42:EE42)),BZ42*DC42),$O42*BZ42))</f>
        <v>3.7457228229200026</v>
      </c>
      <c r="AY42" s="442">
        <f ca="1">IF($H42="",0,IF($H42=1,IF('Para Adj'!$B$5 = 1,U42-($O42-SUMPRODUCT($CX42:DD42,$BU42:CA42))*(1-SUM($DZ42:EF42)),CA42*DD42),$O42*CA42))</f>
        <v>3.7457228229200026</v>
      </c>
      <c r="AZ42" s="442">
        <f ca="1">IF($H42="",0,IF($H42=1,IF('Para Adj'!$B$5 = 1,V42-($O42-SUMPRODUCT($CX42:DE42,$BU42:CB42))*(1-SUM($DZ42:EG42)),CB42*DE42),$O42*CB42))</f>
        <v>3.2106195625028602</v>
      </c>
      <c r="BA42" s="442">
        <f ca="1">IF($H42="",0,IF($H42=1,IF('Para Adj'!$B$5 = 1,W42-($O42-SUMPRODUCT($CX42:DF42,$BU42:CC42))*(1-SUM($DZ42:EH42)),CC42*DF42),$O42*CC42))</f>
        <v>3.2106195625028602</v>
      </c>
      <c r="BB42" s="442">
        <f ca="1">IF($H42="",0,IF($H42=1,IF('Para Adj'!$B$5 = 1,X42-($O42-SUMPRODUCT($CX42:DG42,$BU42:CD42))*(1-SUM($DZ42:EI42)),CD42*DG42),$O42*CD42))</f>
        <v>3.2106195625028602</v>
      </c>
      <c r="BC42" s="442">
        <f ca="1">IF($H42="",0,IF($H42=1,IF('Para Adj'!$B$5 = 1,Y42-($O42-SUMPRODUCT($CX42:DH42,$BU42:CE42))*(1-SUM($DZ42:EJ42)),CE42*DH42),$O42*CE42))</f>
        <v>3.2106195625028602</v>
      </c>
      <c r="BD42" s="442">
        <f ca="1">IF($H42="",0,IF($H42=1,IF('Para Adj'!$B$5 = 1,Z42-($O42-SUMPRODUCT($CX42:DI42,$BU42:CF42))*(1-SUM($DZ42:EK42)),CF42*DI42),$O42*CF42))</f>
        <v>3.2106195625028602</v>
      </c>
      <c r="BE42" s="442">
        <f ca="1">IF($H42="",0,IF($H42=1,IF('Para Adj'!$B$5 = 1,AA42-($O42-SUMPRODUCT($CX42:DJ42,$BU42:CG42))*(1-SUM($DZ42:EL42)),CG42*DJ42),$O42*CG42))</f>
        <v>3.2106195625028602</v>
      </c>
      <c r="BF42" s="442">
        <f ca="1">IF($H42="",0,IF($H42=1,IF('Para Adj'!$B$5 = 1,AB42-($O42-SUMPRODUCT($CX42:DK42,$BU42:CH42))*(1-SUM($DZ42:EM42)),CH42*DK42),$O42*CH42))</f>
        <v>3.2106195625028602</v>
      </c>
      <c r="BG42" s="442">
        <f ca="1">IF($H42="",0,IF($H42=1,IF('Para Adj'!$B$5 = 1,AC42-($O42-SUMPRODUCT($CX42:DL42,$BU42:CI42))*(1-SUM($DZ42:EN42)),CI42*DL42),$O42*CI42))</f>
        <v>8.427876351570001</v>
      </c>
      <c r="BH42" s="442">
        <f ca="1">IF($H42="",0,IF($H42=1,IF('Para Adj'!$B$5 = 1,AD42-($O42-SUMPRODUCT($CX42:DM42,$BU42:CJ42))*(1-SUM($DZ42:EO42)),CJ42*DM42),$O42*CJ42))</f>
        <v>8.427876351570001</v>
      </c>
      <c r="BI42" s="442">
        <f ca="1">IF($H42="",0,IF($H42=1,IF('Para Adj'!$B$5 = 1,AE42-($O42-SUMPRODUCT($CX42:DN42,$BU42:CK42))*(1-SUM($DZ42:EP42)),CK42*DN42),$O42*CK42))</f>
        <v>8.4278763515700064</v>
      </c>
      <c r="BJ42" s="442">
        <f ca="1">IF($H42="",0,IF($H42=1,IF('Para Adj'!$B$5 = 1,AF42-($O42-SUMPRODUCT($CX42:DO42,$BU42:CL42))*(1-SUM($DZ42:EQ42)),CL42*DO42),$O42*CL42))</f>
        <v>8.4278763515700064</v>
      </c>
      <c r="BK42" s="442">
        <f ca="1">IF($H42="",0,IF($H42=1,IF('Para Adj'!$B$5 = 1,AG42-($O42-SUMPRODUCT($CX42:DP42,$BU42:CM42))*(1-SUM($DZ42:ER42)),CM42*DP42),$O42*CM42))</f>
        <v>2.8092921171900014</v>
      </c>
      <c r="BL42" s="442">
        <f ca="1">IF($H42="",0,IF($H42=1,IF('Para Adj'!$B$5 = 1,AH42-($O42-SUMPRODUCT($CX42:DQ42,$BU42:CN42))*(1-SUM($DZ42:ES42)),CN42*DQ42),$O42*CN42))</f>
        <v>2.8092921171900014</v>
      </c>
      <c r="BM42" s="442">
        <f ca="1">IF($H42="",0,IF($H42=1,IF('Para Adj'!$B$5 = 1,AI42-($O42-SUMPRODUCT($CX42:DR42,$BU42:CO42))*(1-SUM($DZ42:ET42)),CO42*DR42),$O42*CO42))</f>
        <v>2.8092921171900014</v>
      </c>
      <c r="BN42" s="442">
        <f ca="1">IF($H42="",0,IF($H42=1,IF('Para Adj'!$B$5 = 1,AJ42-($O42-SUMPRODUCT($CX42:DS42,$BU42:CP42))*(1-SUM($DZ42:EU42)),CP42*DS42),$O42*CP42))</f>
        <v>2.8092921171900014</v>
      </c>
      <c r="BO42" s="442">
        <f ca="1">IF($H42="",0,IF($H42=1,IF('Para Adj'!$B$5 = 1,AK42-($O42-SUMPRODUCT($CX42:DT42,$BU42:CQ42))*(1-SUM($DZ42:EV42)),CQ42*DT42),$O42*CQ42))</f>
        <v>2.8092921171900014</v>
      </c>
      <c r="BP42" s="442">
        <f ca="1">IF($H42="",0,IF($H42=1,IF('Para Adj'!$B$5 = 1,AL42-($O42-SUMPRODUCT($CX42:DU42,$BU42:CR42))*(1-SUM($DZ42:EW42)),CR42*DU42),$O42*CR42))</f>
        <v>2.8092921171900014</v>
      </c>
      <c r="BQ42" s="442">
        <f ca="1">IF($H42="",0,IF($H42=1,IF('Para Adj'!$B$5 = 1,AM42-($O42-SUMPRODUCT($CX42:DV42,$BU42:CS42))*(1-SUM($DZ42:EX42)),CS42*DV42),$O42*CS42))</f>
        <v>2.8092921171900014</v>
      </c>
      <c r="BR42" s="442">
        <f ca="1">IF($H42="",0,IF($H42=1,IF('Para Adj'!$B$5 = 1,AN42-($O42-SUMPRODUCT($CX42:DW42,$BU42:CT42))*(1-SUM($DZ42:EY42)),CT42*DW42),$O42*CT42))</f>
        <v>2.8092921171900014</v>
      </c>
      <c r="BS42" s="442">
        <f ca="1">IF($H42="",0,IF($H42=1,IF('Para Adj'!$B$5 = 1,AO42-($O42-SUMPRODUCT($CX42:DX42,$BU42:CU42))*(1-SUM($DZ42:EZ42)),CU42*DX42),$O42*CU42))</f>
        <v>2.8092921171900014</v>
      </c>
      <c r="BU42" s="820">
        <f ca="1">IF($B42=0,"",INDEX(Assumptions!G:G,$B42))</f>
        <v>6.1333333333333351E-2</v>
      </c>
      <c r="BV42" s="820">
        <f ca="1">IF($B42=0,"",INDEX(Assumptions!H:H,$B42))</f>
        <v>1.0222222222222225E-2</v>
      </c>
      <c r="BW42" s="820">
        <f ca="1">IF($B42=0,"",INDEX(Assumptions!I:I,$B42))</f>
        <v>1.0222222222222225E-2</v>
      </c>
      <c r="BX42" s="820">
        <f ca="1">IF($B42=0,"",INDEX(Assumptions!J:J,$B42))</f>
        <v>1.0222222222222225E-2</v>
      </c>
      <c r="BY42" s="820">
        <f ca="1">IF($B42=0,"",INDEX(Assumptions!K:K,$B42))</f>
        <v>1.0222222222222225E-2</v>
      </c>
      <c r="BZ42" s="820">
        <f ca="1">IF($B42=0,"",INDEX(Assumptions!L:L,$B42))</f>
        <v>1.0222222222222225E-2</v>
      </c>
      <c r="CA42" s="820">
        <f ca="1">IF($B42=0,"",INDEX(Assumptions!M:M,$B42))</f>
        <v>1.0222222222222225E-2</v>
      </c>
      <c r="CB42" s="820">
        <f ca="1">IF($B42=0,"",INDEX(Assumptions!N:N,$B42))</f>
        <v>8.7619047619047659E-3</v>
      </c>
      <c r="CC42" s="820">
        <f ca="1">IF($B42=0,"",INDEX(Assumptions!O:O,$B42))</f>
        <v>8.7619047619047659E-3</v>
      </c>
      <c r="CD42" s="820">
        <f ca="1">IF($B42=0,"",INDEX(Assumptions!P:P,$B42))</f>
        <v>8.7619047619047659E-3</v>
      </c>
      <c r="CE42" s="820">
        <f ca="1">IF($B42=0,"",INDEX(Assumptions!Q:Q,$B42))</f>
        <v>8.7619047619047659E-3</v>
      </c>
      <c r="CF42" s="820">
        <f ca="1">IF($B42=0,"",INDEX(Assumptions!R:R,$B42))</f>
        <v>8.7619047619047659E-3</v>
      </c>
      <c r="CG42" s="820">
        <f ca="1">IF($B42=0,"",INDEX(Assumptions!S:S,$B42))</f>
        <v>8.7619047619047659E-3</v>
      </c>
      <c r="CH42" s="820">
        <f ca="1">IF($B42=0,"",INDEX(Assumptions!T:T,$B42))</f>
        <v>8.7619047619047659E-3</v>
      </c>
      <c r="CI42" s="820">
        <f ca="1">IF($B42=0,"",INDEX(Assumptions!U:U,$B42))</f>
        <v>2.2999999999999993E-2</v>
      </c>
      <c r="CJ42" s="820">
        <f ca="1">IF($B42=0,"",INDEX(Assumptions!V:V,$B42))</f>
        <v>2.2999999999999993E-2</v>
      </c>
      <c r="CK42" s="820">
        <f ca="1">IF($B42=0,"",INDEX(Assumptions!W:W,$B42))</f>
        <v>2.3000000000000007E-2</v>
      </c>
      <c r="CL42" s="820">
        <f ca="1">IF($B42=0,"",INDEX(Assumptions!X:X,$B42))</f>
        <v>2.3000000000000007E-2</v>
      </c>
      <c r="CM42" s="820">
        <f ca="1">IF($B42=0,"",INDEX(Assumptions!Y:Y,$B42))</f>
        <v>7.6666666666666671E-3</v>
      </c>
      <c r="CN42" s="820">
        <f ca="1">IF($B42=0,"",INDEX(Assumptions!Z:Z,$B42))</f>
        <v>7.6666666666666671E-3</v>
      </c>
      <c r="CO42" s="820">
        <f ca="1">IF($B42=0,"",INDEX(Assumptions!AA:AA,$B42))</f>
        <v>7.6666666666666671E-3</v>
      </c>
      <c r="CP42" s="820">
        <f ca="1">IF($B42=0,"",INDEX(Assumptions!AB:AB,$B42))</f>
        <v>7.6666666666666671E-3</v>
      </c>
      <c r="CQ42" s="820">
        <f ca="1">IF($B42=0,"",INDEX(Assumptions!AC:AC,$B42))</f>
        <v>7.6666666666666671E-3</v>
      </c>
      <c r="CR42" s="820">
        <f ca="1">IF($B42=0,"",INDEX(Assumptions!AD:AD,$B42))</f>
        <v>7.6666666666666671E-3</v>
      </c>
      <c r="CS42" s="820">
        <f ca="1">IF($B42=0,"",INDEX(Assumptions!AE:AE,$B42))</f>
        <v>7.6666666666666671E-3</v>
      </c>
      <c r="CT42" s="820">
        <f ca="1">IF($B42=0,"",INDEX(Assumptions!AF:AF,$B42))</f>
        <v>7.6666666666666671E-3</v>
      </c>
      <c r="CU42" s="820">
        <f ca="1">IF($B42=0,"",INDEX(Assumptions!AG:AG,$B42))</f>
        <v>7.6666666666666671E-3</v>
      </c>
      <c r="CX42" s="442">
        <f>IF($A42="","",INDEX('Data Interface'!G:G,$A42))</f>
        <v>366.42940659000016</v>
      </c>
      <c r="CY42" s="442">
        <f>IF($A42="","",INDEX('Data Interface'!H:H,$A42))</f>
        <v>0</v>
      </c>
      <c r="CZ42" s="442">
        <f>IF($A42="","",INDEX('Data Interface'!I:I,$A42))</f>
        <v>0</v>
      </c>
      <c r="DA42" s="442">
        <f>IF($A42="","",INDEX('Data Interface'!J:J,$A42))</f>
        <v>0</v>
      </c>
      <c r="DB42" s="442">
        <f>IF($A42="","",INDEX('Data Interface'!K:K,$A42))</f>
        <v>0</v>
      </c>
      <c r="DC42" s="442">
        <f>IF($A42="","",INDEX('Data Interface'!L:L,$A42))</f>
        <v>0</v>
      </c>
      <c r="DD42" s="442">
        <f>IF($A42="","",INDEX('Data Interface'!M:M,$A42))</f>
        <v>0</v>
      </c>
      <c r="DE42" s="442">
        <f>IF($A42="","",INDEX('Data Interface'!N:N,$A42))</f>
        <v>0</v>
      </c>
      <c r="DF42" s="442">
        <f>IF($A42="","",INDEX('Data Interface'!O:O,$A42))</f>
        <v>0</v>
      </c>
      <c r="DG42" s="442">
        <f>IF($A42="","",INDEX('Data Interface'!P:P,$A42))</f>
        <v>0</v>
      </c>
      <c r="DH42" s="442">
        <f>IF($A42="","",INDEX('Data Interface'!Q:Q,$A42))</f>
        <v>0</v>
      </c>
      <c r="DI42" s="442">
        <f>IF($A42="","",INDEX('Data Interface'!R:R,$A42))</f>
        <v>0</v>
      </c>
      <c r="DJ42" s="442">
        <f>IF($A42="","",INDEX('Data Interface'!S:S,$A42))</f>
        <v>0</v>
      </c>
      <c r="DK42" s="442">
        <f>IF($A42="","",INDEX('Data Interface'!T:T,$A42))</f>
        <v>0</v>
      </c>
      <c r="DL42" s="442">
        <f>IF($A42="","",INDEX('Data Interface'!U:U,$A42))</f>
        <v>0</v>
      </c>
      <c r="DM42" s="442">
        <f>IF($A42="","",INDEX('Data Interface'!V:V,$A42))</f>
        <v>0</v>
      </c>
      <c r="DN42" s="442">
        <f>IF($A42="","",INDEX('Data Interface'!W:W,$A42))</f>
        <v>0</v>
      </c>
      <c r="DO42" s="442">
        <f>IF($A42="","",INDEX('Data Interface'!X:X,$A42))</f>
        <v>0</v>
      </c>
      <c r="DP42" s="442">
        <f>IF($A42="","",INDEX('Data Interface'!Y:Y,$A42))</f>
        <v>0</v>
      </c>
      <c r="DQ42" s="442">
        <f>IF($A42="","",INDEX('Data Interface'!Z:Z,$A42))</f>
        <v>0</v>
      </c>
      <c r="DR42" s="442">
        <f>IF($A42="","",INDEX('Data Interface'!AA:AA,$A42))</f>
        <v>0</v>
      </c>
      <c r="DS42" s="442">
        <f>IF($A42="","",INDEX('Data Interface'!AB:AB,$A42))</f>
        <v>0</v>
      </c>
      <c r="DT42" s="442">
        <f>IF($A42="","",INDEX('Data Interface'!AC:AC,$A42))</f>
        <v>0</v>
      </c>
      <c r="DU42" s="442">
        <f>IF($A42="","",INDEX('Data Interface'!AD:AD,$A42))</f>
        <v>0</v>
      </c>
      <c r="DV42" s="442">
        <f>IF($A42="","",INDEX('Data Interface'!AE:AE,$A42))</f>
        <v>0</v>
      </c>
      <c r="DW42" s="442">
        <f>IF($A42="","",INDEX('Data Interface'!AF:AF,$A42))</f>
        <v>0</v>
      </c>
      <c r="DX42" s="442">
        <f>IF($A42="","",INDEX('Data Interface'!AG:AG,$A42))</f>
        <v>0</v>
      </c>
      <c r="DZ42" s="906" t="str">
        <f>IF(OR($B42=0,$A42=0,$H42&lt;&gt;1),"",INDEX(Assumptions!EO:EO,$B42))</f>
        <v/>
      </c>
      <c r="EA42" s="906" t="str">
        <f>IF(OR($B42=0,$A42=0,$H42&lt;&gt;1),"",INDEX(Assumptions!EP:EP,$B42))</f>
        <v/>
      </c>
      <c r="EB42" s="906" t="str">
        <f>IF(OR($B42=0,$A42=0,$H42&lt;&gt;1),"",INDEX(Assumptions!EQ:EQ,$B42))</f>
        <v/>
      </c>
      <c r="EC42" s="906" t="str">
        <f>IF(OR($B42=0,$A42=0,$H42&lt;&gt;1),"",INDEX(Assumptions!ER:ER,$B42))</f>
        <v/>
      </c>
      <c r="ED42" s="906" t="str">
        <f>IF(OR($B42=0,$A42=0,$H42&lt;&gt;1),"",INDEX(Assumptions!ES:ES,$B42))</f>
        <v/>
      </c>
      <c r="EE42" s="906" t="str">
        <f>IF(OR($B42=0,$A42=0,$H42&lt;&gt;1),"",INDEX(Assumptions!ET:ET,$B42))</f>
        <v/>
      </c>
      <c r="EF42" s="906" t="str">
        <f>IF(OR($B42=0,$A42=0,$H42&lt;&gt;1),"",INDEX(Assumptions!EU:EU,$B42))</f>
        <v/>
      </c>
      <c r="EG42" s="906" t="str">
        <f>IF(OR($B42=0,$A42=0,$H42&lt;&gt;1),"",INDEX(Assumptions!EV:EV,$B42))</f>
        <v/>
      </c>
      <c r="EH42" s="906" t="str">
        <f>IF(OR($B42=0,$A42=0,$H42&lt;&gt;1),"",INDEX(Assumptions!EW:EW,$B42))</f>
        <v/>
      </c>
      <c r="EI42" s="906" t="str">
        <f>IF(OR($B42=0,$A42=0,$H42&lt;&gt;1),"",INDEX(Assumptions!EX:EX,$B42))</f>
        <v/>
      </c>
      <c r="EJ42" s="906" t="str">
        <f>IF(OR($B42=0,$A42=0,$H42&lt;&gt;1),"",INDEX(Assumptions!EY:EY,$B42))</f>
        <v/>
      </c>
      <c r="EK42" s="906" t="str">
        <f>IF(OR($B42=0,$A42=0,$H42&lt;&gt;1),"",INDEX(Assumptions!EZ:EZ,$B42))</f>
        <v/>
      </c>
      <c r="EL42" s="906" t="str">
        <f>IF(OR($B42=0,$A42=0,$H42&lt;&gt;1),"",INDEX(Assumptions!FA:FA,$B42))</f>
        <v/>
      </c>
      <c r="EM42" s="906" t="str">
        <f>IF(OR($B42=0,$A42=0,$H42&lt;&gt;1),"",INDEX(Assumptions!FB:FB,$B42))</f>
        <v/>
      </c>
      <c r="EN42" s="906" t="str">
        <f>IF(OR($B42=0,$A42=0,$H42&lt;&gt;1),"",INDEX(Assumptions!FC:FC,$B42))</f>
        <v/>
      </c>
      <c r="EO42" s="906" t="str">
        <f>IF(OR($B42=0,$A42=0,$H42&lt;&gt;1),"",INDEX(Assumptions!FD:FD,$B42))</f>
        <v/>
      </c>
      <c r="EP42" s="906" t="str">
        <f>IF(OR($B42=0,$A42=0,$H42&lt;&gt;1),"",INDEX(Assumptions!FE:FE,$B42))</f>
        <v/>
      </c>
      <c r="EQ42" s="906" t="str">
        <f>IF(OR($B42=0,$A42=0,$H42&lt;&gt;1),"",INDEX(Assumptions!FF:FF,$B42))</f>
        <v/>
      </c>
      <c r="ER42" s="906" t="str">
        <f>IF(OR($B42=0,$A42=0,$H42&lt;&gt;1),"",INDEX(Assumptions!FG:FG,$B42))</f>
        <v/>
      </c>
      <c r="ES42" s="906" t="str">
        <f>IF(OR($B42=0,$A42=0,$H42&lt;&gt;1),"",INDEX(Assumptions!FH:FH,$B42))</f>
        <v/>
      </c>
      <c r="ET42" s="906" t="str">
        <f>IF(OR($B42=0,$A42=0,$H42&lt;&gt;1),"",INDEX(Assumptions!FI:FI,$B42))</f>
        <v/>
      </c>
      <c r="EU42" s="906" t="str">
        <f>IF(OR($B42=0,$A42=0,$H42&lt;&gt;1),"",INDEX(Assumptions!FJ:FJ,$B42))</f>
        <v/>
      </c>
      <c r="EV42" s="906" t="str">
        <f>IF(OR($B42=0,$A42=0,$H42&lt;&gt;1),"",INDEX(Assumptions!FK:FK,$B42))</f>
        <v/>
      </c>
      <c r="EW42" s="906" t="str">
        <f>IF(OR($B42=0,$A42=0,$H42&lt;&gt;1),"",INDEX(Assumptions!FL:FL,$B42))</f>
        <v/>
      </c>
      <c r="EX42" s="906" t="str">
        <f>IF(OR($B42=0,$A42=0,$H42&lt;&gt;1),"",INDEX(Assumptions!FM:FM,$B42))</f>
        <v/>
      </c>
      <c r="EY42" s="906" t="str">
        <f>IF(OR($B42=0,$A42=0,$H42&lt;&gt;1),"",INDEX(Assumptions!FN:FN,$B42))</f>
        <v/>
      </c>
      <c r="EZ42" s="906" t="str">
        <f>IF(OR($B42=0,$A42=0,$H42&lt;&gt;1),"",INDEX(Assumptions!FO:FO,$B42))</f>
        <v/>
      </c>
      <c r="FB42" s="820" t="str">
        <f t="shared" si="18"/>
        <v/>
      </c>
      <c r="FC42" s="820" t="str">
        <f t="shared" si="19"/>
        <v/>
      </c>
      <c r="FD42" s="820" t="str">
        <f t="shared" si="20"/>
        <v/>
      </c>
      <c r="FE42" s="820" t="str">
        <f t="shared" si="21"/>
        <v/>
      </c>
      <c r="FF42" s="820" t="str">
        <f t="shared" si="22"/>
        <v/>
      </c>
    </row>
    <row r="43" spans="1:162">
      <c r="A43" s="440">
        <f>IFERROR(MATCH(C43,'Data Interface'!B:B,0),0)</f>
        <v>40</v>
      </c>
      <c r="B43" s="440">
        <f>IFERROR(MATCH(C43,Assumptions!$B:$B,0),0)</f>
        <v>52</v>
      </c>
      <c r="C43" s="441" t="s">
        <v>1269</v>
      </c>
      <c r="E43" s="441" t="s">
        <v>1219</v>
      </c>
      <c r="F43" s="440" t="s">
        <v>36</v>
      </c>
      <c r="G43" s="440" t="str">
        <f>IF(A43=0,"",INDEX('Data Interface'!$C:$C,$A43))</f>
        <v>Due to Non-Bank Large FI - Best Investment</v>
      </c>
      <c r="H43" s="440">
        <v>0</v>
      </c>
      <c r="I43" s="819">
        <f t="shared" ca="1" si="23"/>
        <v>0.18400000000000016</v>
      </c>
      <c r="J43" s="819">
        <f t="shared" ca="1" si="24"/>
        <v>0.23000000000000015</v>
      </c>
      <c r="K43" s="439" t="str">
        <f t="shared" ca="1" si="25"/>
        <v>18.4% of Current Balance</v>
      </c>
      <c r="L43" s="439" t="s">
        <v>1148</v>
      </c>
      <c r="M43" s="439" t="s">
        <v>1507</v>
      </c>
      <c r="O43" s="442">
        <f>IF(OR($A43="",$A43=0),0,INDEX('Data Interface'!D:D,$A43))</f>
        <v>5.7349952499999999</v>
      </c>
      <c r="P43" s="442">
        <f ca="1">$O43-SUM($AS43:AS43)</f>
        <v>5.3832488746666662</v>
      </c>
      <c r="Q43" s="442">
        <f ca="1">$O43-SUM($AS43:AT43)</f>
        <v>5.3246244787777774</v>
      </c>
      <c r="R43" s="442">
        <f ca="1">$O43-SUM($AS43:AU43)</f>
        <v>5.2660000828888887</v>
      </c>
      <c r="S43" s="442">
        <f ca="1">$O43-SUM($AS43:AV43)</f>
        <v>5.2073756869999999</v>
      </c>
      <c r="T43" s="442">
        <f ca="1">$O43-SUM($AS43:AW43)</f>
        <v>5.1487512911111111</v>
      </c>
      <c r="U43" s="442">
        <f ca="1">$O43-SUM($AS43:AX43)</f>
        <v>5.0901268952222223</v>
      </c>
      <c r="V43" s="442">
        <f ca="1">$O43-SUM($AS43:AY43)</f>
        <v>5.0315024993333335</v>
      </c>
      <c r="W43" s="442">
        <f ca="1">$O43-SUM($AS43:AZ43)</f>
        <v>4.9812530171428566</v>
      </c>
      <c r="X43" s="442">
        <f ca="1">$O43-SUM($AS43:BA43)</f>
        <v>4.9310035349523806</v>
      </c>
      <c r="Y43" s="442">
        <f ca="1">$O43-SUM($AS43:BB43)</f>
        <v>4.8807540527619047</v>
      </c>
      <c r="Z43" s="442">
        <f ca="1">$O43-SUM($AS43:BC43)</f>
        <v>4.8305045705714278</v>
      </c>
      <c r="AA43" s="442">
        <f ca="1">$O43-SUM($AS43:BD43)</f>
        <v>4.7802550883809518</v>
      </c>
      <c r="AB43" s="442">
        <f ca="1">$O43-SUM($AS43:BE43)</f>
        <v>4.7300056061904758</v>
      </c>
      <c r="AC43" s="442">
        <f ca="1">$O43-SUM($AS43:BF43)</f>
        <v>4.6797561239999999</v>
      </c>
      <c r="AD43" s="442">
        <f ca="1">$O43-SUM($AS43:BG43)</f>
        <v>4.5478512332499994</v>
      </c>
      <c r="AE43" s="442">
        <f ca="1">$O43-SUM($AS43:BH43)</f>
        <v>4.4159463424999998</v>
      </c>
      <c r="AF43" s="442">
        <f ca="1">$O43-SUM($AS43:BI43)</f>
        <v>4.2840414517499994</v>
      </c>
      <c r="AG43" s="442">
        <f ca="1">$O43-SUM($AS43:BJ43)</f>
        <v>4.1521365609999998</v>
      </c>
      <c r="AH43" s="442">
        <f ca="1">$O43-SUM($AS43:BK43)</f>
        <v>4.108168264083333</v>
      </c>
      <c r="AI43" s="442">
        <f ca="1">$O43-SUM($AS43:BL43)</f>
        <v>4.0641999671666662</v>
      </c>
      <c r="AJ43" s="442">
        <f ca="1">$O43-SUM($AS43:BM43)</f>
        <v>4.0202316702500003</v>
      </c>
      <c r="AK43" s="442">
        <f ca="1">$O43-SUM($AS43:BN43)</f>
        <v>3.9762633733333335</v>
      </c>
      <c r="AL43" s="442">
        <f ca="1">$O43-SUM($AS43:BO43)</f>
        <v>3.9322950764166666</v>
      </c>
      <c r="AM43" s="442">
        <f ca="1">$O43-SUM($AS43:BP43)</f>
        <v>3.8883267794999998</v>
      </c>
      <c r="AN43" s="442">
        <f ca="1">$O43-SUM($AS43:BQ43)</f>
        <v>3.8443584825833335</v>
      </c>
      <c r="AO43" s="442">
        <f ca="1">$O43-SUM($AS43:BR43)</f>
        <v>3.8003901856666671</v>
      </c>
      <c r="AP43" s="442">
        <f ca="1">$O43-SUM($AS43:BS43)</f>
        <v>3.7564218887500003</v>
      </c>
      <c r="AR43" s="439" t="s">
        <v>1202</v>
      </c>
      <c r="AS43" s="442">
        <f ca="1">IF($H43="",0,IF($H43=1,IF('Para Adj'!$B$5 = 1,O43-($O43-SUMPRODUCT($CX43:CX43,$BU43:BU43))*(1-SUM($DZ43:DZ43)),BU43*CX43),$O43*BU43))</f>
        <v>0.35174637533333342</v>
      </c>
      <c r="AT43" s="442">
        <f ca="1">IF($H43="",0,IF($H43=1,IF('Para Adj'!$B$5 = 1,P43-($O43-SUMPRODUCT($CX43:CY43,$BU43:BV43))*(1-SUM($DZ43:EA43)),BV43*CY43),$O43*BV43))</f>
        <v>5.8624395888888903E-2</v>
      </c>
      <c r="AU43" s="442">
        <f ca="1">IF($H43="",0,IF($H43=1,IF('Para Adj'!$B$5 = 1,Q43-($O43-SUMPRODUCT($CX43:CZ43,$BU43:BW43))*(1-SUM($DZ43:EB43)),BW43*CZ43),$O43*BW43))</f>
        <v>5.8624395888888903E-2</v>
      </c>
      <c r="AV43" s="442">
        <f ca="1">IF($H43="",0,IF($H43=1,IF('Para Adj'!$B$5 = 1,R43-($O43-SUMPRODUCT($CX43:DA43,$BU43:BX43))*(1-SUM($DZ43:EC43)),BX43*DA43),$O43*BX43))</f>
        <v>5.8624395888888903E-2</v>
      </c>
      <c r="AW43" s="442">
        <f ca="1">IF($H43="",0,IF($H43=1,IF('Para Adj'!$B$5 = 1,S43-($O43-SUMPRODUCT($CX43:DB43,$BU43:BY43))*(1-SUM($DZ43:ED43)),BY43*DB43),$O43*BY43))</f>
        <v>5.8624395888888903E-2</v>
      </c>
      <c r="AX43" s="442">
        <f ca="1">IF($H43="",0,IF($H43=1,IF('Para Adj'!$B$5 = 1,T43-($O43-SUMPRODUCT($CX43:DC43,$BU43:BZ43))*(1-SUM($DZ43:EE43)),BZ43*DC43),$O43*BZ43))</f>
        <v>5.8624395888888903E-2</v>
      </c>
      <c r="AY43" s="442">
        <f ca="1">IF($H43="",0,IF($H43=1,IF('Para Adj'!$B$5 = 1,U43-($O43-SUMPRODUCT($CX43:DD43,$BU43:CA43))*(1-SUM($DZ43:EF43)),CA43*DD43),$O43*CA43))</f>
        <v>5.8624395888888903E-2</v>
      </c>
      <c r="AZ43" s="442">
        <f ca="1">IF($H43="",0,IF($H43=1,IF('Para Adj'!$B$5 = 1,V43-($O43-SUMPRODUCT($CX43:DE43,$BU43:CB43))*(1-SUM($DZ43:EG43)),CB43*DE43),$O43*CB43))</f>
        <v>5.0249482190476209E-2</v>
      </c>
      <c r="BA43" s="442">
        <f ca="1">IF($H43="",0,IF($H43=1,IF('Para Adj'!$B$5 = 1,W43-($O43-SUMPRODUCT($CX43:DF43,$BU43:CC43))*(1-SUM($DZ43:EH43)),CC43*DF43),$O43*CC43))</f>
        <v>5.0249482190476209E-2</v>
      </c>
      <c r="BB43" s="442">
        <f ca="1">IF($H43="",0,IF($H43=1,IF('Para Adj'!$B$5 = 1,X43-($O43-SUMPRODUCT($CX43:DG43,$BU43:CD43))*(1-SUM($DZ43:EI43)),CD43*DG43),$O43*CD43))</f>
        <v>5.0249482190476209E-2</v>
      </c>
      <c r="BC43" s="442">
        <f ca="1">IF($H43="",0,IF($H43=1,IF('Para Adj'!$B$5 = 1,Y43-($O43-SUMPRODUCT($CX43:DH43,$BU43:CE43))*(1-SUM($DZ43:EJ43)),CE43*DH43),$O43*CE43))</f>
        <v>5.0249482190476209E-2</v>
      </c>
      <c r="BD43" s="442">
        <f ca="1">IF($H43="",0,IF($H43=1,IF('Para Adj'!$B$5 = 1,Z43-($O43-SUMPRODUCT($CX43:DI43,$BU43:CF43))*(1-SUM($DZ43:EK43)),CF43*DI43),$O43*CF43))</f>
        <v>5.0249482190476209E-2</v>
      </c>
      <c r="BE43" s="442">
        <f ca="1">IF($H43="",0,IF($H43=1,IF('Para Adj'!$B$5 = 1,AA43-($O43-SUMPRODUCT($CX43:DJ43,$BU43:CG43))*(1-SUM($DZ43:EL43)),CG43*DJ43),$O43*CG43))</f>
        <v>5.0249482190476209E-2</v>
      </c>
      <c r="BF43" s="442">
        <f ca="1">IF($H43="",0,IF($H43=1,IF('Para Adj'!$B$5 = 1,AB43-($O43-SUMPRODUCT($CX43:DK43,$BU43:CH43))*(1-SUM($DZ43:EM43)),CH43*DK43),$O43*CH43))</f>
        <v>5.0249482190476209E-2</v>
      </c>
      <c r="BG43" s="442">
        <f ca="1">IF($H43="",0,IF($H43=1,IF('Para Adj'!$B$5 = 1,AC43-($O43-SUMPRODUCT($CX43:DL43,$BU43:CI43))*(1-SUM($DZ43:EN43)),CI43*DL43),$O43*CI43))</f>
        <v>0.13190489074999995</v>
      </c>
      <c r="BH43" s="442">
        <f ca="1">IF($H43="",0,IF($H43=1,IF('Para Adj'!$B$5 = 1,AD43-($O43-SUMPRODUCT($CX43:DM43,$BU43:CJ43))*(1-SUM($DZ43:EO43)),CJ43*DM43),$O43*CJ43))</f>
        <v>0.13190489074999995</v>
      </c>
      <c r="BI43" s="442">
        <f ca="1">IF($H43="",0,IF($H43=1,IF('Para Adj'!$B$5 = 1,AE43-($O43-SUMPRODUCT($CX43:DN43,$BU43:CK43))*(1-SUM($DZ43:EP43)),CK43*DN43),$O43*CK43))</f>
        <v>0.13190489075000003</v>
      </c>
      <c r="BJ43" s="442">
        <f ca="1">IF($H43="",0,IF($H43=1,IF('Para Adj'!$B$5 = 1,AF43-($O43-SUMPRODUCT($CX43:DO43,$BU43:CL43))*(1-SUM($DZ43:EQ43)),CL43*DO43),$O43*CL43))</f>
        <v>0.13190489075000003</v>
      </c>
      <c r="BK43" s="442">
        <f ca="1">IF($H43="",0,IF($H43=1,IF('Para Adj'!$B$5 = 1,AG43-($O43-SUMPRODUCT($CX43:DP43,$BU43:CM43))*(1-SUM($DZ43:ER43)),CM43*DP43),$O43*CM43))</f>
        <v>4.396829691666667E-2</v>
      </c>
      <c r="BL43" s="442">
        <f ca="1">IF($H43="",0,IF($H43=1,IF('Para Adj'!$B$5 = 1,AH43-($O43-SUMPRODUCT($CX43:DQ43,$BU43:CN43))*(1-SUM($DZ43:ES43)),CN43*DQ43),$O43*CN43))</f>
        <v>4.396829691666667E-2</v>
      </c>
      <c r="BM43" s="442">
        <f ca="1">IF($H43="",0,IF($H43=1,IF('Para Adj'!$B$5 = 1,AI43-($O43-SUMPRODUCT($CX43:DR43,$BU43:CO43))*(1-SUM($DZ43:ET43)),CO43*DR43),$O43*CO43))</f>
        <v>4.396829691666667E-2</v>
      </c>
      <c r="BN43" s="442">
        <f ca="1">IF($H43="",0,IF($H43=1,IF('Para Adj'!$B$5 = 1,AJ43-($O43-SUMPRODUCT($CX43:DS43,$BU43:CP43))*(1-SUM($DZ43:EU43)),CP43*DS43),$O43*CP43))</f>
        <v>4.396829691666667E-2</v>
      </c>
      <c r="BO43" s="442">
        <f ca="1">IF($H43="",0,IF($H43=1,IF('Para Adj'!$B$5 = 1,AK43-($O43-SUMPRODUCT($CX43:DT43,$BU43:CQ43))*(1-SUM($DZ43:EV43)),CQ43*DT43),$O43*CQ43))</f>
        <v>4.396829691666667E-2</v>
      </c>
      <c r="BP43" s="442">
        <f ca="1">IF($H43="",0,IF($H43=1,IF('Para Adj'!$B$5 = 1,AL43-($O43-SUMPRODUCT($CX43:DU43,$BU43:CR43))*(1-SUM($DZ43:EW43)),CR43*DU43),$O43*CR43))</f>
        <v>4.396829691666667E-2</v>
      </c>
      <c r="BQ43" s="442">
        <f ca="1">IF($H43="",0,IF($H43=1,IF('Para Adj'!$B$5 = 1,AM43-($O43-SUMPRODUCT($CX43:DV43,$BU43:CS43))*(1-SUM($DZ43:EX43)),CS43*DV43),$O43*CS43))</f>
        <v>4.396829691666667E-2</v>
      </c>
      <c r="BR43" s="442">
        <f ca="1">IF($H43="",0,IF($H43=1,IF('Para Adj'!$B$5 = 1,AN43-($O43-SUMPRODUCT($CX43:DW43,$BU43:CT43))*(1-SUM($DZ43:EY43)),CT43*DW43),$O43*CT43))</f>
        <v>4.396829691666667E-2</v>
      </c>
      <c r="BS43" s="442">
        <f ca="1">IF($H43="",0,IF($H43=1,IF('Para Adj'!$B$5 = 1,AO43-($O43-SUMPRODUCT($CX43:DX43,$BU43:CU43))*(1-SUM($DZ43:EZ43)),CU43*DX43),$O43*CU43))</f>
        <v>4.396829691666667E-2</v>
      </c>
      <c r="BU43" s="820">
        <f ca="1">IF($B43=0,"",INDEX(Assumptions!G:G,$B43))</f>
        <v>6.1333333333333351E-2</v>
      </c>
      <c r="BV43" s="820">
        <f ca="1">IF($B43=0,"",INDEX(Assumptions!H:H,$B43))</f>
        <v>1.0222222222222225E-2</v>
      </c>
      <c r="BW43" s="820">
        <f ca="1">IF($B43=0,"",INDEX(Assumptions!I:I,$B43))</f>
        <v>1.0222222222222225E-2</v>
      </c>
      <c r="BX43" s="820">
        <f ca="1">IF($B43=0,"",INDEX(Assumptions!J:J,$B43))</f>
        <v>1.0222222222222225E-2</v>
      </c>
      <c r="BY43" s="820">
        <f ca="1">IF($B43=0,"",INDEX(Assumptions!K:K,$B43))</f>
        <v>1.0222222222222225E-2</v>
      </c>
      <c r="BZ43" s="820">
        <f ca="1">IF($B43=0,"",INDEX(Assumptions!L:L,$B43))</f>
        <v>1.0222222222222225E-2</v>
      </c>
      <c r="CA43" s="820">
        <f ca="1">IF($B43=0,"",INDEX(Assumptions!M:M,$B43))</f>
        <v>1.0222222222222225E-2</v>
      </c>
      <c r="CB43" s="820">
        <f ca="1">IF($B43=0,"",INDEX(Assumptions!N:N,$B43))</f>
        <v>8.7619047619047659E-3</v>
      </c>
      <c r="CC43" s="820">
        <f ca="1">IF($B43=0,"",INDEX(Assumptions!O:O,$B43))</f>
        <v>8.7619047619047659E-3</v>
      </c>
      <c r="CD43" s="820">
        <f ca="1">IF($B43=0,"",INDEX(Assumptions!P:P,$B43))</f>
        <v>8.7619047619047659E-3</v>
      </c>
      <c r="CE43" s="820">
        <f ca="1">IF($B43=0,"",INDEX(Assumptions!Q:Q,$B43))</f>
        <v>8.7619047619047659E-3</v>
      </c>
      <c r="CF43" s="820">
        <f ca="1">IF($B43=0,"",INDEX(Assumptions!R:R,$B43))</f>
        <v>8.7619047619047659E-3</v>
      </c>
      <c r="CG43" s="820">
        <f ca="1">IF($B43=0,"",INDEX(Assumptions!S:S,$B43))</f>
        <v>8.7619047619047659E-3</v>
      </c>
      <c r="CH43" s="820">
        <f ca="1">IF($B43=0,"",INDEX(Assumptions!T:T,$B43))</f>
        <v>8.7619047619047659E-3</v>
      </c>
      <c r="CI43" s="820">
        <f ca="1">IF($B43=0,"",INDEX(Assumptions!U:U,$B43))</f>
        <v>2.2999999999999993E-2</v>
      </c>
      <c r="CJ43" s="820">
        <f ca="1">IF($B43=0,"",INDEX(Assumptions!V:V,$B43))</f>
        <v>2.2999999999999993E-2</v>
      </c>
      <c r="CK43" s="820">
        <f ca="1">IF($B43=0,"",INDEX(Assumptions!W:W,$B43))</f>
        <v>2.3000000000000007E-2</v>
      </c>
      <c r="CL43" s="820">
        <f ca="1">IF($B43=0,"",INDEX(Assumptions!X:X,$B43))</f>
        <v>2.3000000000000007E-2</v>
      </c>
      <c r="CM43" s="820">
        <f ca="1">IF($B43=0,"",INDEX(Assumptions!Y:Y,$B43))</f>
        <v>7.6666666666666671E-3</v>
      </c>
      <c r="CN43" s="820">
        <f ca="1">IF($B43=0,"",INDEX(Assumptions!Z:Z,$B43))</f>
        <v>7.6666666666666671E-3</v>
      </c>
      <c r="CO43" s="820">
        <f ca="1">IF($B43=0,"",INDEX(Assumptions!AA:AA,$B43))</f>
        <v>7.6666666666666671E-3</v>
      </c>
      <c r="CP43" s="820">
        <f ca="1">IF($B43=0,"",INDEX(Assumptions!AB:AB,$B43))</f>
        <v>7.6666666666666671E-3</v>
      </c>
      <c r="CQ43" s="820">
        <f ca="1">IF($B43=0,"",INDEX(Assumptions!AC:AC,$B43))</f>
        <v>7.6666666666666671E-3</v>
      </c>
      <c r="CR43" s="820">
        <f ca="1">IF($B43=0,"",INDEX(Assumptions!AD:AD,$B43))</f>
        <v>7.6666666666666671E-3</v>
      </c>
      <c r="CS43" s="820">
        <f ca="1">IF($B43=0,"",INDEX(Assumptions!AE:AE,$B43))</f>
        <v>7.6666666666666671E-3</v>
      </c>
      <c r="CT43" s="820">
        <f ca="1">IF($B43=0,"",INDEX(Assumptions!AF:AF,$B43))</f>
        <v>7.6666666666666671E-3</v>
      </c>
      <c r="CU43" s="820">
        <f ca="1">IF($B43=0,"",INDEX(Assumptions!AG:AG,$B43))</f>
        <v>7.6666666666666671E-3</v>
      </c>
      <c r="CX43" s="442">
        <f>IF($A43="","",INDEX('Data Interface'!G:G,$A43))</f>
        <v>5.7349952499999999</v>
      </c>
      <c r="CY43" s="442">
        <f>IF($A43="","",INDEX('Data Interface'!H:H,$A43))</f>
        <v>0</v>
      </c>
      <c r="CZ43" s="442">
        <f>IF($A43="","",INDEX('Data Interface'!I:I,$A43))</f>
        <v>0</v>
      </c>
      <c r="DA43" s="442">
        <f>IF($A43="","",INDEX('Data Interface'!J:J,$A43))</f>
        <v>0</v>
      </c>
      <c r="DB43" s="442">
        <f>IF($A43="","",INDEX('Data Interface'!K:K,$A43))</f>
        <v>0</v>
      </c>
      <c r="DC43" s="442">
        <f>IF($A43="","",INDEX('Data Interface'!L:L,$A43))</f>
        <v>0</v>
      </c>
      <c r="DD43" s="442">
        <f>IF($A43="","",INDEX('Data Interface'!M:M,$A43))</f>
        <v>0</v>
      </c>
      <c r="DE43" s="442">
        <f>IF($A43="","",INDEX('Data Interface'!N:N,$A43))</f>
        <v>0</v>
      </c>
      <c r="DF43" s="442">
        <f>IF($A43="","",INDEX('Data Interface'!O:O,$A43))</f>
        <v>0</v>
      </c>
      <c r="DG43" s="442">
        <f>IF($A43="","",INDEX('Data Interface'!P:P,$A43))</f>
        <v>0</v>
      </c>
      <c r="DH43" s="442">
        <f>IF($A43="","",INDEX('Data Interface'!Q:Q,$A43))</f>
        <v>0</v>
      </c>
      <c r="DI43" s="442">
        <f>IF($A43="","",INDEX('Data Interface'!R:R,$A43))</f>
        <v>0</v>
      </c>
      <c r="DJ43" s="442">
        <f>IF($A43="","",INDEX('Data Interface'!S:S,$A43))</f>
        <v>0</v>
      </c>
      <c r="DK43" s="442">
        <f>IF($A43="","",INDEX('Data Interface'!T:T,$A43))</f>
        <v>0</v>
      </c>
      <c r="DL43" s="442">
        <f>IF($A43="","",INDEX('Data Interface'!U:U,$A43))</f>
        <v>0</v>
      </c>
      <c r="DM43" s="442">
        <f>IF($A43="","",INDEX('Data Interface'!V:V,$A43))</f>
        <v>0</v>
      </c>
      <c r="DN43" s="442">
        <f>IF($A43="","",INDEX('Data Interface'!W:W,$A43))</f>
        <v>0</v>
      </c>
      <c r="DO43" s="442">
        <f>IF($A43="","",INDEX('Data Interface'!X:X,$A43))</f>
        <v>0</v>
      </c>
      <c r="DP43" s="442">
        <f>IF($A43="","",INDEX('Data Interface'!Y:Y,$A43))</f>
        <v>0</v>
      </c>
      <c r="DQ43" s="442">
        <f>IF($A43="","",INDEX('Data Interface'!Z:Z,$A43))</f>
        <v>0</v>
      </c>
      <c r="DR43" s="442">
        <f>IF($A43="","",INDEX('Data Interface'!AA:AA,$A43))</f>
        <v>0</v>
      </c>
      <c r="DS43" s="442">
        <f>IF($A43="","",INDEX('Data Interface'!AB:AB,$A43))</f>
        <v>0</v>
      </c>
      <c r="DT43" s="442">
        <f>IF($A43="","",INDEX('Data Interface'!AC:AC,$A43))</f>
        <v>0</v>
      </c>
      <c r="DU43" s="442">
        <f>IF($A43="","",INDEX('Data Interface'!AD:AD,$A43))</f>
        <v>0</v>
      </c>
      <c r="DV43" s="442">
        <f>IF($A43="","",INDEX('Data Interface'!AE:AE,$A43))</f>
        <v>0</v>
      </c>
      <c r="DW43" s="442">
        <f>IF($A43="","",INDEX('Data Interface'!AF:AF,$A43))</f>
        <v>0</v>
      </c>
      <c r="DX43" s="442">
        <f>IF($A43="","",INDEX('Data Interface'!AG:AG,$A43))</f>
        <v>0</v>
      </c>
      <c r="DZ43" s="906" t="str">
        <f>IF(OR($B43=0,$A43=0,$H43&lt;&gt;1),"",INDEX(Assumptions!EO:EO,$B43))</f>
        <v/>
      </c>
      <c r="EA43" s="906" t="str">
        <f>IF(OR($B43=0,$A43=0,$H43&lt;&gt;1),"",INDEX(Assumptions!EP:EP,$B43))</f>
        <v/>
      </c>
      <c r="EB43" s="906" t="str">
        <f>IF(OR($B43=0,$A43=0,$H43&lt;&gt;1),"",INDEX(Assumptions!EQ:EQ,$B43))</f>
        <v/>
      </c>
      <c r="EC43" s="906" t="str">
        <f>IF(OR($B43=0,$A43=0,$H43&lt;&gt;1),"",INDEX(Assumptions!ER:ER,$B43))</f>
        <v/>
      </c>
      <c r="ED43" s="906" t="str">
        <f>IF(OR($B43=0,$A43=0,$H43&lt;&gt;1),"",INDEX(Assumptions!ES:ES,$B43))</f>
        <v/>
      </c>
      <c r="EE43" s="906" t="str">
        <f>IF(OR($B43=0,$A43=0,$H43&lt;&gt;1),"",INDEX(Assumptions!ET:ET,$B43))</f>
        <v/>
      </c>
      <c r="EF43" s="906" t="str">
        <f>IF(OR($B43=0,$A43=0,$H43&lt;&gt;1),"",INDEX(Assumptions!EU:EU,$B43))</f>
        <v/>
      </c>
      <c r="EG43" s="906" t="str">
        <f>IF(OR($B43=0,$A43=0,$H43&lt;&gt;1),"",INDEX(Assumptions!EV:EV,$B43))</f>
        <v/>
      </c>
      <c r="EH43" s="906" t="str">
        <f>IF(OR($B43=0,$A43=0,$H43&lt;&gt;1),"",INDEX(Assumptions!EW:EW,$B43))</f>
        <v/>
      </c>
      <c r="EI43" s="906" t="str">
        <f>IF(OR($B43=0,$A43=0,$H43&lt;&gt;1),"",INDEX(Assumptions!EX:EX,$B43))</f>
        <v/>
      </c>
      <c r="EJ43" s="906" t="str">
        <f>IF(OR($B43=0,$A43=0,$H43&lt;&gt;1),"",INDEX(Assumptions!EY:EY,$B43))</f>
        <v/>
      </c>
      <c r="EK43" s="906" t="str">
        <f>IF(OR($B43=0,$A43=0,$H43&lt;&gt;1),"",INDEX(Assumptions!EZ:EZ,$B43))</f>
        <v/>
      </c>
      <c r="EL43" s="906" t="str">
        <f>IF(OR($B43=0,$A43=0,$H43&lt;&gt;1),"",INDEX(Assumptions!FA:FA,$B43))</f>
        <v/>
      </c>
      <c r="EM43" s="906" t="str">
        <f>IF(OR($B43=0,$A43=0,$H43&lt;&gt;1),"",INDEX(Assumptions!FB:FB,$B43))</f>
        <v/>
      </c>
      <c r="EN43" s="906" t="str">
        <f>IF(OR($B43=0,$A43=0,$H43&lt;&gt;1),"",INDEX(Assumptions!FC:FC,$B43))</f>
        <v/>
      </c>
      <c r="EO43" s="906" t="str">
        <f>IF(OR($B43=0,$A43=0,$H43&lt;&gt;1),"",INDEX(Assumptions!FD:FD,$B43))</f>
        <v/>
      </c>
      <c r="EP43" s="906" t="str">
        <f>IF(OR($B43=0,$A43=0,$H43&lt;&gt;1),"",INDEX(Assumptions!FE:FE,$B43))</f>
        <v/>
      </c>
      <c r="EQ43" s="906" t="str">
        <f>IF(OR($B43=0,$A43=0,$H43&lt;&gt;1),"",INDEX(Assumptions!FF:FF,$B43))</f>
        <v/>
      </c>
      <c r="ER43" s="906" t="str">
        <f>IF(OR($B43=0,$A43=0,$H43&lt;&gt;1),"",INDEX(Assumptions!FG:FG,$B43))</f>
        <v/>
      </c>
      <c r="ES43" s="906" t="str">
        <f>IF(OR($B43=0,$A43=0,$H43&lt;&gt;1),"",INDEX(Assumptions!FH:FH,$B43))</f>
        <v/>
      </c>
      <c r="ET43" s="906" t="str">
        <f>IF(OR($B43=0,$A43=0,$H43&lt;&gt;1),"",INDEX(Assumptions!FI:FI,$B43))</f>
        <v/>
      </c>
      <c r="EU43" s="906" t="str">
        <f>IF(OR($B43=0,$A43=0,$H43&lt;&gt;1),"",INDEX(Assumptions!FJ:FJ,$B43))</f>
        <v/>
      </c>
      <c r="EV43" s="906" t="str">
        <f>IF(OR($B43=0,$A43=0,$H43&lt;&gt;1),"",INDEX(Assumptions!FK:FK,$B43))</f>
        <v/>
      </c>
      <c r="EW43" s="906" t="str">
        <f>IF(OR($B43=0,$A43=0,$H43&lt;&gt;1),"",INDEX(Assumptions!FL:FL,$B43))</f>
        <v/>
      </c>
      <c r="EX43" s="906" t="str">
        <f>IF(OR($B43=0,$A43=0,$H43&lt;&gt;1),"",INDEX(Assumptions!FM:FM,$B43))</f>
        <v/>
      </c>
      <c r="EY43" s="906" t="str">
        <f>IF(OR($B43=0,$A43=0,$H43&lt;&gt;1),"",INDEX(Assumptions!FN:FN,$B43))</f>
        <v/>
      </c>
      <c r="EZ43" s="906" t="str">
        <f>IF(OR($B43=0,$A43=0,$H43&lt;&gt;1),"",INDEX(Assumptions!FO:FO,$B43))</f>
        <v/>
      </c>
      <c r="FB43" s="820" t="str">
        <f t="shared" si="18"/>
        <v/>
      </c>
      <c r="FC43" s="820" t="str">
        <f t="shared" si="19"/>
        <v/>
      </c>
      <c r="FD43" s="820" t="str">
        <f t="shared" si="20"/>
        <v/>
      </c>
      <c r="FE43" s="820" t="str">
        <f t="shared" si="21"/>
        <v/>
      </c>
      <c r="FF43" s="820" t="str">
        <f t="shared" si="22"/>
        <v/>
      </c>
    </row>
    <row r="44" spans="1:162">
      <c r="A44" s="440">
        <f>IFERROR(MATCH(C44,'Data Interface'!B:B,0),0)</f>
        <v>41</v>
      </c>
      <c r="B44" s="440">
        <f>IFERROR(MATCH(C44,Assumptions!$B:$B,0),0)</f>
        <v>53</v>
      </c>
      <c r="C44" s="441" t="s">
        <v>1316</v>
      </c>
      <c r="E44" s="441" t="s">
        <v>1219</v>
      </c>
      <c r="F44" s="440" t="s">
        <v>36</v>
      </c>
      <c r="G44" s="440" t="str">
        <f>IF(A44=0,"",INDEX('Data Interface'!$C:$C,$A44))</f>
        <v>Due to Non-Bank Large FI - GIFS Capital</v>
      </c>
      <c r="H44" s="440">
        <v>0</v>
      </c>
      <c r="I44" s="819">
        <f t="shared" ca="1" si="23"/>
        <v>0.45053121576925453</v>
      </c>
      <c r="J44" s="819">
        <f t="shared" ca="1" si="24"/>
        <v>0.47615894433952843</v>
      </c>
      <c r="K44" s="439" t="str">
        <f t="shared" ca="1" si="25"/>
        <v>45.1% of Current Balance</v>
      </c>
      <c r="L44" s="439" t="s">
        <v>1148</v>
      </c>
      <c r="M44" s="439" t="s">
        <v>1507</v>
      </c>
      <c r="O44" s="442">
        <f>IF(OR($A44="",$A44=0),0,INDEX('Data Interface'!D:D,$A44))</f>
        <v>1201.8187905699999</v>
      </c>
      <c r="P44" s="442">
        <f ca="1">$O44-SUM($AS44:AS44)</f>
        <v>1021.3331636200542</v>
      </c>
      <c r="Q44" s="442">
        <f ca="1">$O44-SUM($AS44:AT44)</f>
        <v>991.25222579506317</v>
      </c>
      <c r="R44" s="442">
        <f ca="1">$O44-SUM($AS44:AU44)</f>
        <v>961.17128797007217</v>
      </c>
      <c r="S44" s="442">
        <f ca="1">$O44-SUM($AS44:AV44)</f>
        <v>931.09035014508129</v>
      </c>
      <c r="T44" s="442">
        <f ca="1">$O44-SUM($AS44:AW44)</f>
        <v>901.00941232009041</v>
      </c>
      <c r="U44" s="442">
        <f ca="1">$O44-SUM($AS44:AX44)</f>
        <v>870.92847449509941</v>
      </c>
      <c r="V44" s="442">
        <f ca="1">$O44-SUM($AS44:AY44)</f>
        <v>840.84753667010841</v>
      </c>
      <c r="W44" s="442">
        <f ca="1">$O44-SUM($AS44:AZ44)</f>
        <v>815.06387567725915</v>
      </c>
      <c r="X44" s="442">
        <f ca="1">$O44-SUM($AS44:BA44)</f>
        <v>789.28021468440966</v>
      </c>
      <c r="Y44" s="442">
        <f ca="1">$O44-SUM($AS44:BB44)</f>
        <v>763.49655369156039</v>
      </c>
      <c r="Z44" s="442">
        <f ca="1">$O44-SUM($AS44:BC44)</f>
        <v>737.7128926987109</v>
      </c>
      <c r="AA44" s="442">
        <f ca="1">$O44-SUM($AS44:BD44)</f>
        <v>711.92923170586164</v>
      </c>
      <c r="AB44" s="442">
        <f ca="1">$O44-SUM($AS44:BE44)</f>
        <v>686.14557071301215</v>
      </c>
      <c r="AC44" s="442">
        <f ca="1">$O44-SUM($AS44:BF44)</f>
        <v>660.36190972016277</v>
      </c>
      <c r="AD44" s="442">
        <f ca="1">$O44-SUM($AS44:BG44)</f>
        <v>644.96196684247138</v>
      </c>
      <c r="AE44" s="442">
        <f ca="1">$O44-SUM($AS44:BH44)</f>
        <v>629.56202396478</v>
      </c>
      <c r="AF44" s="442">
        <f ca="1">$O44-SUM($AS44:BI44)</f>
        <v>572.33634730425808</v>
      </c>
      <c r="AG44" s="442">
        <f ca="1">$O44-SUM($AS44:BJ44)</f>
        <v>515.11067064373617</v>
      </c>
      <c r="AH44" s="442">
        <f ca="1">$O44-SUM($AS44:BK44)</f>
        <v>496.5013714151213</v>
      </c>
      <c r="AI44" s="442">
        <f ca="1">$O44-SUM($AS44:BL44)</f>
        <v>477.89207218650643</v>
      </c>
      <c r="AJ44" s="442">
        <f ca="1">$O44-SUM($AS44:BM44)</f>
        <v>459.28277295789155</v>
      </c>
      <c r="AK44" s="442">
        <f ca="1">$O44-SUM($AS44:BN44)</f>
        <v>440.67347372927668</v>
      </c>
      <c r="AL44" s="442">
        <f ca="1">$O44-SUM($AS44:BO44)</f>
        <v>422.06417450066181</v>
      </c>
      <c r="AM44" s="442">
        <f ca="1">$O44-SUM($AS44:BP44)</f>
        <v>403.45487527204693</v>
      </c>
      <c r="AN44" s="442">
        <f ca="1">$O44-SUM($AS44:BQ44)</f>
        <v>384.84557604343206</v>
      </c>
      <c r="AO44" s="442">
        <f ca="1">$O44-SUM($AS44:BR44)</f>
        <v>366.23627681481719</v>
      </c>
      <c r="AP44" s="442">
        <f ca="1">$O44-SUM($AS44:BS44)</f>
        <v>347.62697758620232</v>
      </c>
      <c r="AR44" s="439" t="s">
        <v>1202</v>
      </c>
      <c r="AS44" s="442">
        <f ca="1">IF($H44="",0,IF($H44=1,IF('Para Adj'!$B$5 = 1,O44-($O44-SUMPRODUCT($CX44:CX44,$BU44:BU44))*(1-SUM($DZ44:DZ44)),BU44*CX44),$O44*BU44))</f>
        <v>180.48562694994575</v>
      </c>
      <c r="AT44" s="442">
        <f ca="1">IF($H44="",0,IF($H44=1,IF('Para Adj'!$B$5 = 1,P44-($O44-SUMPRODUCT($CX44:CY44,$BU44:BV44))*(1-SUM($DZ44:EA44)),BV44*CY44),$O44*BV44))</f>
        <v>30.080937824990961</v>
      </c>
      <c r="AU44" s="442">
        <f ca="1">IF($H44="",0,IF($H44=1,IF('Para Adj'!$B$5 = 1,Q44-($O44-SUMPRODUCT($CX44:CZ44,$BU44:BW44))*(1-SUM($DZ44:EB44)),BW44*CZ44),$O44*BW44))</f>
        <v>30.080937824990961</v>
      </c>
      <c r="AV44" s="442">
        <f ca="1">IF($H44="",0,IF($H44=1,IF('Para Adj'!$B$5 = 1,R44-($O44-SUMPRODUCT($CX44:DA44,$BU44:BX44))*(1-SUM($DZ44:EC44)),BX44*DA44),$O44*BX44))</f>
        <v>30.080937824990961</v>
      </c>
      <c r="AW44" s="442">
        <f ca="1">IF($H44="",0,IF($H44=1,IF('Para Adj'!$B$5 = 1,S44-($O44-SUMPRODUCT($CX44:DB44,$BU44:BY44))*(1-SUM($DZ44:ED44)),BY44*DB44),$O44*BY44))</f>
        <v>30.080937824990961</v>
      </c>
      <c r="AX44" s="442">
        <f ca="1">IF($H44="",0,IF($H44=1,IF('Para Adj'!$B$5 = 1,T44-($O44-SUMPRODUCT($CX44:DC44,$BU44:BZ44))*(1-SUM($DZ44:EE44)),BZ44*DC44),$O44*BZ44))</f>
        <v>30.080937824990961</v>
      </c>
      <c r="AY44" s="442">
        <f ca="1">IF($H44="",0,IF($H44=1,IF('Para Adj'!$B$5 = 1,U44-($O44-SUMPRODUCT($CX44:DD44,$BU44:CA44))*(1-SUM($DZ44:EF44)),CA44*DD44),$O44*CA44))</f>
        <v>30.080937824990961</v>
      </c>
      <c r="AZ44" s="442">
        <f ca="1">IF($H44="",0,IF($H44=1,IF('Para Adj'!$B$5 = 1,V44-($O44-SUMPRODUCT($CX44:DE44,$BU44:CB44))*(1-SUM($DZ44:EG44)),CB44*DE44),$O44*CB44))</f>
        <v>25.783660992849402</v>
      </c>
      <c r="BA44" s="442">
        <f ca="1">IF($H44="",0,IF($H44=1,IF('Para Adj'!$B$5 = 1,W44-($O44-SUMPRODUCT($CX44:DF44,$BU44:CC44))*(1-SUM($DZ44:EH44)),CC44*DF44),$O44*CC44))</f>
        <v>25.783660992849402</v>
      </c>
      <c r="BB44" s="442">
        <f ca="1">IF($H44="",0,IF($H44=1,IF('Para Adj'!$B$5 = 1,X44-($O44-SUMPRODUCT($CX44:DG44,$BU44:CD44))*(1-SUM($DZ44:EI44)),CD44*DG44),$O44*CD44))</f>
        <v>25.783660992849402</v>
      </c>
      <c r="BC44" s="442">
        <f ca="1">IF($H44="",0,IF($H44=1,IF('Para Adj'!$B$5 = 1,Y44-($O44-SUMPRODUCT($CX44:DH44,$BU44:CE44))*(1-SUM($DZ44:EJ44)),CE44*DH44),$O44*CE44))</f>
        <v>25.783660992849402</v>
      </c>
      <c r="BD44" s="442">
        <f ca="1">IF($H44="",0,IF($H44=1,IF('Para Adj'!$B$5 = 1,Z44-($O44-SUMPRODUCT($CX44:DI44,$BU44:CF44))*(1-SUM($DZ44:EK44)),CF44*DI44),$O44*CF44))</f>
        <v>25.783660992849402</v>
      </c>
      <c r="BE44" s="442">
        <f ca="1">IF($H44="",0,IF($H44=1,IF('Para Adj'!$B$5 = 1,AA44-($O44-SUMPRODUCT($CX44:DJ44,$BU44:CG44))*(1-SUM($DZ44:EL44)),CG44*DJ44),$O44*CG44))</f>
        <v>25.783660992849402</v>
      </c>
      <c r="BF44" s="442">
        <f ca="1">IF($H44="",0,IF($H44=1,IF('Para Adj'!$B$5 = 1,AB44-($O44-SUMPRODUCT($CX44:DK44,$BU44:CH44))*(1-SUM($DZ44:EM44)),CH44*DK44),$O44*CH44))</f>
        <v>25.783660992849402</v>
      </c>
      <c r="BG44" s="442">
        <f ca="1">IF($H44="",0,IF($H44=1,IF('Para Adj'!$B$5 = 1,AC44-($O44-SUMPRODUCT($CX44:DL44,$BU44:CI44))*(1-SUM($DZ44:EN44)),CI44*DL44),$O44*CI44))</f>
        <v>15.399942877691405</v>
      </c>
      <c r="BH44" s="442">
        <f ca="1">IF($H44="",0,IF($H44=1,IF('Para Adj'!$B$5 = 1,AD44-($O44-SUMPRODUCT($CX44:DM44,$BU44:CJ44))*(1-SUM($DZ44:EO44)),CJ44*DM44),$O44*CJ44))</f>
        <v>15.399942877691405</v>
      </c>
      <c r="BI44" s="442">
        <f ca="1">IF($H44="",0,IF($H44=1,IF('Para Adj'!$B$5 = 1,AE44-($O44-SUMPRODUCT($CX44:DN44,$BU44:CK44))*(1-SUM($DZ44:EP44)),CK44*DN44),$O44*CK44))</f>
        <v>57.225676660521955</v>
      </c>
      <c r="BJ44" s="442">
        <f ca="1">IF($H44="",0,IF($H44=1,IF('Para Adj'!$B$5 = 1,AF44-($O44-SUMPRODUCT($CX44:DO44,$BU44:CL44))*(1-SUM($DZ44:EQ44)),CL44*DO44),$O44*CL44))</f>
        <v>57.225676660521955</v>
      </c>
      <c r="BK44" s="442">
        <f ca="1">IF($H44="",0,IF($H44=1,IF('Para Adj'!$B$5 = 1,AG44-($O44-SUMPRODUCT($CX44:DP44,$BU44:CM44))*(1-SUM($DZ44:ER44)),CM44*DP44),$O44*CM44))</f>
        <v>18.609299228614926</v>
      </c>
      <c r="BL44" s="442">
        <f ca="1">IF($H44="",0,IF($H44=1,IF('Para Adj'!$B$5 = 1,AH44-($O44-SUMPRODUCT($CX44:DQ44,$BU44:CN44))*(1-SUM($DZ44:ES44)),CN44*DQ44),$O44*CN44))</f>
        <v>18.609299228614926</v>
      </c>
      <c r="BM44" s="442">
        <f ca="1">IF($H44="",0,IF($H44=1,IF('Para Adj'!$B$5 = 1,AI44-($O44-SUMPRODUCT($CX44:DR44,$BU44:CO44))*(1-SUM($DZ44:ET44)),CO44*DR44),$O44*CO44))</f>
        <v>18.609299228614926</v>
      </c>
      <c r="BN44" s="442">
        <f ca="1">IF($H44="",0,IF($H44=1,IF('Para Adj'!$B$5 = 1,AJ44-($O44-SUMPRODUCT($CX44:DS44,$BU44:CP44))*(1-SUM($DZ44:EU44)),CP44*DS44),$O44*CP44))</f>
        <v>18.609299228614926</v>
      </c>
      <c r="BO44" s="442">
        <f ca="1">IF($H44="",0,IF($H44=1,IF('Para Adj'!$B$5 = 1,AK44-($O44-SUMPRODUCT($CX44:DT44,$BU44:CQ44))*(1-SUM($DZ44:EV44)),CQ44*DT44),$O44*CQ44))</f>
        <v>18.609299228614926</v>
      </c>
      <c r="BP44" s="442">
        <f ca="1">IF($H44="",0,IF($H44=1,IF('Para Adj'!$B$5 = 1,AL44-($O44-SUMPRODUCT($CX44:DU44,$BU44:CR44))*(1-SUM($DZ44:EW44)),CR44*DU44),$O44*CR44))</f>
        <v>18.609299228614926</v>
      </c>
      <c r="BQ44" s="442">
        <f ca="1">IF($H44="",0,IF($H44=1,IF('Para Adj'!$B$5 = 1,AM44-($O44-SUMPRODUCT($CX44:DV44,$BU44:CS44))*(1-SUM($DZ44:EX44)),CS44*DV44),$O44*CS44))</f>
        <v>18.609299228614926</v>
      </c>
      <c r="BR44" s="442">
        <f ca="1">IF($H44="",0,IF($H44=1,IF('Para Adj'!$B$5 = 1,AN44-($O44-SUMPRODUCT($CX44:DW44,$BU44:CT44))*(1-SUM($DZ44:EY44)),CT44*DW44),$O44*CT44))</f>
        <v>18.609299228614926</v>
      </c>
      <c r="BS44" s="442">
        <f ca="1">IF($H44="",0,IF($H44=1,IF('Para Adj'!$B$5 = 1,AO44-($O44-SUMPRODUCT($CX44:DX44,$BU44:CU44))*(1-SUM($DZ44:EZ44)),CU44*DX44),$O44*CU44))</f>
        <v>18.609299228614926</v>
      </c>
      <c r="BU44" s="820">
        <f ca="1">IF($B44=0,"",INDEX(Assumptions!G:G,$B44))</f>
        <v>0.15017707192308488</v>
      </c>
      <c r="BV44" s="820">
        <f ca="1">IF($B44=0,"",INDEX(Assumptions!H:H,$B44))</f>
        <v>2.5029511987180814E-2</v>
      </c>
      <c r="BW44" s="820">
        <f ca="1">IF($B44=0,"",INDEX(Assumptions!I:I,$B44))</f>
        <v>2.5029511987180814E-2</v>
      </c>
      <c r="BX44" s="820">
        <f ca="1">IF($B44=0,"",INDEX(Assumptions!J:J,$B44))</f>
        <v>2.5029511987180814E-2</v>
      </c>
      <c r="BY44" s="820">
        <f ca="1">IF($B44=0,"",INDEX(Assumptions!K:K,$B44))</f>
        <v>2.5029511987180814E-2</v>
      </c>
      <c r="BZ44" s="820">
        <f ca="1">IF($B44=0,"",INDEX(Assumptions!L:L,$B44))</f>
        <v>2.5029511987180814E-2</v>
      </c>
      <c r="CA44" s="820">
        <f ca="1">IF($B44=0,"",INDEX(Assumptions!M:M,$B44))</f>
        <v>2.5029511987180814E-2</v>
      </c>
      <c r="CB44" s="820">
        <f ca="1">IF($B44=0,"",INDEX(Assumptions!N:N,$B44))</f>
        <v>2.1453867417583559E-2</v>
      </c>
      <c r="CC44" s="820">
        <f ca="1">IF($B44=0,"",INDEX(Assumptions!O:O,$B44))</f>
        <v>2.1453867417583559E-2</v>
      </c>
      <c r="CD44" s="820">
        <f ca="1">IF($B44=0,"",INDEX(Assumptions!P:P,$B44))</f>
        <v>2.1453867417583559E-2</v>
      </c>
      <c r="CE44" s="820">
        <f ca="1">IF($B44=0,"",INDEX(Assumptions!Q:Q,$B44))</f>
        <v>2.1453867417583559E-2</v>
      </c>
      <c r="CF44" s="820">
        <f ca="1">IF($B44=0,"",INDEX(Assumptions!R:R,$B44))</f>
        <v>2.1453867417583559E-2</v>
      </c>
      <c r="CG44" s="820">
        <f ca="1">IF($B44=0,"",INDEX(Assumptions!S:S,$B44))</f>
        <v>2.1453867417583559E-2</v>
      </c>
      <c r="CH44" s="820">
        <f ca="1">IF($B44=0,"",INDEX(Assumptions!T:T,$B44))</f>
        <v>2.1453867417583559E-2</v>
      </c>
      <c r="CI44" s="820">
        <f ca="1">IF($B44=0,"",INDEX(Assumptions!U:U,$B44))</f>
        <v>1.281386428513695E-2</v>
      </c>
      <c r="CJ44" s="820">
        <f ca="1">IF($B44=0,"",INDEX(Assumptions!V:V,$B44))</f>
        <v>1.281386428513695E-2</v>
      </c>
      <c r="CK44" s="820">
        <f ca="1">IF($B44=0,"",INDEX(Assumptions!W:W,$B44))</f>
        <v>4.761589443395281E-2</v>
      </c>
      <c r="CL44" s="820">
        <f ca="1">IF($B44=0,"",INDEX(Assumptions!X:X,$B44))</f>
        <v>4.761589443395281E-2</v>
      </c>
      <c r="CM44" s="820">
        <f ca="1">IF($B44=0,"",INDEX(Assumptions!Y:Y,$B44))</f>
        <v>1.5484280471092392E-2</v>
      </c>
      <c r="CN44" s="820">
        <f ca="1">IF($B44=0,"",INDEX(Assumptions!Z:Z,$B44))</f>
        <v>1.5484280471092392E-2</v>
      </c>
      <c r="CO44" s="820">
        <f ca="1">IF($B44=0,"",INDEX(Assumptions!AA:AA,$B44))</f>
        <v>1.5484280471092392E-2</v>
      </c>
      <c r="CP44" s="820">
        <f ca="1">IF($B44=0,"",INDEX(Assumptions!AB:AB,$B44))</f>
        <v>1.5484280471092392E-2</v>
      </c>
      <c r="CQ44" s="820">
        <f ca="1">IF($B44=0,"",INDEX(Assumptions!AC:AC,$B44))</f>
        <v>1.5484280471092392E-2</v>
      </c>
      <c r="CR44" s="820">
        <f ca="1">IF($B44=0,"",INDEX(Assumptions!AD:AD,$B44))</f>
        <v>1.5484280471092392E-2</v>
      </c>
      <c r="CS44" s="820">
        <f ca="1">IF($B44=0,"",INDEX(Assumptions!AE:AE,$B44))</f>
        <v>1.5484280471092392E-2</v>
      </c>
      <c r="CT44" s="820">
        <f ca="1">IF($B44=0,"",INDEX(Assumptions!AF:AF,$B44))</f>
        <v>1.5484280471092392E-2</v>
      </c>
      <c r="CU44" s="820">
        <f ca="1">IF($B44=0,"",INDEX(Assumptions!AG:AG,$B44))</f>
        <v>1.5484280471092392E-2</v>
      </c>
      <c r="CX44" s="442">
        <f>IF($A44="","",INDEX('Data Interface'!G:G,$A44))</f>
        <v>1201.8187905699999</v>
      </c>
      <c r="CY44" s="442">
        <f>IF($A44="","",INDEX('Data Interface'!H:H,$A44))</f>
        <v>0</v>
      </c>
      <c r="CZ44" s="442">
        <f>IF($A44="","",INDEX('Data Interface'!I:I,$A44))</f>
        <v>0</v>
      </c>
      <c r="DA44" s="442">
        <f>IF($A44="","",INDEX('Data Interface'!J:J,$A44))</f>
        <v>0</v>
      </c>
      <c r="DB44" s="442">
        <f>IF($A44="","",INDEX('Data Interface'!K:K,$A44))</f>
        <v>0</v>
      </c>
      <c r="DC44" s="442">
        <f>IF($A44="","",INDEX('Data Interface'!L:L,$A44))</f>
        <v>0</v>
      </c>
      <c r="DD44" s="442">
        <f>IF($A44="","",INDEX('Data Interface'!M:M,$A44))</f>
        <v>0</v>
      </c>
      <c r="DE44" s="442">
        <f>IF($A44="","",INDEX('Data Interface'!N:N,$A44))</f>
        <v>0</v>
      </c>
      <c r="DF44" s="442">
        <f>IF($A44="","",INDEX('Data Interface'!O:O,$A44))</f>
        <v>0</v>
      </c>
      <c r="DG44" s="442">
        <f>IF($A44="","",INDEX('Data Interface'!P:P,$A44))</f>
        <v>0</v>
      </c>
      <c r="DH44" s="442">
        <f>IF($A44="","",INDEX('Data Interface'!Q:Q,$A44))</f>
        <v>0</v>
      </c>
      <c r="DI44" s="442">
        <f>IF($A44="","",INDEX('Data Interface'!R:R,$A44))</f>
        <v>0</v>
      </c>
      <c r="DJ44" s="442">
        <f>IF($A44="","",INDEX('Data Interface'!S:S,$A44))</f>
        <v>0</v>
      </c>
      <c r="DK44" s="442">
        <f>IF($A44="","",INDEX('Data Interface'!T:T,$A44))</f>
        <v>0</v>
      </c>
      <c r="DL44" s="442">
        <f>IF($A44="","",INDEX('Data Interface'!U:U,$A44))</f>
        <v>0</v>
      </c>
      <c r="DM44" s="442">
        <f>IF($A44="","",INDEX('Data Interface'!V:V,$A44))</f>
        <v>0</v>
      </c>
      <c r="DN44" s="442">
        <f>IF($A44="","",INDEX('Data Interface'!W:W,$A44))</f>
        <v>0</v>
      </c>
      <c r="DO44" s="442">
        <f>IF($A44="","",INDEX('Data Interface'!X:X,$A44))</f>
        <v>0</v>
      </c>
      <c r="DP44" s="442">
        <f>IF($A44="","",INDEX('Data Interface'!Y:Y,$A44))</f>
        <v>0</v>
      </c>
      <c r="DQ44" s="442">
        <f>IF($A44="","",INDEX('Data Interface'!Z:Z,$A44))</f>
        <v>0</v>
      </c>
      <c r="DR44" s="442">
        <f>IF($A44="","",INDEX('Data Interface'!AA:AA,$A44))</f>
        <v>0</v>
      </c>
      <c r="DS44" s="442">
        <f>IF($A44="","",INDEX('Data Interface'!AB:AB,$A44))</f>
        <v>0</v>
      </c>
      <c r="DT44" s="442">
        <f>IF($A44="","",INDEX('Data Interface'!AC:AC,$A44))</f>
        <v>0</v>
      </c>
      <c r="DU44" s="442">
        <f>IF($A44="","",INDEX('Data Interface'!AD:AD,$A44))</f>
        <v>0</v>
      </c>
      <c r="DV44" s="442">
        <f>IF($A44="","",INDEX('Data Interface'!AE:AE,$A44))</f>
        <v>0</v>
      </c>
      <c r="DW44" s="442">
        <f>IF($A44="","",INDEX('Data Interface'!AF:AF,$A44))</f>
        <v>0</v>
      </c>
      <c r="DX44" s="442">
        <f>IF($A44="","",INDEX('Data Interface'!AG:AG,$A44))</f>
        <v>0</v>
      </c>
      <c r="DZ44" s="906" t="str">
        <f>IF(OR($B44=0,$A44=0,$H44&lt;&gt;1),"",INDEX(Assumptions!EO:EO,$B44))</f>
        <v/>
      </c>
      <c r="EA44" s="906" t="str">
        <f>IF(OR($B44=0,$A44=0,$H44&lt;&gt;1),"",INDEX(Assumptions!EP:EP,$B44))</f>
        <v/>
      </c>
      <c r="EB44" s="906" t="str">
        <f>IF(OR($B44=0,$A44=0,$H44&lt;&gt;1),"",INDEX(Assumptions!EQ:EQ,$B44))</f>
        <v/>
      </c>
      <c r="EC44" s="906" t="str">
        <f>IF(OR($B44=0,$A44=0,$H44&lt;&gt;1),"",INDEX(Assumptions!ER:ER,$B44))</f>
        <v/>
      </c>
      <c r="ED44" s="906" t="str">
        <f>IF(OR($B44=0,$A44=0,$H44&lt;&gt;1),"",INDEX(Assumptions!ES:ES,$B44))</f>
        <v/>
      </c>
      <c r="EE44" s="906" t="str">
        <f>IF(OR($B44=0,$A44=0,$H44&lt;&gt;1),"",INDEX(Assumptions!ET:ET,$B44))</f>
        <v/>
      </c>
      <c r="EF44" s="906" t="str">
        <f>IF(OR($B44=0,$A44=0,$H44&lt;&gt;1),"",INDEX(Assumptions!EU:EU,$B44))</f>
        <v/>
      </c>
      <c r="EG44" s="906" t="str">
        <f>IF(OR($B44=0,$A44=0,$H44&lt;&gt;1),"",INDEX(Assumptions!EV:EV,$B44))</f>
        <v/>
      </c>
      <c r="EH44" s="906" t="str">
        <f>IF(OR($B44=0,$A44=0,$H44&lt;&gt;1),"",INDEX(Assumptions!EW:EW,$B44))</f>
        <v/>
      </c>
      <c r="EI44" s="906" t="str">
        <f>IF(OR($B44=0,$A44=0,$H44&lt;&gt;1),"",INDEX(Assumptions!EX:EX,$B44))</f>
        <v/>
      </c>
      <c r="EJ44" s="906" t="str">
        <f>IF(OR($B44=0,$A44=0,$H44&lt;&gt;1),"",INDEX(Assumptions!EY:EY,$B44))</f>
        <v/>
      </c>
      <c r="EK44" s="906" t="str">
        <f>IF(OR($B44=0,$A44=0,$H44&lt;&gt;1),"",INDEX(Assumptions!EZ:EZ,$B44))</f>
        <v/>
      </c>
      <c r="EL44" s="906" t="str">
        <f>IF(OR($B44=0,$A44=0,$H44&lt;&gt;1),"",INDEX(Assumptions!FA:FA,$B44))</f>
        <v/>
      </c>
      <c r="EM44" s="906" t="str">
        <f>IF(OR($B44=0,$A44=0,$H44&lt;&gt;1),"",INDEX(Assumptions!FB:FB,$B44))</f>
        <v/>
      </c>
      <c r="EN44" s="906" t="str">
        <f>IF(OR($B44=0,$A44=0,$H44&lt;&gt;1),"",INDEX(Assumptions!FC:FC,$B44))</f>
        <v/>
      </c>
      <c r="EO44" s="906" t="str">
        <f>IF(OR($B44=0,$A44=0,$H44&lt;&gt;1),"",INDEX(Assumptions!FD:FD,$B44))</f>
        <v/>
      </c>
      <c r="EP44" s="906" t="str">
        <f>IF(OR($B44=0,$A44=0,$H44&lt;&gt;1),"",INDEX(Assumptions!FE:FE,$B44))</f>
        <v/>
      </c>
      <c r="EQ44" s="906" t="str">
        <f>IF(OR($B44=0,$A44=0,$H44&lt;&gt;1),"",INDEX(Assumptions!FF:FF,$B44))</f>
        <v/>
      </c>
      <c r="ER44" s="906" t="str">
        <f>IF(OR($B44=0,$A44=0,$H44&lt;&gt;1),"",INDEX(Assumptions!FG:FG,$B44))</f>
        <v/>
      </c>
      <c r="ES44" s="906" t="str">
        <f>IF(OR($B44=0,$A44=0,$H44&lt;&gt;1),"",INDEX(Assumptions!FH:FH,$B44))</f>
        <v/>
      </c>
      <c r="ET44" s="906" t="str">
        <f>IF(OR($B44=0,$A44=0,$H44&lt;&gt;1),"",INDEX(Assumptions!FI:FI,$B44))</f>
        <v/>
      </c>
      <c r="EU44" s="906" t="str">
        <f>IF(OR($B44=0,$A44=0,$H44&lt;&gt;1),"",INDEX(Assumptions!FJ:FJ,$B44))</f>
        <v/>
      </c>
      <c r="EV44" s="906" t="str">
        <f>IF(OR($B44=0,$A44=0,$H44&lt;&gt;1),"",INDEX(Assumptions!FK:FK,$B44))</f>
        <v/>
      </c>
      <c r="EW44" s="906" t="str">
        <f>IF(OR($B44=0,$A44=0,$H44&lt;&gt;1),"",INDEX(Assumptions!FL:FL,$B44))</f>
        <v/>
      </c>
      <c r="EX44" s="906" t="str">
        <f>IF(OR($B44=0,$A44=0,$H44&lt;&gt;1),"",INDEX(Assumptions!FM:FM,$B44))</f>
        <v/>
      </c>
      <c r="EY44" s="906" t="str">
        <f>IF(OR($B44=0,$A44=0,$H44&lt;&gt;1),"",INDEX(Assumptions!FN:FN,$B44))</f>
        <v/>
      </c>
      <c r="EZ44" s="906" t="str">
        <f>IF(OR($B44=0,$A44=0,$H44&lt;&gt;1),"",INDEX(Assumptions!FO:FO,$B44))</f>
        <v/>
      </c>
      <c r="FB44" s="820" t="str">
        <f t="shared" si="18"/>
        <v/>
      </c>
      <c r="FC44" s="820" t="str">
        <f t="shared" si="19"/>
        <v/>
      </c>
      <c r="FD44" s="820" t="str">
        <f t="shared" si="20"/>
        <v/>
      </c>
      <c r="FE44" s="820" t="str">
        <f t="shared" si="21"/>
        <v/>
      </c>
      <c r="FF44" s="820" t="str">
        <f t="shared" si="22"/>
        <v/>
      </c>
    </row>
    <row r="45" spans="1:162">
      <c r="A45" s="440">
        <f>IFERROR(MATCH(C45,'Data Interface'!B:B,0),0)</f>
        <v>42</v>
      </c>
      <c r="B45" s="440">
        <f>IFERROR(MATCH(C45,Assumptions!$B:$B,0),0)</f>
        <v>54</v>
      </c>
      <c r="C45" s="441" t="s">
        <v>1446</v>
      </c>
      <c r="E45" s="441" t="s">
        <v>1219</v>
      </c>
      <c r="F45" s="440" t="s">
        <v>36</v>
      </c>
      <c r="G45" s="440" t="str">
        <f>IF(A45=0,"",INDEX('Data Interface'!$C:$C,$A45))</f>
        <v>Due to Non-Bank Large FI - CIC INTERNATIONAL CO., LIMITED</v>
      </c>
      <c r="H45" s="440">
        <v>0</v>
      </c>
      <c r="I45" s="819">
        <f t="shared" ca="1" si="23"/>
        <v>0.18400000000000016</v>
      </c>
      <c r="J45" s="819">
        <f t="shared" ca="1" si="24"/>
        <v>0.23000000000000015</v>
      </c>
      <c r="K45" s="439" t="str">
        <f t="shared" ca="1" si="25"/>
        <v>18.4% of Current Balance</v>
      </c>
      <c r="L45" s="439" t="s">
        <v>1148</v>
      </c>
      <c r="M45" s="439" t="s">
        <v>1507</v>
      </c>
      <c r="O45" s="442">
        <f>IF(OR($A45="",$A45=0),0,INDEX('Data Interface'!D:D,$A45))</f>
        <v>159.46774133000002</v>
      </c>
      <c r="P45" s="442">
        <f ca="1">$O45-SUM($AS45:AS45)</f>
        <v>149.68705319509334</v>
      </c>
      <c r="Q45" s="442">
        <f ca="1">$O45-SUM($AS45:AT45)</f>
        <v>148.05693850594224</v>
      </c>
      <c r="R45" s="442">
        <f ca="1">$O45-SUM($AS45:AU45)</f>
        <v>146.42682381679114</v>
      </c>
      <c r="S45" s="442">
        <f ca="1">$O45-SUM($AS45:AV45)</f>
        <v>144.79670912764001</v>
      </c>
      <c r="T45" s="442">
        <f ca="1">$O45-SUM($AS45:AW45)</f>
        <v>143.16659443848891</v>
      </c>
      <c r="U45" s="442">
        <f ca="1">$O45-SUM($AS45:AX45)</f>
        <v>141.53647974933779</v>
      </c>
      <c r="V45" s="442">
        <f ca="1">$O45-SUM($AS45:AY45)</f>
        <v>139.90636506018669</v>
      </c>
      <c r="W45" s="442">
        <f ca="1">$O45-SUM($AS45:AZ45)</f>
        <v>138.50912389805717</v>
      </c>
      <c r="X45" s="442">
        <f ca="1">$O45-SUM($AS45:BA45)</f>
        <v>137.11188273592762</v>
      </c>
      <c r="Y45" s="442">
        <f ca="1">$O45-SUM($AS45:BB45)</f>
        <v>135.7146415737981</v>
      </c>
      <c r="Z45" s="442">
        <f ca="1">$O45-SUM($AS45:BC45)</f>
        <v>134.31740041166859</v>
      </c>
      <c r="AA45" s="442">
        <f ca="1">$O45-SUM($AS45:BD45)</f>
        <v>132.92015924953907</v>
      </c>
      <c r="AB45" s="442">
        <f ca="1">$O45-SUM($AS45:BE45)</f>
        <v>131.52291808740955</v>
      </c>
      <c r="AC45" s="442">
        <f ca="1">$O45-SUM($AS45:BF45)</f>
        <v>130.12567692528</v>
      </c>
      <c r="AD45" s="442">
        <f ca="1">$O45-SUM($AS45:BG45)</f>
        <v>126.45791887469001</v>
      </c>
      <c r="AE45" s="442">
        <f ca="1">$O45-SUM($AS45:BH45)</f>
        <v>122.79016082410001</v>
      </c>
      <c r="AF45" s="442">
        <f ca="1">$O45-SUM($AS45:BI45)</f>
        <v>119.12240277351</v>
      </c>
      <c r="AG45" s="442">
        <f ca="1">$O45-SUM($AS45:BJ45)</f>
        <v>115.45464472291999</v>
      </c>
      <c r="AH45" s="442">
        <f ca="1">$O45-SUM($AS45:BK45)</f>
        <v>114.23205870605668</v>
      </c>
      <c r="AI45" s="442">
        <f ca="1">$O45-SUM($AS45:BL45)</f>
        <v>113.00947268919333</v>
      </c>
      <c r="AJ45" s="442">
        <f ca="1">$O45-SUM($AS45:BM45)</f>
        <v>111.78688667233001</v>
      </c>
      <c r="AK45" s="442">
        <f ca="1">$O45-SUM($AS45:BN45)</f>
        <v>110.56430065546667</v>
      </c>
      <c r="AL45" s="442">
        <f ca="1">$O45-SUM($AS45:BO45)</f>
        <v>109.34171463860335</v>
      </c>
      <c r="AM45" s="442">
        <f ca="1">$O45-SUM($AS45:BP45)</f>
        <v>108.11912862174</v>
      </c>
      <c r="AN45" s="442">
        <f ca="1">$O45-SUM($AS45:BQ45)</f>
        <v>106.89654260487669</v>
      </c>
      <c r="AO45" s="442">
        <f ca="1">$O45-SUM($AS45:BR45)</f>
        <v>105.67395658801334</v>
      </c>
      <c r="AP45" s="442">
        <f ca="1">$O45-SUM($AS45:BS45)</f>
        <v>104.45137057115002</v>
      </c>
      <c r="AR45" s="439" t="s">
        <v>1202</v>
      </c>
      <c r="AS45" s="442">
        <f ca="1">IF($H45="",0,IF($H45=1,IF('Para Adj'!$B$5 = 1,O45-($O45-SUMPRODUCT($CX45:CX45,$BU45:BU45))*(1-SUM($DZ45:DZ45)),BU45*CX45),$O45*BU45))</f>
        <v>9.7806881349066703</v>
      </c>
      <c r="AT45" s="442">
        <f ca="1">IF($H45="",0,IF($H45=1,IF('Para Adj'!$B$5 = 1,P45-($O45-SUMPRODUCT($CX45:CY45,$BU45:BV45))*(1-SUM($DZ45:EA45)),BV45*CY45),$O45*BV45))</f>
        <v>1.6301146891511118</v>
      </c>
      <c r="AU45" s="442">
        <f ca="1">IF($H45="",0,IF($H45=1,IF('Para Adj'!$B$5 = 1,Q45-($O45-SUMPRODUCT($CX45:CZ45,$BU45:BW45))*(1-SUM($DZ45:EB45)),BW45*CZ45),$O45*BW45))</f>
        <v>1.6301146891511118</v>
      </c>
      <c r="AV45" s="442">
        <f ca="1">IF($H45="",0,IF($H45=1,IF('Para Adj'!$B$5 = 1,R45-($O45-SUMPRODUCT($CX45:DA45,$BU45:BX45))*(1-SUM($DZ45:EC45)),BX45*DA45),$O45*BX45))</f>
        <v>1.6301146891511118</v>
      </c>
      <c r="AW45" s="442">
        <f ca="1">IF($H45="",0,IF($H45=1,IF('Para Adj'!$B$5 = 1,S45-($O45-SUMPRODUCT($CX45:DB45,$BU45:BY45))*(1-SUM($DZ45:ED45)),BY45*DB45),$O45*BY45))</f>
        <v>1.6301146891511118</v>
      </c>
      <c r="AX45" s="442">
        <f ca="1">IF($H45="",0,IF($H45=1,IF('Para Adj'!$B$5 = 1,T45-($O45-SUMPRODUCT($CX45:DC45,$BU45:BZ45))*(1-SUM($DZ45:EE45)),BZ45*DC45),$O45*BZ45))</f>
        <v>1.6301146891511118</v>
      </c>
      <c r="AY45" s="442">
        <f ca="1">IF($H45="",0,IF($H45=1,IF('Para Adj'!$B$5 = 1,U45-($O45-SUMPRODUCT($CX45:DD45,$BU45:CA45))*(1-SUM($DZ45:EF45)),CA45*DD45),$O45*CA45))</f>
        <v>1.6301146891511118</v>
      </c>
      <c r="AZ45" s="442">
        <f ca="1">IF($H45="",0,IF($H45=1,IF('Para Adj'!$B$5 = 1,V45-($O45-SUMPRODUCT($CX45:DE45,$BU45:CB45))*(1-SUM($DZ45:EG45)),CB45*DE45),$O45*CB45))</f>
        <v>1.3972411621295246</v>
      </c>
      <c r="BA45" s="442">
        <f ca="1">IF($H45="",0,IF($H45=1,IF('Para Adj'!$B$5 = 1,W45-($O45-SUMPRODUCT($CX45:DF45,$BU45:CC45))*(1-SUM($DZ45:EH45)),CC45*DF45),$O45*CC45))</f>
        <v>1.3972411621295246</v>
      </c>
      <c r="BB45" s="442">
        <f ca="1">IF($H45="",0,IF($H45=1,IF('Para Adj'!$B$5 = 1,X45-($O45-SUMPRODUCT($CX45:DG45,$BU45:CD45))*(1-SUM($DZ45:EI45)),CD45*DG45),$O45*CD45))</f>
        <v>1.3972411621295246</v>
      </c>
      <c r="BC45" s="442">
        <f ca="1">IF($H45="",0,IF($H45=1,IF('Para Adj'!$B$5 = 1,Y45-($O45-SUMPRODUCT($CX45:DH45,$BU45:CE45))*(1-SUM($DZ45:EJ45)),CE45*DH45),$O45*CE45))</f>
        <v>1.3972411621295246</v>
      </c>
      <c r="BD45" s="442">
        <f ca="1">IF($H45="",0,IF($H45=1,IF('Para Adj'!$B$5 = 1,Z45-($O45-SUMPRODUCT($CX45:DI45,$BU45:CF45))*(1-SUM($DZ45:EK45)),CF45*DI45),$O45*CF45))</f>
        <v>1.3972411621295246</v>
      </c>
      <c r="BE45" s="442">
        <f ca="1">IF($H45="",0,IF($H45=1,IF('Para Adj'!$B$5 = 1,AA45-($O45-SUMPRODUCT($CX45:DJ45,$BU45:CG45))*(1-SUM($DZ45:EL45)),CG45*DJ45),$O45*CG45))</f>
        <v>1.3972411621295246</v>
      </c>
      <c r="BF45" s="442">
        <f ca="1">IF($H45="",0,IF($H45=1,IF('Para Adj'!$B$5 = 1,AB45-($O45-SUMPRODUCT($CX45:DK45,$BU45:CH45))*(1-SUM($DZ45:EM45)),CH45*DK45),$O45*CH45))</f>
        <v>1.3972411621295246</v>
      </c>
      <c r="BG45" s="442">
        <f ca="1">IF($H45="",0,IF($H45=1,IF('Para Adj'!$B$5 = 1,AC45-($O45-SUMPRODUCT($CX45:DL45,$BU45:CI45))*(1-SUM($DZ45:EN45)),CI45*DL45),$O45*CI45))</f>
        <v>3.6677580505899994</v>
      </c>
      <c r="BH45" s="442">
        <f ca="1">IF($H45="",0,IF($H45=1,IF('Para Adj'!$B$5 = 1,AD45-($O45-SUMPRODUCT($CX45:DM45,$BU45:CJ45))*(1-SUM($DZ45:EO45)),CJ45*DM45),$O45*CJ45))</f>
        <v>3.6677580505899994</v>
      </c>
      <c r="BI45" s="442">
        <f ca="1">IF($H45="",0,IF($H45=1,IF('Para Adj'!$B$5 = 1,AE45-($O45-SUMPRODUCT($CX45:DN45,$BU45:CK45))*(1-SUM($DZ45:EP45)),CK45*DN45),$O45*CK45))</f>
        <v>3.6677580505900016</v>
      </c>
      <c r="BJ45" s="442">
        <f ca="1">IF($H45="",0,IF($H45=1,IF('Para Adj'!$B$5 = 1,AF45-($O45-SUMPRODUCT($CX45:DO45,$BU45:CL45))*(1-SUM($DZ45:EQ45)),CL45*DO45),$O45*CL45))</f>
        <v>3.6677580505900016</v>
      </c>
      <c r="BK45" s="442">
        <f ca="1">IF($H45="",0,IF($H45=1,IF('Para Adj'!$B$5 = 1,AG45-($O45-SUMPRODUCT($CX45:DP45,$BU45:CM45))*(1-SUM($DZ45:ER45)),CM45*DP45),$O45*CM45))</f>
        <v>1.2225860168633336</v>
      </c>
      <c r="BL45" s="442">
        <f ca="1">IF($H45="",0,IF($H45=1,IF('Para Adj'!$B$5 = 1,AH45-($O45-SUMPRODUCT($CX45:DQ45,$BU45:CN45))*(1-SUM($DZ45:ES45)),CN45*DQ45),$O45*CN45))</f>
        <v>1.2225860168633336</v>
      </c>
      <c r="BM45" s="442">
        <f ca="1">IF($H45="",0,IF($H45=1,IF('Para Adj'!$B$5 = 1,AI45-($O45-SUMPRODUCT($CX45:DR45,$BU45:CO45))*(1-SUM($DZ45:ET45)),CO45*DR45),$O45*CO45))</f>
        <v>1.2225860168633336</v>
      </c>
      <c r="BN45" s="442">
        <f ca="1">IF($H45="",0,IF($H45=1,IF('Para Adj'!$B$5 = 1,AJ45-($O45-SUMPRODUCT($CX45:DS45,$BU45:CP45))*(1-SUM($DZ45:EU45)),CP45*DS45),$O45*CP45))</f>
        <v>1.2225860168633336</v>
      </c>
      <c r="BO45" s="442">
        <f ca="1">IF($H45="",0,IF($H45=1,IF('Para Adj'!$B$5 = 1,AK45-($O45-SUMPRODUCT($CX45:DT45,$BU45:CQ45))*(1-SUM($DZ45:EV45)),CQ45*DT45),$O45*CQ45))</f>
        <v>1.2225860168633336</v>
      </c>
      <c r="BP45" s="442">
        <f ca="1">IF($H45="",0,IF($H45=1,IF('Para Adj'!$B$5 = 1,AL45-($O45-SUMPRODUCT($CX45:DU45,$BU45:CR45))*(1-SUM($DZ45:EW45)),CR45*DU45),$O45*CR45))</f>
        <v>1.2225860168633336</v>
      </c>
      <c r="BQ45" s="442">
        <f ca="1">IF($H45="",0,IF($H45=1,IF('Para Adj'!$B$5 = 1,AM45-($O45-SUMPRODUCT($CX45:DV45,$BU45:CS45))*(1-SUM($DZ45:EX45)),CS45*DV45),$O45*CS45))</f>
        <v>1.2225860168633336</v>
      </c>
      <c r="BR45" s="442">
        <f ca="1">IF($H45="",0,IF($H45=1,IF('Para Adj'!$B$5 = 1,AN45-($O45-SUMPRODUCT($CX45:DW45,$BU45:CT45))*(1-SUM($DZ45:EY45)),CT45*DW45),$O45*CT45))</f>
        <v>1.2225860168633336</v>
      </c>
      <c r="BS45" s="442">
        <f ca="1">IF($H45="",0,IF($H45=1,IF('Para Adj'!$B$5 = 1,AO45-($O45-SUMPRODUCT($CX45:DX45,$BU45:CU45))*(1-SUM($DZ45:EZ45)),CU45*DX45),$O45*CU45))</f>
        <v>1.2225860168633336</v>
      </c>
      <c r="BU45" s="820">
        <f ca="1">IF($B45=0,"",INDEX(Assumptions!G:G,$B45))</f>
        <v>6.1333333333333351E-2</v>
      </c>
      <c r="BV45" s="820">
        <f ca="1">IF($B45=0,"",INDEX(Assumptions!H:H,$B45))</f>
        <v>1.0222222222222225E-2</v>
      </c>
      <c r="BW45" s="820">
        <f ca="1">IF($B45=0,"",INDEX(Assumptions!I:I,$B45))</f>
        <v>1.0222222222222225E-2</v>
      </c>
      <c r="BX45" s="820">
        <f ca="1">IF($B45=0,"",INDEX(Assumptions!J:J,$B45))</f>
        <v>1.0222222222222225E-2</v>
      </c>
      <c r="BY45" s="820">
        <f ca="1">IF($B45=0,"",INDEX(Assumptions!K:K,$B45))</f>
        <v>1.0222222222222225E-2</v>
      </c>
      <c r="BZ45" s="820">
        <f ca="1">IF($B45=0,"",INDEX(Assumptions!L:L,$B45))</f>
        <v>1.0222222222222225E-2</v>
      </c>
      <c r="CA45" s="820">
        <f ca="1">IF($B45=0,"",INDEX(Assumptions!M:M,$B45))</f>
        <v>1.0222222222222225E-2</v>
      </c>
      <c r="CB45" s="820">
        <f ca="1">IF($B45=0,"",INDEX(Assumptions!N:N,$B45))</f>
        <v>8.7619047619047659E-3</v>
      </c>
      <c r="CC45" s="820">
        <f ca="1">IF($B45=0,"",INDEX(Assumptions!O:O,$B45))</f>
        <v>8.7619047619047659E-3</v>
      </c>
      <c r="CD45" s="820">
        <f ca="1">IF($B45=0,"",INDEX(Assumptions!P:P,$B45))</f>
        <v>8.7619047619047659E-3</v>
      </c>
      <c r="CE45" s="820">
        <f ca="1">IF($B45=0,"",INDEX(Assumptions!Q:Q,$B45))</f>
        <v>8.7619047619047659E-3</v>
      </c>
      <c r="CF45" s="820">
        <f ca="1">IF($B45=0,"",INDEX(Assumptions!R:R,$B45))</f>
        <v>8.7619047619047659E-3</v>
      </c>
      <c r="CG45" s="820">
        <f ca="1">IF($B45=0,"",INDEX(Assumptions!S:S,$B45))</f>
        <v>8.7619047619047659E-3</v>
      </c>
      <c r="CH45" s="820">
        <f ca="1">IF($B45=0,"",INDEX(Assumptions!T:T,$B45))</f>
        <v>8.7619047619047659E-3</v>
      </c>
      <c r="CI45" s="820">
        <f ca="1">IF($B45=0,"",INDEX(Assumptions!U:U,$B45))</f>
        <v>2.2999999999999993E-2</v>
      </c>
      <c r="CJ45" s="820">
        <f ca="1">IF($B45=0,"",INDEX(Assumptions!V:V,$B45))</f>
        <v>2.2999999999999993E-2</v>
      </c>
      <c r="CK45" s="820">
        <f ca="1">IF($B45=0,"",INDEX(Assumptions!W:W,$B45))</f>
        <v>2.3000000000000007E-2</v>
      </c>
      <c r="CL45" s="820">
        <f ca="1">IF($B45=0,"",INDEX(Assumptions!X:X,$B45))</f>
        <v>2.3000000000000007E-2</v>
      </c>
      <c r="CM45" s="820">
        <f ca="1">IF($B45=0,"",INDEX(Assumptions!Y:Y,$B45))</f>
        <v>7.6666666666666671E-3</v>
      </c>
      <c r="CN45" s="820">
        <f ca="1">IF($B45=0,"",INDEX(Assumptions!Z:Z,$B45))</f>
        <v>7.6666666666666671E-3</v>
      </c>
      <c r="CO45" s="820">
        <f ca="1">IF($B45=0,"",INDEX(Assumptions!AA:AA,$B45))</f>
        <v>7.6666666666666671E-3</v>
      </c>
      <c r="CP45" s="820">
        <f ca="1">IF($B45=0,"",INDEX(Assumptions!AB:AB,$B45))</f>
        <v>7.6666666666666671E-3</v>
      </c>
      <c r="CQ45" s="820">
        <f ca="1">IF($B45=0,"",INDEX(Assumptions!AC:AC,$B45))</f>
        <v>7.6666666666666671E-3</v>
      </c>
      <c r="CR45" s="820">
        <f ca="1">IF($B45=0,"",INDEX(Assumptions!AD:AD,$B45))</f>
        <v>7.6666666666666671E-3</v>
      </c>
      <c r="CS45" s="820">
        <f ca="1">IF($B45=0,"",INDEX(Assumptions!AE:AE,$B45))</f>
        <v>7.6666666666666671E-3</v>
      </c>
      <c r="CT45" s="820">
        <f ca="1">IF($B45=0,"",INDEX(Assumptions!AF:AF,$B45))</f>
        <v>7.6666666666666671E-3</v>
      </c>
      <c r="CU45" s="820">
        <f ca="1">IF($B45=0,"",INDEX(Assumptions!AG:AG,$B45))</f>
        <v>7.6666666666666671E-3</v>
      </c>
      <c r="CX45" s="442">
        <f>IF($A45="","",INDEX('Data Interface'!G:G,$A45))</f>
        <v>159.46774133000002</v>
      </c>
      <c r="CY45" s="442">
        <f>IF($A45="","",INDEX('Data Interface'!H:H,$A45))</f>
        <v>0</v>
      </c>
      <c r="CZ45" s="442">
        <f>IF($A45="","",INDEX('Data Interface'!I:I,$A45))</f>
        <v>0</v>
      </c>
      <c r="DA45" s="442">
        <f>IF($A45="","",INDEX('Data Interface'!J:J,$A45))</f>
        <v>0</v>
      </c>
      <c r="DB45" s="442">
        <f>IF($A45="","",INDEX('Data Interface'!K:K,$A45))</f>
        <v>0</v>
      </c>
      <c r="DC45" s="442">
        <f>IF($A45="","",INDEX('Data Interface'!L:L,$A45))</f>
        <v>0</v>
      </c>
      <c r="DD45" s="442">
        <f>IF($A45="","",INDEX('Data Interface'!M:M,$A45))</f>
        <v>0</v>
      </c>
      <c r="DE45" s="442">
        <f>IF($A45="","",INDEX('Data Interface'!N:N,$A45))</f>
        <v>0</v>
      </c>
      <c r="DF45" s="442">
        <f>IF($A45="","",INDEX('Data Interface'!O:O,$A45))</f>
        <v>0</v>
      </c>
      <c r="DG45" s="442">
        <f>IF($A45="","",INDEX('Data Interface'!P:P,$A45))</f>
        <v>0</v>
      </c>
      <c r="DH45" s="442">
        <f>IF($A45="","",INDEX('Data Interface'!Q:Q,$A45))</f>
        <v>0</v>
      </c>
      <c r="DI45" s="442">
        <f>IF($A45="","",INDEX('Data Interface'!R:R,$A45))</f>
        <v>0</v>
      </c>
      <c r="DJ45" s="442">
        <f>IF($A45="","",INDEX('Data Interface'!S:S,$A45))</f>
        <v>0</v>
      </c>
      <c r="DK45" s="442">
        <f>IF($A45="","",INDEX('Data Interface'!T:T,$A45))</f>
        <v>0</v>
      </c>
      <c r="DL45" s="442">
        <f>IF($A45="","",INDEX('Data Interface'!U:U,$A45))</f>
        <v>0</v>
      </c>
      <c r="DM45" s="442">
        <f>IF($A45="","",INDEX('Data Interface'!V:V,$A45))</f>
        <v>0</v>
      </c>
      <c r="DN45" s="442">
        <f>IF($A45="","",INDEX('Data Interface'!W:W,$A45))</f>
        <v>0</v>
      </c>
      <c r="DO45" s="442">
        <f>IF($A45="","",INDEX('Data Interface'!X:X,$A45))</f>
        <v>0</v>
      </c>
      <c r="DP45" s="442">
        <f>IF($A45="","",INDEX('Data Interface'!Y:Y,$A45))</f>
        <v>0</v>
      </c>
      <c r="DQ45" s="442">
        <f>IF($A45="","",INDEX('Data Interface'!Z:Z,$A45))</f>
        <v>0</v>
      </c>
      <c r="DR45" s="442">
        <f>IF($A45="","",INDEX('Data Interface'!AA:AA,$A45))</f>
        <v>0</v>
      </c>
      <c r="DS45" s="442">
        <f>IF($A45="","",INDEX('Data Interface'!AB:AB,$A45))</f>
        <v>0</v>
      </c>
      <c r="DT45" s="442">
        <f>IF($A45="","",INDEX('Data Interface'!AC:AC,$A45))</f>
        <v>0</v>
      </c>
      <c r="DU45" s="442">
        <f>IF($A45="","",INDEX('Data Interface'!AD:AD,$A45))</f>
        <v>0</v>
      </c>
      <c r="DV45" s="442">
        <f>IF($A45="","",INDEX('Data Interface'!AE:AE,$A45))</f>
        <v>0</v>
      </c>
      <c r="DW45" s="442">
        <f>IF($A45="","",INDEX('Data Interface'!AF:AF,$A45))</f>
        <v>0</v>
      </c>
      <c r="DX45" s="442">
        <f>IF($A45="","",INDEX('Data Interface'!AG:AG,$A45))</f>
        <v>0</v>
      </c>
      <c r="DZ45" s="906" t="str">
        <f>IF(OR($B45=0,$A45=0,$H45&lt;&gt;1),"",INDEX(Assumptions!EO:EO,$B45))</f>
        <v/>
      </c>
      <c r="EA45" s="906" t="str">
        <f>IF(OR($B45=0,$A45=0,$H45&lt;&gt;1),"",INDEX(Assumptions!EP:EP,$B45))</f>
        <v/>
      </c>
      <c r="EB45" s="906" t="str">
        <f>IF(OR($B45=0,$A45=0,$H45&lt;&gt;1),"",INDEX(Assumptions!EQ:EQ,$B45))</f>
        <v/>
      </c>
      <c r="EC45" s="906" t="str">
        <f>IF(OR($B45=0,$A45=0,$H45&lt;&gt;1),"",INDEX(Assumptions!ER:ER,$B45))</f>
        <v/>
      </c>
      <c r="ED45" s="906" t="str">
        <f>IF(OR($B45=0,$A45=0,$H45&lt;&gt;1),"",INDEX(Assumptions!ES:ES,$B45))</f>
        <v/>
      </c>
      <c r="EE45" s="906" t="str">
        <f>IF(OR($B45=0,$A45=0,$H45&lt;&gt;1),"",INDEX(Assumptions!ET:ET,$B45))</f>
        <v/>
      </c>
      <c r="EF45" s="906" t="str">
        <f>IF(OR($B45=0,$A45=0,$H45&lt;&gt;1),"",INDEX(Assumptions!EU:EU,$B45))</f>
        <v/>
      </c>
      <c r="EG45" s="906" t="str">
        <f>IF(OR($B45=0,$A45=0,$H45&lt;&gt;1),"",INDEX(Assumptions!EV:EV,$B45))</f>
        <v/>
      </c>
      <c r="EH45" s="906" t="str">
        <f>IF(OR($B45=0,$A45=0,$H45&lt;&gt;1),"",INDEX(Assumptions!EW:EW,$B45))</f>
        <v/>
      </c>
      <c r="EI45" s="906" t="str">
        <f>IF(OR($B45=0,$A45=0,$H45&lt;&gt;1),"",INDEX(Assumptions!EX:EX,$B45))</f>
        <v/>
      </c>
      <c r="EJ45" s="906" t="str">
        <f>IF(OR($B45=0,$A45=0,$H45&lt;&gt;1),"",INDEX(Assumptions!EY:EY,$B45))</f>
        <v/>
      </c>
      <c r="EK45" s="906" t="str">
        <f>IF(OR($B45=0,$A45=0,$H45&lt;&gt;1),"",INDEX(Assumptions!EZ:EZ,$B45))</f>
        <v/>
      </c>
      <c r="EL45" s="906" t="str">
        <f>IF(OR($B45=0,$A45=0,$H45&lt;&gt;1),"",INDEX(Assumptions!FA:FA,$B45))</f>
        <v/>
      </c>
      <c r="EM45" s="906" t="str">
        <f>IF(OR($B45=0,$A45=0,$H45&lt;&gt;1),"",INDEX(Assumptions!FB:FB,$B45))</f>
        <v/>
      </c>
      <c r="EN45" s="906" t="str">
        <f>IF(OR($B45=0,$A45=0,$H45&lt;&gt;1),"",INDEX(Assumptions!FC:FC,$B45))</f>
        <v/>
      </c>
      <c r="EO45" s="906" t="str">
        <f>IF(OR($B45=0,$A45=0,$H45&lt;&gt;1),"",INDEX(Assumptions!FD:FD,$B45))</f>
        <v/>
      </c>
      <c r="EP45" s="906" t="str">
        <f>IF(OR($B45=0,$A45=0,$H45&lt;&gt;1),"",INDEX(Assumptions!FE:FE,$B45))</f>
        <v/>
      </c>
      <c r="EQ45" s="906" t="str">
        <f>IF(OR($B45=0,$A45=0,$H45&lt;&gt;1),"",INDEX(Assumptions!FF:FF,$B45))</f>
        <v/>
      </c>
      <c r="ER45" s="906" t="str">
        <f>IF(OR($B45=0,$A45=0,$H45&lt;&gt;1),"",INDEX(Assumptions!FG:FG,$B45))</f>
        <v/>
      </c>
      <c r="ES45" s="906" t="str">
        <f>IF(OR($B45=0,$A45=0,$H45&lt;&gt;1),"",INDEX(Assumptions!FH:FH,$B45))</f>
        <v/>
      </c>
      <c r="ET45" s="906" t="str">
        <f>IF(OR($B45=0,$A45=0,$H45&lt;&gt;1),"",INDEX(Assumptions!FI:FI,$B45))</f>
        <v/>
      </c>
      <c r="EU45" s="906" t="str">
        <f>IF(OR($B45=0,$A45=0,$H45&lt;&gt;1),"",INDEX(Assumptions!FJ:FJ,$B45))</f>
        <v/>
      </c>
      <c r="EV45" s="906" t="str">
        <f>IF(OR($B45=0,$A45=0,$H45&lt;&gt;1),"",INDEX(Assumptions!FK:FK,$B45))</f>
        <v/>
      </c>
      <c r="EW45" s="906" t="str">
        <f>IF(OR($B45=0,$A45=0,$H45&lt;&gt;1),"",INDEX(Assumptions!FL:FL,$B45))</f>
        <v/>
      </c>
      <c r="EX45" s="906" t="str">
        <f>IF(OR($B45=0,$A45=0,$H45&lt;&gt;1),"",INDEX(Assumptions!FM:FM,$B45))</f>
        <v/>
      </c>
      <c r="EY45" s="906" t="str">
        <f>IF(OR($B45=0,$A45=0,$H45&lt;&gt;1),"",INDEX(Assumptions!FN:FN,$B45))</f>
        <v/>
      </c>
      <c r="EZ45" s="906" t="str">
        <f>IF(OR($B45=0,$A45=0,$H45&lt;&gt;1),"",INDEX(Assumptions!FO:FO,$B45))</f>
        <v/>
      </c>
      <c r="FB45" s="820" t="str">
        <f t="shared" si="18"/>
        <v/>
      </c>
      <c r="FC45" s="820" t="str">
        <f t="shared" si="19"/>
        <v/>
      </c>
      <c r="FD45" s="820" t="str">
        <f t="shared" si="20"/>
        <v/>
      </c>
      <c r="FE45" s="820" t="str">
        <f t="shared" si="21"/>
        <v/>
      </c>
      <c r="FF45" s="820" t="str">
        <f t="shared" si="22"/>
        <v/>
      </c>
    </row>
    <row r="46" spans="1:162">
      <c r="A46" s="440">
        <f>IFERROR(MATCH(C46,'Data Interface'!B:B,0),0)</f>
        <v>43</v>
      </c>
      <c r="B46" s="440">
        <f>IFERROR(MATCH(C46,Assumptions!$B:$B,0),0)</f>
        <v>55</v>
      </c>
      <c r="C46" s="441" t="s">
        <v>1168</v>
      </c>
      <c r="E46" s="441" t="s">
        <v>1219</v>
      </c>
      <c r="F46" s="440" t="s">
        <v>36</v>
      </c>
      <c r="G46" s="440" t="str">
        <f>IF(A46=0,"",INDEX('Data Interface'!$C:$C,$A46))</f>
        <v>Due to Banks - Investment - CME</v>
      </c>
      <c r="H46" s="440">
        <v>0</v>
      </c>
      <c r="I46" s="819">
        <f t="shared" ca="1" si="23"/>
        <v>0.39999999999999991</v>
      </c>
      <c r="J46" s="819">
        <f t="shared" ca="1" si="24"/>
        <v>0.39999999999999991</v>
      </c>
      <c r="K46" s="439" t="str">
        <f t="shared" ca="1" si="25"/>
        <v>40% of Current Balance</v>
      </c>
      <c r="L46" s="439" t="s">
        <v>1148</v>
      </c>
      <c r="M46" s="439" t="s">
        <v>1507</v>
      </c>
      <c r="O46" s="442">
        <f>IF(OR($A46="",$A46=0),0,INDEX('Data Interface'!D:D,$A46))</f>
        <v>500.91083754000005</v>
      </c>
      <c r="P46" s="442">
        <f ca="1">$O46-SUM($AS46:AS46)</f>
        <v>434.12272586800003</v>
      </c>
      <c r="Q46" s="442">
        <f ca="1">$O46-SUM($AS46:AT46)</f>
        <v>422.9913739226667</v>
      </c>
      <c r="R46" s="442">
        <f ca="1">$O46-SUM($AS46:AU46)</f>
        <v>411.86002197733336</v>
      </c>
      <c r="S46" s="442">
        <f ca="1">$O46-SUM($AS46:AV46)</f>
        <v>400.72867003200003</v>
      </c>
      <c r="T46" s="442">
        <f ca="1">$O46-SUM($AS46:AW46)</f>
        <v>389.59731808666669</v>
      </c>
      <c r="U46" s="442">
        <f ca="1">$O46-SUM($AS46:AX46)</f>
        <v>378.46596614133335</v>
      </c>
      <c r="V46" s="442">
        <f ca="1">$O46-SUM($AS46:AY46)</f>
        <v>367.33461419600002</v>
      </c>
      <c r="W46" s="442">
        <f ca="1">$O46-SUM($AS46:AZ46)</f>
        <v>357.79345538571431</v>
      </c>
      <c r="X46" s="442">
        <f ca="1">$O46-SUM($AS46:BA46)</f>
        <v>348.2522965754286</v>
      </c>
      <c r="Y46" s="442">
        <f ca="1">$O46-SUM($AS46:BB46)</f>
        <v>338.71113776514289</v>
      </c>
      <c r="Z46" s="442">
        <f ca="1">$O46-SUM($AS46:BC46)</f>
        <v>329.16997895485719</v>
      </c>
      <c r="AA46" s="442">
        <f ca="1">$O46-SUM($AS46:BD46)</f>
        <v>319.62882014457148</v>
      </c>
      <c r="AB46" s="442">
        <f ca="1">$O46-SUM($AS46:BE46)</f>
        <v>310.08766133428577</v>
      </c>
      <c r="AC46" s="442">
        <f ca="1">$O46-SUM($AS46:BF46)</f>
        <v>300.54650252400006</v>
      </c>
      <c r="AD46" s="442">
        <f ca="1">$O46-SUM($AS46:BG46)</f>
        <v>300.54650252400006</v>
      </c>
      <c r="AE46" s="442">
        <f ca="1">$O46-SUM($AS46:BH46)</f>
        <v>300.54650252400006</v>
      </c>
      <c r="AF46" s="442">
        <f ca="1">$O46-SUM($AS46:BI46)</f>
        <v>280.5100690224001</v>
      </c>
      <c r="AG46" s="442">
        <f ca="1">$O46-SUM($AS46:BJ46)</f>
        <v>260.47363552080009</v>
      </c>
      <c r="AH46" s="442">
        <f ca="1">$O46-SUM($AS46:BK46)</f>
        <v>253.79482435360009</v>
      </c>
      <c r="AI46" s="442">
        <f ca="1">$O46-SUM($AS46:BL46)</f>
        <v>247.1160131864001</v>
      </c>
      <c r="AJ46" s="442">
        <f ca="1">$O46-SUM($AS46:BM46)</f>
        <v>240.43720201920007</v>
      </c>
      <c r="AK46" s="442">
        <f ca="1">$O46-SUM($AS46:BN46)</f>
        <v>233.75839085200005</v>
      </c>
      <c r="AL46" s="442">
        <f ca="1">$O46-SUM($AS46:BO46)</f>
        <v>227.07957968480002</v>
      </c>
      <c r="AM46" s="442">
        <f ca="1">$O46-SUM($AS46:BP46)</f>
        <v>220.4007685176</v>
      </c>
      <c r="AN46" s="442">
        <f ca="1">$O46-SUM($AS46:BQ46)</f>
        <v>213.72195735039998</v>
      </c>
      <c r="AO46" s="442">
        <f ca="1">$O46-SUM($AS46:BR46)</f>
        <v>207.04314618319995</v>
      </c>
      <c r="AP46" s="442">
        <f ca="1">$O46-SUM($AS46:BS46)</f>
        <v>200.36433501599993</v>
      </c>
      <c r="AR46" s="439" t="s">
        <v>1202</v>
      </c>
      <c r="AS46" s="442">
        <f ca="1">IF($H46="",0,IF($H46=1,IF('Para Adj'!$B$5 = 1,O46-($O46-SUMPRODUCT($CX46:CX46,$BU46:BU46))*(1-SUM($DZ46:DZ46)),BU46*CX46),$O46*BU46))</f>
        <v>66.788111671999999</v>
      </c>
      <c r="AT46" s="442">
        <f ca="1">IF($H46="",0,IF($H46=1,IF('Para Adj'!$B$5 = 1,P46-($O46-SUMPRODUCT($CX46:CY46,$BU46:BV46))*(1-SUM($DZ46:EA46)),BV46*CY46),$O46*BV46))</f>
        <v>11.131351945333336</v>
      </c>
      <c r="AU46" s="442">
        <f ca="1">IF($H46="",0,IF($H46=1,IF('Para Adj'!$B$5 = 1,Q46-($O46-SUMPRODUCT($CX46:CZ46,$BU46:BW46))*(1-SUM($DZ46:EB46)),BW46*CZ46),$O46*BW46))</f>
        <v>11.131351945333336</v>
      </c>
      <c r="AV46" s="442">
        <f ca="1">IF($H46="",0,IF($H46=1,IF('Para Adj'!$B$5 = 1,R46-($O46-SUMPRODUCT($CX46:DA46,$BU46:BX46))*(1-SUM($DZ46:EC46)),BX46*DA46),$O46*BX46))</f>
        <v>11.131351945333336</v>
      </c>
      <c r="AW46" s="442">
        <f ca="1">IF($H46="",0,IF($H46=1,IF('Para Adj'!$B$5 = 1,S46-($O46-SUMPRODUCT($CX46:DB46,$BU46:BY46))*(1-SUM($DZ46:ED46)),BY46*DB46),$O46*BY46))</f>
        <v>11.131351945333336</v>
      </c>
      <c r="AX46" s="442">
        <f ca="1">IF($H46="",0,IF($H46=1,IF('Para Adj'!$B$5 = 1,T46-($O46-SUMPRODUCT($CX46:DC46,$BU46:BZ46))*(1-SUM($DZ46:EE46)),BZ46*DC46),$O46*BZ46))</f>
        <v>11.131351945333336</v>
      </c>
      <c r="AY46" s="442">
        <f ca="1">IF($H46="",0,IF($H46=1,IF('Para Adj'!$B$5 = 1,U46-($O46-SUMPRODUCT($CX46:DD46,$BU46:CA46))*(1-SUM($DZ46:EF46)),CA46*DD46),$O46*CA46))</f>
        <v>11.131351945333336</v>
      </c>
      <c r="AZ46" s="442">
        <f ca="1">IF($H46="",0,IF($H46=1,IF('Para Adj'!$B$5 = 1,V46-($O46-SUMPRODUCT($CX46:DE46,$BU46:CB46))*(1-SUM($DZ46:EG46)),CB46*DE46),$O46*CB46))</f>
        <v>9.5411588102857152</v>
      </c>
      <c r="BA46" s="442">
        <f ca="1">IF($H46="",0,IF($H46=1,IF('Para Adj'!$B$5 = 1,W46-($O46-SUMPRODUCT($CX46:DF46,$BU46:CC46))*(1-SUM($DZ46:EH46)),CC46*DF46),$O46*CC46))</f>
        <v>9.5411588102857152</v>
      </c>
      <c r="BB46" s="442">
        <f ca="1">IF($H46="",0,IF($H46=1,IF('Para Adj'!$B$5 = 1,X46-($O46-SUMPRODUCT($CX46:DG46,$BU46:CD46))*(1-SUM($DZ46:EI46)),CD46*DG46),$O46*CD46))</f>
        <v>9.5411588102857152</v>
      </c>
      <c r="BC46" s="442">
        <f ca="1">IF($H46="",0,IF($H46=1,IF('Para Adj'!$B$5 = 1,Y46-($O46-SUMPRODUCT($CX46:DH46,$BU46:CE46))*(1-SUM($DZ46:EJ46)),CE46*DH46),$O46*CE46))</f>
        <v>9.5411588102857152</v>
      </c>
      <c r="BD46" s="442">
        <f ca="1">IF($H46="",0,IF($H46=1,IF('Para Adj'!$B$5 = 1,Z46-($O46-SUMPRODUCT($CX46:DI46,$BU46:CF46))*(1-SUM($DZ46:EK46)),CF46*DI46),$O46*CF46))</f>
        <v>9.5411588102857152</v>
      </c>
      <c r="BE46" s="442">
        <f ca="1">IF($H46="",0,IF($H46=1,IF('Para Adj'!$B$5 = 1,AA46-($O46-SUMPRODUCT($CX46:DJ46,$BU46:CG46))*(1-SUM($DZ46:EL46)),CG46*DJ46),$O46*CG46))</f>
        <v>9.5411588102857152</v>
      </c>
      <c r="BF46" s="442">
        <f ca="1">IF($H46="",0,IF($H46=1,IF('Para Adj'!$B$5 = 1,AB46-($O46-SUMPRODUCT($CX46:DK46,$BU46:CH46))*(1-SUM($DZ46:EM46)),CH46*DK46),$O46*CH46))</f>
        <v>9.5411588102857152</v>
      </c>
      <c r="BG46" s="442">
        <f ca="1">IF($H46="",0,IF($H46=1,IF('Para Adj'!$B$5 = 1,AC46-($O46-SUMPRODUCT($CX46:DL46,$BU46:CI46))*(1-SUM($DZ46:EN46)),CI46*DL46),$O46*CI46))</f>
        <v>0</v>
      </c>
      <c r="BH46" s="442">
        <f ca="1">IF($H46="",0,IF($H46=1,IF('Para Adj'!$B$5 = 1,AD46-($O46-SUMPRODUCT($CX46:DM46,$BU46:CJ46))*(1-SUM($DZ46:EO46)),CJ46*DM46),$O46*CJ46))</f>
        <v>0</v>
      </c>
      <c r="BI46" s="442">
        <f ca="1">IF($H46="",0,IF($H46=1,IF('Para Adj'!$B$5 = 1,AE46-($O46-SUMPRODUCT($CX46:DN46,$BU46:CK46))*(1-SUM($DZ46:EP46)),CK46*DN46),$O46*CK46))</f>
        <v>20.036433501599991</v>
      </c>
      <c r="BJ46" s="442">
        <f ca="1">IF($H46="",0,IF($H46=1,IF('Para Adj'!$B$5 = 1,AF46-($O46-SUMPRODUCT($CX46:DO46,$BU46:CL46))*(1-SUM($DZ46:EQ46)),CL46*DO46),$O46*CL46))</f>
        <v>20.036433501599991</v>
      </c>
      <c r="BK46" s="442">
        <f ca="1">IF($H46="",0,IF($H46=1,IF('Para Adj'!$B$5 = 1,AG46-($O46-SUMPRODUCT($CX46:DP46,$BU46:CM46))*(1-SUM($DZ46:ER46)),CM46*DP46),$O46*CM46))</f>
        <v>6.6788111672000063</v>
      </c>
      <c r="BL46" s="442">
        <f ca="1">IF($H46="",0,IF($H46=1,IF('Para Adj'!$B$5 = 1,AH46-($O46-SUMPRODUCT($CX46:DQ46,$BU46:CN46))*(1-SUM($DZ46:ES46)),CN46*DQ46),$O46*CN46))</f>
        <v>6.6788111672000063</v>
      </c>
      <c r="BM46" s="442">
        <f ca="1">IF($H46="",0,IF($H46=1,IF('Para Adj'!$B$5 = 1,AI46-($O46-SUMPRODUCT($CX46:DR46,$BU46:CO46))*(1-SUM($DZ46:ET46)),CO46*DR46),$O46*CO46))</f>
        <v>6.6788111672000063</v>
      </c>
      <c r="BN46" s="442">
        <f ca="1">IF($H46="",0,IF($H46=1,IF('Para Adj'!$B$5 = 1,AJ46-($O46-SUMPRODUCT($CX46:DS46,$BU46:CP46))*(1-SUM($DZ46:EU46)),CP46*DS46),$O46*CP46))</f>
        <v>6.6788111672000063</v>
      </c>
      <c r="BO46" s="442">
        <f ca="1">IF($H46="",0,IF($H46=1,IF('Para Adj'!$B$5 = 1,AK46-($O46-SUMPRODUCT($CX46:DT46,$BU46:CQ46))*(1-SUM($DZ46:EV46)),CQ46*DT46),$O46*CQ46))</f>
        <v>6.6788111672000063</v>
      </c>
      <c r="BP46" s="442">
        <f ca="1">IF($H46="",0,IF($H46=1,IF('Para Adj'!$B$5 = 1,AL46-($O46-SUMPRODUCT($CX46:DU46,$BU46:CR46))*(1-SUM($DZ46:EW46)),CR46*DU46),$O46*CR46))</f>
        <v>6.6788111672000063</v>
      </c>
      <c r="BQ46" s="442">
        <f ca="1">IF($H46="",0,IF($H46=1,IF('Para Adj'!$B$5 = 1,AM46-($O46-SUMPRODUCT($CX46:DV46,$BU46:CS46))*(1-SUM($DZ46:EX46)),CS46*DV46),$O46*CS46))</f>
        <v>6.6788111672000063</v>
      </c>
      <c r="BR46" s="442">
        <f ca="1">IF($H46="",0,IF($H46=1,IF('Para Adj'!$B$5 = 1,AN46-($O46-SUMPRODUCT($CX46:DW46,$BU46:CT46))*(1-SUM($DZ46:EY46)),CT46*DW46),$O46*CT46))</f>
        <v>6.6788111672000063</v>
      </c>
      <c r="BS46" s="442">
        <f ca="1">IF($H46="",0,IF($H46=1,IF('Para Adj'!$B$5 = 1,AO46-($O46-SUMPRODUCT($CX46:DX46,$BU46:CU46))*(1-SUM($DZ46:EZ46)),CU46*DX46),$O46*CU46))</f>
        <v>6.6788111672000063</v>
      </c>
      <c r="BU46" s="820">
        <f ca="1">IF($B46=0,"",INDEX(Assumptions!G:G,$B46))</f>
        <v>0.13333333333333333</v>
      </c>
      <c r="BV46" s="820">
        <f ca="1">IF($B46=0,"",INDEX(Assumptions!H:H,$B46))</f>
        <v>2.2222222222222223E-2</v>
      </c>
      <c r="BW46" s="820">
        <f ca="1">IF($B46=0,"",INDEX(Assumptions!I:I,$B46))</f>
        <v>2.2222222222222223E-2</v>
      </c>
      <c r="BX46" s="820">
        <f ca="1">IF($B46=0,"",INDEX(Assumptions!J:J,$B46))</f>
        <v>2.2222222222222223E-2</v>
      </c>
      <c r="BY46" s="820">
        <f ca="1">IF($B46=0,"",INDEX(Assumptions!K:K,$B46))</f>
        <v>2.2222222222222223E-2</v>
      </c>
      <c r="BZ46" s="820">
        <f ca="1">IF($B46=0,"",INDEX(Assumptions!L:L,$B46))</f>
        <v>2.2222222222222223E-2</v>
      </c>
      <c r="CA46" s="820">
        <f ca="1">IF($B46=0,"",INDEX(Assumptions!M:M,$B46))</f>
        <v>2.2222222222222223E-2</v>
      </c>
      <c r="CB46" s="820">
        <f ca="1">IF($B46=0,"",INDEX(Assumptions!N:N,$B46))</f>
        <v>1.9047619047619049E-2</v>
      </c>
      <c r="CC46" s="820">
        <f ca="1">IF($B46=0,"",INDEX(Assumptions!O:O,$B46))</f>
        <v>1.9047619047619049E-2</v>
      </c>
      <c r="CD46" s="820">
        <f ca="1">IF($B46=0,"",INDEX(Assumptions!P:P,$B46))</f>
        <v>1.9047619047619049E-2</v>
      </c>
      <c r="CE46" s="820">
        <f ca="1">IF($B46=0,"",INDEX(Assumptions!Q:Q,$B46))</f>
        <v>1.9047619047619049E-2</v>
      </c>
      <c r="CF46" s="820">
        <f ca="1">IF($B46=0,"",INDEX(Assumptions!R:R,$B46))</f>
        <v>1.9047619047619049E-2</v>
      </c>
      <c r="CG46" s="820">
        <f ca="1">IF($B46=0,"",INDEX(Assumptions!S:S,$B46))</f>
        <v>1.9047619047619049E-2</v>
      </c>
      <c r="CH46" s="820">
        <f ca="1">IF($B46=0,"",INDEX(Assumptions!T:T,$B46))</f>
        <v>1.9047619047619049E-2</v>
      </c>
      <c r="CI46" s="820">
        <f ca="1">IF($B46=0,"",INDEX(Assumptions!U:U,$B46))</f>
        <v>0</v>
      </c>
      <c r="CJ46" s="820">
        <f ca="1">IF($B46=0,"",INDEX(Assumptions!V:V,$B46))</f>
        <v>0</v>
      </c>
      <c r="CK46" s="820">
        <f ca="1">IF($B46=0,"",INDEX(Assumptions!W:W,$B46))</f>
        <v>3.999999999999998E-2</v>
      </c>
      <c r="CL46" s="820">
        <f ca="1">IF($B46=0,"",INDEX(Assumptions!X:X,$B46))</f>
        <v>3.999999999999998E-2</v>
      </c>
      <c r="CM46" s="820">
        <f ca="1">IF($B46=0,"",INDEX(Assumptions!Y:Y,$B46))</f>
        <v>1.3333333333333345E-2</v>
      </c>
      <c r="CN46" s="820">
        <f ca="1">IF($B46=0,"",INDEX(Assumptions!Z:Z,$B46))</f>
        <v>1.3333333333333345E-2</v>
      </c>
      <c r="CO46" s="820">
        <f ca="1">IF($B46=0,"",INDEX(Assumptions!AA:AA,$B46))</f>
        <v>1.3333333333333345E-2</v>
      </c>
      <c r="CP46" s="820">
        <f ca="1">IF($B46=0,"",INDEX(Assumptions!AB:AB,$B46))</f>
        <v>1.3333333333333345E-2</v>
      </c>
      <c r="CQ46" s="820">
        <f ca="1">IF($B46=0,"",INDEX(Assumptions!AC:AC,$B46))</f>
        <v>1.3333333333333345E-2</v>
      </c>
      <c r="CR46" s="820">
        <f ca="1">IF($B46=0,"",INDEX(Assumptions!AD:AD,$B46))</f>
        <v>1.3333333333333345E-2</v>
      </c>
      <c r="CS46" s="820">
        <f ca="1">IF($B46=0,"",INDEX(Assumptions!AE:AE,$B46))</f>
        <v>1.3333333333333345E-2</v>
      </c>
      <c r="CT46" s="820">
        <f ca="1">IF($B46=0,"",INDEX(Assumptions!AF:AF,$B46))</f>
        <v>1.3333333333333345E-2</v>
      </c>
      <c r="CU46" s="820">
        <f ca="1">IF($B46=0,"",INDEX(Assumptions!AG:AG,$B46))</f>
        <v>1.3333333333333345E-2</v>
      </c>
      <c r="CX46" s="442">
        <f>IF($A46="","",INDEX('Data Interface'!G:G,$A46))</f>
        <v>500.91083754000005</v>
      </c>
      <c r="CY46" s="442">
        <f>IF($A46="","",INDEX('Data Interface'!H:H,$A46))</f>
        <v>0</v>
      </c>
      <c r="CZ46" s="442">
        <f>IF($A46="","",INDEX('Data Interface'!I:I,$A46))</f>
        <v>0</v>
      </c>
      <c r="DA46" s="442">
        <f>IF($A46="","",INDEX('Data Interface'!J:J,$A46))</f>
        <v>0</v>
      </c>
      <c r="DB46" s="442">
        <f>IF($A46="","",INDEX('Data Interface'!K:K,$A46))</f>
        <v>0</v>
      </c>
      <c r="DC46" s="442">
        <f>IF($A46="","",INDEX('Data Interface'!L:L,$A46))</f>
        <v>0</v>
      </c>
      <c r="DD46" s="442">
        <f>IF($A46="","",INDEX('Data Interface'!M:M,$A46))</f>
        <v>0</v>
      </c>
      <c r="DE46" s="442">
        <f>IF($A46="","",INDEX('Data Interface'!N:N,$A46))</f>
        <v>0</v>
      </c>
      <c r="DF46" s="442">
        <f>IF($A46="","",INDEX('Data Interface'!O:O,$A46))</f>
        <v>0</v>
      </c>
      <c r="DG46" s="442">
        <f>IF($A46="","",INDEX('Data Interface'!P:P,$A46))</f>
        <v>0</v>
      </c>
      <c r="DH46" s="442">
        <f>IF($A46="","",INDEX('Data Interface'!Q:Q,$A46))</f>
        <v>0</v>
      </c>
      <c r="DI46" s="442">
        <f>IF($A46="","",INDEX('Data Interface'!R:R,$A46))</f>
        <v>0</v>
      </c>
      <c r="DJ46" s="442">
        <f>IF($A46="","",INDEX('Data Interface'!S:S,$A46))</f>
        <v>0</v>
      </c>
      <c r="DK46" s="442">
        <f>IF($A46="","",INDEX('Data Interface'!T:T,$A46))</f>
        <v>0</v>
      </c>
      <c r="DL46" s="442">
        <f>IF($A46="","",INDEX('Data Interface'!U:U,$A46))</f>
        <v>0</v>
      </c>
      <c r="DM46" s="442">
        <f>IF($A46="","",INDEX('Data Interface'!V:V,$A46))</f>
        <v>0</v>
      </c>
      <c r="DN46" s="442">
        <f>IF($A46="","",INDEX('Data Interface'!W:W,$A46))</f>
        <v>0</v>
      </c>
      <c r="DO46" s="442">
        <f>IF($A46="","",INDEX('Data Interface'!X:X,$A46))</f>
        <v>0</v>
      </c>
      <c r="DP46" s="442">
        <f>IF($A46="","",INDEX('Data Interface'!Y:Y,$A46))</f>
        <v>0</v>
      </c>
      <c r="DQ46" s="442">
        <f>IF($A46="","",INDEX('Data Interface'!Z:Z,$A46))</f>
        <v>0</v>
      </c>
      <c r="DR46" s="442">
        <f>IF($A46="","",INDEX('Data Interface'!AA:AA,$A46))</f>
        <v>0</v>
      </c>
      <c r="DS46" s="442">
        <f>IF($A46="","",INDEX('Data Interface'!AB:AB,$A46))</f>
        <v>0</v>
      </c>
      <c r="DT46" s="442">
        <f>IF($A46="","",INDEX('Data Interface'!AC:AC,$A46))</f>
        <v>0</v>
      </c>
      <c r="DU46" s="442">
        <f>IF($A46="","",INDEX('Data Interface'!AD:AD,$A46))</f>
        <v>0</v>
      </c>
      <c r="DV46" s="442">
        <f>IF($A46="","",INDEX('Data Interface'!AE:AE,$A46))</f>
        <v>0</v>
      </c>
      <c r="DW46" s="442">
        <f>IF($A46="","",INDEX('Data Interface'!AF:AF,$A46))</f>
        <v>0</v>
      </c>
      <c r="DX46" s="442">
        <f>IF($A46="","",INDEX('Data Interface'!AG:AG,$A46))</f>
        <v>0</v>
      </c>
      <c r="DZ46" s="906" t="str">
        <f>IF(OR($B46=0,$A46=0,$H46&lt;&gt;1),"",INDEX(Assumptions!EO:EO,$B46))</f>
        <v/>
      </c>
      <c r="EA46" s="906" t="str">
        <f>IF(OR($B46=0,$A46=0,$H46&lt;&gt;1),"",INDEX(Assumptions!EP:EP,$B46))</f>
        <v/>
      </c>
      <c r="EB46" s="906" t="str">
        <f>IF(OR($B46=0,$A46=0,$H46&lt;&gt;1),"",INDEX(Assumptions!EQ:EQ,$B46))</f>
        <v/>
      </c>
      <c r="EC46" s="906" t="str">
        <f>IF(OR($B46=0,$A46=0,$H46&lt;&gt;1),"",INDEX(Assumptions!ER:ER,$B46))</f>
        <v/>
      </c>
      <c r="ED46" s="906" t="str">
        <f>IF(OR($B46=0,$A46=0,$H46&lt;&gt;1),"",INDEX(Assumptions!ES:ES,$B46))</f>
        <v/>
      </c>
      <c r="EE46" s="906" t="str">
        <f>IF(OR($B46=0,$A46=0,$H46&lt;&gt;1),"",INDEX(Assumptions!ET:ET,$B46))</f>
        <v/>
      </c>
      <c r="EF46" s="906" t="str">
        <f>IF(OR($B46=0,$A46=0,$H46&lt;&gt;1),"",INDEX(Assumptions!EU:EU,$B46))</f>
        <v/>
      </c>
      <c r="EG46" s="906" t="str">
        <f>IF(OR($B46=0,$A46=0,$H46&lt;&gt;1),"",INDEX(Assumptions!EV:EV,$B46))</f>
        <v/>
      </c>
      <c r="EH46" s="906" t="str">
        <f>IF(OR($B46=0,$A46=0,$H46&lt;&gt;1),"",INDEX(Assumptions!EW:EW,$B46))</f>
        <v/>
      </c>
      <c r="EI46" s="906" t="str">
        <f>IF(OR($B46=0,$A46=0,$H46&lt;&gt;1),"",INDEX(Assumptions!EX:EX,$B46))</f>
        <v/>
      </c>
      <c r="EJ46" s="906" t="str">
        <f>IF(OR($B46=0,$A46=0,$H46&lt;&gt;1),"",INDEX(Assumptions!EY:EY,$B46))</f>
        <v/>
      </c>
      <c r="EK46" s="906" t="str">
        <f>IF(OR($B46=0,$A46=0,$H46&lt;&gt;1),"",INDEX(Assumptions!EZ:EZ,$B46))</f>
        <v/>
      </c>
      <c r="EL46" s="906" t="str">
        <f>IF(OR($B46=0,$A46=0,$H46&lt;&gt;1),"",INDEX(Assumptions!FA:FA,$B46))</f>
        <v/>
      </c>
      <c r="EM46" s="906" t="str">
        <f>IF(OR($B46=0,$A46=0,$H46&lt;&gt;1),"",INDEX(Assumptions!FB:FB,$B46))</f>
        <v/>
      </c>
      <c r="EN46" s="906" t="str">
        <f>IF(OR($B46=0,$A46=0,$H46&lt;&gt;1),"",INDEX(Assumptions!FC:FC,$B46))</f>
        <v/>
      </c>
      <c r="EO46" s="906" t="str">
        <f>IF(OR($B46=0,$A46=0,$H46&lt;&gt;1),"",INDEX(Assumptions!FD:FD,$B46))</f>
        <v/>
      </c>
      <c r="EP46" s="906" t="str">
        <f>IF(OR($B46=0,$A46=0,$H46&lt;&gt;1),"",INDEX(Assumptions!FE:FE,$B46))</f>
        <v/>
      </c>
      <c r="EQ46" s="906" t="str">
        <f>IF(OR($B46=0,$A46=0,$H46&lt;&gt;1),"",INDEX(Assumptions!FF:FF,$B46))</f>
        <v/>
      </c>
      <c r="ER46" s="906" t="str">
        <f>IF(OR($B46=0,$A46=0,$H46&lt;&gt;1),"",INDEX(Assumptions!FG:FG,$B46))</f>
        <v/>
      </c>
      <c r="ES46" s="906" t="str">
        <f>IF(OR($B46=0,$A46=0,$H46&lt;&gt;1),"",INDEX(Assumptions!FH:FH,$B46))</f>
        <v/>
      </c>
      <c r="ET46" s="906" t="str">
        <f>IF(OR($B46=0,$A46=0,$H46&lt;&gt;1),"",INDEX(Assumptions!FI:FI,$B46))</f>
        <v/>
      </c>
      <c r="EU46" s="906" t="str">
        <f>IF(OR($B46=0,$A46=0,$H46&lt;&gt;1),"",INDEX(Assumptions!FJ:FJ,$B46))</f>
        <v/>
      </c>
      <c r="EV46" s="906" t="str">
        <f>IF(OR($B46=0,$A46=0,$H46&lt;&gt;1),"",INDEX(Assumptions!FK:FK,$B46))</f>
        <v/>
      </c>
      <c r="EW46" s="906" t="str">
        <f>IF(OR($B46=0,$A46=0,$H46&lt;&gt;1),"",INDEX(Assumptions!FL:FL,$B46))</f>
        <v/>
      </c>
      <c r="EX46" s="906" t="str">
        <f>IF(OR($B46=0,$A46=0,$H46&lt;&gt;1),"",INDEX(Assumptions!FM:FM,$B46))</f>
        <v/>
      </c>
      <c r="EY46" s="906" t="str">
        <f>IF(OR($B46=0,$A46=0,$H46&lt;&gt;1),"",INDEX(Assumptions!FN:FN,$B46))</f>
        <v/>
      </c>
      <c r="EZ46" s="906" t="str">
        <f>IF(OR($B46=0,$A46=0,$H46&lt;&gt;1),"",INDEX(Assumptions!FO:FO,$B46))</f>
        <v/>
      </c>
      <c r="FB46" s="820" t="str">
        <f t="shared" si="18"/>
        <v/>
      </c>
      <c r="FC46" s="820" t="str">
        <f t="shared" si="19"/>
        <v/>
      </c>
      <c r="FD46" s="820" t="str">
        <f t="shared" si="20"/>
        <v/>
      </c>
      <c r="FE46" s="820" t="str">
        <f t="shared" si="21"/>
        <v/>
      </c>
      <c r="FF46" s="820" t="str">
        <f t="shared" si="22"/>
        <v/>
      </c>
    </row>
    <row r="47" spans="1:162">
      <c r="A47" s="440">
        <f>IFERROR(MATCH(C47,'Data Interface'!B:B,0),0)</f>
        <v>44</v>
      </c>
      <c r="B47" s="440">
        <f>IFERROR(MATCH(C47,Assumptions!$B:$B,0),0)</f>
        <v>56</v>
      </c>
      <c r="C47" s="441" t="s">
        <v>1169</v>
      </c>
      <c r="E47" s="441" t="s">
        <v>1219</v>
      </c>
      <c r="F47" s="440" t="s">
        <v>36</v>
      </c>
      <c r="G47" s="440" t="str">
        <f>IF(A47=0,"",INDEX('Data Interface'!$C:$C,$A47))</f>
        <v>Due to Banks - Investment - Non-US (Exclude Large FI)</v>
      </c>
      <c r="H47" s="440">
        <v>0</v>
      </c>
      <c r="I47" s="819">
        <f t="shared" ca="1" si="23"/>
        <v>0.18400000000000016</v>
      </c>
      <c r="J47" s="819">
        <f t="shared" ca="1" si="24"/>
        <v>0.23000000000000015</v>
      </c>
      <c r="K47" s="439" t="str">
        <f t="shared" ca="1" si="25"/>
        <v>18.4% of Current Balance</v>
      </c>
      <c r="L47" s="439" t="s">
        <v>1148</v>
      </c>
      <c r="M47" s="439" t="s">
        <v>1507</v>
      </c>
      <c r="O47" s="442">
        <f>IF(OR($A47="",$A47=0),0,INDEX('Data Interface'!D:D,$A47))</f>
        <v>1633.1261072200041</v>
      </c>
      <c r="P47" s="442">
        <f ca="1">$O47-SUM($AS47:AS47)</f>
        <v>1532.9610393105104</v>
      </c>
      <c r="Q47" s="442">
        <f ca="1">$O47-SUM($AS47:AT47)</f>
        <v>1516.2668613255948</v>
      </c>
      <c r="R47" s="442">
        <f ca="1">$O47-SUM($AS47:AU47)</f>
        <v>1499.5726833406793</v>
      </c>
      <c r="S47" s="442">
        <f ca="1">$O47-SUM($AS47:AV47)</f>
        <v>1482.8785053557638</v>
      </c>
      <c r="T47" s="442">
        <f ca="1">$O47-SUM($AS47:AW47)</f>
        <v>1466.184327370848</v>
      </c>
      <c r="U47" s="442">
        <f ca="1">$O47-SUM($AS47:AX47)</f>
        <v>1449.4901493859325</v>
      </c>
      <c r="V47" s="442">
        <f ca="1">$O47-SUM($AS47:AY47)</f>
        <v>1432.7959714010169</v>
      </c>
      <c r="W47" s="442">
        <f ca="1">$O47-SUM($AS47:AZ47)</f>
        <v>1418.4866759853749</v>
      </c>
      <c r="X47" s="442">
        <f ca="1">$O47-SUM($AS47:BA47)</f>
        <v>1404.177380569733</v>
      </c>
      <c r="Y47" s="442">
        <f ca="1">$O47-SUM($AS47:BB47)</f>
        <v>1389.868085154091</v>
      </c>
      <c r="Z47" s="442">
        <f ca="1">$O47-SUM($AS47:BC47)</f>
        <v>1375.5587897384491</v>
      </c>
      <c r="AA47" s="442">
        <f ca="1">$O47-SUM($AS47:BD47)</f>
        <v>1361.2494943228071</v>
      </c>
      <c r="AB47" s="442">
        <f ca="1">$O47-SUM($AS47:BE47)</f>
        <v>1346.9401989071653</v>
      </c>
      <c r="AC47" s="442">
        <f ca="1">$O47-SUM($AS47:BF47)</f>
        <v>1332.6309034915232</v>
      </c>
      <c r="AD47" s="442">
        <f ca="1">$O47-SUM($AS47:BG47)</f>
        <v>1295.0690030254632</v>
      </c>
      <c r="AE47" s="442">
        <f ca="1">$O47-SUM($AS47:BH47)</f>
        <v>1257.5071025594032</v>
      </c>
      <c r="AF47" s="442">
        <f ca="1">$O47-SUM($AS47:BI47)</f>
        <v>1219.9452020933431</v>
      </c>
      <c r="AG47" s="442">
        <f ca="1">$O47-SUM($AS47:BJ47)</f>
        <v>1182.3833016272829</v>
      </c>
      <c r="AH47" s="442">
        <f ca="1">$O47-SUM($AS47:BK47)</f>
        <v>1169.8626681385963</v>
      </c>
      <c r="AI47" s="442">
        <f ca="1">$O47-SUM($AS47:BL47)</f>
        <v>1157.3420346499095</v>
      </c>
      <c r="AJ47" s="442">
        <f ca="1">$O47-SUM($AS47:BM47)</f>
        <v>1144.8214011612229</v>
      </c>
      <c r="AK47" s="442">
        <f ca="1">$O47-SUM($AS47:BN47)</f>
        <v>1132.300767672536</v>
      </c>
      <c r="AL47" s="442">
        <f ca="1">$O47-SUM($AS47:BO47)</f>
        <v>1119.7801341838494</v>
      </c>
      <c r="AM47" s="442">
        <f ca="1">$O47-SUM($AS47:BP47)</f>
        <v>1107.2595006951628</v>
      </c>
      <c r="AN47" s="442">
        <f ca="1">$O47-SUM($AS47:BQ47)</f>
        <v>1094.738867206476</v>
      </c>
      <c r="AO47" s="442">
        <f ca="1">$O47-SUM($AS47:BR47)</f>
        <v>1082.2182337177892</v>
      </c>
      <c r="AP47" s="442">
        <f ca="1">$O47-SUM($AS47:BS47)</f>
        <v>1069.6976002291026</v>
      </c>
      <c r="AR47" s="439" t="s">
        <v>1202</v>
      </c>
      <c r="AS47" s="442">
        <f ca="1">IF($H47="",0,IF($H47=1,IF('Para Adj'!$B$5 = 1,O47-($O47-SUMPRODUCT($CX47:CX47,$BU47:BU47))*(1-SUM($DZ47:DZ47)),BU47*CX47),$O47*BU47))</f>
        <v>100.16506790949362</v>
      </c>
      <c r="AT47" s="442">
        <f ca="1">IF($H47="",0,IF($H47=1,IF('Para Adj'!$B$5 = 1,P47-($O47-SUMPRODUCT($CX47:CY47,$BU47:BV47))*(1-SUM($DZ47:EA47)),BV47*CY47),$O47*BV47))</f>
        <v>16.694177984915601</v>
      </c>
      <c r="AU47" s="442">
        <f ca="1">IF($H47="",0,IF($H47=1,IF('Para Adj'!$B$5 = 1,Q47-($O47-SUMPRODUCT($CX47:CZ47,$BU47:BW47))*(1-SUM($DZ47:EB47)),BW47*CZ47),$O47*BW47))</f>
        <v>16.694177984915601</v>
      </c>
      <c r="AV47" s="442">
        <f ca="1">IF($H47="",0,IF($H47=1,IF('Para Adj'!$B$5 = 1,R47-($O47-SUMPRODUCT($CX47:DA47,$BU47:BX47))*(1-SUM($DZ47:EC47)),BX47*DA47),$O47*BX47))</f>
        <v>16.694177984915601</v>
      </c>
      <c r="AW47" s="442">
        <f ca="1">IF($H47="",0,IF($H47=1,IF('Para Adj'!$B$5 = 1,S47-($O47-SUMPRODUCT($CX47:DB47,$BU47:BY47))*(1-SUM($DZ47:ED47)),BY47*DB47),$O47*BY47))</f>
        <v>16.694177984915601</v>
      </c>
      <c r="AX47" s="442">
        <f ca="1">IF($H47="",0,IF($H47=1,IF('Para Adj'!$B$5 = 1,T47-($O47-SUMPRODUCT($CX47:DC47,$BU47:BZ47))*(1-SUM($DZ47:EE47)),BZ47*DC47),$O47*BZ47))</f>
        <v>16.694177984915601</v>
      </c>
      <c r="AY47" s="442">
        <f ca="1">IF($H47="",0,IF($H47=1,IF('Para Adj'!$B$5 = 1,U47-($O47-SUMPRODUCT($CX47:DD47,$BU47:CA47))*(1-SUM($DZ47:EF47)),CA47*DD47),$O47*CA47))</f>
        <v>16.694177984915601</v>
      </c>
      <c r="AZ47" s="442">
        <f ca="1">IF($H47="",0,IF($H47=1,IF('Para Adj'!$B$5 = 1,V47-($O47-SUMPRODUCT($CX47:DE47,$BU47:CB47))*(1-SUM($DZ47:EG47)),CB47*DE47),$O47*CB47))</f>
        <v>14.309295415641946</v>
      </c>
      <c r="BA47" s="442">
        <f ca="1">IF($H47="",0,IF($H47=1,IF('Para Adj'!$B$5 = 1,W47-($O47-SUMPRODUCT($CX47:DF47,$BU47:CC47))*(1-SUM($DZ47:EH47)),CC47*DF47),$O47*CC47))</f>
        <v>14.309295415641946</v>
      </c>
      <c r="BB47" s="442">
        <f ca="1">IF($H47="",0,IF($H47=1,IF('Para Adj'!$B$5 = 1,X47-($O47-SUMPRODUCT($CX47:DG47,$BU47:CD47))*(1-SUM($DZ47:EI47)),CD47*DG47),$O47*CD47))</f>
        <v>14.309295415641946</v>
      </c>
      <c r="BC47" s="442">
        <f ca="1">IF($H47="",0,IF($H47=1,IF('Para Adj'!$B$5 = 1,Y47-($O47-SUMPRODUCT($CX47:DH47,$BU47:CE47))*(1-SUM($DZ47:EJ47)),CE47*DH47),$O47*CE47))</f>
        <v>14.309295415641946</v>
      </c>
      <c r="BD47" s="442">
        <f ca="1">IF($H47="",0,IF($H47=1,IF('Para Adj'!$B$5 = 1,Z47-($O47-SUMPRODUCT($CX47:DI47,$BU47:CF47))*(1-SUM($DZ47:EK47)),CF47*DI47),$O47*CF47))</f>
        <v>14.309295415641946</v>
      </c>
      <c r="BE47" s="442">
        <f ca="1">IF($H47="",0,IF($H47=1,IF('Para Adj'!$B$5 = 1,AA47-($O47-SUMPRODUCT($CX47:DJ47,$BU47:CG47))*(1-SUM($DZ47:EL47)),CG47*DJ47),$O47*CG47))</f>
        <v>14.309295415641946</v>
      </c>
      <c r="BF47" s="442">
        <f ca="1">IF($H47="",0,IF($H47=1,IF('Para Adj'!$B$5 = 1,AB47-($O47-SUMPRODUCT($CX47:DK47,$BU47:CH47))*(1-SUM($DZ47:EM47)),CH47*DK47),$O47*CH47))</f>
        <v>14.309295415641946</v>
      </c>
      <c r="BG47" s="442">
        <f ca="1">IF($H47="",0,IF($H47=1,IF('Para Adj'!$B$5 = 1,AC47-($O47-SUMPRODUCT($CX47:DL47,$BU47:CI47))*(1-SUM($DZ47:EN47)),CI47*DL47),$O47*CI47))</f>
        <v>37.561900466060081</v>
      </c>
      <c r="BH47" s="442">
        <f ca="1">IF($H47="",0,IF($H47=1,IF('Para Adj'!$B$5 = 1,AD47-($O47-SUMPRODUCT($CX47:DM47,$BU47:CJ47))*(1-SUM($DZ47:EO47)),CJ47*DM47),$O47*CJ47))</f>
        <v>37.561900466060081</v>
      </c>
      <c r="BI47" s="442">
        <f ca="1">IF($H47="",0,IF($H47=1,IF('Para Adj'!$B$5 = 1,AE47-($O47-SUMPRODUCT($CX47:DN47,$BU47:CK47))*(1-SUM($DZ47:EP47)),CK47*DN47),$O47*CK47))</f>
        <v>37.561900466060102</v>
      </c>
      <c r="BJ47" s="442">
        <f ca="1">IF($H47="",0,IF($H47=1,IF('Para Adj'!$B$5 = 1,AF47-($O47-SUMPRODUCT($CX47:DO47,$BU47:CL47))*(1-SUM($DZ47:EQ47)),CL47*DO47),$O47*CL47))</f>
        <v>37.561900466060102</v>
      </c>
      <c r="BK47" s="442">
        <f ca="1">IF($H47="",0,IF($H47=1,IF('Para Adj'!$B$5 = 1,AG47-($O47-SUMPRODUCT($CX47:DP47,$BU47:CM47))*(1-SUM($DZ47:ER47)),CM47*DP47),$O47*CM47))</f>
        <v>12.520633488686698</v>
      </c>
      <c r="BL47" s="442">
        <f ca="1">IF($H47="",0,IF($H47=1,IF('Para Adj'!$B$5 = 1,AH47-($O47-SUMPRODUCT($CX47:DQ47,$BU47:CN47))*(1-SUM($DZ47:ES47)),CN47*DQ47),$O47*CN47))</f>
        <v>12.520633488686698</v>
      </c>
      <c r="BM47" s="442">
        <f ca="1">IF($H47="",0,IF($H47=1,IF('Para Adj'!$B$5 = 1,AI47-($O47-SUMPRODUCT($CX47:DR47,$BU47:CO47))*(1-SUM($DZ47:ET47)),CO47*DR47),$O47*CO47))</f>
        <v>12.520633488686698</v>
      </c>
      <c r="BN47" s="442">
        <f ca="1">IF($H47="",0,IF($H47=1,IF('Para Adj'!$B$5 = 1,AJ47-($O47-SUMPRODUCT($CX47:DS47,$BU47:CP47))*(1-SUM($DZ47:EU47)),CP47*DS47),$O47*CP47))</f>
        <v>12.520633488686698</v>
      </c>
      <c r="BO47" s="442">
        <f ca="1">IF($H47="",0,IF($H47=1,IF('Para Adj'!$B$5 = 1,AK47-($O47-SUMPRODUCT($CX47:DT47,$BU47:CQ47))*(1-SUM($DZ47:EV47)),CQ47*DT47),$O47*CQ47))</f>
        <v>12.520633488686698</v>
      </c>
      <c r="BP47" s="442">
        <f ca="1">IF($H47="",0,IF($H47=1,IF('Para Adj'!$B$5 = 1,AL47-($O47-SUMPRODUCT($CX47:DU47,$BU47:CR47))*(1-SUM($DZ47:EW47)),CR47*DU47),$O47*CR47))</f>
        <v>12.520633488686698</v>
      </c>
      <c r="BQ47" s="442">
        <f ca="1">IF($H47="",0,IF($H47=1,IF('Para Adj'!$B$5 = 1,AM47-($O47-SUMPRODUCT($CX47:DV47,$BU47:CS47))*(1-SUM($DZ47:EX47)),CS47*DV47),$O47*CS47))</f>
        <v>12.520633488686698</v>
      </c>
      <c r="BR47" s="442">
        <f ca="1">IF($H47="",0,IF($H47=1,IF('Para Adj'!$B$5 = 1,AN47-($O47-SUMPRODUCT($CX47:DW47,$BU47:CT47))*(1-SUM($DZ47:EY47)),CT47*DW47),$O47*CT47))</f>
        <v>12.520633488686698</v>
      </c>
      <c r="BS47" s="442">
        <f ca="1">IF($H47="",0,IF($H47=1,IF('Para Adj'!$B$5 = 1,AO47-($O47-SUMPRODUCT($CX47:DX47,$BU47:CU47))*(1-SUM($DZ47:EZ47)),CU47*DX47),$O47*CU47))</f>
        <v>12.520633488686698</v>
      </c>
      <c r="BU47" s="820">
        <f ca="1">IF($B47=0,"",INDEX(Assumptions!G:G,$B47))</f>
        <v>6.1333333333333351E-2</v>
      </c>
      <c r="BV47" s="820">
        <f ca="1">IF($B47=0,"",INDEX(Assumptions!H:H,$B47))</f>
        <v>1.0222222222222225E-2</v>
      </c>
      <c r="BW47" s="820">
        <f ca="1">IF($B47=0,"",INDEX(Assumptions!I:I,$B47))</f>
        <v>1.0222222222222225E-2</v>
      </c>
      <c r="BX47" s="820">
        <f ca="1">IF($B47=0,"",INDEX(Assumptions!J:J,$B47))</f>
        <v>1.0222222222222225E-2</v>
      </c>
      <c r="BY47" s="820">
        <f ca="1">IF($B47=0,"",INDEX(Assumptions!K:K,$B47))</f>
        <v>1.0222222222222225E-2</v>
      </c>
      <c r="BZ47" s="820">
        <f ca="1">IF($B47=0,"",INDEX(Assumptions!L:L,$B47))</f>
        <v>1.0222222222222225E-2</v>
      </c>
      <c r="CA47" s="820">
        <f ca="1">IF($B47=0,"",INDEX(Assumptions!M:M,$B47))</f>
        <v>1.0222222222222225E-2</v>
      </c>
      <c r="CB47" s="820">
        <f ca="1">IF($B47=0,"",INDEX(Assumptions!N:N,$B47))</f>
        <v>8.7619047619047659E-3</v>
      </c>
      <c r="CC47" s="820">
        <f ca="1">IF($B47=0,"",INDEX(Assumptions!O:O,$B47))</f>
        <v>8.7619047619047659E-3</v>
      </c>
      <c r="CD47" s="820">
        <f ca="1">IF($B47=0,"",INDEX(Assumptions!P:P,$B47))</f>
        <v>8.7619047619047659E-3</v>
      </c>
      <c r="CE47" s="820">
        <f ca="1">IF($B47=0,"",INDEX(Assumptions!Q:Q,$B47))</f>
        <v>8.7619047619047659E-3</v>
      </c>
      <c r="CF47" s="820">
        <f ca="1">IF($B47=0,"",INDEX(Assumptions!R:R,$B47))</f>
        <v>8.7619047619047659E-3</v>
      </c>
      <c r="CG47" s="820">
        <f ca="1">IF($B47=0,"",INDEX(Assumptions!S:S,$B47))</f>
        <v>8.7619047619047659E-3</v>
      </c>
      <c r="CH47" s="820">
        <f ca="1">IF($B47=0,"",INDEX(Assumptions!T:T,$B47))</f>
        <v>8.7619047619047659E-3</v>
      </c>
      <c r="CI47" s="820">
        <f ca="1">IF($B47=0,"",INDEX(Assumptions!U:U,$B47))</f>
        <v>2.2999999999999993E-2</v>
      </c>
      <c r="CJ47" s="820">
        <f ca="1">IF($B47=0,"",INDEX(Assumptions!V:V,$B47))</f>
        <v>2.2999999999999993E-2</v>
      </c>
      <c r="CK47" s="820">
        <f ca="1">IF($B47=0,"",INDEX(Assumptions!W:W,$B47))</f>
        <v>2.3000000000000007E-2</v>
      </c>
      <c r="CL47" s="820">
        <f ca="1">IF($B47=0,"",INDEX(Assumptions!X:X,$B47))</f>
        <v>2.3000000000000007E-2</v>
      </c>
      <c r="CM47" s="820">
        <f ca="1">IF($B47=0,"",INDEX(Assumptions!Y:Y,$B47))</f>
        <v>7.6666666666666671E-3</v>
      </c>
      <c r="CN47" s="820">
        <f ca="1">IF($B47=0,"",INDEX(Assumptions!Z:Z,$B47))</f>
        <v>7.6666666666666671E-3</v>
      </c>
      <c r="CO47" s="820">
        <f ca="1">IF($B47=0,"",INDEX(Assumptions!AA:AA,$B47))</f>
        <v>7.6666666666666671E-3</v>
      </c>
      <c r="CP47" s="820">
        <f ca="1">IF($B47=0,"",INDEX(Assumptions!AB:AB,$B47))</f>
        <v>7.6666666666666671E-3</v>
      </c>
      <c r="CQ47" s="820">
        <f ca="1">IF($B47=0,"",INDEX(Assumptions!AC:AC,$B47))</f>
        <v>7.6666666666666671E-3</v>
      </c>
      <c r="CR47" s="820">
        <f ca="1">IF($B47=0,"",INDEX(Assumptions!AD:AD,$B47))</f>
        <v>7.6666666666666671E-3</v>
      </c>
      <c r="CS47" s="820">
        <f ca="1">IF($B47=0,"",INDEX(Assumptions!AE:AE,$B47))</f>
        <v>7.6666666666666671E-3</v>
      </c>
      <c r="CT47" s="820">
        <f ca="1">IF($B47=0,"",INDEX(Assumptions!AF:AF,$B47))</f>
        <v>7.6666666666666671E-3</v>
      </c>
      <c r="CU47" s="820">
        <f ca="1">IF($B47=0,"",INDEX(Assumptions!AG:AG,$B47))</f>
        <v>7.6666666666666671E-3</v>
      </c>
      <c r="CX47" s="442">
        <f>IF($A47="","",INDEX('Data Interface'!G:G,$A47))</f>
        <v>1633.1261072200041</v>
      </c>
      <c r="CY47" s="442">
        <f>IF($A47="","",INDEX('Data Interface'!H:H,$A47))</f>
        <v>0</v>
      </c>
      <c r="CZ47" s="442">
        <f>IF($A47="","",INDEX('Data Interface'!I:I,$A47))</f>
        <v>0</v>
      </c>
      <c r="DA47" s="442">
        <f>IF($A47="","",INDEX('Data Interface'!J:J,$A47))</f>
        <v>0</v>
      </c>
      <c r="DB47" s="442">
        <f>IF($A47="","",INDEX('Data Interface'!K:K,$A47))</f>
        <v>0</v>
      </c>
      <c r="DC47" s="442">
        <f>IF($A47="","",INDEX('Data Interface'!L:L,$A47))</f>
        <v>0</v>
      </c>
      <c r="DD47" s="442">
        <f>IF($A47="","",INDEX('Data Interface'!M:M,$A47))</f>
        <v>0</v>
      </c>
      <c r="DE47" s="442">
        <f>IF($A47="","",INDEX('Data Interface'!N:N,$A47))</f>
        <v>0</v>
      </c>
      <c r="DF47" s="442">
        <f>IF($A47="","",INDEX('Data Interface'!O:O,$A47))</f>
        <v>0</v>
      </c>
      <c r="DG47" s="442">
        <f>IF($A47="","",INDEX('Data Interface'!P:P,$A47))</f>
        <v>0</v>
      </c>
      <c r="DH47" s="442">
        <f>IF($A47="","",INDEX('Data Interface'!Q:Q,$A47))</f>
        <v>0</v>
      </c>
      <c r="DI47" s="442">
        <f>IF($A47="","",INDEX('Data Interface'!R:R,$A47))</f>
        <v>0</v>
      </c>
      <c r="DJ47" s="442">
        <f>IF($A47="","",INDEX('Data Interface'!S:S,$A47))</f>
        <v>0</v>
      </c>
      <c r="DK47" s="442">
        <f>IF($A47="","",INDEX('Data Interface'!T:T,$A47))</f>
        <v>0</v>
      </c>
      <c r="DL47" s="442">
        <f>IF($A47="","",INDEX('Data Interface'!U:U,$A47))</f>
        <v>0</v>
      </c>
      <c r="DM47" s="442">
        <f>IF($A47="","",INDEX('Data Interface'!V:V,$A47))</f>
        <v>0</v>
      </c>
      <c r="DN47" s="442">
        <f>IF($A47="","",INDEX('Data Interface'!W:W,$A47))</f>
        <v>0</v>
      </c>
      <c r="DO47" s="442">
        <f>IF($A47="","",INDEX('Data Interface'!X:X,$A47))</f>
        <v>0</v>
      </c>
      <c r="DP47" s="442">
        <f>IF($A47="","",INDEX('Data Interface'!Y:Y,$A47))</f>
        <v>0</v>
      </c>
      <c r="DQ47" s="442">
        <f>IF($A47="","",INDEX('Data Interface'!Z:Z,$A47))</f>
        <v>0</v>
      </c>
      <c r="DR47" s="442">
        <f>IF($A47="","",INDEX('Data Interface'!AA:AA,$A47))</f>
        <v>0</v>
      </c>
      <c r="DS47" s="442">
        <f>IF($A47="","",INDEX('Data Interface'!AB:AB,$A47))</f>
        <v>0</v>
      </c>
      <c r="DT47" s="442">
        <f>IF($A47="","",INDEX('Data Interface'!AC:AC,$A47))</f>
        <v>0</v>
      </c>
      <c r="DU47" s="442">
        <f>IF($A47="","",INDEX('Data Interface'!AD:AD,$A47))</f>
        <v>0</v>
      </c>
      <c r="DV47" s="442">
        <f>IF($A47="","",INDEX('Data Interface'!AE:AE,$A47))</f>
        <v>0</v>
      </c>
      <c r="DW47" s="442">
        <f>IF($A47="","",INDEX('Data Interface'!AF:AF,$A47))</f>
        <v>0</v>
      </c>
      <c r="DX47" s="442">
        <f>IF($A47="","",INDEX('Data Interface'!AG:AG,$A47))</f>
        <v>0</v>
      </c>
      <c r="DZ47" s="906" t="str">
        <f>IF(OR($B47=0,$A47=0,$H47&lt;&gt;1),"",INDEX(Assumptions!EO:EO,$B47))</f>
        <v/>
      </c>
      <c r="EA47" s="906" t="str">
        <f>IF(OR($B47=0,$A47=0,$H47&lt;&gt;1),"",INDEX(Assumptions!EP:EP,$B47))</f>
        <v/>
      </c>
      <c r="EB47" s="906" t="str">
        <f>IF(OR($B47=0,$A47=0,$H47&lt;&gt;1),"",INDEX(Assumptions!EQ:EQ,$B47))</f>
        <v/>
      </c>
      <c r="EC47" s="906" t="str">
        <f>IF(OR($B47=0,$A47=0,$H47&lt;&gt;1),"",INDEX(Assumptions!ER:ER,$B47))</f>
        <v/>
      </c>
      <c r="ED47" s="906" t="str">
        <f>IF(OR($B47=0,$A47=0,$H47&lt;&gt;1),"",INDEX(Assumptions!ES:ES,$B47))</f>
        <v/>
      </c>
      <c r="EE47" s="906" t="str">
        <f>IF(OR($B47=0,$A47=0,$H47&lt;&gt;1),"",INDEX(Assumptions!ET:ET,$B47))</f>
        <v/>
      </c>
      <c r="EF47" s="906" t="str">
        <f>IF(OR($B47=0,$A47=0,$H47&lt;&gt;1),"",INDEX(Assumptions!EU:EU,$B47))</f>
        <v/>
      </c>
      <c r="EG47" s="906" t="str">
        <f>IF(OR($B47=0,$A47=0,$H47&lt;&gt;1),"",INDEX(Assumptions!EV:EV,$B47))</f>
        <v/>
      </c>
      <c r="EH47" s="906" t="str">
        <f>IF(OR($B47=0,$A47=0,$H47&lt;&gt;1),"",INDEX(Assumptions!EW:EW,$B47))</f>
        <v/>
      </c>
      <c r="EI47" s="906" t="str">
        <f>IF(OR($B47=0,$A47=0,$H47&lt;&gt;1),"",INDEX(Assumptions!EX:EX,$B47))</f>
        <v/>
      </c>
      <c r="EJ47" s="906" t="str">
        <f>IF(OR($B47=0,$A47=0,$H47&lt;&gt;1),"",INDEX(Assumptions!EY:EY,$B47))</f>
        <v/>
      </c>
      <c r="EK47" s="906" t="str">
        <f>IF(OR($B47=0,$A47=0,$H47&lt;&gt;1),"",INDEX(Assumptions!EZ:EZ,$B47))</f>
        <v/>
      </c>
      <c r="EL47" s="906" t="str">
        <f>IF(OR($B47=0,$A47=0,$H47&lt;&gt;1),"",INDEX(Assumptions!FA:FA,$B47))</f>
        <v/>
      </c>
      <c r="EM47" s="906" t="str">
        <f>IF(OR($B47=0,$A47=0,$H47&lt;&gt;1),"",INDEX(Assumptions!FB:FB,$B47))</f>
        <v/>
      </c>
      <c r="EN47" s="906" t="str">
        <f>IF(OR($B47=0,$A47=0,$H47&lt;&gt;1),"",INDEX(Assumptions!FC:FC,$B47))</f>
        <v/>
      </c>
      <c r="EO47" s="906" t="str">
        <f>IF(OR($B47=0,$A47=0,$H47&lt;&gt;1),"",INDEX(Assumptions!FD:FD,$B47))</f>
        <v/>
      </c>
      <c r="EP47" s="906" t="str">
        <f>IF(OR($B47=0,$A47=0,$H47&lt;&gt;1),"",INDEX(Assumptions!FE:FE,$B47))</f>
        <v/>
      </c>
      <c r="EQ47" s="906" t="str">
        <f>IF(OR($B47=0,$A47=0,$H47&lt;&gt;1),"",INDEX(Assumptions!FF:FF,$B47))</f>
        <v/>
      </c>
      <c r="ER47" s="906" t="str">
        <f>IF(OR($B47=0,$A47=0,$H47&lt;&gt;1),"",INDEX(Assumptions!FG:FG,$B47))</f>
        <v/>
      </c>
      <c r="ES47" s="906" t="str">
        <f>IF(OR($B47=0,$A47=0,$H47&lt;&gt;1),"",INDEX(Assumptions!FH:FH,$B47))</f>
        <v/>
      </c>
      <c r="ET47" s="906" t="str">
        <f>IF(OR($B47=0,$A47=0,$H47&lt;&gt;1),"",INDEX(Assumptions!FI:FI,$B47))</f>
        <v/>
      </c>
      <c r="EU47" s="906" t="str">
        <f>IF(OR($B47=0,$A47=0,$H47&lt;&gt;1),"",INDEX(Assumptions!FJ:FJ,$B47))</f>
        <v/>
      </c>
      <c r="EV47" s="906" t="str">
        <f>IF(OR($B47=0,$A47=0,$H47&lt;&gt;1),"",INDEX(Assumptions!FK:FK,$B47))</f>
        <v/>
      </c>
      <c r="EW47" s="906" t="str">
        <f>IF(OR($B47=0,$A47=0,$H47&lt;&gt;1),"",INDEX(Assumptions!FL:FL,$B47))</f>
        <v/>
      </c>
      <c r="EX47" s="906" t="str">
        <f>IF(OR($B47=0,$A47=0,$H47&lt;&gt;1),"",INDEX(Assumptions!FM:FM,$B47))</f>
        <v/>
      </c>
      <c r="EY47" s="906" t="str">
        <f>IF(OR($B47=0,$A47=0,$H47&lt;&gt;1),"",INDEX(Assumptions!FN:FN,$B47))</f>
        <v/>
      </c>
      <c r="EZ47" s="906" t="str">
        <f>IF(OR($B47=0,$A47=0,$H47&lt;&gt;1),"",INDEX(Assumptions!FO:FO,$B47))</f>
        <v/>
      </c>
      <c r="FB47" s="820" t="str">
        <f t="shared" si="18"/>
        <v/>
      </c>
      <c r="FC47" s="820" t="str">
        <f t="shared" si="19"/>
        <v/>
      </c>
      <c r="FD47" s="820" t="str">
        <f t="shared" si="20"/>
        <v/>
      </c>
      <c r="FE47" s="820" t="str">
        <f t="shared" si="21"/>
        <v/>
      </c>
      <c r="FF47" s="820" t="str">
        <f t="shared" si="22"/>
        <v/>
      </c>
    </row>
    <row r="48" spans="1:162">
      <c r="A48" s="440">
        <f>IFERROR(MATCH(C48,'Data Interface'!B:B,0),0)</f>
        <v>45</v>
      </c>
      <c r="B48" s="440">
        <f>IFERROR(MATCH(C48,Assumptions!$B:$B,0),0)</f>
        <v>57</v>
      </c>
      <c r="C48" s="441" t="s">
        <v>1317</v>
      </c>
      <c r="E48" s="441" t="s">
        <v>1219</v>
      </c>
      <c r="F48" s="440" t="s">
        <v>36</v>
      </c>
      <c r="G48" s="440" t="str">
        <f>IF(A48=0,"",INDEX('Data Interface'!$C:$C,$A48))</f>
        <v>Due to Banks - Investment - PBOC</v>
      </c>
      <c r="H48" s="440">
        <v>0</v>
      </c>
      <c r="I48" s="819">
        <f t="shared" ca="1" si="23"/>
        <v>0.36800000000000033</v>
      </c>
      <c r="J48" s="819">
        <f t="shared" ca="1" si="24"/>
        <v>0.4600000000000003</v>
      </c>
      <c r="K48" s="439" t="str">
        <f t="shared" ca="1" si="25"/>
        <v>36.8% of Current Balance</v>
      </c>
      <c r="L48" s="439" t="s">
        <v>1148</v>
      </c>
      <c r="M48" s="439" t="s">
        <v>1507</v>
      </c>
      <c r="O48" s="442">
        <f>IF(OR($A48="",$A48=0),0,INDEX('Data Interface'!D:D,$A48))</f>
        <v>5144.4813025600006</v>
      </c>
      <c r="P48" s="442">
        <f ca="1">$O48-SUM($AS48:AS48)</f>
        <v>4513.4249294459732</v>
      </c>
      <c r="Q48" s="442">
        <f ca="1">$O48-SUM($AS48:AT48)</f>
        <v>4408.2488672603022</v>
      </c>
      <c r="R48" s="442">
        <f ca="1">$O48-SUM($AS48:AU48)</f>
        <v>4303.0728050746311</v>
      </c>
      <c r="S48" s="442">
        <f ca="1">$O48-SUM($AS48:AV48)</f>
        <v>4197.89674288896</v>
      </c>
      <c r="T48" s="442">
        <f ca="1">$O48-SUM($AS48:AW48)</f>
        <v>4092.720680703289</v>
      </c>
      <c r="U48" s="442">
        <f ca="1">$O48-SUM($AS48:AX48)</f>
        <v>3987.5446185176179</v>
      </c>
      <c r="V48" s="442">
        <f ca="1">$O48-SUM($AS48:AY48)</f>
        <v>3882.3685563319468</v>
      </c>
      <c r="W48" s="442">
        <f ca="1">$O48-SUM($AS48:AZ48)</f>
        <v>3792.2176458870858</v>
      </c>
      <c r="X48" s="442">
        <f ca="1">$O48-SUM($AS48:BA48)</f>
        <v>3702.0667354422249</v>
      </c>
      <c r="Y48" s="442">
        <f ca="1">$O48-SUM($AS48:BB48)</f>
        <v>3611.9158249973639</v>
      </c>
      <c r="Z48" s="442">
        <f ca="1">$O48-SUM($AS48:BC48)</f>
        <v>3521.7649145525029</v>
      </c>
      <c r="AA48" s="442">
        <f ca="1">$O48-SUM($AS48:BD48)</f>
        <v>3431.6140041076419</v>
      </c>
      <c r="AB48" s="442">
        <f ca="1">$O48-SUM($AS48:BE48)</f>
        <v>3341.4630936627809</v>
      </c>
      <c r="AC48" s="442">
        <f ca="1">$O48-SUM($AS48:BF48)</f>
        <v>3251.3121832179199</v>
      </c>
      <c r="AD48" s="442">
        <f ca="1">$O48-SUM($AS48:BG48)</f>
        <v>3014.6660433001598</v>
      </c>
      <c r="AE48" s="442">
        <f ca="1">$O48-SUM($AS48:BH48)</f>
        <v>2778.0199033823997</v>
      </c>
      <c r="AF48" s="442">
        <f ca="1">$O48-SUM($AS48:BI48)</f>
        <v>2541.3737634646395</v>
      </c>
      <c r="AG48" s="442">
        <f ca="1">$O48-SUM($AS48:BJ48)</f>
        <v>2304.7276235468794</v>
      </c>
      <c r="AH48" s="442">
        <f ca="1">$O48-SUM($AS48:BK48)</f>
        <v>2225.8455769076259</v>
      </c>
      <c r="AI48" s="442">
        <f ca="1">$O48-SUM($AS48:BL48)</f>
        <v>2146.9635302683723</v>
      </c>
      <c r="AJ48" s="442">
        <f ca="1">$O48-SUM($AS48:BM48)</f>
        <v>2068.0814836291188</v>
      </c>
      <c r="AK48" s="442">
        <f ca="1">$O48-SUM($AS48:BN48)</f>
        <v>1989.1994369898653</v>
      </c>
      <c r="AL48" s="442">
        <f ca="1">$O48-SUM($AS48:BO48)</f>
        <v>1910.3173903506117</v>
      </c>
      <c r="AM48" s="442">
        <f ca="1">$O48-SUM($AS48:BP48)</f>
        <v>1831.4353437113582</v>
      </c>
      <c r="AN48" s="442">
        <f ca="1">$O48-SUM($AS48:BQ48)</f>
        <v>1752.5532970721047</v>
      </c>
      <c r="AO48" s="442">
        <f ca="1">$O48-SUM($AS48:BR48)</f>
        <v>1673.6712504328511</v>
      </c>
      <c r="AP48" s="442">
        <f ca="1">$O48-SUM($AS48:BS48)</f>
        <v>1594.7892037935976</v>
      </c>
      <c r="AR48" s="439" t="s">
        <v>1202</v>
      </c>
      <c r="AS48" s="442">
        <f ca="1">IF($H48="",0,IF($H48=1,IF('Para Adj'!$B$5 = 1,O48-($O48-SUMPRODUCT($CX48:CX48,$BU48:BU48))*(1-SUM($DZ48:DZ48)),BU48*CX48),$O48*BU48))</f>
        <v>631.05637311402688</v>
      </c>
      <c r="AT48" s="442">
        <f ca="1">IF($H48="",0,IF($H48=1,IF('Para Adj'!$B$5 = 1,P48-($O48-SUMPRODUCT($CX48:CY48,$BU48:BV48))*(1-SUM($DZ48:EA48)),BV48*CY48),$O48*BV48))</f>
        <v>105.17606218567114</v>
      </c>
      <c r="AU48" s="442">
        <f ca="1">IF($H48="",0,IF($H48=1,IF('Para Adj'!$B$5 = 1,Q48-($O48-SUMPRODUCT($CX48:CZ48,$BU48:BW48))*(1-SUM($DZ48:EB48)),BW48*CZ48),$O48*BW48))</f>
        <v>105.17606218567114</v>
      </c>
      <c r="AV48" s="442">
        <f ca="1">IF($H48="",0,IF($H48=1,IF('Para Adj'!$B$5 = 1,R48-($O48-SUMPRODUCT($CX48:DA48,$BU48:BX48))*(1-SUM($DZ48:EC48)),BX48*DA48),$O48*BX48))</f>
        <v>105.17606218567114</v>
      </c>
      <c r="AW48" s="442">
        <f ca="1">IF($H48="",0,IF($H48=1,IF('Para Adj'!$B$5 = 1,S48-($O48-SUMPRODUCT($CX48:DB48,$BU48:BY48))*(1-SUM($DZ48:ED48)),BY48*DB48),$O48*BY48))</f>
        <v>105.17606218567114</v>
      </c>
      <c r="AX48" s="442">
        <f ca="1">IF($H48="",0,IF($H48=1,IF('Para Adj'!$B$5 = 1,T48-($O48-SUMPRODUCT($CX48:DC48,$BU48:BZ48))*(1-SUM($DZ48:EE48)),BZ48*DC48),$O48*BZ48))</f>
        <v>105.17606218567114</v>
      </c>
      <c r="AY48" s="442">
        <f ca="1">IF($H48="",0,IF($H48=1,IF('Para Adj'!$B$5 = 1,U48-($O48-SUMPRODUCT($CX48:DD48,$BU48:CA48))*(1-SUM($DZ48:EF48)),CA48*DD48),$O48*CA48))</f>
        <v>105.17606218567114</v>
      </c>
      <c r="AZ48" s="442">
        <f ca="1">IF($H48="",0,IF($H48=1,IF('Para Adj'!$B$5 = 1,V48-($O48-SUMPRODUCT($CX48:DE48,$BU48:CB48))*(1-SUM($DZ48:EG48)),CB48*DE48),$O48*CB48))</f>
        <v>90.150910444860997</v>
      </c>
      <c r="BA48" s="442">
        <f ca="1">IF($H48="",0,IF($H48=1,IF('Para Adj'!$B$5 = 1,W48-($O48-SUMPRODUCT($CX48:DF48,$BU48:CC48))*(1-SUM($DZ48:EH48)),CC48*DF48),$O48*CC48))</f>
        <v>90.150910444860997</v>
      </c>
      <c r="BB48" s="442">
        <f ca="1">IF($H48="",0,IF($H48=1,IF('Para Adj'!$B$5 = 1,X48-($O48-SUMPRODUCT($CX48:DG48,$BU48:CD48))*(1-SUM($DZ48:EI48)),CD48*DG48),$O48*CD48))</f>
        <v>90.150910444860997</v>
      </c>
      <c r="BC48" s="442">
        <f ca="1">IF($H48="",0,IF($H48=1,IF('Para Adj'!$B$5 = 1,Y48-($O48-SUMPRODUCT($CX48:DH48,$BU48:CE48))*(1-SUM($DZ48:EJ48)),CE48*DH48),$O48*CE48))</f>
        <v>90.150910444860997</v>
      </c>
      <c r="BD48" s="442">
        <f ca="1">IF($H48="",0,IF($H48=1,IF('Para Adj'!$B$5 = 1,Z48-($O48-SUMPRODUCT($CX48:DI48,$BU48:CF48))*(1-SUM($DZ48:EK48)),CF48*DI48),$O48*CF48))</f>
        <v>90.150910444860997</v>
      </c>
      <c r="BE48" s="442">
        <f ca="1">IF($H48="",0,IF($H48=1,IF('Para Adj'!$B$5 = 1,AA48-($O48-SUMPRODUCT($CX48:DJ48,$BU48:CG48))*(1-SUM($DZ48:EL48)),CG48*DJ48),$O48*CG48))</f>
        <v>90.150910444860997</v>
      </c>
      <c r="BF48" s="442">
        <f ca="1">IF($H48="",0,IF($H48=1,IF('Para Adj'!$B$5 = 1,AB48-($O48-SUMPRODUCT($CX48:DK48,$BU48:CH48))*(1-SUM($DZ48:EM48)),CH48*DK48),$O48*CH48))</f>
        <v>90.150910444860997</v>
      </c>
      <c r="BG48" s="442">
        <f ca="1">IF($H48="",0,IF($H48=1,IF('Para Adj'!$B$5 = 1,AC48-($O48-SUMPRODUCT($CX48:DL48,$BU48:CI48))*(1-SUM($DZ48:EN48)),CI48*DL48),$O48*CI48))</f>
        <v>236.64613991775994</v>
      </c>
      <c r="BH48" s="442">
        <f ca="1">IF($H48="",0,IF($H48=1,IF('Para Adj'!$B$5 = 1,AD48-($O48-SUMPRODUCT($CX48:DM48,$BU48:CJ48))*(1-SUM($DZ48:EO48)),CJ48*DM48),$O48*CJ48))</f>
        <v>236.64613991775994</v>
      </c>
      <c r="BI48" s="442">
        <f ca="1">IF($H48="",0,IF($H48=1,IF('Para Adj'!$B$5 = 1,AE48-($O48-SUMPRODUCT($CX48:DN48,$BU48:CK48))*(1-SUM($DZ48:EP48)),CK48*DN48),$O48*CK48))</f>
        <v>236.64613991776008</v>
      </c>
      <c r="BJ48" s="442">
        <f ca="1">IF($H48="",0,IF($H48=1,IF('Para Adj'!$B$5 = 1,AF48-($O48-SUMPRODUCT($CX48:DO48,$BU48:CL48))*(1-SUM($DZ48:EQ48)),CL48*DO48),$O48*CL48))</f>
        <v>236.64613991776008</v>
      </c>
      <c r="BK48" s="442">
        <f ca="1">IF($H48="",0,IF($H48=1,IF('Para Adj'!$B$5 = 1,AG48-($O48-SUMPRODUCT($CX48:DP48,$BU48:CM48))*(1-SUM($DZ48:ER48)),CM48*DP48),$O48*CM48))</f>
        <v>78.882046639253346</v>
      </c>
      <c r="BL48" s="442">
        <f ca="1">IF($H48="",0,IF($H48=1,IF('Para Adj'!$B$5 = 1,AH48-($O48-SUMPRODUCT($CX48:DQ48,$BU48:CN48))*(1-SUM($DZ48:ES48)),CN48*DQ48),$O48*CN48))</f>
        <v>78.882046639253346</v>
      </c>
      <c r="BM48" s="442">
        <f ca="1">IF($H48="",0,IF($H48=1,IF('Para Adj'!$B$5 = 1,AI48-($O48-SUMPRODUCT($CX48:DR48,$BU48:CO48))*(1-SUM($DZ48:ET48)),CO48*DR48),$O48*CO48))</f>
        <v>78.882046639253346</v>
      </c>
      <c r="BN48" s="442">
        <f ca="1">IF($H48="",0,IF($H48=1,IF('Para Adj'!$B$5 = 1,AJ48-($O48-SUMPRODUCT($CX48:DS48,$BU48:CP48))*(1-SUM($DZ48:EU48)),CP48*DS48),$O48*CP48))</f>
        <v>78.882046639253346</v>
      </c>
      <c r="BO48" s="442">
        <f ca="1">IF($H48="",0,IF($H48=1,IF('Para Adj'!$B$5 = 1,AK48-($O48-SUMPRODUCT($CX48:DT48,$BU48:CQ48))*(1-SUM($DZ48:EV48)),CQ48*DT48),$O48*CQ48))</f>
        <v>78.882046639253346</v>
      </c>
      <c r="BP48" s="442">
        <f ca="1">IF($H48="",0,IF($H48=1,IF('Para Adj'!$B$5 = 1,AL48-($O48-SUMPRODUCT($CX48:DU48,$BU48:CR48))*(1-SUM($DZ48:EW48)),CR48*DU48),$O48*CR48))</f>
        <v>78.882046639253346</v>
      </c>
      <c r="BQ48" s="442">
        <f ca="1">IF($H48="",0,IF($H48=1,IF('Para Adj'!$B$5 = 1,AM48-($O48-SUMPRODUCT($CX48:DV48,$BU48:CS48))*(1-SUM($DZ48:EX48)),CS48*DV48),$O48*CS48))</f>
        <v>78.882046639253346</v>
      </c>
      <c r="BR48" s="442">
        <f ca="1">IF($H48="",0,IF($H48=1,IF('Para Adj'!$B$5 = 1,AN48-($O48-SUMPRODUCT($CX48:DW48,$BU48:CT48))*(1-SUM($DZ48:EY48)),CT48*DW48),$O48*CT48))</f>
        <v>78.882046639253346</v>
      </c>
      <c r="BS48" s="442">
        <f ca="1">IF($H48="",0,IF($H48=1,IF('Para Adj'!$B$5 = 1,AO48-($O48-SUMPRODUCT($CX48:DX48,$BU48:CU48))*(1-SUM($DZ48:EZ48)),CU48*DX48),$O48*CU48))</f>
        <v>78.882046639253346</v>
      </c>
      <c r="BU48" s="820">
        <f ca="1">IF($B48=0,"",INDEX(Assumptions!G:G,$B48))</f>
        <v>0.1226666666666667</v>
      </c>
      <c r="BV48" s="820">
        <f ca="1">IF($B48=0,"",INDEX(Assumptions!H:H,$B48))</f>
        <v>2.0444444444444449E-2</v>
      </c>
      <c r="BW48" s="820">
        <f ca="1">IF($B48=0,"",INDEX(Assumptions!I:I,$B48))</f>
        <v>2.0444444444444449E-2</v>
      </c>
      <c r="BX48" s="820">
        <f ca="1">IF($B48=0,"",INDEX(Assumptions!J:J,$B48))</f>
        <v>2.0444444444444449E-2</v>
      </c>
      <c r="BY48" s="820">
        <f ca="1">IF($B48=0,"",INDEX(Assumptions!K:K,$B48))</f>
        <v>2.0444444444444449E-2</v>
      </c>
      <c r="BZ48" s="820">
        <f ca="1">IF($B48=0,"",INDEX(Assumptions!L:L,$B48))</f>
        <v>2.0444444444444449E-2</v>
      </c>
      <c r="CA48" s="820">
        <f ca="1">IF($B48=0,"",INDEX(Assumptions!M:M,$B48))</f>
        <v>2.0444444444444449E-2</v>
      </c>
      <c r="CB48" s="820">
        <f ca="1">IF($B48=0,"",INDEX(Assumptions!N:N,$B48))</f>
        <v>1.7523809523809532E-2</v>
      </c>
      <c r="CC48" s="820">
        <f ca="1">IF($B48=0,"",INDEX(Assumptions!O:O,$B48))</f>
        <v>1.7523809523809532E-2</v>
      </c>
      <c r="CD48" s="820">
        <f ca="1">IF($B48=0,"",INDEX(Assumptions!P:P,$B48))</f>
        <v>1.7523809523809532E-2</v>
      </c>
      <c r="CE48" s="820">
        <f ca="1">IF($B48=0,"",INDEX(Assumptions!Q:Q,$B48))</f>
        <v>1.7523809523809532E-2</v>
      </c>
      <c r="CF48" s="820">
        <f ca="1">IF($B48=0,"",INDEX(Assumptions!R:R,$B48))</f>
        <v>1.7523809523809532E-2</v>
      </c>
      <c r="CG48" s="820">
        <f ca="1">IF($B48=0,"",INDEX(Assumptions!S:S,$B48))</f>
        <v>1.7523809523809532E-2</v>
      </c>
      <c r="CH48" s="820">
        <f ca="1">IF($B48=0,"",INDEX(Assumptions!T:T,$B48))</f>
        <v>1.7523809523809532E-2</v>
      </c>
      <c r="CI48" s="820">
        <f ca="1">IF($B48=0,"",INDEX(Assumptions!U:U,$B48))</f>
        <v>4.5999999999999985E-2</v>
      </c>
      <c r="CJ48" s="820">
        <f ca="1">IF($B48=0,"",INDEX(Assumptions!V:V,$B48))</f>
        <v>4.5999999999999985E-2</v>
      </c>
      <c r="CK48" s="820">
        <f ca="1">IF($B48=0,"",INDEX(Assumptions!W:W,$B48))</f>
        <v>4.6000000000000013E-2</v>
      </c>
      <c r="CL48" s="820">
        <f ca="1">IF($B48=0,"",INDEX(Assumptions!X:X,$B48))</f>
        <v>4.6000000000000013E-2</v>
      </c>
      <c r="CM48" s="820">
        <f ca="1">IF($B48=0,"",INDEX(Assumptions!Y:Y,$B48))</f>
        <v>1.5333333333333334E-2</v>
      </c>
      <c r="CN48" s="820">
        <f ca="1">IF($B48=0,"",INDEX(Assumptions!Z:Z,$B48))</f>
        <v>1.5333333333333334E-2</v>
      </c>
      <c r="CO48" s="820">
        <f ca="1">IF($B48=0,"",INDEX(Assumptions!AA:AA,$B48))</f>
        <v>1.5333333333333334E-2</v>
      </c>
      <c r="CP48" s="820">
        <f ca="1">IF($B48=0,"",INDEX(Assumptions!AB:AB,$B48))</f>
        <v>1.5333333333333334E-2</v>
      </c>
      <c r="CQ48" s="820">
        <f ca="1">IF($B48=0,"",INDEX(Assumptions!AC:AC,$B48))</f>
        <v>1.5333333333333334E-2</v>
      </c>
      <c r="CR48" s="820">
        <f ca="1">IF($B48=0,"",INDEX(Assumptions!AD:AD,$B48))</f>
        <v>1.5333333333333334E-2</v>
      </c>
      <c r="CS48" s="820">
        <f ca="1">IF($B48=0,"",INDEX(Assumptions!AE:AE,$B48))</f>
        <v>1.5333333333333334E-2</v>
      </c>
      <c r="CT48" s="820">
        <f ca="1">IF($B48=0,"",INDEX(Assumptions!AF:AF,$B48))</f>
        <v>1.5333333333333334E-2</v>
      </c>
      <c r="CU48" s="820">
        <f ca="1">IF($B48=0,"",INDEX(Assumptions!AG:AG,$B48))</f>
        <v>1.5333333333333334E-2</v>
      </c>
      <c r="CX48" s="442">
        <f>IF($A48="","",INDEX('Data Interface'!G:G,$A48))</f>
        <v>5144.4813025600006</v>
      </c>
      <c r="CY48" s="442">
        <f>IF($A48="","",INDEX('Data Interface'!H:H,$A48))</f>
        <v>0</v>
      </c>
      <c r="CZ48" s="442">
        <f>IF($A48="","",INDEX('Data Interface'!I:I,$A48))</f>
        <v>0</v>
      </c>
      <c r="DA48" s="442">
        <f>IF($A48="","",INDEX('Data Interface'!J:J,$A48))</f>
        <v>0</v>
      </c>
      <c r="DB48" s="442">
        <f>IF($A48="","",INDEX('Data Interface'!K:K,$A48))</f>
        <v>0</v>
      </c>
      <c r="DC48" s="442">
        <f>IF($A48="","",INDEX('Data Interface'!L:L,$A48))</f>
        <v>0</v>
      </c>
      <c r="DD48" s="442">
        <f>IF($A48="","",INDEX('Data Interface'!M:M,$A48))</f>
        <v>0</v>
      </c>
      <c r="DE48" s="442">
        <f>IF($A48="","",INDEX('Data Interface'!N:N,$A48))</f>
        <v>0</v>
      </c>
      <c r="DF48" s="442">
        <f>IF($A48="","",INDEX('Data Interface'!O:O,$A48))</f>
        <v>0</v>
      </c>
      <c r="DG48" s="442">
        <f>IF($A48="","",INDEX('Data Interface'!P:P,$A48))</f>
        <v>0</v>
      </c>
      <c r="DH48" s="442">
        <f>IF($A48="","",INDEX('Data Interface'!Q:Q,$A48))</f>
        <v>0</v>
      </c>
      <c r="DI48" s="442">
        <f>IF($A48="","",INDEX('Data Interface'!R:R,$A48))</f>
        <v>0</v>
      </c>
      <c r="DJ48" s="442">
        <f>IF($A48="","",INDEX('Data Interface'!S:S,$A48))</f>
        <v>0</v>
      </c>
      <c r="DK48" s="442">
        <f>IF($A48="","",INDEX('Data Interface'!T:T,$A48))</f>
        <v>0</v>
      </c>
      <c r="DL48" s="442">
        <f>IF($A48="","",INDEX('Data Interface'!U:U,$A48))</f>
        <v>0</v>
      </c>
      <c r="DM48" s="442">
        <f>IF($A48="","",INDEX('Data Interface'!V:V,$A48))</f>
        <v>0</v>
      </c>
      <c r="DN48" s="442">
        <f>IF($A48="","",INDEX('Data Interface'!W:W,$A48))</f>
        <v>0</v>
      </c>
      <c r="DO48" s="442">
        <f>IF($A48="","",INDEX('Data Interface'!X:X,$A48))</f>
        <v>0</v>
      </c>
      <c r="DP48" s="442">
        <f>IF($A48="","",INDEX('Data Interface'!Y:Y,$A48))</f>
        <v>0</v>
      </c>
      <c r="DQ48" s="442">
        <f>IF($A48="","",INDEX('Data Interface'!Z:Z,$A48))</f>
        <v>0</v>
      </c>
      <c r="DR48" s="442">
        <f>IF($A48="","",INDEX('Data Interface'!AA:AA,$A48))</f>
        <v>0</v>
      </c>
      <c r="DS48" s="442">
        <f>IF($A48="","",INDEX('Data Interface'!AB:AB,$A48))</f>
        <v>0</v>
      </c>
      <c r="DT48" s="442">
        <f>IF($A48="","",INDEX('Data Interface'!AC:AC,$A48))</f>
        <v>0</v>
      </c>
      <c r="DU48" s="442">
        <f>IF($A48="","",INDEX('Data Interface'!AD:AD,$A48))</f>
        <v>0</v>
      </c>
      <c r="DV48" s="442">
        <f>IF($A48="","",INDEX('Data Interface'!AE:AE,$A48))</f>
        <v>0</v>
      </c>
      <c r="DW48" s="442">
        <f>IF($A48="","",INDEX('Data Interface'!AF:AF,$A48))</f>
        <v>0</v>
      </c>
      <c r="DX48" s="442">
        <f>IF($A48="","",INDEX('Data Interface'!AG:AG,$A48))</f>
        <v>0</v>
      </c>
      <c r="DZ48" s="906" t="str">
        <f>IF(OR($B48=0,$A48=0,$H48&lt;&gt;1),"",INDEX(Assumptions!EO:EO,$B48))</f>
        <v/>
      </c>
      <c r="EA48" s="906" t="str">
        <f>IF(OR($B48=0,$A48=0,$H48&lt;&gt;1),"",INDEX(Assumptions!EP:EP,$B48))</f>
        <v/>
      </c>
      <c r="EB48" s="906" t="str">
        <f>IF(OR($B48=0,$A48=0,$H48&lt;&gt;1),"",INDEX(Assumptions!EQ:EQ,$B48))</f>
        <v/>
      </c>
      <c r="EC48" s="906" t="str">
        <f>IF(OR($B48=0,$A48=0,$H48&lt;&gt;1),"",INDEX(Assumptions!ER:ER,$B48))</f>
        <v/>
      </c>
      <c r="ED48" s="906" t="str">
        <f>IF(OR($B48=0,$A48=0,$H48&lt;&gt;1),"",INDEX(Assumptions!ES:ES,$B48))</f>
        <v/>
      </c>
      <c r="EE48" s="906" t="str">
        <f>IF(OR($B48=0,$A48=0,$H48&lt;&gt;1),"",INDEX(Assumptions!ET:ET,$B48))</f>
        <v/>
      </c>
      <c r="EF48" s="906" t="str">
        <f>IF(OR($B48=0,$A48=0,$H48&lt;&gt;1),"",INDEX(Assumptions!EU:EU,$B48))</f>
        <v/>
      </c>
      <c r="EG48" s="906" t="str">
        <f>IF(OR($B48=0,$A48=0,$H48&lt;&gt;1),"",INDEX(Assumptions!EV:EV,$B48))</f>
        <v/>
      </c>
      <c r="EH48" s="906" t="str">
        <f>IF(OR($B48=0,$A48=0,$H48&lt;&gt;1),"",INDEX(Assumptions!EW:EW,$B48))</f>
        <v/>
      </c>
      <c r="EI48" s="906" t="str">
        <f>IF(OR($B48=0,$A48=0,$H48&lt;&gt;1),"",INDEX(Assumptions!EX:EX,$B48))</f>
        <v/>
      </c>
      <c r="EJ48" s="906" t="str">
        <f>IF(OR($B48=0,$A48=0,$H48&lt;&gt;1),"",INDEX(Assumptions!EY:EY,$B48))</f>
        <v/>
      </c>
      <c r="EK48" s="906" t="str">
        <f>IF(OR($B48=0,$A48=0,$H48&lt;&gt;1),"",INDEX(Assumptions!EZ:EZ,$B48))</f>
        <v/>
      </c>
      <c r="EL48" s="906" t="str">
        <f>IF(OR($B48=0,$A48=0,$H48&lt;&gt;1),"",INDEX(Assumptions!FA:FA,$B48))</f>
        <v/>
      </c>
      <c r="EM48" s="906" t="str">
        <f>IF(OR($B48=0,$A48=0,$H48&lt;&gt;1),"",INDEX(Assumptions!FB:FB,$B48))</f>
        <v/>
      </c>
      <c r="EN48" s="906" t="str">
        <f>IF(OR($B48=0,$A48=0,$H48&lt;&gt;1),"",INDEX(Assumptions!FC:FC,$B48))</f>
        <v/>
      </c>
      <c r="EO48" s="906" t="str">
        <f>IF(OR($B48=0,$A48=0,$H48&lt;&gt;1),"",INDEX(Assumptions!FD:FD,$B48))</f>
        <v/>
      </c>
      <c r="EP48" s="906" t="str">
        <f>IF(OR($B48=0,$A48=0,$H48&lt;&gt;1),"",INDEX(Assumptions!FE:FE,$B48))</f>
        <v/>
      </c>
      <c r="EQ48" s="906" t="str">
        <f>IF(OR($B48=0,$A48=0,$H48&lt;&gt;1),"",INDEX(Assumptions!FF:FF,$B48))</f>
        <v/>
      </c>
      <c r="ER48" s="906" t="str">
        <f>IF(OR($B48=0,$A48=0,$H48&lt;&gt;1),"",INDEX(Assumptions!FG:FG,$B48))</f>
        <v/>
      </c>
      <c r="ES48" s="906" t="str">
        <f>IF(OR($B48=0,$A48=0,$H48&lt;&gt;1),"",INDEX(Assumptions!FH:FH,$B48))</f>
        <v/>
      </c>
      <c r="ET48" s="906" t="str">
        <f>IF(OR($B48=0,$A48=0,$H48&lt;&gt;1),"",INDEX(Assumptions!FI:FI,$B48))</f>
        <v/>
      </c>
      <c r="EU48" s="906" t="str">
        <f>IF(OR($B48=0,$A48=0,$H48&lt;&gt;1),"",INDEX(Assumptions!FJ:FJ,$B48))</f>
        <v/>
      </c>
      <c r="EV48" s="906" t="str">
        <f>IF(OR($B48=0,$A48=0,$H48&lt;&gt;1),"",INDEX(Assumptions!FK:FK,$B48))</f>
        <v/>
      </c>
      <c r="EW48" s="906" t="str">
        <f>IF(OR($B48=0,$A48=0,$H48&lt;&gt;1),"",INDEX(Assumptions!FL:FL,$B48))</f>
        <v/>
      </c>
      <c r="EX48" s="906" t="str">
        <f>IF(OR($B48=0,$A48=0,$H48&lt;&gt;1),"",INDEX(Assumptions!FM:FM,$B48))</f>
        <v/>
      </c>
      <c r="EY48" s="906" t="str">
        <f>IF(OR($B48=0,$A48=0,$H48&lt;&gt;1),"",INDEX(Assumptions!FN:FN,$B48))</f>
        <v/>
      </c>
      <c r="EZ48" s="906" t="str">
        <f>IF(OR($B48=0,$A48=0,$H48&lt;&gt;1),"",INDEX(Assumptions!FO:FO,$B48))</f>
        <v/>
      </c>
      <c r="FB48" s="820" t="str">
        <f t="shared" si="18"/>
        <v/>
      </c>
      <c r="FC48" s="820" t="str">
        <f t="shared" si="19"/>
        <v/>
      </c>
      <c r="FD48" s="820" t="str">
        <f t="shared" si="20"/>
        <v/>
      </c>
      <c r="FE48" s="820" t="str">
        <f t="shared" si="21"/>
        <v/>
      </c>
      <c r="FF48" s="820" t="str">
        <f t="shared" si="22"/>
        <v/>
      </c>
    </row>
    <row r="49" spans="1:162">
      <c r="A49" s="440">
        <f>IFERROR(MATCH(C49,'Data Interface'!B:B,0),0)</f>
        <v>46</v>
      </c>
      <c r="B49" s="440">
        <f>IFERROR(MATCH(C49,Assumptions!$B:$B,0),0)</f>
        <v>58</v>
      </c>
      <c r="C49" s="441" t="s">
        <v>1318</v>
      </c>
      <c r="E49" s="441" t="s">
        <v>1219</v>
      </c>
      <c r="F49" s="440" t="s">
        <v>36</v>
      </c>
      <c r="G49" s="440" t="str">
        <f>IF(A49=0,"",INDEX('Data Interface'!$C:$C,$A49))</f>
        <v>Due to Banks - Investment - CDB &amp; CDB S</v>
      </c>
      <c r="H49" s="440">
        <v>0</v>
      </c>
      <c r="I49" s="819">
        <f t="shared" ca="1" si="23"/>
        <v>0.36800000000000033</v>
      </c>
      <c r="J49" s="819">
        <f t="shared" ca="1" si="24"/>
        <v>0.4600000000000003</v>
      </c>
      <c r="K49" s="439" t="str">
        <f t="shared" ca="1" si="25"/>
        <v>36.8% of Current Balance</v>
      </c>
      <c r="L49" s="439" t="s">
        <v>1148</v>
      </c>
      <c r="M49" s="439" t="s">
        <v>1507</v>
      </c>
      <c r="O49" s="442">
        <f>IF(OR($A49="",$A49=0),0,INDEX('Data Interface'!D:D,$A49))</f>
        <v>4707.2802759200003</v>
      </c>
      <c r="P49" s="442">
        <f ca="1">$O49-SUM($AS49:AS49)</f>
        <v>4129.8538954071464</v>
      </c>
      <c r="Q49" s="442">
        <f ca="1">$O49-SUM($AS49:AT49)</f>
        <v>4033.6161653216714</v>
      </c>
      <c r="R49" s="442">
        <f ca="1">$O49-SUM($AS49:AU49)</f>
        <v>3937.3784352361954</v>
      </c>
      <c r="S49" s="442">
        <f ca="1">$O49-SUM($AS49:AV49)</f>
        <v>3841.1407051507199</v>
      </c>
      <c r="T49" s="442">
        <f ca="1">$O49-SUM($AS49:AW49)</f>
        <v>3744.9029750652444</v>
      </c>
      <c r="U49" s="442">
        <f ca="1">$O49-SUM($AS49:AX49)</f>
        <v>3648.6652449797689</v>
      </c>
      <c r="V49" s="442">
        <f ca="1">$O49-SUM($AS49:AY49)</f>
        <v>3552.4275148942934</v>
      </c>
      <c r="W49" s="442">
        <f ca="1">$O49-SUM($AS49:AZ49)</f>
        <v>3469.9380319638858</v>
      </c>
      <c r="X49" s="442">
        <f ca="1">$O49-SUM($AS49:BA49)</f>
        <v>3387.4485490334782</v>
      </c>
      <c r="Y49" s="442">
        <f ca="1">$O49-SUM($AS49:BB49)</f>
        <v>3304.9590661030707</v>
      </c>
      <c r="Z49" s="442">
        <f ca="1">$O49-SUM($AS49:BC49)</f>
        <v>3222.4695831726631</v>
      </c>
      <c r="AA49" s="442">
        <f ca="1">$O49-SUM($AS49:BD49)</f>
        <v>3139.9801002422555</v>
      </c>
      <c r="AB49" s="442">
        <f ca="1">$O49-SUM($AS49:BE49)</f>
        <v>3057.4906173118479</v>
      </c>
      <c r="AC49" s="442">
        <f ca="1">$O49-SUM($AS49:BF49)</f>
        <v>2975.0011343814404</v>
      </c>
      <c r="AD49" s="442">
        <f ca="1">$O49-SUM($AS49:BG49)</f>
        <v>2758.4662416891206</v>
      </c>
      <c r="AE49" s="442">
        <f ca="1">$O49-SUM($AS49:BH49)</f>
        <v>2541.9313489968004</v>
      </c>
      <c r="AF49" s="442">
        <f ca="1">$O49-SUM($AS49:BI49)</f>
        <v>2325.3964563044801</v>
      </c>
      <c r="AG49" s="442">
        <f ca="1">$O49-SUM($AS49:BJ49)</f>
        <v>2108.8615636121599</v>
      </c>
      <c r="AH49" s="442">
        <f ca="1">$O49-SUM($AS49:BK49)</f>
        <v>2036.6832660480532</v>
      </c>
      <c r="AI49" s="442">
        <f ca="1">$O49-SUM($AS49:BL49)</f>
        <v>1964.5049684839464</v>
      </c>
      <c r="AJ49" s="442">
        <f ca="1">$O49-SUM($AS49:BM49)</f>
        <v>1892.3266709198397</v>
      </c>
      <c r="AK49" s="442">
        <f ca="1">$O49-SUM($AS49:BN49)</f>
        <v>1820.1483733557329</v>
      </c>
      <c r="AL49" s="442">
        <f ca="1">$O49-SUM($AS49:BO49)</f>
        <v>1747.9700757916262</v>
      </c>
      <c r="AM49" s="442">
        <f ca="1">$O49-SUM($AS49:BP49)</f>
        <v>1675.7917782275194</v>
      </c>
      <c r="AN49" s="442">
        <f ca="1">$O49-SUM($AS49:BQ49)</f>
        <v>1603.6134806634127</v>
      </c>
      <c r="AO49" s="442">
        <f ca="1">$O49-SUM($AS49:BR49)</f>
        <v>1531.435183099306</v>
      </c>
      <c r="AP49" s="442">
        <f ca="1">$O49-SUM($AS49:BS49)</f>
        <v>1459.2568855351992</v>
      </c>
      <c r="AR49" s="439" t="s">
        <v>1202</v>
      </c>
      <c r="AS49" s="442">
        <f ca="1">IF($H49="",0,IF($H49=1,IF('Para Adj'!$B$5 = 1,O49-($O49-SUMPRODUCT($CX49:CX49,$BU49:BU49))*(1-SUM($DZ49:DZ49)),BU49*CX49),$O49*BU49))</f>
        <v>577.42638051285348</v>
      </c>
      <c r="AT49" s="442">
        <f ca="1">IF($H49="",0,IF($H49=1,IF('Para Adj'!$B$5 = 1,P49-($O49-SUMPRODUCT($CX49:CY49,$BU49:BV49))*(1-SUM($DZ49:EA49)),BV49*CY49),$O49*BV49))</f>
        <v>96.23773008547559</v>
      </c>
      <c r="AU49" s="442">
        <f ca="1">IF($H49="",0,IF($H49=1,IF('Para Adj'!$B$5 = 1,Q49-($O49-SUMPRODUCT($CX49:CZ49,$BU49:BW49))*(1-SUM($DZ49:EB49)),BW49*CZ49),$O49*BW49))</f>
        <v>96.23773008547559</v>
      </c>
      <c r="AV49" s="442">
        <f ca="1">IF($H49="",0,IF($H49=1,IF('Para Adj'!$B$5 = 1,R49-($O49-SUMPRODUCT($CX49:DA49,$BU49:BX49))*(1-SUM($DZ49:EC49)),BX49*DA49),$O49*BX49))</f>
        <v>96.23773008547559</v>
      </c>
      <c r="AW49" s="442">
        <f ca="1">IF($H49="",0,IF($H49=1,IF('Para Adj'!$B$5 = 1,S49-($O49-SUMPRODUCT($CX49:DB49,$BU49:BY49))*(1-SUM($DZ49:ED49)),BY49*DB49),$O49*BY49))</f>
        <v>96.23773008547559</v>
      </c>
      <c r="AX49" s="442">
        <f ca="1">IF($H49="",0,IF($H49=1,IF('Para Adj'!$B$5 = 1,T49-($O49-SUMPRODUCT($CX49:DC49,$BU49:BZ49))*(1-SUM($DZ49:EE49)),BZ49*DC49),$O49*BZ49))</f>
        <v>96.23773008547559</v>
      </c>
      <c r="AY49" s="442">
        <f ca="1">IF($H49="",0,IF($H49=1,IF('Para Adj'!$B$5 = 1,U49-($O49-SUMPRODUCT($CX49:DD49,$BU49:CA49))*(1-SUM($DZ49:EF49)),CA49*DD49),$O49*CA49))</f>
        <v>96.23773008547559</v>
      </c>
      <c r="AZ49" s="442">
        <f ca="1">IF($H49="",0,IF($H49=1,IF('Para Adj'!$B$5 = 1,V49-($O49-SUMPRODUCT($CX49:DE49,$BU49:CB49))*(1-SUM($DZ49:EG49)),CB49*DE49),$O49*CB49))</f>
        <v>82.489482930407661</v>
      </c>
      <c r="BA49" s="442">
        <f ca="1">IF($H49="",0,IF($H49=1,IF('Para Adj'!$B$5 = 1,W49-($O49-SUMPRODUCT($CX49:DF49,$BU49:CC49))*(1-SUM($DZ49:EH49)),CC49*DF49),$O49*CC49))</f>
        <v>82.489482930407661</v>
      </c>
      <c r="BB49" s="442">
        <f ca="1">IF($H49="",0,IF($H49=1,IF('Para Adj'!$B$5 = 1,X49-($O49-SUMPRODUCT($CX49:DG49,$BU49:CD49))*(1-SUM($DZ49:EI49)),CD49*DG49),$O49*CD49))</f>
        <v>82.489482930407661</v>
      </c>
      <c r="BC49" s="442">
        <f ca="1">IF($H49="",0,IF($H49=1,IF('Para Adj'!$B$5 = 1,Y49-($O49-SUMPRODUCT($CX49:DH49,$BU49:CE49))*(1-SUM($DZ49:EJ49)),CE49*DH49),$O49*CE49))</f>
        <v>82.489482930407661</v>
      </c>
      <c r="BD49" s="442">
        <f ca="1">IF($H49="",0,IF($H49=1,IF('Para Adj'!$B$5 = 1,Z49-($O49-SUMPRODUCT($CX49:DI49,$BU49:CF49))*(1-SUM($DZ49:EK49)),CF49*DI49),$O49*CF49))</f>
        <v>82.489482930407661</v>
      </c>
      <c r="BE49" s="442">
        <f ca="1">IF($H49="",0,IF($H49=1,IF('Para Adj'!$B$5 = 1,AA49-($O49-SUMPRODUCT($CX49:DJ49,$BU49:CG49))*(1-SUM($DZ49:EL49)),CG49*DJ49),$O49*CG49))</f>
        <v>82.489482930407661</v>
      </c>
      <c r="BF49" s="442">
        <f ca="1">IF($H49="",0,IF($H49=1,IF('Para Adj'!$B$5 = 1,AB49-($O49-SUMPRODUCT($CX49:DK49,$BU49:CH49))*(1-SUM($DZ49:EM49)),CH49*DK49),$O49*CH49))</f>
        <v>82.489482930407661</v>
      </c>
      <c r="BG49" s="442">
        <f ca="1">IF($H49="",0,IF($H49=1,IF('Para Adj'!$B$5 = 1,AC49-($O49-SUMPRODUCT($CX49:DL49,$BU49:CI49))*(1-SUM($DZ49:EN49)),CI49*DL49),$O49*CI49))</f>
        <v>216.53489269231994</v>
      </c>
      <c r="BH49" s="442">
        <f ca="1">IF($H49="",0,IF($H49=1,IF('Para Adj'!$B$5 = 1,AD49-($O49-SUMPRODUCT($CX49:DM49,$BU49:CJ49))*(1-SUM($DZ49:EO49)),CJ49*DM49),$O49*CJ49))</f>
        <v>216.53489269231994</v>
      </c>
      <c r="BI49" s="442">
        <f ca="1">IF($H49="",0,IF($H49=1,IF('Para Adj'!$B$5 = 1,AE49-($O49-SUMPRODUCT($CX49:DN49,$BU49:CK49))*(1-SUM($DZ49:EP49)),CK49*DN49),$O49*CK49))</f>
        <v>216.53489269232008</v>
      </c>
      <c r="BJ49" s="442">
        <f ca="1">IF($H49="",0,IF($H49=1,IF('Para Adj'!$B$5 = 1,AF49-($O49-SUMPRODUCT($CX49:DO49,$BU49:CL49))*(1-SUM($DZ49:EQ49)),CL49*DO49),$O49*CL49))</f>
        <v>216.53489269232008</v>
      </c>
      <c r="BK49" s="442">
        <f ca="1">IF($H49="",0,IF($H49=1,IF('Para Adj'!$B$5 = 1,AG49-($O49-SUMPRODUCT($CX49:DP49,$BU49:CM49))*(1-SUM($DZ49:ER49)),CM49*DP49),$O49*CM49))</f>
        <v>72.178297564106671</v>
      </c>
      <c r="BL49" s="442">
        <f ca="1">IF($H49="",0,IF($H49=1,IF('Para Adj'!$B$5 = 1,AH49-($O49-SUMPRODUCT($CX49:DQ49,$BU49:CN49))*(1-SUM($DZ49:ES49)),CN49*DQ49),$O49*CN49))</f>
        <v>72.178297564106671</v>
      </c>
      <c r="BM49" s="442">
        <f ca="1">IF($H49="",0,IF($H49=1,IF('Para Adj'!$B$5 = 1,AI49-($O49-SUMPRODUCT($CX49:DR49,$BU49:CO49))*(1-SUM($DZ49:ET49)),CO49*DR49),$O49*CO49))</f>
        <v>72.178297564106671</v>
      </c>
      <c r="BN49" s="442">
        <f ca="1">IF($H49="",0,IF($H49=1,IF('Para Adj'!$B$5 = 1,AJ49-($O49-SUMPRODUCT($CX49:DS49,$BU49:CP49))*(1-SUM($DZ49:EU49)),CP49*DS49),$O49*CP49))</f>
        <v>72.178297564106671</v>
      </c>
      <c r="BO49" s="442">
        <f ca="1">IF($H49="",0,IF($H49=1,IF('Para Adj'!$B$5 = 1,AK49-($O49-SUMPRODUCT($CX49:DT49,$BU49:CQ49))*(1-SUM($DZ49:EV49)),CQ49*DT49),$O49*CQ49))</f>
        <v>72.178297564106671</v>
      </c>
      <c r="BP49" s="442">
        <f ca="1">IF($H49="",0,IF($H49=1,IF('Para Adj'!$B$5 = 1,AL49-($O49-SUMPRODUCT($CX49:DU49,$BU49:CR49))*(1-SUM($DZ49:EW49)),CR49*DU49),$O49*CR49))</f>
        <v>72.178297564106671</v>
      </c>
      <c r="BQ49" s="442">
        <f ca="1">IF($H49="",0,IF($H49=1,IF('Para Adj'!$B$5 = 1,AM49-($O49-SUMPRODUCT($CX49:DV49,$BU49:CS49))*(1-SUM($DZ49:EX49)),CS49*DV49),$O49*CS49))</f>
        <v>72.178297564106671</v>
      </c>
      <c r="BR49" s="442">
        <f ca="1">IF($H49="",0,IF($H49=1,IF('Para Adj'!$B$5 = 1,AN49-($O49-SUMPRODUCT($CX49:DW49,$BU49:CT49))*(1-SUM($DZ49:EY49)),CT49*DW49),$O49*CT49))</f>
        <v>72.178297564106671</v>
      </c>
      <c r="BS49" s="442">
        <f ca="1">IF($H49="",0,IF($H49=1,IF('Para Adj'!$B$5 = 1,AO49-($O49-SUMPRODUCT($CX49:DX49,$BU49:CU49))*(1-SUM($DZ49:EZ49)),CU49*DX49),$O49*CU49))</f>
        <v>72.178297564106671</v>
      </c>
      <c r="BU49" s="820">
        <f ca="1">IF($B49=0,"",INDEX(Assumptions!G:G,$B49))</f>
        <v>0.1226666666666667</v>
      </c>
      <c r="BV49" s="820">
        <f ca="1">IF($B49=0,"",INDEX(Assumptions!H:H,$B49))</f>
        <v>2.0444444444444449E-2</v>
      </c>
      <c r="BW49" s="820">
        <f ca="1">IF($B49=0,"",INDEX(Assumptions!I:I,$B49))</f>
        <v>2.0444444444444449E-2</v>
      </c>
      <c r="BX49" s="820">
        <f ca="1">IF($B49=0,"",INDEX(Assumptions!J:J,$B49))</f>
        <v>2.0444444444444449E-2</v>
      </c>
      <c r="BY49" s="820">
        <f ca="1">IF($B49=0,"",INDEX(Assumptions!K:K,$B49))</f>
        <v>2.0444444444444449E-2</v>
      </c>
      <c r="BZ49" s="820">
        <f ca="1">IF($B49=0,"",INDEX(Assumptions!L:L,$B49))</f>
        <v>2.0444444444444449E-2</v>
      </c>
      <c r="CA49" s="820">
        <f ca="1">IF($B49=0,"",INDEX(Assumptions!M:M,$B49))</f>
        <v>2.0444444444444449E-2</v>
      </c>
      <c r="CB49" s="820">
        <f ca="1">IF($B49=0,"",INDEX(Assumptions!N:N,$B49))</f>
        <v>1.7523809523809532E-2</v>
      </c>
      <c r="CC49" s="820">
        <f ca="1">IF($B49=0,"",INDEX(Assumptions!O:O,$B49))</f>
        <v>1.7523809523809532E-2</v>
      </c>
      <c r="CD49" s="820">
        <f ca="1">IF($B49=0,"",INDEX(Assumptions!P:P,$B49))</f>
        <v>1.7523809523809532E-2</v>
      </c>
      <c r="CE49" s="820">
        <f ca="1">IF($B49=0,"",INDEX(Assumptions!Q:Q,$B49))</f>
        <v>1.7523809523809532E-2</v>
      </c>
      <c r="CF49" s="820">
        <f ca="1">IF($B49=0,"",INDEX(Assumptions!R:R,$B49))</f>
        <v>1.7523809523809532E-2</v>
      </c>
      <c r="CG49" s="820">
        <f ca="1">IF($B49=0,"",INDEX(Assumptions!S:S,$B49))</f>
        <v>1.7523809523809532E-2</v>
      </c>
      <c r="CH49" s="820">
        <f ca="1">IF($B49=0,"",INDEX(Assumptions!T:T,$B49))</f>
        <v>1.7523809523809532E-2</v>
      </c>
      <c r="CI49" s="820">
        <f ca="1">IF($B49=0,"",INDEX(Assumptions!U:U,$B49))</f>
        <v>4.5999999999999985E-2</v>
      </c>
      <c r="CJ49" s="820">
        <f ca="1">IF($B49=0,"",INDEX(Assumptions!V:V,$B49))</f>
        <v>4.5999999999999985E-2</v>
      </c>
      <c r="CK49" s="820">
        <f ca="1">IF($B49=0,"",INDEX(Assumptions!W:W,$B49))</f>
        <v>4.6000000000000013E-2</v>
      </c>
      <c r="CL49" s="820">
        <f ca="1">IF($B49=0,"",INDEX(Assumptions!X:X,$B49))</f>
        <v>4.6000000000000013E-2</v>
      </c>
      <c r="CM49" s="820">
        <f ca="1">IF($B49=0,"",INDEX(Assumptions!Y:Y,$B49))</f>
        <v>1.5333333333333334E-2</v>
      </c>
      <c r="CN49" s="820">
        <f ca="1">IF($B49=0,"",INDEX(Assumptions!Z:Z,$B49))</f>
        <v>1.5333333333333334E-2</v>
      </c>
      <c r="CO49" s="820">
        <f ca="1">IF($B49=0,"",INDEX(Assumptions!AA:AA,$B49))</f>
        <v>1.5333333333333334E-2</v>
      </c>
      <c r="CP49" s="820">
        <f ca="1">IF($B49=0,"",INDEX(Assumptions!AB:AB,$B49))</f>
        <v>1.5333333333333334E-2</v>
      </c>
      <c r="CQ49" s="820">
        <f ca="1">IF($B49=0,"",INDEX(Assumptions!AC:AC,$B49))</f>
        <v>1.5333333333333334E-2</v>
      </c>
      <c r="CR49" s="820">
        <f ca="1">IF($B49=0,"",INDEX(Assumptions!AD:AD,$B49))</f>
        <v>1.5333333333333334E-2</v>
      </c>
      <c r="CS49" s="820">
        <f ca="1">IF($B49=0,"",INDEX(Assumptions!AE:AE,$B49))</f>
        <v>1.5333333333333334E-2</v>
      </c>
      <c r="CT49" s="820">
        <f ca="1">IF($B49=0,"",INDEX(Assumptions!AF:AF,$B49))</f>
        <v>1.5333333333333334E-2</v>
      </c>
      <c r="CU49" s="820">
        <f ca="1">IF($B49=0,"",INDEX(Assumptions!AG:AG,$B49))</f>
        <v>1.5333333333333334E-2</v>
      </c>
      <c r="CX49" s="442">
        <f>IF($A49="","",INDEX('Data Interface'!G:G,$A49))</f>
        <v>4707.2802759200003</v>
      </c>
      <c r="CY49" s="442">
        <f>IF($A49="","",INDEX('Data Interface'!H:H,$A49))</f>
        <v>0</v>
      </c>
      <c r="CZ49" s="442">
        <f>IF($A49="","",INDEX('Data Interface'!I:I,$A49))</f>
        <v>0</v>
      </c>
      <c r="DA49" s="442">
        <f>IF($A49="","",INDEX('Data Interface'!J:J,$A49))</f>
        <v>0</v>
      </c>
      <c r="DB49" s="442">
        <f>IF($A49="","",INDEX('Data Interface'!K:K,$A49))</f>
        <v>0</v>
      </c>
      <c r="DC49" s="442">
        <f>IF($A49="","",INDEX('Data Interface'!L:L,$A49))</f>
        <v>0</v>
      </c>
      <c r="DD49" s="442">
        <f>IF($A49="","",INDEX('Data Interface'!M:M,$A49))</f>
        <v>0</v>
      </c>
      <c r="DE49" s="442">
        <f>IF($A49="","",INDEX('Data Interface'!N:N,$A49))</f>
        <v>0</v>
      </c>
      <c r="DF49" s="442">
        <f>IF($A49="","",INDEX('Data Interface'!O:O,$A49))</f>
        <v>0</v>
      </c>
      <c r="DG49" s="442">
        <f>IF($A49="","",INDEX('Data Interface'!P:P,$A49))</f>
        <v>0</v>
      </c>
      <c r="DH49" s="442">
        <f>IF($A49="","",INDEX('Data Interface'!Q:Q,$A49))</f>
        <v>0</v>
      </c>
      <c r="DI49" s="442">
        <f>IF($A49="","",INDEX('Data Interface'!R:R,$A49))</f>
        <v>0</v>
      </c>
      <c r="DJ49" s="442">
        <f>IF($A49="","",INDEX('Data Interface'!S:S,$A49))</f>
        <v>0</v>
      </c>
      <c r="DK49" s="442">
        <f>IF($A49="","",INDEX('Data Interface'!T:T,$A49))</f>
        <v>0</v>
      </c>
      <c r="DL49" s="442">
        <f>IF($A49="","",INDEX('Data Interface'!U:U,$A49))</f>
        <v>0</v>
      </c>
      <c r="DM49" s="442">
        <f>IF($A49="","",INDEX('Data Interface'!V:V,$A49))</f>
        <v>0</v>
      </c>
      <c r="DN49" s="442">
        <f>IF($A49="","",INDEX('Data Interface'!W:W,$A49))</f>
        <v>0</v>
      </c>
      <c r="DO49" s="442">
        <f>IF($A49="","",INDEX('Data Interface'!X:X,$A49))</f>
        <v>0</v>
      </c>
      <c r="DP49" s="442">
        <f>IF($A49="","",INDEX('Data Interface'!Y:Y,$A49))</f>
        <v>0</v>
      </c>
      <c r="DQ49" s="442">
        <f>IF($A49="","",INDEX('Data Interface'!Z:Z,$A49))</f>
        <v>0</v>
      </c>
      <c r="DR49" s="442">
        <f>IF($A49="","",INDEX('Data Interface'!AA:AA,$A49))</f>
        <v>0</v>
      </c>
      <c r="DS49" s="442">
        <f>IF($A49="","",INDEX('Data Interface'!AB:AB,$A49))</f>
        <v>0</v>
      </c>
      <c r="DT49" s="442">
        <f>IF($A49="","",INDEX('Data Interface'!AC:AC,$A49))</f>
        <v>0</v>
      </c>
      <c r="DU49" s="442">
        <f>IF($A49="","",INDEX('Data Interface'!AD:AD,$A49))</f>
        <v>0</v>
      </c>
      <c r="DV49" s="442">
        <f>IF($A49="","",INDEX('Data Interface'!AE:AE,$A49))</f>
        <v>0</v>
      </c>
      <c r="DW49" s="442">
        <f>IF($A49="","",INDEX('Data Interface'!AF:AF,$A49))</f>
        <v>0</v>
      </c>
      <c r="DX49" s="442">
        <f>IF($A49="","",INDEX('Data Interface'!AG:AG,$A49))</f>
        <v>0</v>
      </c>
      <c r="DZ49" s="906" t="str">
        <f>IF(OR($B49=0,$A49=0,$H49&lt;&gt;1),"",INDEX(Assumptions!EO:EO,$B49))</f>
        <v/>
      </c>
      <c r="EA49" s="906" t="str">
        <f>IF(OR($B49=0,$A49=0,$H49&lt;&gt;1),"",INDEX(Assumptions!EP:EP,$B49))</f>
        <v/>
      </c>
      <c r="EB49" s="906" t="str">
        <f>IF(OR($B49=0,$A49=0,$H49&lt;&gt;1),"",INDEX(Assumptions!EQ:EQ,$B49))</f>
        <v/>
      </c>
      <c r="EC49" s="906" t="str">
        <f>IF(OR($B49=0,$A49=0,$H49&lt;&gt;1),"",INDEX(Assumptions!ER:ER,$B49))</f>
        <v/>
      </c>
      <c r="ED49" s="906" t="str">
        <f>IF(OR($B49=0,$A49=0,$H49&lt;&gt;1),"",INDEX(Assumptions!ES:ES,$B49))</f>
        <v/>
      </c>
      <c r="EE49" s="906" t="str">
        <f>IF(OR($B49=0,$A49=0,$H49&lt;&gt;1),"",INDEX(Assumptions!ET:ET,$B49))</f>
        <v/>
      </c>
      <c r="EF49" s="906" t="str">
        <f>IF(OR($B49=0,$A49=0,$H49&lt;&gt;1),"",INDEX(Assumptions!EU:EU,$B49))</f>
        <v/>
      </c>
      <c r="EG49" s="906" t="str">
        <f>IF(OR($B49=0,$A49=0,$H49&lt;&gt;1),"",INDEX(Assumptions!EV:EV,$B49))</f>
        <v/>
      </c>
      <c r="EH49" s="906" t="str">
        <f>IF(OR($B49=0,$A49=0,$H49&lt;&gt;1),"",INDEX(Assumptions!EW:EW,$B49))</f>
        <v/>
      </c>
      <c r="EI49" s="906" t="str">
        <f>IF(OR($B49=0,$A49=0,$H49&lt;&gt;1),"",INDEX(Assumptions!EX:EX,$B49))</f>
        <v/>
      </c>
      <c r="EJ49" s="906" t="str">
        <f>IF(OR($B49=0,$A49=0,$H49&lt;&gt;1),"",INDEX(Assumptions!EY:EY,$B49))</f>
        <v/>
      </c>
      <c r="EK49" s="906" t="str">
        <f>IF(OR($B49=0,$A49=0,$H49&lt;&gt;1),"",INDEX(Assumptions!EZ:EZ,$B49))</f>
        <v/>
      </c>
      <c r="EL49" s="906" t="str">
        <f>IF(OR($B49=0,$A49=0,$H49&lt;&gt;1),"",INDEX(Assumptions!FA:FA,$B49))</f>
        <v/>
      </c>
      <c r="EM49" s="906" t="str">
        <f>IF(OR($B49=0,$A49=0,$H49&lt;&gt;1),"",INDEX(Assumptions!FB:FB,$B49))</f>
        <v/>
      </c>
      <c r="EN49" s="906" t="str">
        <f>IF(OR($B49=0,$A49=0,$H49&lt;&gt;1),"",INDEX(Assumptions!FC:FC,$B49))</f>
        <v/>
      </c>
      <c r="EO49" s="906" t="str">
        <f>IF(OR($B49=0,$A49=0,$H49&lt;&gt;1),"",INDEX(Assumptions!FD:FD,$B49))</f>
        <v/>
      </c>
      <c r="EP49" s="906" t="str">
        <f>IF(OR($B49=0,$A49=0,$H49&lt;&gt;1),"",INDEX(Assumptions!FE:FE,$B49))</f>
        <v/>
      </c>
      <c r="EQ49" s="906" t="str">
        <f>IF(OR($B49=0,$A49=0,$H49&lt;&gt;1),"",INDEX(Assumptions!FF:FF,$B49))</f>
        <v/>
      </c>
      <c r="ER49" s="906" t="str">
        <f>IF(OR($B49=0,$A49=0,$H49&lt;&gt;1),"",INDEX(Assumptions!FG:FG,$B49))</f>
        <v/>
      </c>
      <c r="ES49" s="906" t="str">
        <f>IF(OR($B49=0,$A49=0,$H49&lt;&gt;1),"",INDEX(Assumptions!FH:FH,$B49))</f>
        <v/>
      </c>
      <c r="ET49" s="906" t="str">
        <f>IF(OR($B49=0,$A49=0,$H49&lt;&gt;1),"",INDEX(Assumptions!FI:FI,$B49))</f>
        <v/>
      </c>
      <c r="EU49" s="906" t="str">
        <f>IF(OR($B49=0,$A49=0,$H49&lt;&gt;1),"",INDEX(Assumptions!FJ:FJ,$B49))</f>
        <v/>
      </c>
      <c r="EV49" s="906" t="str">
        <f>IF(OR($B49=0,$A49=0,$H49&lt;&gt;1),"",INDEX(Assumptions!FK:FK,$B49))</f>
        <v/>
      </c>
      <c r="EW49" s="906" t="str">
        <f>IF(OR($B49=0,$A49=0,$H49&lt;&gt;1),"",INDEX(Assumptions!FL:FL,$B49))</f>
        <v/>
      </c>
      <c r="EX49" s="906" t="str">
        <f>IF(OR($B49=0,$A49=0,$H49&lt;&gt;1),"",INDEX(Assumptions!FM:FM,$B49))</f>
        <v/>
      </c>
      <c r="EY49" s="906" t="str">
        <f>IF(OR($B49=0,$A49=0,$H49&lt;&gt;1),"",INDEX(Assumptions!FN:FN,$B49))</f>
        <v/>
      </c>
      <c r="EZ49" s="906" t="str">
        <f>IF(OR($B49=0,$A49=0,$H49&lt;&gt;1),"",INDEX(Assumptions!FO:FO,$B49))</f>
        <v/>
      </c>
      <c r="FB49" s="820" t="str">
        <f t="shared" si="18"/>
        <v/>
      </c>
      <c r="FC49" s="820" t="str">
        <f t="shared" si="19"/>
        <v/>
      </c>
      <c r="FD49" s="820" t="str">
        <f t="shared" si="20"/>
        <v/>
      </c>
      <c r="FE49" s="820" t="str">
        <f t="shared" si="21"/>
        <v/>
      </c>
      <c r="FF49" s="820" t="str">
        <f t="shared" si="22"/>
        <v/>
      </c>
    </row>
    <row r="50" spans="1:162">
      <c r="A50" s="440">
        <f>IFERROR(MATCH(C50,'Data Interface'!B:B,0),0)</f>
        <v>47</v>
      </c>
      <c r="B50" s="440">
        <f>IFERROR(MATCH(C50,Assumptions!$B:$B,0),0)</f>
        <v>59</v>
      </c>
      <c r="C50" s="441" t="s">
        <v>1319</v>
      </c>
      <c r="E50" s="441" t="s">
        <v>1219</v>
      </c>
      <c r="F50" s="440" t="s">
        <v>36</v>
      </c>
      <c r="G50" s="440" t="str">
        <f>IF(A50=0,"",INDEX('Data Interface'!$C:$C,$A50))</f>
        <v>Due to Banks - Investment - CDB HK</v>
      </c>
      <c r="H50" s="440">
        <v>0</v>
      </c>
      <c r="I50" s="819">
        <f t="shared" ca="1" si="23"/>
        <v>0.18400000000000016</v>
      </c>
      <c r="J50" s="819">
        <f t="shared" ca="1" si="24"/>
        <v>0.23000000000000015</v>
      </c>
      <c r="K50" s="439" t="str">
        <f t="shared" ca="1" si="25"/>
        <v>18.4% of Current Balance</v>
      </c>
      <c r="L50" s="439" t="s">
        <v>1148</v>
      </c>
      <c r="M50" s="439" t="s">
        <v>1507</v>
      </c>
      <c r="O50" s="442">
        <f>IF(OR($A50="",$A50=0),0,INDEX('Data Interface'!D:D,$A50))</f>
        <v>93.106070770000002</v>
      </c>
      <c r="P50" s="442">
        <f ca="1">$O50-SUM($AS50:AS50)</f>
        <v>87.395565096106665</v>
      </c>
      <c r="Q50" s="442">
        <f ca="1">$O50-SUM($AS50:AT50)</f>
        <v>86.443814150457783</v>
      </c>
      <c r="R50" s="442">
        <f ca="1">$O50-SUM($AS50:AU50)</f>
        <v>85.492063204808886</v>
      </c>
      <c r="S50" s="442">
        <f ca="1">$O50-SUM($AS50:AV50)</f>
        <v>84.540312259160004</v>
      </c>
      <c r="T50" s="442">
        <f ca="1">$O50-SUM($AS50:AW50)</f>
        <v>83.588561313511107</v>
      </c>
      <c r="U50" s="442">
        <f ca="1">$O50-SUM($AS50:AX50)</f>
        <v>82.636810367862225</v>
      </c>
      <c r="V50" s="442">
        <f ca="1">$O50-SUM($AS50:AY50)</f>
        <v>81.685059422213328</v>
      </c>
      <c r="W50" s="442">
        <f ca="1">$O50-SUM($AS50:AZ50)</f>
        <v>80.869272897371417</v>
      </c>
      <c r="X50" s="442">
        <f ca="1">$O50-SUM($AS50:BA50)</f>
        <v>80.05348637252952</v>
      </c>
      <c r="Y50" s="442">
        <f ca="1">$O50-SUM($AS50:BB50)</f>
        <v>79.237699847687622</v>
      </c>
      <c r="Z50" s="442">
        <f ca="1">$O50-SUM($AS50:BC50)</f>
        <v>78.421913322845711</v>
      </c>
      <c r="AA50" s="442">
        <f ca="1">$O50-SUM($AS50:BD50)</f>
        <v>77.6061267980038</v>
      </c>
      <c r="AB50" s="442">
        <f ca="1">$O50-SUM($AS50:BE50)</f>
        <v>76.790340273161902</v>
      </c>
      <c r="AC50" s="442">
        <f ca="1">$O50-SUM($AS50:BF50)</f>
        <v>75.974553748320005</v>
      </c>
      <c r="AD50" s="442">
        <f ca="1">$O50-SUM($AS50:BG50)</f>
        <v>73.833114120609991</v>
      </c>
      <c r="AE50" s="442">
        <f ca="1">$O50-SUM($AS50:BH50)</f>
        <v>71.691674492900006</v>
      </c>
      <c r="AF50" s="442">
        <f ca="1">$O50-SUM($AS50:BI50)</f>
        <v>69.550234865189992</v>
      </c>
      <c r="AG50" s="442">
        <f ca="1">$O50-SUM($AS50:BJ50)</f>
        <v>67.408795237480007</v>
      </c>
      <c r="AH50" s="442">
        <f ca="1">$O50-SUM($AS50:BK50)</f>
        <v>66.694982028243331</v>
      </c>
      <c r="AI50" s="442">
        <f ca="1">$O50-SUM($AS50:BL50)</f>
        <v>65.981168819006669</v>
      </c>
      <c r="AJ50" s="442">
        <f ca="1">$O50-SUM($AS50:BM50)</f>
        <v>65.267355609770007</v>
      </c>
      <c r="AK50" s="442">
        <f ca="1">$O50-SUM($AS50:BN50)</f>
        <v>64.553542400533331</v>
      </c>
      <c r="AL50" s="442">
        <f ca="1">$O50-SUM($AS50:BO50)</f>
        <v>63.839729191296669</v>
      </c>
      <c r="AM50" s="442">
        <f ca="1">$O50-SUM($AS50:BP50)</f>
        <v>63.125915982060008</v>
      </c>
      <c r="AN50" s="442">
        <f ca="1">$O50-SUM($AS50:BQ50)</f>
        <v>62.412102772823346</v>
      </c>
      <c r="AO50" s="442">
        <f ca="1">$O50-SUM($AS50:BR50)</f>
        <v>61.698289563586677</v>
      </c>
      <c r="AP50" s="442">
        <f ca="1">$O50-SUM($AS50:BS50)</f>
        <v>60.984476354350008</v>
      </c>
      <c r="AR50" s="439" t="s">
        <v>1202</v>
      </c>
      <c r="AS50" s="442">
        <f ca="1">IF($H50="",0,IF($H50=1,IF('Para Adj'!$B$5 = 1,O50-($O50-SUMPRODUCT($CX50:CX50,$BU50:BU50))*(1-SUM($DZ50:DZ50)),BU50*CX50),$O50*BU50))</f>
        <v>5.7105056738933353</v>
      </c>
      <c r="AT50" s="442">
        <f ca="1">IF($H50="",0,IF($H50=1,IF('Para Adj'!$B$5 = 1,P50-($O50-SUMPRODUCT($CX50:CY50,$BU50:BV50))*(1-SUM($DZ50:EA50)),BV50*CY50),$O50*BV50))</f>
        <v>0.95175094564888918</v>
      </c>
      <c r="AU50" s="442">
        <f ca="1">IF($H50="",0,IF($H50=1,IF('Para Adj'!$B$5 = 1,Q50-($O50-SUMPRODUCT($CX50:CZ50,$BU50:BW50))*(1-SUM($DZ50:EB50)),BW50*CZ50),$O50*BW50))</f>
        <v>0.95175094564888918</v>
      </c>
      <c r="AV50" s="442">
        <f ca="1">IF($H50="",0,IF($H50=1,IF('Para Adj'!$B$5 = 1,R50-($O50-SUMPRODUCT($CX50:DA50,$BU50:BX50))*(1-SUM($DZ50:EC50)),BX50*DA50),$O50*BX50))</f>
        <v>0.95175094564888918</v>
      </c>
      <c r="AW50" s="442">
        <f ca="1">IF($H50="",0,IF($H50=1,IF('Para Adj'!$B$5 = 1,S50-($O50-SUMPRODUCT($CX50:DB50,$BU50:BY50))*(1-SUM($DZ50:ED50)),BY50*DB50),$O50*BY50))</f>
        <v>0.95175094564888918</v>
      </c>
      <c r="AX50" s="442">
        <f ca="1">IF($H50="",0,IF($H50=1,IF('Para Adj'!$B$5 = 1,T50-($O50-SUMPRODUCT($CX50:DC50,$BU50:BZ50))*(1-SUM($DZ50:EE50)),BZ50*DC50),$O50*BZ50))</f>
        <v>0.95175094564888918</v>
      </c>
      <c r="AY50" s="442">
        <f ca="1">IF($H50="",0,IF($H50=1,IF('Para Adj'!$B$5 = 1,U50-($O50-SUMPRODUCT($CX50:DD50,$BU50:CA50))*(1-SUM($DZ50:EF50)),CA50*DD50),$O50*CA50))</f>
        <v>0.95175094564888918</v>
      </c>
      <c r="AZ50" s="442">
        <f ca="1">IF($H50="",0,IF($H50=1,IF('Para Adj'!$B$5 = 1,V50-($O50-SUMPRODUCT($CX50:DE50,$BU50:CB50))*(1-SUM($DZ50:EG50)),CB50*DE50),$O50*CB50))</f>
        <v>0.81578652484190517</v>
      </c>
      <c r="BA50" s="442">
        <f ca="1">IF($H50="",0,IF($H50=1,IF('Para Adj'!$B$5 = 1,W50-($O50-SUMPRODUCT($CX50:DF50,$BU50:CC50))*(1-SUM($DZ50:EH50)),CC50*DF50),$O50*CC50))</f>
        <v>0.81578652484190517</v>
      </c>
      <c r="BB50" s="442">
        <f ca="1">IF($H50="",0,IF($H50=1,IF('Para Adj'!$B$5 = 1,X50-($O50-SUMPRODUCT($CX50:DG50,$BU50:CD50))*(1-SUM($DZ50:EI50)),CD50*DG50),$O50*CD50))</f>
        <v>0.81578652484190517</v>
      </c>
      <c r="BC50" s="442">
        <f ca="1">IF($H50="",0,IF($H50=1,IF('Para Adj'!$B$5 = 1,Y50-($O50-SUMPRODUCT($CX50:DH50,$BU50:CE50))*(1-SUM($DZ50:EJ50)),CE50*DH50),$O50*CE50))</f>
        <v>0.81578652484190517</v>
      </c>
      <c r="BD50" s="442">
        <f ca="1">IF($H50="",0,IF($H50=1,IF('Para Adj'!$B$5 = 1,Z50-($O50-SUMPRODUCT($CX50:DI50,$BU50:CF50))*(1-SUM($DZ50:EK50)),CF50*DI50),$O50*CF50))</f>
        <v>0.81578652484190517</v>
      </c>
      <c r="BE50" s="442">
        <f ca="1">IF($H50="",0,IF($H50=1,IF('Para Adj'!$B$5 = 1,AA50-($O50-SUMPRODUCT($CX50:DJ50,$BU50:CG50))*(1-SUM($DZ50:EL50)),CG50*DJ50),$O50*CG50))</f>
        <v>0.81578652484190517</v>
      </c>
      <c r="BF50" s="442">
        <f ca="1">IF($H50="",0,IF($H50=1,IF('Para Adj'!$B$5 = 1,AB50-($O50-SUMPRODUCT($CX50:DK50,$BU50:CH50))*(1-SUM($DZ50:EM50)),CH50*DK50),$O50*CH50))</f>
        <v>0.81578652484190517</v>
      </c>
      <c r="BG50" s="442">
        <f ca="1">IF($H50="",0,IF($H50=1,IF('Para Adj'!$B$5 = 1,AC50-($O50-SUMPRODUCT($CX50:DL50,$BU50:CI50))*(1-SUM($DZ50:EN50)),CI50*DL50),$O50*CI50))</f>
        <v>2.1414396277099992</v>
      </c>
      <c r="BH50" s="442">
        <f ca="1">IF($H50="",0,IF($H50=1,IF('Para Adj'!$B$5 = 1,AD50-($O50-SUMPRODUCT($CX50:DM50,$BU50:CJ50))*(1-SUM($DZ50:EO50)),CJ50*DM50),$O50*CJ50))</f>
        <v>2.1414396277099992</v>
      </c>
      <c r="BI50" s="442">
        <f ca="1">IF($H50="",0,IF($H50=1,IF('Para Adj'!$B$5 = 1,AE50-($O50-SUMPRODUCT($CX50:DN50,$BU50:CK50))*(1-SUM($DZ50:EP50)),CK50*DN50),$O50*CK50))</f>
        <v>2.1414396277100005</v>
      </c>
      <c r="BJ50" s="442">
        <f ca="1">IF($H50="",0,IF($H50=1,IF('Para Adj'!$B$5 = 1,AF50-($O50-SUMPRODUCT($CX50:DO50,$BU50:CL50))*(1-SUM($DZ50:EQ50)),CL50*DO50),$O50*CL50))</f>
        <v>2.1414396277100005</v>
      </c>
      <c r="BK50" s="442">
        <f ca="1">IF($H50="",0,IF($H50=1,IF('Para Adj'!$B$5 = 1,AG50-($O50-SUMPRODUCT($CX50:DP50,$BU50:CM50))*(1-SUM($DZ50:ER50)),CM50*DP50),$O50*CM50))</f>
        <v>0.71381320923666669</v>
      </c>
      <c r="BL50" s="442">
        <f ca="1">IF($H50="",0,IF($H50=1,IF('Para Adj'!$B$5 = 1,AH50-($O50-SUMPRODUCT($CX50:DQ50,$BU50:CN50))*(1-SUM($DZ50:ES50)),CN50*DQ50),$O50*CN50))</f>
        <v>0.71381320923666669</v>
      </c>
      <c r="BM50" s="442">
        <f ca="1">IF($H50="",0,IF($H50=1,IF('Para Adj'!$B$5 = 1,AI50-($O50-SUMPRODUCT($CX50:DR50,$BU50:CO50))*(1-SUM($DZ50:ET50)),CO50*DR50),$O50*CO50))</f>
        <v>0.71381320923666669</v>
      </c>
      <c r="BN50" s="442">
        <f ca="1">IF($H50="",0,IF($H50=1,IF('Para Adj'!$B$5 = 1,AJ50-($O50-SUMPRODUCT($CX50:DS50,$BU50:CP50))*(1-SUM($DZ50:EU50)),CP50*DS50),$O50*CP50))</f>
        <v>0.71381320923666669</v>
      </c>
      <c r="BO50" s="442">
        <f ca="1">IF($H50="",0,IF($H50=1,IF('Para Adj'!$B$5 = 1,AK50-($O50-SUMPRODUCT($CX50:DT50,$BU50:CQ50))*(1-SUM($DZ50:EV50)),CQ50*DT50),$O50*CQ50))</f>
        <v>0.71381320923666669</v>
      </c>
      <c r="BP50" s="442">
        <f ca="1">IF($H50="",0,IF($H50=1,IF('Para Adj'!$B$5 = 1,AL50-($O50-SUMPRODUCT($CX50:DU50,$BU50:CR50))*(1-SUM($DZ50:EW50)),CR50*DU50),$O50*CR50))</f>
        <v>0.71381320923666669</v>
      </c>
      <c r="BQ50" s="442">
        <f ca="1">IF($H50="",0,IF($H50=1,IF('Para Adj'!$B$5 = 1,AM50-($O50-SUMPRODUCT($CX50:DV50,$BU50:CS50))*(1-SUM($DZ50:EX50)),CS50*DV50),$O50*CS50))</f>
        <v>0.71381320923666669</v>
      </c>
      <c r="BR50" s="442">
        <f ca="1">IF($H50="",0,IF($H50=1,IF('Para Adj'!$B$5 = 1,AN50-($O50-SUMPRODUCT($CX50:DW50,$BU50:CT50))*(1-SUM($DZ50:EY50)),CT50*DW50),$O50*CT50))</f>
        <v>0.71381320923666669</v>
      </c>
      <c r="BS50" s="442">
        <f ca="1">IF($H50="",0,IF($H50=1,IF('Para Adj'!$B$5 = 1,AO50-($O50-SUMPRODUCT($CX50:DX50,$BU50:CU50))*(1-SUM($DZ50:EZ50)),CU50*DX50),$O50*CU50))</f>
        <v>0.71381320923666669</v>
      </c>
      <c r="BU50" s="820">
        <f ca="1">IF($B50=0,"",INDEX(Assumptions!G:G,$B50))</f>
        <v>6.1333333333333351E-2</v>
      </c>
      <c r="BV50" s="820">
        <f ca="1">IF($B50=0,"",INDEX(Assumptions!H:H,$B50))</f>
        <v>1.0222222222222225E-2</v>
      </c>
      <c r="BW50" s="820">
        <f ca="1">IF($B50=0,"",INDEX(Assumptions!I:I,$B50))</f>
        <v>1.0222222222222225E-2</v>
      </c>
      <c r="BX50" s="820">
        <f ca="1">IF($B50=0,"",INDEX(Assumptions!J:J,$B50))</f>
        <v>1.0222222222222225E-2</v>
      </c>
      <c r="BY50" s="820">
        <f ca="1">IF($B50=0,"",INDEX(Assumptions!K:K,$B50))</f>
        <v>1.0222222222222225E-2</v>
      </c>
      <c r="BZ50" s="820">
        <f ca="1">IF($B50=0,"",INDEX(Assumptions!L:L,$B50))</f>
        <v>1.0222222222222225E-2</v>
      </c>
      <c r="CA50" s="820">
        <f ca="1">IF($B50=0,"",INDEX(Assumptions!M:M,$B50))</f>
        <v>1.0222222222222225E-2</v>
      </c>
      <c r="CB50" s="820">
        <f ca="1">IF($B50=0,"",INDEX(Assumptions!N:N,$B50))</f>
        <v>8.7619047619047659E-3</v>
      </c>
      <c r="CC50" s="820">
        <f ca="1">IF($B50=0,"",INDEX(Assumptions!O:O,$B50))</f>
        <v>8.7619047619047659E-3</v>
      </c>
      <c r="CD50" s="820">
        <f ca="1">IF($B50=0,"",INDEX(Assumptions!P:P,$B50))</f>
        <v>8.7619047619047659E-3</v>
      </c>
      <c r="CE50" s="820">
        <f ca="1">IF($B50=0,"",INDEX(Assumptions!Q:Q,$B50))</f>
        <v>8.7619047619047659E-3</v>
      </c>
      <c r="CF50" s="820">
        <f ca="1">IF($B50=0,"",INDEX(Assumptions!R:R,$B50))</f>
        <v>8.7619047619047659E-3</v>
      </c>
      <c r="CG50" s="820">
        <f ca="1">IF($B50=0,"",INDEX(Assumptions!S:S,$B50))</f>
        <v>8.7619047619047659E-3</v>
      </c>
      <c r="CH50" s="820">
        <f ca="1">IF($B50=0,"",INDEX(Assumptions!T:T,$B50))</f>
        <v>8.7619047619047659E-3</v>
      </c>
      <c r="CI50" s="820">
        <f ca="1">IF($B50=0,"",INDEX(Assumptions!U:U,$B50))</f>
        <v>2.2999999999999993E-2</v>
      </c>
      <c r="CJ50" s="820">
        <f ca="1">IF($B50=0,"",INDEX(Assumptions!V:V,$B50))</f>
        <v>2.2999999999999993E-2</v>
      </c>
      <c r="CK50" s="820">
        <f ca="1">IF($B50=0,"",INDEX(Assumptions!W:W,$B50))</f>
        <v>2.3000000000000007E-2</v>
      </c>
      <c r="CL50" s="820">
        <f ca="1">IF($B50=0,"",INDEX(Assumptions!X:X,$B50))</f>
        <v>2.3000000000000007E-2</v>
      </c>
      <c r="CM50" s="820">
        <f ca="1">IF($B50=0,"",INDEX(Assumptions!Y:Y,$B50))</f>
        <v>7.6666666666666671E-3</v>
      </c>
      <c r="CN50" s="820">
        <f ca="1">IF($B50=0,"",INDEX(Assumptions!Z:Z,$B50))</f>
        <v>7.6666666666666671E-3</v>
      </c>
      <c r="CO50" s="820">
        <f ca="1">IF($B50=0,"",INDEX(Assumptions!AA:AA,$B50))</f>
        <v>7.6666666666666671E-3</v>
      </c>
      <c r="CP50" s="820">
        <f ca="1">IF($B50=0,"",INDEX(Assumptions!AB:AB,$B50))</f>
        <v>7.6666666666666671E-3</v>
      </c>
      <c r="CQ50" s="820">
        <f ca="1">IF($B50=0,"",INDEX(Assumptions!AC:AC,$B50))</f>
        <v>7.6666666666666671E-3</v>
      </c>
      <c r="CR50" s="820">
        <f ca="1">IF($B50=0,"",INDEX(Assumptions!AD:AD,$B50))</f>
        <v>7.6666666666666671E-3</v>
      </c>
      <c r="CS50" s="820">
        <f ca="1">IF($B50=0,"",INDEX(Assumptions!AE:AE,$B50))</f>
        <v>7.6666666666666671E-3</v>
      </c>
      <c r="CT50" s="820">
        <f ca="1">IF($B50=0,"",INDEX(Assumptions!AF:AF,$B50))</f>
        <v>7.6666666666666671E-3</v>
      </c>
      <c r="CU50" s="820">
        <f ca="1">IF($B50=0,"",INDEX(Assumptions!AG:AG,$B50))</f>
        <v>7.6666666666666671E-3</v>
      </c>
      <c r="CX50" s="442">
        <f>IF($A50="","",INDEX('Data Interface'!G:G,$A50))</f>
        <v>93.106070770000002</v>
      </c>
      <c r="CY50" s="442">
        <f>IF($A50="","",INDEX('Data Interface'!H:H,$A50))</f>
        <v>0</v>
      </c>
      <c r="CZ50" s="442">
        <f>IF($A50="","",INDEX('Data Interface'!I:I,$A50))</f>
        <v>0</v>
      </c>
      <c r="DA50" s="442">
        <f>IF($A50="","",INDEX('Data Interface'!J:J,$A50))</f>
        <v>0</v>
      </c>
      <c r="DB50" s="442">
        <f>IF($A50="","",INDEX('Data Interface'!K:K,$A50))</f>
        <v>0</v>
      </c>
      <c r="DC50" s="442">
        <f>IF($A50="","",INDEX('Data Interface'!L:L,$A50))</f>
        <v>0</v>
      </c>
      <c r="DD50" s="442">
        <f>IF($A50="","",INDEX('Data Interface'!M:M,$A50))</f>
        <v>0</v>
      </c>
      <c r="DE50" s="442">
        <f>IF($A50="","",INDEX('Data Interface'!N:N,$A50))</f>
        <v>0</v>
      </c>
      <c r="DF50" s="442">
        <f>IF($A50="","",INDEX('Data Interface'!O:O,$A50))</f>
        <v>0</v>
      </c>
      <c r="DG50" s="442">
        <f>IF($A50="","",INDEX('Data Interface'!P:P,$A50))</f>
        <v>0</v>
      </c>
      <c r="DH50" s="442">
        <f>IF($A50="","",INDEX('Data Interface'!Q:Q,$A50))</f>
        <v>0</v>
      </c>
      <c r="DI50" s="442">
        <f>IF($A50="","",INDEX('Data Interface'!R:R,$A50))</f>
        <v>0</v>
      </c>
      <c r="DJ50" s="442">
        <f>IF($A50="","",INDEX('Data Interface'!S:S,$A50))</f>
        <v>0</v>
      </c>
      <c r="DK50" s="442">
        <f>IF($A50="","",INDEX('Data Interface'!T:T,$A50))</f>
        <v>0</v>
      </c>
      <c r="DL50" s="442">
        <f>IF($A50="","",INDEX('Data Interface'!U:U,$A50))</f>
        <v>0</v>
      </c>
      <c r="DM50" s="442">
        <f>IF($A50="","",INDEX('Data Interface'!V:V,$A50))</f>
        <v>0</v>
      </c>
      <c r="DN50" s="442">
        <f>IF($A50="","",INDEX('Data Interface'!W:W,$A50))</f>
        <v>0</v>
      </c>
      <c r="DO50" s="442">
        <f>IF($A50="","",INDEX('Data Interface'!X:X,$A50))</f>
        <v>0</v>
      </c>
      <c r="DP50" s="442">
        <f>IF($A50="","",INDEX('Data Interface'!Y:Y,$A50))</f>
        <v>0</v>
      </c>
      <c r="DQ50" s="442">
        <f>IF($A50="","",INDEX('Data Interface'!Z:Z,$A50))</f>
        <v>0</v>
      </c>
      <c r="DR50" s="442">
        <f>IF($A50="","",INDEX('Data Interface'!AA:AA,$A50))</f>
        <v>0</v>
      </c>
      <c r="DS50" s="442">
        <f>IF($A50="","",INDEX('Data Interface'!AB:AB,$A50))</f>
        <v>0</v>
      </c>
      <c r="DT50" s="442">
        <f>IF($A50="","",INDEX('Data Interface'!AC:AC,$A50))</f>
        <v>0</v>
      </c>
      <c r="DU50" s="442">
        <f>IF($A50="","",INDEX('Data Interface'!AD:AD,$A50))</f>
        <v>0</v>
      </c>
      <c r="DV50" s="442">
        <f>IF($A50="","",INDEX('Data Interface'!AE:AE,$A50))</f>
        <v>0</v>
      </c>
      <c r="DW50" s="442">
        <f>IF($A50="","",INDEX('Data Interface'!AF:AF,$A50))</f>
        <v>0</v>
      </c>
      <c r="DX50" s="442">
        <f>IF($A50="","",INDEX('Data Interface'!AG:AG,$A50))</f>
        <v>0</v>
      </c>
      <c r="DZ50" s="906" t="str">
        <f>IF(OR($B50=0,$A50=0,$H50&lt;&gt;1),"",INDEX(Assumptions!EO:EO,$B50))</f>
        <v/>
      </c>
      <c r="EA50" s="906" t="str">
        <f>IF(OR($B50=0,$A50=0,$H50&lt;&gt;1),"",INDEX(Assumptions!EP:EP,$B50))</f>
        <v/>
      </c>
      <c r="EB50" s="906" t="str">
        <f>IF(OR($B50=0,$A50=0,$H50&lt;&gt;1),"",INDEX(Assumptions!EQ:EQ,$B50))</f>
        <v/>
      </c>
      <c r="EC50" s="906" t="str">
        <f>IF(OR($B50=0,$A50=0,$H50&lt;&gt;1),"",INDEX(Assumptions!ER:ER,$B50))</f>
        <v/>
      </c>
      <c r="ED50" s="906" t="str">
        <f>IF(OR($B50=0,$A50=0,$H50&lt;&gt;1),"",INDEX(Assumptions!ES:ES,$B50))</f>
        <v/>
      </c>
      <c r="EE50" s="906" t="str">
        <f>IF(OR($B50=0,$A50=0,$H50&lt;&gt;1),"",INDEX(Assumptions!ET:ET,$B50))</f>
        <v/>
      </c>
      <c r="EF50" s="906" t="str">
        <f>IF(OR($B50=0,$A50=0,$H50&lt;&gt;1),"",INDEX(Assumptions!EU:EU,$B50))</f>
        <v/>
      </c>
      <c r="EG50" s="906" t="str">
        <f>IF(OR($B50=0,$A50=0,$H50&lt;&gt;1),"",INDEX(Assumptions!EV:EV,$B50))</f>
        <v/>
      </c>
      <c r="EH50" s="906" t="str">
        <f>IF(OR($B50=0,$A50=0,$H50&lt;&gt;1),"",INDEX(Assumptions!EW:EW,$B50))</f>
        <v/>
      </c>
      <c r="EI50" s="906" t="str">
        <f>IF(OR($B50=0,$A50=0,$H50&lt;&gt;1),"",INDEX(Assumptions!EX:EX,$B50))</f>
        <v/>
      </c>
      <c r="EJ50" s="906" t="str">
        <f>IF(OR($B50=0,$A50=0,$H50&lt;&gt;1),"",INDEX(Assumptions!EY:EY,$B50))</f>
        <v/>
      </c>
      <c r="EK50" s="906" t="str">
        <f>IF(OR($B50=0,$A50=0,$H50&lt;&gt;1),"",INDEX(Assumptions!EZ:EZ,$B50))</f>
        <v/>
      </c>
      <c r="EL50" s="906" t="str">
        <f>IF(OR($B50=0,$A50=0,$H50&lt;&gt;1),"",INDEX(Assumptions!FA:FA,$B50))</f>
        <v/>
      </c>
      <c r="EM50" s="906" t="str">
        <f>IF(OR($B50=0,$A50=0,$H50&lt;&gt;1),"",INDEX(Assumptions!FB:FB,$B50))</f>
        <v/>
      </c>
      <c r="EN50" s="906" t="str">
        <f>IF(OR($B50=0,$A50=0,$H50&lt;&gt;1),"",INDEX(Assumptions!FC:FC,$B50))</f>
        <v/>
      </c>
      <c r="EO50" s="906" t="str">
        <f>IF(OR($B50=0,$A50=0,$H50&lt;&gt;1),"",INDEX(Assumptions!FD:FD,$B50))</f>
        <v/>
      </c>
      <c r="EP50" s="906" t="str">
        <f>IF(OR($B50=0,$A50=0,$H50&lt;&gt;1),"",INDEX(Assumptions!FE:FE,$B50))</f>
        <v/>
      </c>
      <c r="EQ50" s="906" t="str">
        <f>IF(OR($B50=0,$A50=0,$H50&lt;&gt;1),"",INDEX(Assumptions!FF:FF,$B50))</f>
        <v/>
      </c>
      <c r="ER50" s="906" t="str">
        <f>IF(OR($B50=0,$A50=0,$H50&lt;&gt;1),"",INDEX(Assumptions!FG:FG,$B50))</f>
        <v/>
      </c>
      <c r="ES50" s="906" t="str">
        <f>IF(OR($B50=0,$A50=0,$H50&lt;&gt;1),"",INDEX(Assumptions!FH:FH,$B50))</f>
        <v/>
      </c>
      <c r="ET50" s="906" t="str">
        <f>IF(OR($B50=0,$A50=0,$H50&lt;&gt;1),"",INDEX(Assumptions!FI:FI,$B50))</f>
        <v/>
      </c>
      <c r="EU50" s="906" t="str">
        <f>IF(OR($B50=0,$A50=0,$H50&lt;&gt;1),"",INDEX(Assumptions!FJ:FJ,$B50))</f>
        <v/>
      </c>
      <c r="EV50" s="906" t="str">
        <f>IF(OR($B50=0,$A50=0,$H50&lt;&gt;1),"",INDEX(Assumptions!FK:FK,$B50))</f>
        <v/>
      </c>
      <c r="EW50" s="906" t="str">
        <f>IF(OR($B50=0,$A50=0,$H50&lt;&gt;1),"",INDEX(Assumptions!FL:FL,$B50))</f>
        <v/>
      </c>
      <c r="EX50" s="906" t="str">
        <f>IF(OR($B50=0,$A50=0,$H50&lt;&gt;1),"",INDEX(Assumptions!FM:FM,$B50))</f>
        <v/>
      </c>
      <c r="EY50" s="906" t="str">
        <f>IF(OR($B50=0,$A50=0,$H50&lt;&gt;1),"",INDEX(Assumptions!FN:FN,$B50))</f>
        <v/>
      </c>
      <c r="EZ50" s="906" t="str">
        <f>IF(OR($B50=0,$A50=0,$H50&lt;&gt;1),"",INDEX(Assumptions!FO:FO,$B50))</f>
        <v/>
      </c>
      <c r="FB50" s="820" t="str">
        <f t="shared" si="18"/>
        <v/>
      </c>
      <c r="FC50" s="820" t="str">
        <f t="shared" si="19"/>
        <v/>
      </c>
      <c r="FD50" s="820" t="str">
        <f t="shared" si="20"/>
        <v/>
      </c>
      <c r="FE50" s="820" t="str">
        <f t="shared" si="21"/>
        <v/>
      </c>
      <c r="FF50" s="820" t="str">
        <f t="shared" si="22"/>
        <v/>
      </c>
    </row>
    <row r="51" spans="1:162">
      <c r="A51" s="440">
        <f>IFERROR(MATCH(C51,'Data Interface'!B:B,0),0)</f>
        <v>48</v>
      </c>
      <c r="B51" s="440">
        <f>IFERROR(MATCH(C51,Assumptions!$B:$B,0),0)</f>
        <v>60</v>
      </c>
      <c r="C51" s="441" t="s">
        <v>2766</v>
      </c>
      <c r="E51" s="441" t="s">
        <v>1219</v>
      </c>
      <c r="F51" s="440" t="s">
        <v>36</v>
      </c>
      <c r="G51" s="440" t="str">
        <f>IF(A51=0,"",INDEX('Data Interface'!$C:$C,$A51))</f>
        <v>Due to Banks - Investment - BANK OF COMM. CO. LTD.</v>
      </c>
      <c r="H51" s="440">
        <v>0</v>
      </c>
      <c r="I51" s="819">
        <f t="shared" ref="I51" ca="1" si="26">IF(H51=1,CH51,IF(H51=0,SUM(BU51:CH51),""))</f>
        <v>0.18400000000000016</v>
      </c>
      <c r="J51" s="819">
        <f t="shared" ref="J51" ca="1" si="27">IF(H51=1,CJ51,IF(H51=0,SUM(BU51:CJ51),""))</f>
        <v>0.23000000000000015</v>
      </c>
      <c r="K51" s="439" t="str">
        <f t="shared" ref="K51" ca="1" si="28">IF(H51=1,ROUND(I51*100,1)&amp;"% of Contractual Maturity",IF(H51="","No Run-off",ROUND(I51*100,1)&amp;"% of Current Balance"))</f>
        <v>18.4% of Current Balance</v>
      </c>
      <c r="L51" s="439" t="s">
        <v>1148</v>
      </c>
      <c r="M51" s="439" t="s">
        <v>1507</v>
      </c>
      <c r="O51" s="442">
        <f>IF(OR($A51="",$A51=0),0,INDEX('Data Interface'!D:D,$A51))</f>
        <v>16.90850859</v>
      </c>
      <c r="P51" s="442">
        <f ca="1">$O51-SUM($AS51:AS51)</f>
        <v>15.87145339648</v>
      </c>
      <c r="Q51" s="442">
        <f ca="1">$O51-SUM($AS51:AT51)</f>
        <v>15.698610864226666</v>
      </c>
      <c r="R51" s="442">
        <f ca="1">$O51-SUM($AS51:AU51)</f>
        <v>15.525768331973334</v>
      </c>
      <c r="S51" s="442">
        <f ca="1">$O51-SUM($AS51:AV51)</f>
        <v>15.352925799719999</v>
      </c>
      <c r="T51" s="442">
        <f ca="1">$O51-SUM($AS51:AW51)</f>
        <v>15.180083267466667</v>
      </c>
      <c r="U51" s="442">
        <f ca="1">$O51-SUM($AS51:AX51)</f>
        <v>15.007240735213333</v>
      </c>
      <c r="V51" s="442">
        <f ca="1">$O51-SUM($AS51:AY51)</f>
        <v>14.834398202959999</v>
      </c>
      <c r="W51" s="442">
        <f ca="1">$O51-SUM($AS51:AZ51)</f>
        <v>14.686247461028572</v>
      </c>
      <c r="X51" s="442">
        <f ca="1">$O51-SUM($AS51:BA51)</f>
        <v>14.538096719097142</v>
      </c>
      <c r="Y51" s="442">
        <f ca="1">$O51-SUM($AS51:BB51)</f>
        <v>14.389945977165715</v>
      </c>
      <c r="Z51" s="442">
        <f ca="1">$O51-SUM($AS51:BC51)</f>
        <v>14.241795235234285</v>
      </c>
      <c r="AA51" s="442">
        <f ca="1">$O51-SUM($AS51:BD51)</f>
        <v>14.093644493302858</v>
      </c>
      <c r="AB51" s="442">
        <f ca="1">$O51-SUM($AS51:BE51)</f>
        <v>13.945493751371428</v>
      </c>
      <c r="AC51" s="442">
        <f ca="1">$O51-SUM($AS51:BF51)</f>
        <v>13.79734300944</v>
      </c>
      <c r="AD51" s="442">
        <f ca="1">$O51-SUM($AS51:BG51)</f>
        <v>13.408447311870001</v>
      </c>
      <c r="AE51" s="442">
        <f ca="1">$O51-SUM($AS51:BH51)</f>
        <v>13.019551614300001</v>
      </c>
      <c r="AF51" s="442">
        <f ca="1">$O51-SUM($AS51:BI51)</f>
        <v>12.630655916729999</v>
      </c>
      <c r="AG51" s="442">
        <f ca="1">$O51-SUM($AS51:BJ51)</f>
        <v>12.24176021916</v>
      </c>
      <c r="AH51" s="442">
        <f ca="1">$O51-SUM($AS51:BK51)</f>
        <v>12.112128319970001</v>
      </c>
      <c r="AI51" s="442">
        <f ca="1">$O51-SUM($AS51:BL51)</f>
        <v>11.982496420780002</v>
      </c>
      <c r="AJ51" s="442">
        <f ca="1">$O51-SUM($AS51:BM51)</f>
        <v>11.852864521590002</v>
      </c>
      <c r="AK51" s="442">
        <f ca="1">$O51-SUM($AS51:BN51)</f>
        <v>11.723232622400001</v>
      </c>
      <c r="AL51" s="442">
        <f ca="1">$O51-SUM($AS51:BO51)</f>
        <v>11.593600723210002</v>
      </c>
      <c r="AM51" s="442">
        <f ca="1">$O51-SUM($AS51:BP51)</f>
        <v>11.463968824020004</v>
      </c>
      <c r="AN51" s="442">
        <f ca="1">$O51-SUM($AS51:BQ51)</f>
        <v>11.334336924830003</v>
      </c>
      <c r="AO51" s="442">
        <f ca="1">$O51-SUM($AS51:BR51)</f>
        <v>11.204705025640003</v>
      </c>
      <c r="AP51" s="442">
        <f ca="1">$O51-SUM($AS51:BS51)</f>
        <v>11.075073126450004</v>
      </c>
      <c r="AR51" s="439" t="s">
        <v>1202</v>
      </c>
      <c r="AS51" s="442">
        <f ca="1">IF($H51="",0,IF($H51=1,IF('Para Adj'!$B$5 = 1,O51-($O51-SUMPRODUCT($CX51:CX51,$BU51:BU51))*(1-SUM($DZ51:DZ51)),BU51*CX51),$O51*BU51))</f>
        <v>1.0370551935200003</v>
      </c>
      <c r="AT51" s="442">
        <f ca="1">IF($H51="",0,IF($H51=1,IF('Para Adj'!$B$5 = 1,P51-($O51-SUMPRODUCT($CX51:CY51,$BU51:BV51))*(1-SUM($DZ51:EA51)),BV51*CY51),$O51*BV51))</f>
        <v>0.17284253225333338</v>
      </c>
      <c r="AU51" s="442">
        <f ca="1">IF($H51="",0,IF($H51=1,IF('Para Adj'!$B$5 = 1,Q51-($O51-SUMPRODUCT($CX51:CZ51,$BU51:BW51))*(1-SUM($DZ51:EB51)),BW51*CZ51),$O51*BW51))</f>
        <v>0.17284253225333338</v>
      </c>
      <c r="AV51" s="442">
        <f ca="1">IF($H51="",0,IF($H51=1,IF('Para Adj'!$B$5 = 1,R51-($O51-SUMPRODUCT($CX51:DA51,$BU51:BX51))*(1-SUM($DZ51:EC51)),BX51*DA51),$O51*BX51))</f>
        <v>0.17284253225333338</v>
      </c>
      <c r="AW51" s="442">
        <f ca="1">IF($H51="",0,IF($H51=1,IF('Para Adj'!$B$5 = 1,S51-($O51-SUMPRODUCT($CX51:DB51,$BU51:BY51))*(1-SUM($DZ51:ED51)),BY51*DB51),$O51*BY51))</f>
        <v>0.17284253225333338</v>
      </c>
      <c r="AX51" s="442">
        <f ca="1">IF($H51="",0,IF($H51=1,IF('Para Adj'!$B$5 = 1,T51-($O51-SUMPRODUCT($CX51:DC51,$BU51:BZ51))*(1-SUM($DZ51:EE51)),BZ51*DC51),$O51*BZ51))</f>
        <v>0.17284253225333338</v>
      </c>
      <c r="AY51" s="442">
        <f ca="1">IF($H51="",0,IF($H51=1,IF('Para Adj'!$B$5 = 1,U51-($O51-SUMPRODUCT($CX51:DD51,$BU51:CA51))*(1-SUM($DZ51:EF51)),CA51*DD51),$O51*CA51))</f>
        <v>0.17284253225333338</v>
      </c>
      <c r="AZ51" s="442">
        <f ca="1">IF($H51="",0,IF($H51=1,IF('Para Adj'!$B$5 = 1,V51-($O51-SUMPRODUCT($CX51:DE51,$BU51:CB51))*(1-SUM($DZ51:EG51)),CB51*DE51),$O51*CB51))</f>
        <v>0.14815074193142863</v>
      </c>
      <c r="BA51" s="442">
        <f ca="1">IF($H51="",0,IF($H51=1,IF('Para Adj'!$B$5 = 1,W51-($O51-SUMPRODUCT($CX51:DF51,$BU51:CC51))*(1-SUM($DZ51:EH51)),CC51*DF51),$O51*CC51))</f>
        <v>0.14815074193142863</v>
      </c>
      <c r="BB51" s="442">
        <f ca="1">IF($H51="",0,IF($H51=1,IF('Para Adj'!$B$5 = 1,X51-($O51-SUMPRODUCT($CX51:DG51,$BU51:CD51))*(1-SUM($DZ51:EI51)),CD51*DG51),$O51*CD51))</f>
        <v>0.14815074193142863</v>
      </c>
      <c r="BC51" s="442">
        <f ca="1">IF($H51="",0,IF($H51=1,IF('Para Adj'!$B$5 = 1,Y51-($O51-SUMPRODUCT($CX51:DH51,$BU51:CE51))*(1-SUM($DZ51:EJ51)),CE51*DH51),$O51*CE51))</f>
        <v>0.14815074193142863</v>
      </c>
      <c r="BD51" s="442">
        <f ca="1">IF($H51="",0,IF($H51=1,IF('Para Adj'!$B$5 = 1,Z51-($O51-SUMPRODUCT($CX51:DI51,$BU51:CF51))*(1-SUM($DZ51:EK51)),CF51*DI51),$O51*CF51))</f>
        <v>0.14815074193142863</v>
      </c>
      <c r="BE51" s="442">
        <f ca="1">IF($H51="",0,IF($H51=1,IF('Para Adj'!$B$5 = 1,AA51-($O51-SUMPRODUCT($CX51:DJ51,$BU51:CG51))*(1-SUM($DZ51:EL51)),CG51*DJ51),$O51*CG51))</f>
        <v>0.14815074193142863</v>
      </c>
      <c r="BF51" s="442">
        <f ca="1">IF($H51="",0,IF($H51=1,IF('Para Adj'!$B$5 = 1,AB51-($O51-SUMPRODUCT($CX51:DK51,$BU51:CH51))*(1-SUM($DZ51:EM51)),CH51*DK51),$O51*CH51))</f>
        <v>0.14815074193142863</v>
      </c>
      <c r="BG51" s="442">
        <f ca="1">IF($H51="",0,IF($H51=1,IF('Para Adj'!$B$5 = 1,AC51-($O51-SUMPRODUCT($CX51:DL51,$BU51:CI51))*(1-SUM($DZ51:EN51)),CI51*DL51),$O51*CI51))</f>
        <v>0.38889569756999987</v>
      </c>
      <c r="BH51" s="442">
        <f ca="1">IF($H51="",0,IF($H51=1,IF('Para Adj'!$B$5 = 1,AD51-($O51-SUMPRODUCT($CX51:DM51,$BU51:CJ51))*(1-SUM($DZ51:EO51)),CJ51*DM51),$O51*CJ51))</f>
        <v>0.38889569756999987</v>
      </c>
      <c r="BI51" s="442">
        <f ca="1">IF($H51="",0,IF($H51=1,IF('Para Adj'!$B$5 = 1,AE51-($O51-SUMPRODUCT($CX51:DN51,$BU51:CK51))*(1-SUM($DZ51:EP51)),CK51*DN51),$O51*CK51))</f>
        <v>0.38889569757000014</v>
      </c>
      <c r="BJ51" s="442">
        <f ca="1">IF($H51="",0,IF($H51=1,IF('Para Adj'!$B$5 = 1,AF51-($O51-SUMPRODUCT($CX51:DO51,$BU51:CL51))*(1-SUM($DZ51:EQ51)),CL51*DO51),$O51*CL51))</f>
        <v>0.38889569757000014</v>
      </c>
      <c r="BK51" s="442">
        <f ca="1">IF($H51="",0,IF($H51=1,IF('Para Adj'!$B$5 = 1,AG51-($O51-SUMPRODUCT($CX51:DP51,$BU51:CM51))*(1-SUM($DZ51:ER51)),CM51*DP51),$O51*CM51))</f>
        <v>0.12963189919000001</v>
      </c>
      <c r="BL51" s="442">
        <f ca="1">IF($H51="",0,IF($H51=1,IF('Para Adj'!$B$5 = 1,AH51-($O51-SUMPRODUCT($CX51:DQ51,$BU51:CN51))*(1-SUM($DZ51:ES51)),CN51*DQ51),$O51*CN51))</f>
        <v>0.12963189919000001</v>
      </c>
      <c r="BM51" s="442">
        <f ca="1">IF($H51="",0,IF($H51=1,IF('Para Adj'!$B$5 = 1,AI51-($O51-SUMPRODUCT($CX51:DR51,$BU51:CO51))*(1-SUM($DZ51:ET51)),CO51*DR51),$O51*CO51))</f>
        <v>0.12963189919000001</v>
      </c>
      <c r="BN51" s="442">
        <f ca="1">IF($H51="",0,IF($H51=1,IF('Para Adj'!$B$5 = 1,AJ51-($O51-SUMPRODUCT($CX51:DS51,$BU51:CP51))*(1-SUM($DZ51:EU51)),CP51*DS51),$O51*CP51))</f>
        <v>0.12963189919000001</v>
      </c>
      <c r="BO51" s="442">
        <f ca="1">IF($H51="",0,IF($H51=1,IF('Para Adj'!$B$5 = 1,AK51-($O51-SUMPRODUCT($CX51:DT51,$BU51:CQ51))*(1-SUM($DZ51:EV51)),CQ51*DT51),$O51*CQ51))</f>
        <v>0.12963189919000001</v>
      </c>
      <c r="BP51" s="442">
        <f ca="1">IF($H51="",0,IF($H51=1,IF('Para Adj'!$B$5 = 1,AL51-($O51-SUMPRODUCT($CX51:DU51,$BU51:CR51))*(1-SUM($DZ51:EW51)),CR51*DU51),$O51*CR51))</f>
        <v>0.12963189919000001</v>
      </c>
      <c r="BQ51" s="442">
        <f ca="1">IF($H51="",0,IF($H51=1,IF('Para Adj'!$B$5 = 1,AM51-($O51-SUMPRODUCT($CX51:DV51,$BU51:CS51))*(1-SUM($DZ51:EX51)),CS51*DV51),$O51*CS51))</f>
        <v>0.12963189919000001</v>
      </c>
      <c r="BR51" s="442">
        <f ca="1">IF($H51="",0,IF($H51=1,IF('Para Adj'!$B$5 = 1,AN51-($O51-SUMPRODUCT($CX51:DW51,$BU51:CT51))*(1-SUM($DZ51:EY51)),CT51*DW51),$O51*CT51))</f>
        <v>0.12963189919000001</v>
      </c>
      <c r="BS51" s="442">
        <f ca="1">IF($H51="",0,IF($H51=1,IF('Para Adj'!$B$5 = 1,AO51-($O51-SUMPRODUCT($CX51:DX51,$BU51:CU51))*(1-SUM($DZ51:EZ51)),CU51*DX51),$O51*CU51))</f>
        <v>0.12963189919000001</v>
      </c>
      <c r="BU51" s="820">
        <f ca="1">IF($B51=0,"",INDEX(Assumptions!G:G,$B51))</f>
        <v>6.1333333333333351E-2</v>
      </c>
      <c r="BV51" s="820">
        <f ca="1">IF($B51=0,"",INDEX(Assumptions!H:H,$B51))</f>
        <v>1.0222222222222225E-2</v>
      </c>
      <c r="BW51" s="820">
        <f ca="1">IF($B51=0,"",INDEX(Assumptions!I:I,$B51))</f>
        <v>1.0222222222222225E-2</v>
      </c>
      <c r="BX51" s="820">
        <f ca="1">IF($B51=0,"",INDEX(Assumptions!J:J,$B51))</f>
        <v>1.0222222222222225E-2</v>
      </c>
      <c r="BY51" s="820">
        <f ca="1">IF($B51=0,"",INDEX(Assumptions!K:K,$B51))</f>
        <v>1.0222222222222225E-2</v>
      </c>
      <c r="BZ51" s="820">
        <f ca="1">IF($B51=0,"",INDEX(Assumptions!L:L,$B51))</f>
        <v>1.0222222222222225E-2</v>
      </c>
      <c r="CA51" s="820">
        <f ca="1">IF($B51=0,"",INDEX(Assumptions!M:M,$B51))</f>
        <v>1.0222222222222225E-2</v>
      </c>
      <c r="CB51" s="820">
        <f ca="1">IF($B51=0,"",INDEX(Assumptions!N:N,$B51))</f>
        <v>8.7619047619047659E-3</v>
      </c>
      <c r="CC51" s="820">
        <f ca="1">IF($B51=0,"",INDEX(Assumptions!O:O,$B51))</f>
        <v>8.7619047619047659E-3</v>
      </c>
      <c r="CD51" s="820">
        <f ca="1">IF($B51=0,"",INDEX(Assumptions!P:P,$B51))</f>
        <v>8.7619047619047659E-3</v>
      </c>
      <c r="CE51" s="820">
        <f ca="1">IF($B51=0,"",INDEX(Assumptions!Q:Q,$B51))</f>
        <v>8.7619047619047659E-3</v>
      </c>
      <c r="CF51" s="820">
        <f ca="1">IF($B51=0,"",INDEX(Assumptions!R:R,$B51))</f>
        <v>8.7619047619047659E-3</v>
      </c>
      <c r="CG51" s="820">
        <f ca="1">IF($B51=0,"",INDEX(Assumptions!S:S,$B51))</f>
        <v>8.7619047619047659E-3</v>
      </c>
      <c r="CH51" s="820">
        <f ca="1">IF($B51=0,"",INDEX(Assumptions!T:T,$B51))</f>
        <v>8.7619047619047659E-3</v>
      </c>
      <c r="CI51" s="820">
        <f ca="1">IF($B51=0,"",INDEX(Assumptions!U:U,$B51))</f>
        <v>2.2999999999999993E-2</v>
      </c>
      <c r="CJ51" s="820">
        <f ca="1">IF($B51=0,"",INDEX(Assumptions!V:V,$B51))</f>
        <v>2.2999999999999993E-2</v>
      </c>
      <c r="CK51" s="820">
        <f ca="1">IF($B51=0,"",INDEX(Assumptions!W:W,$B51))</f>
        <v>2.3000000000000007E-2</v>
      </c>
      <c r="CL51" s="820">
        <f ca="1">IF($B51=0,"",INDEX(Assumptions!X:X,$B51))</f>
        <v>2.3000000000000007E-2</v>
      </c>
      <c r="CM51" s="820">
        <f ca="1">IF($B51=0,"",INDEX(Assumptions!Y:Y,$B51))</f>
        <v>7.6666666666666671E-3</v>
      </c>
      <c r="CN51" s="820">
        <f ca="1">IF($B51=0,"",INDEX(Assumptions!Z:Z,$B51))</f>
        <v>7.6666666666666671E-3</v>
      </c>
      <c r="CO51" s="820">
        <f ca="1">IF($B51=0,"",INDEX(Assumptions!AA:AA,$B51))</f>
        <v>7.6666666666666671E-3</v>
      </c>
      <c r="CP51" s="820">
        <f ca="1">IF($B51=0,"",INDEX(Assumptions!AB:AB,$B51))</f>
        <v>7.6666666666666671E-3</v>
      </c>
      <c r="CQ51" s="820">
        <f ca="1">IF($B51=0,"",INDEX(Assumptions!AC:AC,$B51))</f>
        <v>7.6666666666666671E-3</v>
      </c>
      <c r="CR51" s="820">
        <f ca="1">IF($B51=0,"",INDEX(Assumptions!AD:AD,$B51))</f>
        <v>7.6666666666666671E-3</v>
      </c>
      <c r="CS51" s="820">
        <f ca="1">IF($B51=0,"",INDEX(Assumptions!AE:AE,$B51))</f>
        <v>7.6666666666666671E-3</v>
      </c>
      <c r="CT51" s="820">
        <f ca="1">IF($B51=0,"",INDEX(Assumptions!AF:AF,$B51))</f>
        <v>7.6666666666666671E-3</v>
      </c>
      <c r="CU51" s="820">
        <f ca="1">IF($B51=0,"",INDEX(Assumptions!AG:AG,$B51))</f>
        <v>7.6666666666666671E-3</v>
      </c>
      <c r="CX51" s="442">
        <f>IF($A51="","",INDEX('Data Interface'!G:G,$A51))</f>
        <v>16.90850859</v>
      </c>
      <c r="CY51" s="442">
        <f>IF($A51="","",INDEX('Data Interface'!H:H,$A51))</f>
        <v>0</v>
      </c>
      <c r="CZ51" s="442">
        <f>IF($A51="","",INDEX('Data Interface'!I:I,$A51))</f>
        <v>0</v>
      </c>
      <c r="DA51" s="442">
        <f>IF($A51="","",INDEX('Data Interface'!J:J,$A51))</f>
        <v>0</v>
      </c>
      <c r="DB51" s="442">
        <f>IF($A51="","",INDEX('Data Interface'!K:K,$A51))</f>
        <v>0</v>
      </c>
      <c r="DC51" s="442">
        <f>IF($A51="","",INDEX('Data Interface'!L:L,$A51))</f>
        <v>0</v>
      </c>
      <c r="DD51" s="442">
        <f>IF($A51="","",INDEX('Data Interface'!M:M,$A51))</f>
        <v>0</v>
      </c>
      <c r="DE51" s="442">
        <f>IF($A51="","",INDEX('Data Interface'!N:N,$A51))</f>
        <v>0</v>
      </c>
      <c r="DF51" s="442">
        <f>IF($A51="","",INDEX('Data Interface'!O:O,$A51))</f>
        <v>0</v>
      </c>
      <c r="DG51" s="442">
        <f>IF($A51="","",INDEX('Data Interface'!P:P,$A51))</f>
        <v>0</v>
      </c>
      <c r="DH51" s="442">
        <f>IF($A51="","",INDEX('Data Interface'!Q:Q,$A51))</f>
        <v>0</v>
      </c>
      <c r="DI51" s="442">
        <f>IF($A51="","",INDEX('Data Interface'!R:R,$A51))</f>
        <v>0</v>
      </c>
      <c r="DJ51" s="442">
        <f>IF($A51="","",INDEX('Data Interface'!S:S,$A51))</f>
        <v>0</v>
      </c>
      <c r="DK51" s="442">
        <f>IF($A51="","",INDEX('Data Interface'!T:T,$A51))</f>
        <v>0</v>
      </c>
      <c r="DL51" s="442">
        <f>IF($A51="","",INDEX('Data Interface'!U:U,$A51))</f>
        <v>0</v>
      </c>
      <c r="DM51" s="442">
        <f>IF($A51="","",INDEX('Data Interface'!V:V,$A51))</f>
        <v>0</v>
      </c>
      <c r="DN51" s="442">
        <f>IF($A51="","",INDEX('Data Interface'!W:W,$A51))</f>
        <v>0</v>
      </c>
      <c r="DO51" s="442">
        <f>IF($A51="","",INDEX('Data Interface'!X:X,$A51))</f>
        <v>0</v>
      </c>
      <c r="DP51" s="442">
        <f>IF($A51="","",INDEX('Data Interface'!Y:Y,$A51))</f>
        <v>0</v>
      </c>
      <c r="DQ51" s="442">
        <f>IF($A51="","",INDEX('Data Interface'!Z:Z,$A51))</f>
        <v>0</v>
      </c>
      <c r="DR51" s="442">
        <f>IF($A51="","",INDEX('Data Interface'!AA:AA,$A51))</f>
        <v>0</v>
      </c>
      <c r="DS51" s="442">
        <f>IF($A51="","",INDEX('Data Interface'!AB:AB,$A51))</f>
        <v>0</v>
      </c>
      <c r="DT51" s="442">
        <f>IF($A51="","",INDEX('Data Interface'!AC:AC,$A51))</f>
        <v>0</v>
      </c>
      <c r="DU51" s="442">
        <f>IF($A51="","",INDEX('Data Interface'!AD:AD,$A51))</f>
        <v>0</v>
      </c>
      <c r="DV51" s="442">
        <f>IF($A51="","",INDEX('Data Interface'!AE:AE,$A51))</f>
        <v>0</v>
      </c>
      <c r="DW51" s="442">
        <f>IF($A51="","",INDEX('Data Interface'!AF:AF,$A51))</f>
        <v>0</v>
      </c>
      <c r="DX51" s="442">
        <f>IF($A51="","",INDEX('Data Interface'!AG:AG,$A51))</f>
        <v>0</v>
      </c>
      <c r="DZ51" s="906" t="str">
        <f>IF(OR($B51=0,$A51=0,$H51&lt;&gt;1),"",INDEX(Assumptions!EO:EO,$B51))</f>
        <v/>
      </c>
      <c r="EA51" s="906" t="str">
        <f>IF(OR($B51=0,$A51=0,$H51&lt;&gt;1),"",INDEX(Assumptions!EP:EP,$B51))</f>
        <v/>
      </c>
      <c r="EB51" s="906" t="str">
        <f>IF(OR($B51=0,$A51=0,$H51&lt;&gt;1),"",INDEX(Assumptions!EQ:EQ,$B51))</f>
        <v/>
      </c>
      <c r="EC51" s="906" t="str">
        <f>IF(OR($B51=0,$A51=0,$H51&lt;&gt;1),"",INDEX(Assumptions!ER:ER,$B51))</f>
        <v/>
      </c>
      <c r="ED51" s="906" t="str">
        <f>IF(OR($B51=0,$A51=0,$H51&lt;&gt;1),"",INDEX(Assumptions!ES:ES,$B51))</f>
        <v/>
      </c>
      <c r="EE51" s="906" t="str">
        <f>IF(OR($B51=0,$A51=0,$H51&lt;&gt;1),"",INDEX(Assumptions!ET:ET,$B51))</f>
        <v/>
      </c>
      <c r="EF51" s="906" t="str">
        <f>IF(OR($B51=0,$A51=0,$H51&lt;&gt;1),"",INDEX(Assumptions!EU:EU,$B51))</f>
        <v/>
      </c>
      <c r="EG51" s="906" t="str">
        <f>IF(OR($B51=0,$A51=0,$H51&lt;&gt;1),"",INDEX(Assumptions!EV:EV,$B51))</f>
        <v/>
      </c>
      <c r="EH51" s="906" t="str">
        <f>IF(OR($B51=0,$A51=0,$H51&lt;&gt;1),"",INDEX(Assumptions!EW:EW,$B51))</f>
        <v/>
      </c>
      <c r="EI51" s="906" t="str">
        <f>IF(OR($B51=0,$A51=0,$H51&lt;&gt;1),"",INDEX(Assumptions!EX:EX,$B51))</f>
        <v/>
      </c>
      <c r="EJ51" s="906" t="str">
        <f>IF(OR($B51=0,$A51=0,$H51&lt;&gt;1),"",INDEX(Assumptions!EY:EY,$B51))</f>
        <v/>
      </c>
      <c r="EK51" s="906" t="str">
        <f>IF(OR($B51=0,$A51=0,$H51&lt;&gt;1),"",INDEX(Assumptions!EZ:EZ,$B51))</f>
        <v/>
      </c>
      <c r="EL51" s="906" t="str">
        <f>IF(OR($B51=0,$A51=0,$H51&lt;&gt;1),"",INDEX(Assumptions!FA:FA,$B51))</f>
        <v/>
      </c>
      <c r="EM51" s="906" t="str">
        <f>IF(OR($B51=0,$A51=0,$H51&lt;&gt;1),"",INDEX(Assumptions!FB:FB,$B51))</f>
        <v/>
      </c>
      <c r="EN51" s="906" t="str">
        <f>IF(OR($B51=0,$A51=0,$H51&lt;&gt;1),"",INDEX(Assumptions!FC:FC,$B51))</f>
        <v/>
      </c>
      <c r="EO51" s="906" t="str">
        <f>IF(OR($B51=0,$A51=0,$H51&lt;&gt;1),"",INDEX(Assumptions!FD:FD,$B51))</f>
        <v/>
      </c>
      <c r="EP51" s="906" t="str">
        <f>IF(OR($B51=0,$A51=0,$H51&lt;&gt;1),"",INDEX(Assumptions!FE:FE,$B51))</f>
        <v/>
      </c>
      <c r="EQ51" s="906" t="str">
        <f>IF(OR($B51=0,$A51=0,$H51&lt;&gt;1),"",INDEX(Assumptions!FF:FF,$B51))</f>
        <v/>
      </c>
      <c r="ER51" s="906" t="str">
        <f>IF(OR($B51=0,$A51=0,$H51&lt;&gt;1),"",INDEX(Assumptions!FG:FG,$B51))</f>
        <v/>
      </c>
      <c r="ES51" s="906" t="str">
        <f>IF(OR($B51=0,$A51=0,$H51&lt;&gt;1),"",INDEX(Assumptions!FH:FH,$B51))</f>
        <v/>
      </c>
      <c r="ET51" s="906" t="str">
        <f>IF(OR($B51=0,$A51=0,$H51&lt;&gt;1),"",INDEX(Assumptions!FI:FI,$B51))</f>
        <v/>
      </c>
      <c r="EU51" s="906" t="str">
        <f>IF(OR($B51=0,$A51=0,$H51&lt;&gt;1),"",INDEX(Assumptions!FJ:FJ,$B51))</f>
        <v/>
      </c>
      <c r="EV51" s="906" t="str">
        <f>IF(OR($B51=0,$A51=0,$H51&lt;&gt;1),"",INDEX(Assumptions!FK:FK,$B51))</f>
        <v/>
      </c>
      <c r="EW51" s="906" t="str">
        <f>IF(OR($B51=0,$A51=0,$H51&lt;&gt;1),"",INDEX(Assumptions!FL:FL,$B51))</f>
        <v/>
      </c>
      <c r="EX51" s="906" t="str">
        <f>IF(OR($B51=0,$A51=0,$H51&lt;&gt;1),"",INDEX(Assumptions!FM:FM,$B51))</f>
        <v/>
      </c>
      <c r="EY51" s="906" t="str">
        <f>IF(OR($B51=0,$A51=0,$H51&lt;&gt;1),"",INDEX(Assumptions!FN:FN,$B51))</f>
        <v/>
      </c>
      <c r="EZ51" s="906" t="str">
        <f>IF(OR($B51=0,$A51=0,$H51&lt;&gt;1),"",INDEX(Assumptions!FO:FO,$B51))</f>
        <v/>
      </c>
      <c r="FB51" s="820" t="str">
        <f t="shared" ref="FB51" si="29">IF(AND(DZ51&lt;&gt;0,DZ51&lt;&gt;""),SUM(AS51:BF51),"")</f>
        <v/>
      </c>
      <c r="FC51" s="820" t="str">
        <f t="shared" ref="FC51" si="30">IF(AND($DZ51&lt;&gt;0,$DZ51&lt;&gt;""),SUM(DZ51:EM51),"")</f>
        <v/>
      </c>
      <c r="FD51" s="820" t="str">
        <f t="shared" ref="FD51" si="31">IF(AND($DZ51&lt;&gt;"",$DZ51&lt;&gt;0),SUM(DZ51:EM51)*O51,"")</f>
        <v/>
      </c>
      <c r="FE51" s="820" t="str">
        <f t="shared" ref="FE51" si="32">IF(AND($DZ51&lt;&gt;0,$DZ51&lt;&gt;""),SUMPRODUCT(CX51:DK51,BU51:CH51)*(1-SUM(DZ51:EM51)),"")</f>
        <v/>
      </c>
      <c r="FF51" s="820" t="str">
        <f t="shared" ref="FF51" si="33">IF(AND($DZ51&lt;&gt;"",$DZ51&lt;&gt;0),FB51-FD51-FE51,"")</f>
        <v/>
      </c>
    </row>
    <row r="52" spans="1:162">
      <c r="A52" s="440">
        <f>IFERROR(MATCH(C52,'Data Interface'!B:B,0),0)</f>
        <v>49</v>
      </c>
      <c r="B52" s="440">
        <f>IFERROR(MATCH(C52,Assumptions!$B:$B,0),0)</f>
        <v>61</v>
      </c>
      <c r="C52" s="441" t="s">
        <v>2798</v>
      </c>
      <c r="E52" s="441" t="s">
        <v>1219</v>
      </c>
      <c r="F52" s="440" t="s">
        <v>36</v>
      </c>
      <c r="G52" s="440" t="str">
        <f>IF(A52=0,"",INDEX('Data Interface'!$C:$C,$A52))</f>
        <v>Due to Banks - Investment - CHINA EXIMBANK</v>
      </c>
      <c r="H52" s="440">
        <v>0</v>
      </c>
      <c r="I52" s="819">
        <f t="shared" ref="I52" ca="1" si="34">IF(H52=1,CH52,IF(H52=0,SUM(BU52:CH52),""))</f>
        <v>0.19838417635994554</v>
      </c>
      <c r="J52" s="819">
        <f t="shared" ref="J52" ca="1" si="35">IF(H52=1,CJ52,IF(H52=0,SUM(BU52:CJ52),""))</f>
        <v>0.24798022044993195</v>
      </c>
      <c r="K52" s="439" t="str">
        <f t="shared" ref="K52" ca="1" si="36">IF(H52=1,ROUND(I52*100,1)&amp;"% of Contractual Maturity",IF(H52="","No Run-off",ROUND(I52*100,1)&amp;"% of Current Balance"))</f>
        <v>19.8% of Current Balance</v>
      </c>
      <c r="L52" s="439" t="s">
        <v>1148</v>
      </c>
      <c r="M52" s="439" t="s">
        <v>1507</v>
      </c>
      <c r="O52" s="442">
        <f>IF(OR($A52="",$A52=0),0,INDEX('Data Interface'!D:D,$A52))</f>
        <v>378.11120232999997</v>
      </c>
      <c r="P52" s="442">
        <f ca="1">$O52-SUM($AS52:AS52)</f>
        <v>353.10744251443134</v>
      </c>
      <c r="Q52" s="442">
        <f ca="1">$O52-SUM($AS52:AT52)</f>
        <v>348.94014921183663</v>
      </c>
      <c r="R52" s="442">
        <f ca="1">$O52-SUM($AS52:AU52)</f>
        <v>344.77285590924185</v>
      </c>
      <c r="S52" s="442">
        <f ca="1">$O52-SUM($AS52:AV52)</f>
        <v>340.60556260664708</v>
      </c>
      <c r="T52" s="442">
        <f ca="1">$O52-SUM($AS52:AW52)</f>
        <v>336.43826930405231</v>
      </c>
      <c r="U52" s="442">
        <f ca="1">$O52-SUM($AS52:AX52)</f>
        <v>332.27097600145754</v>
      </c>
      <c r="V52" s="442">
        <f ca="1">$O52-SUM($AS52:AY52)</f>
        <v>328.10368269886277</v>
      </c>
      <c r="W52" s="442">
        <f ca="1">$O52-SUM($AS52:AZ52)</f>
        <v>324.53171701092441</v>
      </c>
      <c r="X52" s="442">
        <f ca="1">$O52-SUM($AS52:BA52)</f>
        <v>320.95975132298605</v>
      </c>
      <c r="Y52" s="442">
        <f ca="1">$O52-SUM($AS52:BB52)</f>
        <v>317.38778563504763</v>
      </c>
      <c r="Z52" s="442">
        <f ca="1">$O52-SUM($AS52:BC52)</f>
        <v>313.81581994710928</v>
      </c>
      <c r="AA52" s="442">
        <f ca="1">$O52-SUM($AS52:BD52)</f>
        <v>310.24385425917092</v>
      </c>
      <c r="AB52" s="442">
        <f ca="1">$O52-SUM($AS52:BE52)</f>
        <v>306.67188857123256</v>
      </c>
      <c r="AC52" s="442">
        <f ca="1">$O52-SUM($AS52:BF52)</f>
        <v>303.0999228832942</v>
      </c>
      <c r="AD52" s="442">
        <f ca="1">$O52-SUM($AS52:BG52)</f>
        <v>293.72351295245596</v>
      </c>
      <c r="AE52" s="442">
        <f ca="1">$O52-SUM($AS52:BH52)</f>
        <v>284.34710302161773</v>
      </c>
      <c r="AF52" s="442">
        <f ca="1">$O52-SUM($AS52:BI52)</f>
        <v>274.97069309077949</v>
      </c>
      <c r="AG52" s="442">
        <f ca="1">$O52-SUM($AS52:BJ52)</f>
        <v>265.59428315994126</v>
      </c>
      <c r="AH52" s="442">
        <f ca="1">$O52-SUM($AS52:BK52)</f>
        <v>262.46881318299518</v>
      </c>
      <c r="AI52" s="442">
        <f ca="1">$O52-SUM($AS52:BL52)</f>
        <v>259.3433432060491</v>
      </c>
      <c r="AJ52" s="442">
        <f ca="1">$O52-SUM($AS52:BM52)</f>
        <v>256.21787322910302</v>
      </c>
      <c r="AK52" s="442">
        <f ca="1">$O52-SUM($AS52:BN52)</f>
        <v>253.09240325215697</v>
      </c>
      <c r="AL52" s="442">
        <f ca="1">$O52-SUM($AS52:BO52)</f>
        <v>249.96693327521089</v>
      </c>
      <c r="AM52" s="442">
        <f ca="1">$O52-SUM($AS52:BP52)</f>
        <v>246.84146329826481</v>
      </c>
      <c r="AN52" s="442">
        <f ca="1">$O52-SUM($AS52:BQ52)</f>
        <v>243.71599332131873</v>
      </c>
      <c r="AO52" s="442">
        <f ca="1">$O52-SUM($AS52:BR52)</f>
        <v>240.59052334437266</v>
      </c>
      <c r="AP52" s="442">
        <f ca="1">$O52-SUM($AS52:BS52)</f>
        <v>237.46505336742658</v>
      </c>
      <c r="AR52" s="439" t="s">
        <v>1202</v>
      </c>
      <c r="AS52" s="442">
        <f ca="1">IF($H52="",0,IF($H52=1,IF('Para Adj'!$B$5 = 1,O52-($O52-SUMPRODUCT($CX52:CX52,$BU52:BU52))*(1-SUM($DZ52:DZ52)),BU52*CX52),$O52*BU52))</f>
        <v>25.0037598155686</v>
      </c>
      <c r="AT52" s="442">
        <f ca="1">IF($H52="",0,IF($H52=1,IF('Para Adj'!$B$5 = 1,P52-($O52-SUMPRODUCT($CX52:CY52,$BU52:BV52))*(1-SUM($DZ52:EA52)),BV52*CY52),$O52*BV52))</f>
        <v>4.1672933025947669</v>
      </c>
      <c r="AU52" s="442">
        <f ca="1">IF($H52="",0,IF($H52=1,IF('Para Adj'!$B$5 = 1,Q52-($O52-SUMPRODUCT($CX52:CZ52,$BU52:BW52))*(1-SUM($DZ52:EB52)),BW52*CZ52),$O52*BW52))</f>
        <v>4.1672933025947669</v>
      </c>
      <c r="AV52" s="442">
        <f ca="1">IF($H52="",0,IF($H52=1,IF('Para Adj'!$B$5 = 1,R52-($O52-SUMPRODUCT($CX52:DA52,$BU52:BX52))*(1-SUM($DZ52:EC52)),BX52*DA52),$O52*BX52))</f>
        <v>4.1672933025947669</v>
      </c>
      <c r="AW52" s="442">
        <f ca="1">IF($H52="",0,IF($H52=1,IF('Para Adj'!$B$5 = 1,S52-($O52-SUMPRODUCT($CX52:DB52,$BU52:BY52))*(1-SUM($DZ52:ED52)),BY52*DB52),$O52*BY52))</f>
        <v>4.1672933025947669</v>
      </c>
      <c r="AX52" s="442">
        <f ca="1">IF($H52="",0,IF($H52=1,IF('Para Adj'!$B$5 = 1,T52-($O52-SUMPRODUCT($CX52:DC52,$BU52:BZ52))*(1-SUM($DZ52:EE52)),BZ52*DC52),$O52*BZ52))</f>
        <v>4.1672933025947669</v>
      </c>
      <c r="AY52" s="442">
        <f ca="1">IF($H52="",0,IF($H52=1,IF('Para Adj'!$B$5 = 1,U52-($O52-SUMPRODUCT($CX52:DD52,$BU52:CA52))*(1-SUM($DZ52:EF52)),CA52*DD52),$O52*CA52))</f>
        <v>4.1672933025947669</v>
      </c>
      <c r="AZ52" s="442">
        <f ca="1">IF($H52="",0,IF($H52=1,IF('Para Adj'!$B$5 = 1,V52-($O52-SUMPRODUCT($CX52:DE52,$BU52:CB52))*(1-SUM($DZ52:EG52)),CB52*DE52),$O52*CB52))</f>
        <v>3.5719656879383721</v>
      </c>
      <c r="BA52" s="442">
        <f ca="1">IF($H52="",0,IF($H52=1,IF('Para Adj'!$B$5 = 1,W52-($O52-SUMPRODUCT($CX52:DF52,$BU52:CC52))*(1-SUM($DZ52:EH52)),CC52*DF52),$O52*CC52))</f>
        <v>3.5719656879383721</v>
      </c>
      <c r="BB52" s="442">
        <f ca="1">IF($H52="",0,IF($H52=1,IF('Para Adj'!$B$5 = 1,X52-($O52-SUMPRODUCT($CX52:DG52,$BU52:CD52))*(1-SUM($DZ52:EI52)),CD52*DG52),$O52*CD52))</f>
        <v>3.5719656879383721</v>
      </c>
      <c r="BC52" s="442">
        <f ca="1">IF($H52="",0,IF($H52=1,IF('Para Adj'!$B$5 = 1,Y52-($O52-SUMPRODUCT($CX52:DH52,$BU52:CE52))*(1-SUM($DZ52:EJ52)),CE52*DH52),$O52*CE52))</f>
        <v>3.5719656879383721</v>
      </c>
      <c r="BD52" s="442">
        <f ca="1">IF($H52="",0,IF($H52=1,IF('Para Adj'!$B$5 = 1,Z52-($O52-SUMPRODUCT($CX52:DI52,$BU52:CF52))*(1-SUM($DZ52:EK52)),CF52*DI52),$O52*CF52))</f>
        <v>3.5719656879383721</v>
      </c>
      <c r="BE52" s="442">
        <f ca="1">IF($H52="",0,IF($H52=1,IF('Para Adj'!$B$5 = 1,AA52-($O52-SUMPRODUCT($CX52:DJ52,$BU52:CG52))*(1-SUM($DZ52:EL52)),CG52*DJ52),$O52*CG52))</f>
        <v>3.5719656879383721</v>
      </c>
      <c r="BF52" s="442">
        <f ca="1">IF($H52="",0,IF($H52=1,IF('Para Adj'!$B$5 = 1,AB52-($O52-SUMPRODUCT($CX52:DK52,$BU52:CH52))*(1-SUM($DZ52:EM52)),CH52*DK52),$O52*CH52))</f>
        <v>3.5719656879383721</v>
      </c>
      <c r="BG52" s="442">
        <f ca="1">IF($H52="",0,IF($H52=1,IF('Para Adj'!$B$5 = 1,AC52-($O52-SUMPRODUCT($CX52:DL52,$BU52:CI52))*(1-SUM($DZ52:EN52)),CI52*DL52),$O52*CI52))</f>
        <v>9.3764099308382214</v>
      </c>
      <c r="BH52" s="442">
        <f ca="1">IF($H52="",0,IF($H52=1,IF('Para Adj'!$B$5 = 1,AD52-($O52-SUMPRODUCT($CX52:DM52,$BU52:CJ52))*(1-SUM($DZ52:EO52)),CJ52*DM52),$O52*CJ52))</f>
        <v>9.3764099308382214</v>
      </c>
      <c r="BI52" s="442">
        <f ca="1">IF($H52="",0,IF($H52=1,IF('Para Adj'!$B$5 = 1,AE52-($O52-SUMPRODUCT($CX52:DN52,$BU52:CK52))*(1-SUM($DZ52:EP52)),CK52*DN52),$O52*CK52))</f>
        <v>9.3764099308382214</v>
      </c>
      <c r="BJ52" s="442">
        <f ca="1">IF($H52="",0,IF($H52=1,IF('Para Adj'!$B$5 = 1,AF52-($O52-SUMPRODUCT($CX52:DO52,$BU52:CL52))*(1-SUM($DZ52:EQ52)),CL52*DO52),$O52*CL52))</f>
        <v>9.3764099308382214</v>
      </c>
      <c r="BK52" s="442">
        <f ca="1">IF($H52="",0,IF($H52=1,IF('Para Adj'!$B$5 = 1,AG52-($O52-SUMPRODUCT($CX52:DP52,$BU52:CM52))*(1-SUM($DZ52:ER52)),CM52*DP52),$O52*CM52))</f>
        <v>3.1254699769460754</v>
      </c>
      <c r="BL52" s="442">
        <f ca="1">IF($H52="",0,IF($H52=1,IF('Para Adj'!$B$5 = 1,AH52-($O52-SUMPRODUCT($CX52:DQ52,$BU52:CN52))*(1-SUM($DZ52:ES52)),CN52*DQ52),$O52*CN52))</f>
        <v>3.1254699769460754</v>
      </c>
      <c r="BM52" s="442">
        <f ca="1">IF($H52="",0,IF($H52=1,IF('Para Adj'!$B$5 = 1,AI52-($O52-SUMPRODUCT($CX52:DR52,$BU52:CO52))*(1-SUM($DZ52:ET52)),CO52*DR52),$O52*CO52))</f>
        <v>3.1254699769460754</v>
      </c>
      <c r="BN52" s="442">
        <f ca="1">IF($H52="",0,IF($H52=1,IF('Para Adj'!$B$5 = 1,AJ52-($O52-SUMPRODUCT($CX52:DS52,$BU52:CP52))*(1-SUM($DZ52:EU52)),CP52*DS52),$O52*CP52))</f>
        <v>3.1254699769460754</v>
      </c>
      <c r="BO52" s="442">
        <f ca="1">IF($H52="",0,IF($H52=1,IF('Para Adj'!$B$5 = 1,AK52-($O52-SUMPRODUCT($CX52:DT52,$BU52:CQ52))*(1-SUM($DZ52:EV52)),CQ52*DT52),$O52*CQ52))</f>
        <v>3.1254699769460754</v>
      </c>
      <c r="BP52" s="442">
        <f ca="1">IF($H52="",0,IF($H52=1,IF('Para Adj'!$B$5 = 1,AL52-($O52-SUMPRODUCT($CX52:DU52,$BU52:CR52))*(1-SUM($DZ52:EW52)),CR52*DU52),$O52*CR52))</f>
        <v>3.1254699769460754</v>
      </c>
      <c r="BQ52" s="442">
        <f ca="1">IF($H52="",0,IF($H52=1,IF('Para Adj'!$B$5 = 1,AM52-($O52-SUMPRODUCT($CX52:DV52,$BU52:CS52))*(1-SUM($DZ52:EX52)),CS52*DV52),$O52*CS52))</f>
        <v>3.1254699769460754</v>
      </c>
      <c r="BR52" s="442">
        <f ca="1">IF($H52="",0,IF($H52=1,IF('Para Adj'!$B$5 = 1,AN52-($O52-SUMPRODUCT($CX52:DW52,$BU52:CT52))*(1-SUM($DZ52:EY52)),CT52*DW52),$O52*CT52))</f>
        <v>3.1254699769460754</v>
      </c>
      <c r="BS52" s="442">
        <f ca="1">IF($H52="",0,IF($H52=1,IF('Para Adj'!$B$5 = 1,AO52-($O52-SUMPRODUCT($CX52:DX52,$BU52:CU52))*(1-SUM($DZ52:EZ52)),CU52*DX52),$O52*CU52))</f>
        <v>3.1254699769460754</v>
      </c>
      <c r="BU52" s="820">
        <f ca="1">IF($B52=0,"",INDEX(Assumptions!G:G,$B52))</f>
        <v>6.6128058786648541E-2</v>
      </c>
      <c r="BV52" s="820">
        <f ca="1">IF($B52=0,"",INDEX(Assumptions!H:H,$B52))</f>
        <v>1.1021343131108091E-2</v>
      </c>
      <c r="BW52" s="820">
        <f ca="1">IF($B52=0,"",INDEX(Assumptions!I:I,$B52))</f>
        <v>1.1021343131108091E-2</v>
      </c>
      <c r="BX52" s="820">
        <f ca="1">IF($B52=0,"",INDEX(Assumptions!J:J,$B52))</f>
        <v>1.1021343131108091E-2</v>
      </c>
      <c r="BY52" s="820">
        <f ca="1">IF($B52=0,"",INDEX(Assumptions!K:K,$B52))</f>
        <v>1.1021343131108091E-2</v>
      </c>
      <c r="BZ52" s="820">
        <f ca="1">IF($B52=0,"",INDEX(Assumptions!L:L,$B52))</f>
        <v>1.1021343131108091E-2</v>
      </c>
      <c r="CA52" s="820">
        <f ca="1">IF($B52=0,"",INDEX(Assumptions!M:M,$B52))</f>
        <v>1.1021343131108091E-2</v>
      </c>
      <c r="CB52" s="820">
        <f ca="1">IF($B52=0,"",INDEX(Assumptions!N:N,$B52))</f>
        <v>9.4468655409497941E-3</v>
      </c>
      <c r="CC52" s="820">
        <f ca="1">IF($B52=0,"",INDEX(Assumptions!O:O,$B52))</f>
        <v>9.4468655409497941E-3</v>
      </c>
      <c r="CD52" s="820">
        <f ca="1">IF($B52=0,"",INDEX(Assumptions!P:P,$B52))</f>
        <v>9.4468655409497941E-3</v>
      </c>
      <c r="CE52" s="820">
        <f ca="1">IF($B52=0,"",INDEX(Assumptions!Q:Q,$B52))</f>
        <v>9.4468655409497941E-3</v>
      </c>
      <c r="CF52" s="820">
        <f ca="1">IF($B52=0,"",INDEX(Assumptions!R:R,$B52))</f>
        <v>9.4468655409497941E-3</v>
      </c>
      <c r="CG52" s="820">
        <f ca="1">IF($B52=0,"",INDEX(Assumptions!S:S,$B52))</f>
        <v>9.4468655409497941E-3</v>
      </c>
      <c r="CH52" s="820">
        <f ca="1">IF($B52=0,"",INDEX(Assumptions!T:T,$B52))</f>
        <v>9.4468655409497941E-3</v>
      </c>
      <c r="CI52" s="820">
        <f ca="1">IF($B52=0,"",INDEX(Assumptions!U:U,$B52))</f>
        <v>2.4798022044993193E-2</v>
      </c>
      <c r="CJ52" s="820">
        <f ca="1">IF($B52=0,"",INDEX(Assumptions!V:V,$B52))</f>
        <v>2.4798022044993193E-2</v>
      </c>
      <c r="CK52" s="820">
        <f ca="1">IF($B52=0,"",INDEX(Assumptions!W:W,$B52))</f>
        <v>2.4798022044993193E-2</v>
      </c>
      <c r="CL52" s="820">
        <f ca="1">IF($B52=0,"",INDEX(Assumptions!X:X,$B52))</f>
        <v>2.4798022044993193E-2</v>
      </c>
      <c r="CM52" s="820">
        <f ca="1">IF($B52=0,"",INDEX(Assumptions!Y:Y,$B52))</f>
        <v>8.2660073483310694E-3</v>
      </c>
      <c r="CN52" s="820">
        <f ca="1">IF($B52=0,"",INDEX(Assumptions!Z:Z,$B52))</f>
        <v>8.2660073483310694E-3</v>
      </c>
      <c r="CO52" s="820">
        <f ca="1">IF($B52=0,"",INDEX(Assumptions!AA:AA,$B52))</f>
        <v>8.2660073483310694E-3</v>
      </c>
      <c r="CP52" s="820">
        <f ca="1">IF($B52=0,"",INDEX(Assumptions!AB:AB,$B52))</f>
        <v>8.2660073483310694E-3</v>
      </c>
      <c r="CQ52" s="820">
        <f ca="1">IF($B52=0,"",INDEX(Assumptions!AC:AC,$B52))</f>
        <v>8.2660073483310694E-3</v>
      </c>
      <c r="CR52" s="820">
        <f ca="1">IF($B52=0,"",INDEX(Assumptions!AD:AD,$B52))</f>
        <v>8.2660073483310694E-3</v>
      </c>
      <c r="CS52" s="820">
        <f ca="1">IF($B52=0,"",INDEX(Assumptions!AE:AE,$B52))</f>
        <v>8.2660073483310694E-3</v>
      </c>
      <c r="CT52" s="820">
        <f ca="1">IF($B52=0,"",INDEX(Assumptions!AF:AF,$B52))</f>
        <v>8.2660073483310694E-3</v>
      </c>
      <c r="CU52" s="820">
        <f ca="1">IF($B52=0,"",INDEX(Assumptions!AG:AG,$B52))</f>
        <v>8.2660073483310694E-3</v>
      </c>
      <c r="CX52" s="442">
        <f>IF($A52="","",INDEX('Data Interface'!G:G,$A52))</f>
        <v>378.11120232999997</v>
      </c>
      <c r="CY52" s="442">
        <f>IF($A52="","",INDEX('Data Interface'!H:H,$A52))</f>
        <v>0</v>
      </c>
      <c r="CZ52" s="442">
        <f>IF($A52="","",INDEX('Data Interface'!I:I,$A52))</f>
        <v>0</v>
      </c>
      <c r="DA52" s="442">
        <f>IF($A52="","",INDEX('Data Interface'!J:J,$A52))</f>
        <v>0</v>
      </c>
      <c r="DB52" s="442">
        <f>IF($A52="","",INDEX('Data Interface'!K:K,$A52))</f>
        <v>0</v>
      </c>
      <c r="DC52" s="442">
        <f>IF($A52="","",INDEX('Data Interface'!L:L,$A52))</f>
        <v>0</v>
      </c>
      <c r="DD52" s="442">
        <f>IF($A52="","",INDEX('Data Interface'!M:M,$A52))</f>
        <v>0</v>
      </c>
      <c r="DE52" s="442">
        <f>IF($A52="","",INDEX('Data Interface'!N:N,$A52))</f>
        <v>0</v>
      </c>
      <c r="DF52" s="442">
        <f>IF($A52="","",INDEX('Data Interface'!O:O,$A52))</f>
        <v>0</v>
      </c>
      <c r="DG52" s="442">
        <f>IF($A52="","",INDEX('Data Interface'!P:P,$A52))</f>
        <v>0</v>
      </c>
      <c r="DH52" s="442">
        <f>IF($A52="","",INDEX('Data Interface'!Q:Q,$A52))</f>
        <v>0</v>
      </c>
      <c r="DI52" s="442">
        <f>IF($A52="","",INDEX('Data Interface'!R:R,$A52))</f>
        <v>0</v>
      </c>
      <c r="DJ52" s="442">
        <f>IF($A52="","",INDEX('Data Interface'!S:S,$A52))</f>
        <v>0</v>
      </c>
      <c r="DK52" s="442">
        <f>IF($A52="","",INDEX('Data Interface'!T:T,$A52))</f>
        <v>0</v>
      </c>
      <c r="DL52" s="442">
        <f>IF($A52="","",INDEX('Data Interface'!U:U,$A52))</f>
        <v>0</v>
      </c>
      <c r="DM52" s="442">
        <f>IF($A52="","",INDEX('Data Interface'!V:V,$A52))</f>
        <v>0</v>
      </c>
      <c r="DN52" s="442">
        <f>IF($A52="","",INDEX('Data Interface'!W:W,$A52))</f>
        <v>0</v>
      </c>
      <c r="DO52" s="442">
        <f>IF($A52="","",INDEX('Data Interface'!X:X,$A52))</f>
        <v>0</v>
      </c>
      <c r="DP52" s="442">
        <f>IF($A52="","",INDEX('Data Interface'!Y:Y,$A52))</f>
        <v>0</v>
      </c>
      <c r="DQ52" s="442">
        <f>IF($A52="","",INDEX('Data Interface'!Z:Z,$A52))</f>
        <v>0</v>
      </c>
      <c r="DR52" s="442">
        <f>IF($A52="","",INDEX('Data Interface'!AA:AA,$A52))</f>
        <v>0</v>
      </c>
      <c r="DS52" s="442">
        <f>IF($A52="","",INDEX('Data Interface'!AB:AB,$A52))</f>
        <v>0</v>
      </c>
      <c r="DT52" s="442">
        <f>IF($A52="","",INDEX('Data Interface'!AC:AC,$A52))</f>
        <v>0</v>
      </c>
      <c r="DU52" s="442">
        <f>IF($A52="","",INDEX('Data Interface'!AD:AD,$A52))</f>
        <v>0</v>
      </c>
      <c r="DV52" s="442">
        <f>IF($A52="","",INDEX('Data Interface'!AE:AE,$A52))</f>
        <v>0</v>
      </c>
      <c r="DW52" s="442">
        <f>IF($A52="","",INDEX('Data Interface'!AF:AF,$A52))</f>
        <v>0</v>
      </c>
      <c r="DX52" s="442">
        <f>IF($A52="","",INDEX('Data Interface'!AG:AG,$A52))</f>
        <v>0</v>
      </c>
      <c r="DZ52" s="906" t="str">
        <f>IF(OR($B52=0,$A52=0,$H52&lt;&gt;1),"",INDEX(Assumptions!EO:EO,$B52))</f>
        <v/>
      </c>
      <c r="EA52" s="906" t="str">
        <f>IF(OR($B52=0,$A52=0,$H52&lt;&gt;1),"",INDEX(Assumptions!EP:EP,$B52))</f>
        <v/>
      </c>
      <c r="EB52" s="906" t="str">
        <f>IF(OR($B52=0,$A52=0,$H52&lt;&gt;1),"",INDEX(Assumptions!EQ:EQ,$B52))</f>
        <v/>
      </c>
      <c r="EC52" s="906" t="str">
        <f>IF(OR($B52=0,$A52=0,$H52&lt;&gt;1),"",INDEX(Assumptions!ER:ER,$B52))</f>
        <v/>
      </c>
      <c r="ED52" s="906" t="str">
        <f>IF(OR($B52=0,$A52=0,$H52&lt;&gt;1),"",INDEX(Assumptions!ES:ES,$B52))</f>
        <v/>
      </c>
      <c r="EE52" s="906" t="str">
        <f>IF(OR($B52=0,$A52=0,$H52&lt;&gt;1),"",INDEX(Assumptions!ET:ET,$B52))</f>
        <v/>
      </c>
      <c r="EF52" s="906" t="str">
        <f>IF(OR($B52=0,$A52=0,$H52&lt;&gt;1),"",INDEX(Assumptions!EU:EU,$B52))</f>
        <v/>
      </c>
      <c r="EG52" s="906" t="str">
        <f>IF(OR($B52=0,$A52=0,$H52&lt;&gt;1),"",INDEX(Assumptions!EV:EV,$B52))</f>
        <v/>
      </c>
      <c r="EH52" s="906" t="str">
        <f>IF(OR($B52=0,$A52=0,$H52&lt;&gt;1),"",INDEX(Assumptions!EW:EW,$B52))</f>
        <v/>
      </c>
      <c r="EI52" s="906" t="str">
        <f>IF(OR($B52=0,$A52=0,$H52&lt;&gt;1),"",INDEX(Assumptions!EX:EX,$B52))</f>
        <v/>
      </c>
      <c r="EJ52" s="906" t="str">
        <f>IF(OR($B52=0,$A52=0,$H52&lt;&gt;1),"",INDEX(Assumptions!EY:EY,$B52))</f>
        <v/>
      </c>
      <c r="EK52" s="906" t="str">
        <f>IF(OR($B52=0,$A52=0,$H52&lt;&gt;1),"",INDEX(Assumptions!EZ:EZ,$B52))</f>
        <v/>
      </c>
      <c r="EL52" s="906" t="str">
        <f>IF(OR($B52=0,$A52=0,$H52&lt;&gt;1),"",INDEX(Assumptions!FA:FA,$B52))</f>
        <v/>
      </c>
      <c r="EM52" s="906" t="str">
        <f>IF(OR($B52=0,$A52=0,$H52&lt;&gt;1),"",INDEX(Assumptions!FB:FB,$B52))</f>
        <v/>
      </c>
      <c r="EN52" s="906" t="str">
        <f>IF(OR($B52=0,$A52=0,$H52&lt;&gt;1),"",INDEX(Assumptions!FC:FC,$B52))</f>
        <v/>
      </c>
      <c r="EO52" s="906" t="str">
        <f>IF(OR($B52=0,$A52=0,$H52&lt;&gt;1),"",INDEX(Assumptions!FD:FD,$B52))</f>
        <v/>
      </c>
      <c r="EP52" s="906" t="str">
        <f>IF(OR($B52=0,$A52=0,$H52&lt;&gt;1),"",INDEX(Assumptions!FE:FE,$B52))</f>
        <v/>
      </c>
      <c r="EQ52" s="906" t="str">
        <f>IF(OR($B52=0,$A52=0,$H52&lt;&gt;1),"",INDEX(Assumptions!FF:FF,$B52))</f>
        <v/>
      </c>
      <c r="ER52" s="906" t="str">
        <f>IF(OR($B52=0,$A52=0,$H52&lt;&gt;1),"",INDEX(Assumptions!FG:FG,$B52))</f>
        <v/>
      </c>
      <c r="ES52" s="906" t="str">
        <f>IF(OR($B52=0,$A52=0,$H52&lt;&gt;1),"",INDEX(Assumptions!FH:FH,$B52))</f>
        <v/>
      </c>
      <c r="ET52" s="906" t="str">
        <f>IF(OR($B52=0,$A52=0,$H52&lt;&gt;1),"",INDEX(Assumptions!FI:FI,$B52))</f>
        <v/>
      </c>
      <c r="EU52" s="906" t="str">
        <f>IF(OR($B52=0,$A52=0,$H52&lt;&gt;1),"",INDEX(Assumptions!FJ:FJ,$B52))</f>
        <v/>
      </c>
      <c r="EV52" s="906" t="str">
        <f>IF(OR($B52=0,$A52=0,$H52&lt;&gt;1),"",INDEX(Assumptions!FK:FK,$B52))</f>
        <v/>
      </c>
      <c r="EW52" s="906" t="str">
        <f>IF(OR($B52=0,$A52=0,$H52&lt;&gt;1),"",INDEX(Assumptions!FL:FL,$B52))</f>
        <v/>
      </c>
      <c r="EX52" s="906" t="str">
        <f>IF(OR($B52=0,$A52=0,$H52&lt;&gt;1),"",INDEX(Assumptions!FM:FM,$B52))</f>
        <v/>
      </c>
      <c r="EY52" s="906" t="str">
        <f>IF(OR($B52=0,$A52=0,$H52&lt;&gt;1),"",INDEX(Assumptions!FN:FN,$B52))</f>
        <v/>
      </c>
      <c r="EZ52" s="906" t="str">
        <f>IF(OR($B52=0,$A52=0,$H52&lt;&gt;1),"",INDEX(Assumptions!FO:FO,$B52))</f>
        <v/>
      </c>
      <c r="FB52" s="820" t="str">
        <f t="shared" ref="FB52" si="37">IF(AND(DZ52&lt;&gt;0,DZ52&lt;&gt;""),SUM(AS52:BF52),"")</f>
        <v/>
      </c>
      <c r="FC52" s="820" t="str">
        <f t="shared" ref="FC52" si="38">IF(AND($DZ52&lt;&gt;0,$DZ52&lt;&gt;""),SUM(DZ52:EM52),"")</f>
        <v/>
      </c>
      <c r="FD52" s="820" t="str">
        <f t="shared" ref="FD52" si="39">IF(AND($DZ52&lt;&gt;"",$DZ52&lt;&gt;0),SUM(DZ52:EM52)*O52,"")</f>
        <v/>
      </c>
      <c r="FE52" s="820" t="str">
        <f t="shared" ref="FE52" si="40">IF(AND($DZ52&lt;&gt;0,$DZ52&lt;&gt;""),SUMPRODUCT(CX52:DK52,BU52:CH52)*(1-SUM(DZ52:EM52)),"")</f>
        <v/>
      </c>
      <c r="FF52" s="820" t="str">
        <f t="shared" ref="FF52" si="41">IF(AND($DZ52&lt;&gt;"",$DZ52&lt;&gt;0),FB52-FD52-FE52,"")</f>
        <v/>
      </c>
    </row>
    <row r="53" spans="1:162">
      <c r="A53" s="440">
        <f>IFERROR(MATCH(C53,'Data Interface'!B:B,0),0)</f>
        <v>50</v>
      </c>
      <c r="B53" s="440">
        <f>IFERROR(MATCH(C53,Assumptions!$B:$B,0),0)</f>
        <v>18</v>
      </c>
      <c r="C53" s="441" t="s">
        <v>1232</v>
      </c>
      <c r="E53" s="441" t="s">
        <v>1219</v>
      </c>
      <c r="F53" s="440" t="s">
        <v>36</v>
      </c>
      <c r="G53" s="440" t="str">
        <f>IF(A53=0,"",INDEX('Data Interface'!$C:$C,$A53))</f>
        <v>Due to Banks - Time Deposit</v>
      </c>
      <c r="H53" s="440">
        <v>1</v>
      </c>
      <c r="I53" s="819">
        <f t="shared" ca="1" si="23"/>
        <v>1</v>
      </c>
      <c r="J53" s="819">
        <f t="shared" ca="1" si="24"/>
        <v>1</v>
      </c>
      <c r="K53" s="439" t="str">
        <f t="shared" ca="1" si="25"/>
        <v>100% of Contractual Maturity</v>
      </c>
      <c r="L53" s="439" t="s">
        <v>1148</v>
      </c>
      <c r="M53" s="439" t="s">
        <v>1507</v>
      </c>
      <c r="O53" s="442">
        <f>IF(OR($A53="",$A53=0),0,INDEX('Data Interface'!D:D,$A53))</f>
        <v>0</v>
      </c>
      <c r="P53" s="442">
        <f ca="1">$O53-SUM($AS53:AS53)</f>
        <v>0</v>
      </c>
      <c r="Q53" s="442">
        <f ca="1">$O53-SUM($AS53:AT53)</f>
        <v>0</v>
      </c>
      <c r="R53" s="442">
        <f ca="1">$O53-SUM($AS53:AU53)</f>
        <v>0</v>
      </c>
      <c r="S53" s="442">
        <f ca="1">$O53-SUM($AS53:AV53)</f>
        <v>0</v>
      </c>
      <c r="T53" s="442">
        <f ca="1">$O53-SUM($AS53:AW53)</f>
        <v>0</v>
      </c>
      <c r="U53" s="442">
        <f ca="1">$O53-SUM($AS53:AX53)</f>
        <v>0</v>
      </c>
      <c r="V53" s="442">
        <f ca="1">$O53-SUM($AS53:AY53)</f>
        <v>0</v>
      </c>
      <c r="W53" s="442">
        <f ca="1">$O53-SUM($AS53:AZ53)</f>
        <v>0</v>
      </c>
      <c r="X53" s="442">
        <f ca="1">$O53-SUM($AS53:BA53)</f>
        <v>0</v>
      </c>
      <c r="Y53" s="442">
        <f ca="1">$O53-SUM($AS53:BB53)</f>
        <v>0</v>
      </c>
      <c r="Z53" s="442">
        <f ca="1">$O53-SUM($AS53:BC53)</f>
        <v>0</v>
      </c>
      <c r="AA53" s="442">
        <f ca="1">$O53-SUM($AS53:BD53)</f>
        <v>0</v>
      </c>
      <c r="AB53" s="442">
        <f ca="1">$O53-SUM($AS53:BE53)</f>
        <v>0</v>
      </c>
      <c r="AC53" s="442">
        <f ca="1">$O53-SUM($AS53:BF53)</f>
        <v>0</v>
      </c>
      <c r="AD53" s="442">
        <f ca="1">$O53-SUM($AS53:BG53)</f>
        <v>0</v>
      </c>
      <c r="AE53" s="442">
        <f ca="1">$O53-SUM($AS53:BH53)</f>
        <v>0</v>
      </c>
      <c r="AF53" s="442">
        <f ca="1">$O53-SUM($AS53:BI53)</f>
        <v>0</v>
      </c>
      <c r="AG53" s="442">
        <f ca="1">$O53-SUM($AS53:BJ53)</f>
        <v>0</v>
      </c>
      <c r="AH53" s="442">
        <f ca="1">$O53-SUM($AS53:BK53)</f>
        <v>0</v>
      </c>
      <c r="AI53" s="442">
        <f ca="1">$O53-SUM($AS53:BL53)</f>
        <v>0</v>
      </c>
      <c r="AJ53" s="442">
        <f ca="1">$O53-SUM($AS53:BM53)</f>
        <v>0</v>
      </c>
      <c r="AK53" s="442">
        <f ca="1">$O53-SUM($AS53:BN53)</f>
        <v>0</v>
      </c>
      <c r="AL53" s="442">
        <f ca="1">$O53-SUM($AS53:BO53)</f>
        <v>0</v>
      </c>
      <c r="AM53" s="442">
        <f ca="1">$O53-SUM($AS53:BP53)</f>
        <v>0</v>
      </c>
      <c r="AN53" s="442">
        <f ca="1">$O53-SUM($AS53:BQ53)</f>
        <v>0</v>
      </c>
      <c r="AO53" s="442">
        <f ca="1">$O53-SUM($AS53:BR53)</f>
        <v>0</v>
      </c>
      <c r="AP53" s="442">
        <f ca="1">$O53-SUM($AS53:BS53)</f>
        <v>0</v>
      </c>
      <c r="AR53" s="439" t="s">
        <v>1202</v>
      </c>
      <c r="AS53" s="442">
        <f ca="1">IF($H53="",0,IF($H53=1,IF('Para Adj'!$B$5 = 1,O53-($O53-SUMPRODUCT($CX53:CX53,$BU53:BU53))*(1-SUM($DZ53:DZ53)),BU53*CX53),$O53*BU53))</f>
        <v>0</v>
      </c>
      <c r="AT53" s="442">
        <f ca="1">IF($H53="",0,IF($H53=1,IF('Para Adj'!$B$5 = 1,P53-($O53-SUMPRODUCT($CX53:CY53,$BU53:BV53))*(1-SUM($DZ53:EA53)),BV53*CY53),$O53*BV53))</f>
        <v>0</v>
      </c>
      <c r="AU53" s="442">
        <f ca="1">IF($H53="",0,IF($H53=1,IF('Para Adj'!$B$5 = 1,Q53-($O53-SUMPRODUCT($CX53:CZ53,$BU53:BW53))*(1-SUM($DZ53:EB53)),BW53*CZ53),$O53*BW53))</f>
        <v>0</v>
      </c>
      <c r="AV53" s="442">
        <f ca="1">IF($H53="",0,IF($H53=1,IF('Para Adj'!$B$5 = 1,R53-($O53-SUMPRODUCT($CX53:DA53,$BU53:BX53))*(1-SUM($DZ53:EC53)),BX53*DA53),$O53*BX53))</f>
        <v>0</v>
      </c>
      <c r="AW53" s="442">
        <f ca="1">IF($H53="",0,IF($H53=1,IF('Para Adj'!$B$5 = 1,S53-($O53-SUMPRODUCT($CX53:DB53,$BU53:BY53))*(1-SUM($DZ53:ED53)),BY53*DB53),$O53*BY53))</f>
        <v>0</v>
      </c>
      <c r="AX53" s="442">
        <f ca="1">IF($H53="",0,IF($H53=1,IF('Para Adj'!$B$5 = 1,T53-($O53-SUMPRODUCT($CX53:DC53,$BU53:BZ53))*(1-SUM($DZ53:EE53)),BZ53*DC53),$O53*BZ53))</f>
        <v>0</v>
      </c>
      <c r="AY53" s="442">
        <f ca="1">IF($H53="",0,IF($H53=1,IF('Para Adj'!$B$5 = 1,U53-($O53-SUMPRODUCT($CX53:DD53,$BU53:CA53))*(1-SUM($DZ53:EF53)),CA53*DD53),$O53*CA53))</f>
        <v>0</v>
      </c>
      <c r="AZ53" s="442">
        <f ca="1">IF($H53="",0,IF($H53=1,IF('Para Adj'!$B$5 = 1,V53-($O53-SUMPRODUCT($CX53:DE53,$BU53:CB53))*(1-SUM($DZ53:EG53)),CB53*DE53),$O53*CB53))</f>
        <v>0</v>
      </c>
      <c r="BA53" s="442">
        <f ca="1">IF($H53="",0,IF($H53=1,IF('Para Adj'!$B$5 = 1,W53-($O53-SUMPRODUCT($CX53:DF53,$BU53:CC53))*(1-SUM($DZ53:EH53)),CC53*DF53),$O53*CC53))</f>
        <v>0</v>
      </c>
      <c r="BB53" s="442">
        <f ca="1">IF($H53="",0,IF($H53=1,IF('Para Adj'!$B$5 = 1,X53-($O53-SUMPRODUCT($CX53:DG53,$BU53:CD53))*(1-SUM($DZ53:EI53)),CD53*DG53),$O53*CD53))</f>
        <v>0</v>
      </c>
      <c r="BC53" s="442">
        <f ca="1">IF($H53="",0,IF($H53=1,IF('Para Adj'!$B$5 = 1,Y53-($O53-SUMPRODUCT($CX53:DH53,$BU53:CE53))*(1-SUM($DZ53:EJ53)),CE53*DH53),$O53*CE53))</f>
        <v>0</v>
      </c>
      <c r="BD53" s="442">
        <f ca="1">IF($H53="",0,IF($H53=1,IF('Para Adj'!$B$5 = 1,Z53-($O53-SUMPRODUCT($CX53:DI53,$BU53:CF53))*(1-SUM($DZ53:EK53)),CF53*DI53),$O53*CF53))</f>
        <v>0</v>
      </c>
      <c r="BE53" s="442">
        <f ca="1">IF($H53="",0,IF($H53=1,IF('Para Adj'!$B$5 = 1,AA53-($O53-SUMPRODUCT($CX53:DJ53,$BU53:CG53))*(1-SUM($DZ53:EL53)),CG53*DJ53),$O53*CG53))</f>
        <v>0</v>
      </c>
      <c r="BF53" s="442">
        <f ca="1">IF($H53="",0,IF($H53=1,IF('Para Adj'!$B$5 = 1,AB53-($O53-SUMPRODUCT($CX53:DK53,$BU53:CH53))*(1-SUM($DZ53:EM53)),CH53*DK53),$O53*CH53))</f>
        <v>0</v>
      </c>
      <c r="BG53" s="442">
        <f ca="1">IF($H53="",0,IF($H53=1,IF('Para Adj'!$B$5 = 1,AC53-($O53-SUMPRODUCT($CX53:DL53,$BU53:CI53))*(1-SUM($DZ53:EN53)),CI53*DL53),$O53*CI53))</f>
        <v>0</v>
      </c>
      <c r="BH53" s="442">
        <f ca="1">IF($H53="",0,IF($H53=1,IF('Para Adj'!$B$5 = 1,AD53-($O53-SUMPRODUCT($CX53:DM53,$BU53:CJ53))*(1-SUM($DZ53:EO53)),CJ53*DM53),$O53*CJ53))</f>
        <v>0</v>
      </c>
      <c r="BI53" s="442">
        <f ca="1">IF($H53="",0,IF($H53=1,IF('Para Adj'!$B$5 = 1,AE53-($O53-SUMPRODUCT($CX53:DN53,$BU53:CK53))*(1-SUM($DZ53:EP53)),CK53*DN53),$O53*CK53))</f>
        <v>0</v>
      </c>
      <c r="BJ53" s="442">
        <f ca="1">IF($H53="",0,IF($H53=1,IF('Para Adj'!$B$5 = 1,AF53-($O53-SUMPRODUCT($CX53:DO53,$BU53:CL53))*(1-SUM($DZ53:EQ53)),CL53*DO53),$O53*CL53))</f>
        <v>0</v>
      </c>
      <c r="BK53" s="442">
        <f ca="1">IF($H53="",0,IF($H53=1,IF('Para Adj'!$B$5 = 1,AG53-($O53-SUMPRODUCT($CX53:DP53,$BU53:CM53))*(1-SUM($DZ53:ER53)),CM53*DP53),$O53*CM53))</f>
        <v>0</v>
      </c>
      <c r="BL53" s="442">
        <f ca="1">IF($H53="",0,IF($H53=1,IF('Para Adj'!$B$5 = 1,AH53-($O53-SUMPRODUCT($CX53:DQ53,$BU53:CN53))*(1-SUM($DZ53:ES53)),CN53*DQ53),$O53*CN53))</f>
        <v>0</v>
      </c>
      <c r="BM53" s="442">
        <f ca="1">IF($H53="",0,IF($H53=1,IF('Para Adj'!$B$5 = 1,AI53-($O53-SUMPRODUCT($CX53:DR53,$BU53:CO53))*(1-SUM($DZ53:ET53)),CO53*DR53),$O53*CO53))</f>
        <v>0</v>
      </c>
      <c r="BN53" s="442">
        <f ca="1">IF($H53="",0,IF($H53=1,IF('Para Adj'!$B$5 = 1,AJ53-($O53-SUMPRODUCT($CX53:DS53,$BU53:CP53))*(1-SUM($DZ53:EU53)),CP53*DS53),$O53*CP53))</f>
        <v>0</v>
      </c>
      <c r="BO53" s="442">
        <f ca="1">IF($H53="",0,IF($H53=1,IF('Para Adj'!$B$5 = 1,AK53-($O53-SUMPRODUCT($CX53:DT53,$BU53:CQ53))*(1-SUM($DZ53:EV53)),CQ53*DT53),$O53*CQ53))</f>
        <v>0</v>
      </c>
      <c r="BP53" s="442">
        <f ca="1">IF($H53="",0,IF($H53=1,IF('Para Adj'!$B$5 = 1,AL53-($O53-SUMPRODUCT($CX53:DU53,$BU53:CR53))*(1-SUM($DZ53:EW53)),CR53*DU53),$O53*CR53))</f>
        <v>0</v>
      </c>
      <c r="BQ53" s="442">
        <f ca="1">IF($H53="",0,IF($H53=1,IF('Para Adj'!$B$5 = 1,AM53-($O53-SUMPRODUCT($CX53:DV53,$BU53:CS53))*(1-SUM($DZ53:EX53)),CS53*DV53),$O53*CS53))</f>
        <v>0</v>
      </c>
      <c r="BR53" s="442">
        <f ca="1">IF($H53="",0,IF($H53=1,IF('Para Adj'!$B$5 = 1,AN53-($O53-SUMPRODUCT($CX53:DW53,$BU53:CT53))*(1-SUM($DZ53:EY53)),CT53*DW53),$O53*CT53))</f>
        <v>0</v>
      </c>
      <c r="BS53" s="442">
        <f ca="1">IF($H53="",0,IF($H53=1,IF('Para Adj'!$B$5 = 1,AO53-($O53-SUMPRODUCT($CX53:DX53,$BU53:CU53))*(1-SUM($DZ53:EZ53)),CU53*DX53),$O53*CU53))</f>
        <v>0</v>
      </c>
      <c r="BU53" s="820">
        <f ca="1">IF($B53=0,"",INDEX(Assumptions!G:G,$B53))</f>
        <v>1</v>
      </c>
      <c r="BV53" s="820">
        <f ca="1">IF($B53=0,"",INDEX(Assumptions!H:H,$B53))</f>
        <v>1</v>
      </c>
      <c r="BW53" s="820">
        <f ca="1">IF($B53=0,"",INDEX(Assumptions!I:I,$B53))</f>
        <v>1</v>
      </c>
      <c r="BX53" s="820">
        <f ca="1">IF($B53=0,"",INDEX(Assumptions!J:J,$B53))</f>
        <v>1</v>
      </c>
      <c r="BY53" s="820">
        <f ca="1">IF($B53=0,"",INDEX(Assumptions!K:K,$B53))</f>
        <v>1</v>
      </c>
      <c r="BZ53" s="820">
        <f ca="1">IF($B53=0,"",INDEX(Assumptions!L:L,$B53))</f>
        <v>1</v>
      </c>
      <c r="CA53" s="820">
        <f ca="1">IF($B53=0,"",INDEX(Assumptions!M:M,$B53))</f>
        <v>1</v>
      </c>
      <c r="CB53" s="820">
        <f ca="1">IF($B53=0,"",INDEX(Assumptions!N:N,$B53))</f>
        <v>1</v>
      </c>
      <c r="CC53" s="820">
        <f ca="1">IF($B53=0,"",INDEX(Assumptions!O:O,$B53))</f>
        <v>1</v>
      </c>
      <c r="CD53" s="820">
        <f ca="1">IF($B53=0,"",INDEX(Assumptions!P:P,$B53))</f>
        <v>1</v>
      </c>
      <c r="CE53" s="820">
        <f ca="1">IF($B53=0,"",INDEX(Assumptions!Q:Q,$B53))</f>
        <v>1</v>
      </c>
      <c r="CF53" s="820">
        <f ca="1">IF($B53=0,"",INDEX(Assumptions!R:R,$B53))</f>
        <v>1</v>
      </c>
      <c r="CG53" s="820">
        <f ca="1">IF($B53=0,"",INDEX(Assumptions!S:S,$B53))</f>
        <v>1</v>
      </c>
      <c r="CH53" s="820">
        <f ca="1">IF($B53=0,"",INDEX(Assumptions!T:T,$B53))</f>
        <v>1</v>
      </c>
      <c r="CI53" s="820">
        <f ca="1">IF($B53=0,"",INDEX(Assumptions!U:U,$B53))</f>
        <v>1</v>
      </c>
      <c r="CJ53" s="820">
        <f ca="1">IF($B53=0,"",INDEX(Assumptions!V:V,$B53))</f>
        <v>1</v>
      </c>
      <c r="CK53" s="820">
        <f ca="1">IF($B53=0,"",INDEX(Assumptions!W:W,$B53))</f>
        <v>1</v>
      </c>
      <c r="CL53" s="820">
        <f ca="1">IF($B53=0,"",INDEX(Assumptions!X:X,$B53))</f>
        <v>1</v>
      </c>
      <c r="CM53" s="820">
        <f ca="1">IF($B53=0,"",INDEX(Assumptions!Y:Y,$B53))</f>
        <v>1</v>
      </c>
      <c r="CN53" s="820">
        <f ca="1">IF($B53=0,"",INDEX(Assumptions!Z:Z,$B53))</f>
        <v>1</v>
      </c>
      <c r="CO53" s="820">
        <f ca="1">IF($B53=0,"",INDEX(Assumptions!AA:AA,$B53))</f>
        <v>1</v>
      </c>
      <c r="CP53" s="820">
        <f ca="1">IF($B53=0,"",INDEX(Assumptions!AB:AB,$B53))</f>
        <v>1</v>
      </c>
      <c r="CQ53" s="820">
        <f ca="1">IF($B53=0,"",INDEX(Assumptions!AC:AC,$B53))</f>
        <v>1</v>
      </c>
      <c r="CR53" s="820">
        <f ca="1">IF($B53=0,"",INDEX(Assumptions!AD:AD,$B53))</f>
        <v>1</v>
      </c>
      <c r="CS53" s="820">
        <f ca="1">IF($B53=0,"",INDEX(Assumptions!AE:AE,$B53))</f>
        <v>1</v>
      </c>
      <c r="CT53" s="820">
        <f ca="1">IF($B53=0,"",INDEX(Assumptions!AF:AF,$B53))</f>
        <v>1</v>
      </c>
      <c r="CU53" s="820">
        <f ca="1">IF($B53=0,"",INDEX(Assumptions!AG:AG,$B53))</f>
        <v>1</v>
      </c>
      <c r="CX53" s="442">
        <f>IF($A53="","",INDEX('Data Interface'!G:G,$A53))</f>
        <v>0</v>
      </c>
      <c r="CY53" s="442">
        <f>IF($A53="","",INDEX('Data Interface'!H:H,$A53))</f>
        <v>0</v>
      </c>
      <c r="CZ53" s="442">
        <f>IF($A53="","",INDEX('Data Interface'!I:I,$A53))</f>
        <v>0</v>
      </c>
      <c r="DA53" s="442">
        <f>IF($A53="","",INDEX('Data Interface'!J:J,$A53))</f>
        <v>0</v>
      </c>
      <c r="DB53" s="442">
        <f>IF($A53="","",INDEX('Data Interface'!K:K,$A53))</f>
        <v>0</v>
      </c>
      <c r="DC53" s="442">
        <f>IF($A53="","",INDEX('Data Interface'!L:L,$A53))</f>
        <v>0</v>
      </c>
      <c r="DD53" s="442">
        <f>IF($A53="","",INDEX('Data Interface'!M:M,$A53))</f>
        <v>0</v>
      </c>
      <c r="DE53" s="442">
        <f>IF($A53="","",INDEX('Data Interface'!N:N,$A53))</f>
        <v>0</v>
      </c>
      <c r="DF53" s="442">
        <f>IF($A53="","",INDEX('Data Interface'!O:O,$A53))</f>
        <v>0</v>
      </c>
      <c r="DG53" s="442">
        <f>IF($A53="","",INDEX('Data Interface'!P:P,$A53))</f>
        <v>0</v>
      </c>
      <c r="DH53" s="442">
        <f>IF($A53="","",INDEX('Data Interface'!Q:Q,$A53))</f>
        <v>0</v>
      </c>
      <c r="DI53" s="442">
        <f>IF($A53="","",INDEX('Data Interface'!R:R,$A53))</f>
        <v>0</v>
      </c>
      <c r="DJ53" s="442">
        <f>IF($A53="","",INDEX('Data Interface'!S:S,$A53))</f>
        <v>0</v>
      </c>
      <c r="DK53" s="442">
        <f>IF($A53="","",INDEX('Data Interface'!T:T,$A53))</f>
        <v>0</v>
      </c>
      <c r="DL53" s="442">
        <f>IF($A53="","",INDEX('Data Interface'!U:U,$A53))</f>
        <v>0</v>
      </c>
      <c r="DM53" s="442">
        <f>IF($A53="","",INDEX('Data Interface'!V:V,$A53))</f>
        <v>0</v>
      </c>
      <c r="DN53" s="442">
        <f>IF($A53="","",INDEX('Data Interface'!W:W,$A53))</f>
        <v>0</v>
      </c>
      <c r="DO53" s="442">
        <f>IF($A53="","",INDEX('Data Interface'!X:X,$A53))</f>
        <v>0</v>
      </c>
      <c r="DP53" s="442">
        <f>IF($A53="","",INDEX('Data Interface'!Y:Y,$A53))</f>
        <v>0</v>
      </c>
      <c r="DQ53" s="442">
        <f>IF($A53="","",INDEX('Data Interface'!Z:Z,$A53))</f>
        <v>0</v>
      </c>
      <c r="DR53" s="442">
        <f>IF($A53="","",INDEX('Data Interface'!AA:AA,$A53))</f>
        <v>0</v>
      </c>
      <c r="DS53" s="442">
        <f>IF($A53="","",INDEX('Data Interface'!AB:AB,$A53))</f>
        <v>0</v>
      </c>
      <c r="DT53" s="442">
        <f>IF($A53="","",INDEX('Data Interface'!AC:AC,$A53))</f>
        <v>0</v>
      </c>
      <c r="DU53" s="442">
        <f>IF($A53="","",INDEX('Data Interface'!AD:AD,$A53))</f>
        <v>0</v>
      </c>
      <c r="DV53" s="442">
        <f>IF($A53="","",INDEX('Data Interface'!AE:AE,$A53))</f>
        <v>0</v>
      </c>
      <c r="DW53" s="442">
        <f>IF($A53="","",INDEX('Data Interface'!AF:AF,$A53))</f>
        <v>0</v>
      </c>
      <c r="DX53" s="442">
        <f>IF($A53="","",INDEX('Data Interface'!AG:AG,$A53))</f>
        <v>0</v>
      </c>
      <c r="DZ53" s="906">
        <f>IF(OR($B53=0,$A53=0,$H53&lt;&gt;1),"",INDEX(Assumptions!EO:EO,$B53))</f>
        <v>0</v>
      </c>
      <c r="EA53" s="906">
        <f>IF(OR($B53=0,$A53=0,$H53&lt;&gt;1),"",INDEX(Assumptions!EP:EP,$B53))</f>
        <v>0</v>
      </c>
      <c r="EB53" s="906">
        <f>IF(OR($B53=0,$A53=0,$H53&lt;&gt;1),"",INDEX(Assumptions!EQ:EQ,$B53))</f>
        <v>0</v>
      </c>
      <c r="EC53" s="906">
        <f>IF(OR($B53=0,$A53=0,$H53&lt;&gt;1),"",INDEX(Assumptions!ER:ER,$B53))</f>
        <v>0</v>
      </c>
      <c r="ED53" s="906">
        <f>IF(OR($B53=0,$A53=0,$H53&lt;&gt;1),"",INDEX(Assumptions!ES:ES,$B53))</f>
        <v>0</v>
      </c>
      <c r="EE53" s="906">
        <f>IF(OR($B53=0,$A53=0,$H53&lt;&gt;1),"",INDEX(Assumptions!ET:ET,$B53))</f>
        <v>0</v>
      </c>
      <c r="EF53" s="906">
        <f>IF(OR($B53=0,$A53=0,$H53&lt;&gt;1),"",INDEX(Assumptions!EU:EU,$B53))</f>
        <v>0</v>
      </c>
      <c r="EG53" s="906">
        <f>IF(OR($B53=0,$A53=0,$H53&lt;&gt;1),"",INDEX(Assumptions!EV:EV,$B53))</f>
        <v>0</v>
      </c>
      <c r="EH53" s="906">
        <f>IF(OR($B53=0,$A53=0,$H53&lt;&gt;1),"",INDEX(Assumptions!EW:EW,$B53))</f>
        <v>0</v>
      </c>
      <c r="EI53" s="906">
        <f>IF(OR($B53=0,$A53=0,$H53&lt;&gt;1),"",INDEX(Assumptions!EX:EX,$B53))</f>
        <v>0</v>
      </c>
      <c r="EJ53" s="906">
        <f>IF(OR($B53=0,$A53=0,$H53&lt;&gt;1),"",INDEX(Assumptions!EY:EY,$B53))</f>
        <v>0</v>
      </c>
      <c r="EK53" s="906">
        <f>IF(OR($B53=0,$A53=0,$H53&lt;&gt;1),"",INDEX(Assumptions!EZ:EZ,$B53))</f>
        <v>0</v>
      </c>
      <c r="EL53" s="906">
        <f>IF(OR($B53=0,$A53=0,$H53&lt;&gt;1),"",INDEX(Assumptions!FA:FA,$B53))</f>
        <v>0</v>
      </c>
      <c r="EM53" s="906">
        <f>IF(OR($B53=0,$A53=0,$H53&lt;&gt;1),"",INDEX(Assumptions!FB:FB,$B53))</f>
        <v>0</v>
      </c>
      <c r="EN53" s="906">
        <f>IF(OR($B53=0,$A53=0,$H53&lt;&gt;1),"",INDEX(Assumptions!FC:FC,$B53))</f>
        <v>0</v>
      </c>
      <c r="EO53" s="906">
        <f>IF(OR($B53=0,$A53=0,$H53&lt;&gt;1),"",INDEX(Assumptions!FD:FD,$B53))</f>
        <v>0</v>
      </c>
      <c r="EP53" s="906">
        <f>IF(OR($B53=0,$A53=0,$H53&lt;&gt;1),"",INDEX(Assumptions!FE:FE,$B53))</f>
        <v>0</v>
      </c>
      <c r="EQ53" s="906">
        <f>IF(OR($B53=0,$A53=0,$H53&lt;&gt;1),"",INDEX(Assumptions!FF:FF,$B53))</f>
        <v>0</v>
      </c>
      <c r="ER53" s="906">
        <f>IF(OR($B53=0,$A53=0,$H53&lt;&gt;1),"",INDEX(Assumptions!FG:FG,$B53))</f>
        <v>0</v>
      </c>
      <c r="ES53" s="906">
        <f>IF(OR($B53=0,$A53=0,$H53&lt;&gt;1),"",INDEX(Assumptions!FH:FH,$B53))</f>
        <v>0</v>
      </c>
      <c r="ET53" s="906">
        <f>IF(OR($B53=0,$A53=0,$H53&lt;&gt;1),"",INDEX(Assumptions!FI:FI,$B53))</f>
        <v>0</v>
      </c>
      <c r="EU53" s="906">
        <f>IF(OR($B53=0,$A53=0,$H53&lt;&gt;1),"",INDEX(Assumptions!FJ:FJ,$B53))</f>
        <v>0</v>
      </c>
      <c r="EV53" s="906">
        <f>IF(OR($B53=0,$A53=0,$H53&lt;&gt;1),"",INDEX(Assumptions!FK:FK,$B53))</f>
        <v>0</v>
      </c>
      <c r="EW53" s="906">
        <f>IF(OR($B53=0,$A53=0,$H53&lt;&gt;1),"",INDEX(Assumptions!FL:FL,$B53))</f>
        <v>0</v>
      </c>
      <c r="EX53" s="906">
        <f>IF(OR($B53=0,$A53=0,$H53&lt;&gt;1),"",INDEX(Assumptions!FM:FM,$B53))</f>
        <v>0</v>
      </c>
      <c r="EY53" s="906">
        <f>IF(OR($B53=0,$A53=0,$H53&lt;&gt;1),"",INDEX(Assumptions!FN:FN,$B53))</f>
        <v>0</v>
      </c>
      <c r="EZ53" s="906">
        <f>IF(OR($B53=0,$A53=0,$H53&lt;&gt;1),"",INDEX(Assumptions!FO:FO,$B53))</f>
        <v>0</v>
      </c>
      <c r="FB53" s="820" t="str">
        <f t="shared" si="18"/>
        <v/>
      </c>
      <c r="FC53" s="820" t="str">
        <f t="shared" si="19"/>
        <v/>
      </c>
      <c r="FD53" s="820" t="str">
        <f t="shared" si="20"/>
        <v/>
      </c>
      <c r="FE53" s="820" t="str">
        <f t="shared" si="21"/>
        <v/>
      </c>
      <c r="FF53" s="820" t="str">
        <f t="shared" si="22"/>
        <v/>
      </c>
    </row>
    <row r="54" spans="1:162">
      <c r="A54" s="440">
        <f>IFERROR(MATCH(C54,'Data Interface'!B:B,0),0)</f>
        <v>51</v>
      </c>
      <c r="B54" s="440">
        <f>IFERROR(MATCH(C54,Assumptions!$B:$B,0),0)</f>
        <v>19</v>
      </c>
      <c r="C54" s="441" t="s">
        <v>1313</v>
      </c>
      <c r="E54" s="441" t="s">
        <v>1219</v>
      </c>
      <c r="F54" s="440" t="s">
        <v>36</v>
      </c>
      <c r="G54" s="440" t="str">
        <f>IF(A54=0,"",INDEX('Data Interface'!$C:$C,$A54))</f>
        <v>Eurofund Borrowed</v>
      </c>
      <c r="H54" s="440">
        <v>1</v>
      </c>
      <c r="I54" s="819">
        <f t="shared" ca="1" si="23"/>
        <v>1</v>
      </c>
      <c r="J54" s="819">
        <f t="shared" ca="1" si="24"/>
        <v>1</v>
      </c>
      <c r="K54" s="439" t="str">
        <f t="shared" ca="1" si="25"/>
        <v>100% of Contractual Maturity</v>
      </c>
      <c r="L54" s="439" t="s">
        <v>1148</v>
      </c>
      <c r="M54" s="439" t="s">
        <v>1504</v>
      </c>
      <c r="O54" s="442">
        <f>IF(OR($A54="",$A54=0),0,INDEX('Data Interface'!D:D,$A54))</f>
        <v>0</v>
      </c>
      <c r="P54" s="442">
        <f ca="1">$O54-SUM($AS54:AS54)</f>
        <v>0</v>
      </c>
      <c r="Q54" s="442">
        <f ca="1">$O54-SUM($AS54:AT54)</f>
        <v>0</v>
      </c>
      <c r="R54" s="442">
        <f ca="1">$O54-SUM($AS54:AU54)</f>
        <v>0</v>
      </c>
      <c r="S54" s="442">
        <f ca="1">$O54-SUM($AS54:AV54)</f>
        <v>0</v>
      </c>
      <c r="T54" s="442">
        <f ca="1">$O54-SUM($AS54:AW54)</f>
        <v>0</v>
      </c>
      <c r="U54" s="442">
        <f ca="1">$O54-SUM($AS54:AX54)</f>
        <v>0</v>
      </c>
      <c r="V54" s="442">
        <f ca="1">$O54-SUM($AS54:AY54)</f>
        <v>0</v>
      </c>
      <c r="W54" s="442">
        <f ca="1">$O54-SUM($AS54:AZ54)</f>
        <v>0</v>
      </c>
      <c r="X54" s="442">
        <f ca="1">$O54-SUM($AS54:BA54)</f>
        <v>0</v>
      </c>
      <c r="Y54" s="442">
        <f ca="1">$O54-SUM($AS54:BB54)</f>
        <v>0</v>
      </c>
      <c r="Z54" s="442">
        <f ca="1">$O54-SUM($AS54:BC54)</f>
        <v>0</v>
      </c>
      <c r="AA54" s="442">
        <f ca="1">$O54-SUM($AS54:BD54)</f>
        <v>0</v>
      </c>
      <c r="AB54" s="442">
        <f ca="1">$O54-SUM($AS54:BE54)</f>
        <v>0</v>
      </c>
      <c r="AC54" s="442">
        <f ca="1">$O54-SUM($AS54:BF54)</f>
        <v>0</v>
      </c>
      <c r="AD54" s="442">
        <f ca="1">$O54-SUM($AS54:BG54)</f>
        <v>0</v>
      </c>
      <c r="AE54" s="442">
        <f ca="1">$O54-SUM($AS54:BH54)</f>
        <v>0</v>
      </c>
      <c r="AF54" s="442">
        <f ca="1">$O54-SUM($AS54:BI54)</f>
        <v>0</v>
      </c>
      <c r="AG54" s="442">
        <f ca="1">$O54-SUM($AS54:BJ54)</f>
        <v>0</v>
      </c>
      <c r="AH54" s="442">
        <f ca="1">$O54-SUM($AS54:BK54)</f>
        <v>0</v>
      </c>
      <c r="AI54" s="442">
        <f ca="1">$O54-SUM($AS54:BL54)</f>
        <v>0</v>
      </c>
      <c r="AJ54" s="442">
        <f ca="1">$O54-SUM($AS54:BM54)</f>
        <v>0</v>
      </c>
      <c r="AK54" s="442">
        <f ca="1">$O54-SUM($AS54:BN54)</f>
        <v>0</v>
      </c>
      <c r="AL54" s="442">
        <f ca="1">$O54-SUM($AS54:BO54)</f>
        <v>0</v>
      </c>
      <c r="AM54" s="442">
        <f ca="1">$O54-SUM($AS54:BP54)</f>
        <v>0</v>
      </c>
      <c r="AN54" s="442">
        <f ca="1">$O54-SUM($AS54:BQ54)</f>
        <v>0</v>
      </c>
      <c r="AO54" s="442">
        <f ca="1">$O54-SUM($AS54:BR54)</f>
        <v>0</v>
      </c>
      <c r="AP54" s="442">
        <f ca="1">$O54-SUM($AS54:BS54)</f>
        <v>0</v>
      </c>
      <c r="AR54" s="439" t="s">
        <v>1202</v>
      </c>
      <c r="AS54" s="442">
        <f ca="1">IF($H54="",0,IF($H54=1,IF('Para Adj'!$B$5 = 1,O54-($O54-SUMPRODUCT($CX54:CX54,$BU54:BU54))*(1-SUM($DZ54:DZ54)),BU54*CX54),$O54*BU54))</f>
        <v>0</v>
      </c>
      <c r="AT54" s="442">
        <f ca="1">IF($H54="",0,IF($H54=1,IF('Para Adj'!$B$5 = 1,P54-($O54-SUMPRODUCT($CX54:CY54,$BU54:BV54))*(1-SUM($DZ54:EA54)),BV54*CY54),$O54*BV54))</f>
        <v>0</v>
      </c>
      <c r="AU54" s="442">
        <f ca="1">IF($H54="",0,IF($H54=1,IF('Para Adj'!$B$5 = 1,Q54-($O54-SUMPRODUCT($CX54:CZ54,$BU54:BW54))*(1-SUM($DZ54:EB54)),BW54*CZ54),$O54*BW54))</f>
        <v>0</v>
      </c>
      <c r="AV54" s="442">
        <f ca="1">IF($H54="",0,IF($H54=1,IF('Para Adj'!$B$5 = 1,R54-($O54-SUMPRODUCT($CX54:DA54,$BU54:BX54))*(1-SUM($DZ54:EC54)),BX54*DA54),$O54*BX54))</f>
        <v>0</v>
      </c>
      <c r="AW54" s="442">
        <f ca="1">IF($H54="",0,IF($H54=1,IF('Para Adj'!$B$5 = 1,S54-($O54-SUMPRODUCT($CX54:DB54,$BU54:BY54))*(1-SUM($DZ54:ED54)),BY54*DB54),$O54*BY54))</f>
        <v>0</v>
      </c>
      <c r="AX54" s="442">
        <f ca="1">IF($H54="",0,IF($H54=1,IF('Para Adj'!$B$5 = 1,T54-($O54-SUMPRODUCT($CX54:DC54,$BU54:BZ54))*(1-SUM($DZ54:EE54)),BZ54*DC54),$O54*BZ54))</f>
        <v>0</v>
      </c>
      <c r="AY54" s="442">
        <f ca="1">IF($H54="",0,IF($H54=1,IF('Para Adj'!$B$5 = 1,U54-($O54-SUMPRODUCT($CX54:DD54,$BU54:CA54))*(1-SUM($DZ54:EF54)),CA54*DD54),$O54*CA54))</f>
        <v>0</v>
      </c>
      <c r="AZ54" s="442">
        <f ca="1">IF($H54="",0,IF($H54=1,IF('Para Adj'!$B$5 = 1,V54-($O54-SUMPRODUCT($CX54:DE54,$BU54:CB54))*(1-SUM($DZ54:EG54)),CB54*DE54),$O54*CB54))</f>
        <v>0</v>
      </c>
      <c r="BA54" s="442">
        <f ca="1">IF($H54="",0,IF($H54=1,IF('Para Adj'!$B$5 = 1,W54-($O54-SUMPRODUCT($CX54:DF54,$BU54:CC54))*(1-SUM($DZ54:EH54)),CC54*DF54),$O54*CC54))</f>
        <v>0</v>
      </c>
      <c r="BB54" s="442">
        <f ca="1">IF($H54="",0,IF($H54=1,IF('Para Adj'!$B$5 = 1,X54-($O54-SUMPRODUCT($CX54:DG54,$BU54:CD54))*(1-SUM($DZ54:EI54)),CD54*DG54),$O54*CD54))</f>
        <v>0</v>
      </c>
      <c r="BC54" s="442">
        <f ca="1">IF($H54="",0,IF($H54=1,IF('Para Adj'!$B$5 = 1,Y54-($O54-SUMPRODUCT($CX54:DH54,$BU54:CE54))*(1-SUM($DZ54:EJ54)),CE54*DH54),$O54*CE54))</f>
        <v>0</v>
      </c>
      <c r="BD54" s="442">
        <f ca="1">IF($H54="",0,IF($H54=1,IF('Para Adj'!$B$5 = 1,Z54-($O54-SUMPRODUCT($CX54:DI54,$BU54:CF54))*(1-SUM($DZ54:EK54)),CF54*DI54),$O54*CF54))</f>
        <v>0</v>
      </c>
      <c r="BE54" s="442">
        <f ca="1">IF($H54="",0,IF($H54=1,IF('Para Adj'!$B$5 = 1,AA54-($O54-SUMPRODUCT($CX54:DJ54,$BU54:CG54))*(1-SUM($DZ54:EL54)),CG54*DJ54),$O54*CG54))</f>
        <v>0</v>
      </c>
      <c r="BF54" s="442">
        <f ca="1">IF($H54="",0,IF($H54=1,IF('Para Adj'!$B$5 = 1,AB54-($O54-SUMPRODUCT($CX54:DK54,$BU54:CH54))*(1-SUM($DZ54:EM54)),CH54*DK54),$O54*CH54))</f>
        <v>0</v>
      </c>
      <c r="BG54" s="442">
        <f ca="1">IF($H54="",0,IF($H54=1,IF('Para Adj'!$B$5 = 1,AC54-($O54-SUMPRODUCT($CX54:DL54,$BU54:CI54))*(1-SUM($DZ54:EN54)),CI54*DL54),$O54*CI54))</f>
        <v>0</v>
      </c>
      <c r="BH54" s="442">
        <f ca="1">IF($H54="",0,IF($H54=1,IF('Para Adj'!$B$5 = 1,AD54-($O54-SUMPRODUCT($CX54:DM54,$BU54:CJ54))*(1-SUM($DZ54:EO54)),CJ54*DM54),$O54*CJ54))</f>
        <v>0</v>
      </c>
      <c r="BI54" s="442">
        <f ca="1">IF($H54="",0,IF($H54=1,IF('Para Adj'!$B$5 = 1,AE54-($O54-SUMPRODUCT($CX54:DN54,$BU54:CK54))*(1-SUM($DZ54:EP54)),CK54*DN54),$O54*CK54))</f>
        <v>0</v>
      </c>
      <c r="BJ54" s="442">
        <f ca="1">IF($H54="",0,IF($H54=1,IF('Para Adj'!$B$5 = 1,AF54-($O54-SUMPRODUCT($CX54:DO54,$BU54:CL54))*(1-SUM($DZ54:EQ54)),CL54*DO54),$O54*CL54))</f>
        <v>0</v>
      </c>
      <c r="BK54" s="442">
        <f ca="1">IF($H54="",0,IF($H54=1,IF('Para Adj'!$B$5 = 1,AG54-($O54-SUMPRODUCT($CX54:DP54,$BU54:CM54))*(1-SUM($DZ54:ER54)),CM54*DP54),$O54*CM54))</f>
        <v>0</v>
      </c>
      <c r="BL54" s="442">
        <f ca="1">IF($H54="",0,IF($H54=1,IF('Para Adj'!$B$5 = 1,AH54-($O54-SUMPRODUCT($CX54:DQ54,$BU54:CN54))*(1-SUM($DZ54:ES54)),CN54*DQ54),$O54*CN54))</f>
        <v>0</v>
      </c>
      <c r="BM54" s="442">
        <f ca="1">IF($H54="",0,IF($H54=1,IF('Para Adj'!$B$5 = 1,AI54-($O54-SUMPRODUCT($CX54:DR54,$BU54:CO54))*(1-SUM($DZ54:ET54)),CO54*DR54),$O54*CO54))</f>
        <v>0</v>
      </c>
      <c r="BN54" s="442">
        <f ca="1">IF($H54="",0,IF($H54=1,IF('Para Adj'!$B$5 = 1,AJ54-($O54-SUMPRODUCT($CX54:DS54,$BU54:CP54))*(1-SUM($DZ54:EU54)),CP54*DS54),$O54*CP54))</f>
        <v>0</v>
      </c>
      <c r="BO54" s="442">
        <f ca="1">IF($H54="",0,IF($H54=1,IF('Para Adj'!$B$5 = 1,AK54-($O54-SUMPRODUCT($CX54:DT54,$BU54:CQ54))*(1-SUM($DZ54:EV54)),CQ54*DT54),$O54*CQ54))</f>
        <v>0</v>
      </c>
      <c r="BP54" s="442">
        <f ca="1">IF($H54="",0,IF($H54=1,IF('Para Adj'!$B$5 = 1,AL54-($O54-SUMPRODUCT($CX54:DU54,$BU54:CR54))*(1-SUM($DZ54:EW54)),CR54*DU54),$O54*CR54))</f>
        <v>0</v>
      </c>
      <c r="BQ54" s="442">
        <f ca="1">IF($H54="",0,IF($H54=1,IF('Para Adj'!$B$5 = 1,AM54-($O54-SUMPRODUCT($CX54:DV54,$BU54:CS54))*(1-SUM($DZ54:EX54)),CS54*DV54),$O54*CS54))</f>
        <v>0</v>
      </c>
      <c r="BR54" s="442">
        <f ca="1">IF($H54="",0,IF($H54=1,IF('Para Adj'!$B$5 = 1,AN54-($O54-SUMPRODUCT($CX54:DW54,$BU54:CT54))*(1-SUM($DZ54:EY54)),CT54*DW54),$O54*CT54))</f>
        <v>0</v>
      </c>
      <c r="BS54" s="442">
        <f ca="1">IF($H54="",0,IF($H54=1,IF('Para Adj'!$B$5 = 1,AO54-($O54-SUMPRODUCT($CX54:DX54,$BU54:CU54))*(1-SUM($DZ54:EZ54)),CU54*DX54),$O54*CU54))</f>
        <v>0</v>
      </c>
      <c r="BU54" s="820">
        <f ca="1">IF($B54=0,"",INDEX(Assumptions!G:G,$B54))</f>
        <v>1</v>
      </c>
      <c r="BV54" s="820">
        <f ca="1">IF($B54=0,"",INDEX(Assumptions!H:H,$B54))</f>
        <v>1</v>
      </c>
      <c r="BW54" s="820">
        <f ca="1">IF($B54=0,"",INDEX(Assumptions!I:I,$B54))</f>
        <v>1</v>
      </c>
      <c r="BX54" s="820">
        <f ca="1">IF($B54=0,"",INDEX(Assumptions!J:J,$B54))</f>
        <v>1</v>
      </c>
      <c r="BY54" s="820">
        <f ca="1">IF($B54=0,"",INDEX(Assumptions!K:K,$B54))</f>
        <v>1</v>
      </c>
      <c r="BZ54" s="820">
        <f ca="1">IF($B54=0,"",INDEX(Assumptions!L:L,$B54))</f>
        <v>1</v>
      </c>
      <c r="CA54" s="820">
        <f ca="1">IF($B54=0,"",INDEX(Assumptions!M:M,$B54))</f>
        <v>1</v>
      </c>
      <c r="CB54" s="820">
        <f ca="1">IF($B54=0,"",INDEX(Assumptions!N:N,$B54))</f>
        <v>1</v>
      </c>
      <c r="CC54" s="820">
        <f ca="1">IF($B54=0,"",INDEX(Assumptions!O:O,$B54))</f>
        <v>1</v>
      </c>
      <c r="CD54" s="820">
        <f ca="1">IF($B54=0,"",INDEX(Assumptions!P:P,$B54))</f>
        <v>1</v>
      </c>
      <c r="CE54" s="820">
        <f ca="1">IF($B54=0,"",INDEX(Assumptions!Q:Q,$B54))</f>
        <v>1</v>
      </c>
      <c r="CF54" s="820">
        <f ca="1">IF($B54=0,"",INDEX(Assumptions!R:R,$B54))</f>
        <v>1</v>
      </c>
      <c r="CG54" s="820">
        <f ca="1">IF($B54=0,"",INDEX(Assumptions!S:S,$B54))</f>
        <v>1</v>
      </c>
      <c r="CH54" s="820">
        <f ca="1">IF($B54=0,"",INDEX(Assumptions!T:T,$B54))</f>
        <v>1</v>
      </c>
      <c r="CI54" s="820">
        <f ca="1">IF($B54=0,"",INDEX(Assumptions!U:U,$B54))</f>
        <v>1</v>
      </c>
      <c r="CJ54" s="820">
        <f ca="1">IF($B54=0,"",INDEX(Assumptions!V:V,$B54))</f>
        <v>1</v>
      </c>
      <c r="CK54" s="820">
        <f ca="1">IF($B54=0,"",INDEX(Assumptions!W:W,$B54))</f>
        <v>1</v>
      </c>
      <c r="CL54" s="820">
        <f ca="1">IF($B54=0,"",INDEX(Assumptions!X:X,$B54))</f>
        <v>1</v>
      </c>
      <c r="CM54" s="820">
        <f ca="1">IF($B54=0,"",INDEX(Assumptions!Y:Y,$B54))</f>
        <v>1</v>
      </c>
      <c r="CN54" s="820">
        <f ca="1">IF($B54=0,"",INDEX(Assumptions!Z:Z,$B54))</f>
        <v>1</v>
      </c>
      <c r="CO54" s="820">
        <f ca="1">IF($B54=0,"",INDEX(Assumptions!AA:AA,$B54))</f>
        <v>1</v>
      </c>
      <c r="CP54" s="820">
        <f ca="1">IF($B54=0,"",INDEX(Assumptions!AB:AB,$B54))</f>
        <v>1</v>
      </c>
      <c r="CQ54" s="820">
        <f ca="1">IF($B54=0,"",INDEX(Assumptions!AC:AC,$B54))</f>
        <v>1</v>
      </c>
      <c r="CR54" s="820">
        <f ca="1">IF($B54=0,"",INDEX(Assumptions!AD:AD,$B54))</f>
        <v>1</v>
      </c>
      <c r="CS54" s="820">
        <f ca="1">IF($B54=0,"",INDEX(Assumptions!AE:AE,$B54))</f>
        <v>1</v>
      </c>
      <c r="CT54" s="820">
        <f ca="1">IF($B54=0,"",INDEX(Assumptions!AF:AF,$B54))</f>
        <v>1</v>
      </c>
      <c r="CU54" s="820">
        <f ca="1">IF($B54=0,"",INDEX(Assumptions!AG:AG,$B54))</f>
        <v>1</v>
      </c>
      <c r="CX54" s="442">
        <f>IF($A54="","",INDEX('Data Interface'!G:G,$A54))</f>
        <v>0</v>
      </c>
      <c r="CY54" s="442">
        <f>IF($A54="","",INDEX('Data Interface'!H:H,$A54))</f>
        <v>0</v>
      </c>
      <c r="CZ54" s="442">
        <f>IF($A54="","",INDEX('Data Interface'!I:I,$A54))</f>
        <v>0</v>
      </c>
      <c r="DA54" s="442">
        <f>IF($A54="","",INDEX('Data Interface'!J:J,$A54))</f>
        <v>0</v>
      </c>
      <c r="DB54" s="442">
        <f>IF($A54="","",INDEX('Data Interface'!K:K,$A54))</f>
        <v>0</v>
      </c>
      <c r="DC54" s="442">
        <f>IF($A54="","",INDEX('Data Interface'!L:L,$A54))</f>
        <v>0</v>
      </c>
      <c r="DD54" s="442">
        <f>IF($A54="","",INDEX('Data Interface'!M:M,$A54))</f>
        <v>0</v>
      </c>
      <c r="DE54" s="442">
        <f>IF($A54="","",INDEX('Data Interface'!N:N,$A54))</f>
        <v>0</v>
      </c>
      <c r="DF54" s="442">
        <f>IF($A54="","",INDEX('Data Interface'!O:O,$A54))</f>
        <v>0</v>
      </c>
      <c r="DG54" s="442">
        <f>IF($A54="","",INDEX('Data Interface'!P:P,$A54))</f>
        <v>0</v>
      </c>
      <c r="DH54" s="442">
        <f>IF($A54="","",INDEX('Data Interface'!Q:Q,$A54))</f>
        <v>0</v>
      </c>
      <c r="DI54" s="442">
        <f>IF($A54="","",INDEX('Data Interface'!R:R,$A54))</f>
        <v>0</v>
      </c>
      <c r="DJ54" s="442">
        <f>IF($A54="","",INDEX('Data Interface'!S:S,$A54))</f>
        <v>0</v>
      </c>
      <c r="DK54" s="442">
        <f>IF($A54="","",INDEX('Data Interface'!T:T,$A54))</f>
        <v>0</v>
      </c>
      <c r="DL54" s="442">
        <f>IF($A54="","",INDEX('Data Interface'!U:U,$A54))</f>
        <v>0</v>
      </c>
      <c r="DM54" s="442">
        <f>IF($A54="","",INDEX('Data Interface'!V:V,$A54))</f>
        <v>0</v>
      </c>
      <c r="DN54" s="442">
        <f>IF($A54="","",INDEX('Data Interface'!W:W,$A54))</f>
        <v>0</v>
      </c>
      <c r="DO54" s="442">
        <f>IF($A54="","",INDEX('Data Interface'!X:X,$A54))</f>
        <v>0</v>
      </c>
      <c r="DP54" s="442">
        <f>IF($A54="","",INDEX('Data Interface'!Y:Y,$A54))</f>
        <v>0</v>
      </c>
      <c r="DQ54" s="442">
        <f>IF($A54="","",INDEX('Data Interface'!Z:Z,$A54))</f>
        <v>0</v>
      </c>
      <c r="DR54" s="442">
        <f>IF($A54="","",INDEX('Data Interface'!AA:AA,$A54))</f>
        <v>0</v>
      </c>
      <c r="DS54" s="442">
        <f>IF($A54="","",INDEX('Data Interface'!AB:AB,$A54))</f>
        <v>0</v>
      </c>
      <c r="DT54" s="442">
        <f>IF($A54="","",INDEX('Data Interface'!AC:AC,$A54))</f>
        <v>0</v>
      </c>
      <c r="DU54" s="442">
        <f>IF($A54="","",INDEX('Data Interface'!AD:AD,$A54))</f>
        <v>0</v>
      </c>
      <c r="DV54" s="442">
        <f>IF($A54="","",INDEX('Data Interface'!AE:AE,$A54))</f>
        <v>0</v>
      </c>
      <c r="DW54" s="442">
        <f>IF($A54="","",INDEX('Data Interface'!AF:AF,$A54))</f>
        <v>0</v>
      </c>
      <c r="DX54" s="442">
        <f>IF($A54="","",INDEX('Data Interface'!AG:AG,$A54))</f>
        <v>0</v>
      </c>
      <c r="DZ54" s="906">
        <f>IF(OR($B54=0,$A54=0,$H54&lt;&gt;1),"",INDEX(Assumptions!EO:EO,$B54))</f>
        <v>0</v>
      </c>
      <c r="EA54" s="906">
        <f>IF(OR($B54=0,$A54=0,$H54&lt;&gt;1),"",INDEX(Assumptions!EP:EP,$B54))</f>
        <v>0</v>
      </c>
      <c r="EB54" s="906">
        <f>IF(OR($B54=0,$A54=0,$H54&lt;&gt;1),"",INDEX(Assumptions!EQ:EQ,$B54))</f>
        <v>0</v>
      </c>
      <c r="EC54" s="906">
        <f>IF(OR($B54=0,$A54=0,$H54&lt;&gt;1),"",INDEX(Assumptions!ER:ER,$B54))</f>
        <v>0</v>
      </c>
      <c r="ED54" s="906">
        <f>IF(OR($B54=0,$A54=0,$H54&lt;&gt;1),"",INDEX(Assumptions!ES:ES,$B54))</f>
        <v>0</v>
      </c>
      <c r="EE54" s="906">
        <f>IF(OR($B54=0,$A54=0,$H54&lt;&gt;1),"",INDEX(Assumptions!ET:ET,$B54))</f>
        <v>0</v>
      </c>
      <c r="EF54" s="906">
        <f>IF(OR($B54=0,$A54=0,$H54&lt;&gt;1),"",INDEX(Assumptions!EU:EU,$B54))</f>
        <v>0</v>
      </c>
      <c r="EG54" s="906">
        <f>IF(OR($B54=0,$A54=0,$H54&lt;&gt;1),"",INDEX(Assumptions!EV:EV,$B54))</f>
        <v>0</v>
      </c>
      <c r="EH54" s="906">
        <f>IF(OR($B54=0,$A54=0,$H54&lt;&gt;1),"",INDEX(Assumptions!EW:EW,$B54))</f>
        <v>0</v>
      </c>
      <c r="EI54" s="906">
        <f>IF(OR($B54=0,$A54=0,$H54&lt;&gt;1),"",INDEX(Assumptions!EX:EX,$B54))</f>
        <v>0</v>
      </c>
      <c r="EJ54" s="906">
        <f>IF(OR($B54=0,$A54=0,$H54&lt;&gt;1),"",INDEX(Assumptions!EY:EY,$B54))</f>
        <v>0</v>
      </c>
      <c r="EK54" s="906">
        <f>IF(OR($B54=0,$A54=0,$H54&lt;&gt;1),"",INDEX(Assumptions!EZ:EZ,$B54))</f>
        <v>0</v>
      </c>
      <c r="EL54" s="906">
        <f>IF(OR($B54=0,$A54=0,$H54&lt;&gt;1),"",INDEX(Assumptions!FA:FA,$B54))</f>
        <v>0</v>
      </c>
      <c r="EM54" s="906">
        <f>IF(OR($B54=0,$A54=0,$H54&lt;&gt;1),"",INDEX(Assumptions!FB:FB,$B54))</f>
        <v>0</v>
      </c>
      <c r="EN54" s="906">
        <f>IF(OR($B54=0,$A54=0,$H54&lt;&gt;1),"",INDEX(Assumptions!FC:FC,$B54))</f>
        <v>0</v>
      </c>
      <c r="EO54" s="906">
        <f>IF(OR($B54=0,$A54=0,$H54&lt;&gt;1),"",INDEX(Assumptions!FD:FD,$B54))</f>
        <v>0</v>
      </c>
      <c r="EP54" s="906">
        <f>IF(OR($B54=0,$A54=0,$H54&lt;&gt;1),"",INDEX(Assumptions!FE:FE,$B54))</f>
        <v>0</v>
      </c>
      <c r="EQ54" s="906">
        <f>IF(OR($B54=0,$A54=0,$H54&lt;&gt;1),"",INDEX(Assumptions!FF:FF,$B54))</f>
        <v>0</v>
      </c>
      <c r="ER54" s="906">
        <f>IF(OR($B54=0,$A54=0,$H54&lt;&gt;1),"",INDEX(Assumptions!FG:FG,$B54))</f>
        <v>0</v>
      </c>
      <c r="ES54" s="906">
        <f>IF(OR($B54=0,$A54=0,$H54&lt;&gt;1),"",INDEX(Assumptions!FH:FH,$B54))</f>
        <v>0</v>
      </c>
      <c r="ET54" s="906">
        <f>IF(OR($B54=0,$A54=0,$H54&lt;&gt;1),"",INDEX(Assumptions!FI:FI,$B54))</f>
        <v>0</v>
      </c>
      <c r="EU54" s="906">
        <f>IF(OR($B54=0,$A54=0,$H54&lt;&gt;1),"",INDEX(Assumptions!FJ:FJ,$B54))</f>
        <v>0</v>
      </c>
      <c r="EV54" s="906">
        <f>IF(OR($B54=0,$A54=0,$H54&lt;&gt;1),"",INDEX(Assumptions!FK:FK,$B54))</f>
        <v>0</v>
      </c>
      <c r="EW54" s="906">
        <f>IF(OR($B54=0,$A54=0,$H54&lt;&gt;1),"",INDEX(Assumptions!FL:FL,$B54))</f>
        <v>0</v>
      </c>
      <c r="EX54" s="906">
        <f>IF(OR($B54=0,$A54=0,$H54&lt;&gt;1),"",INDEX(Assumptions!FM:FM,$B54))</f>
        <v>0</v>
      </c>
      <c r="EY54" s="906">
        <f>IF(OR($B54=0,$A54=0,$H54&lt;&gt;1),"",INDEX(Assumptions!FN:FN,$B54))</f>
        <v>0</v>
      </c>
      <c r="EZ54" s="906">
        <f>IF(OR($B54=0,$A54=0,$H54&lt;&gt;1),"",INDEX(Assumptions!FO:FO,$B54))</f>
        <v>0</v>
      </c>
      <c r="FB54" s="820" t="str">
        <f t="shared" si="18"/>
        <v/>
      </c>
      <c r="FC54" s="820" t="str">
        <f t="shared" si="19"/>
        <v/>
      </c>
      <c r="FD54" s="820" t="str">
        <f t="shared" si="20"/>
        <v/>
      </c>
      <c r="FE54" s="820" t="str">
        <f t="shared" si="21"/>
        <v/>
      </c>
      <c r="FF54" s="820" t="str">
        <f t="shared" si="22"/>
        <v/>
      </c>
    </row>
    <row r="55" spans="1:162">
      <c r="A55" s="440">
        <f>IFERROR(MATCH(C55,'Data Interface'!B:B,0),0)</f>
        <v>53</v>
      </c>
      <c r="B55" s="440">
        <f>IFERROR(MATCH(C55,Assumptions!$B:$B,0),0)</f>
        <v>21</v>
      </c>
      <c r="C55" s="441">
        <v>9.1</v>
      </c>
      <c r="E55" s="441" t="s">
        <v>1219</v>
      </c>
      <c r="F55" s="440" t="s">
        <v>24</v>
      </c>
      <c r="G55" s="440" t="str">
        <f>IF(A55=0,"",INDEX('Data Interface'!$C:$C,$A55))</f>
        <v>Demand,MM &amp; Savings - Retail</v>
      </c>
      <c r="H55" s="440">
        <v>0</v>
      </c>
      <c r="I55" s="819">
        <f t="shared" ca="1" si="23"/>
        <v>5.9999999999999991E-2</v>
      </c>
      <c r="J55" s="819">
        <f t="shared" ca="1" si="24"/>
        <v>9.9999999999999992E-2</v>
      </c>
      <c r="K55" s="439" t="str">
        <f t="shared" ca="1" si="25"/>
        <v>6% of Current Balance</v>
      </c>
      <c r="L55" s="439" t="s">
        <v>1148</v>
      </c>
      <c r="M55" s="439" t="s">
        <v>1509</v>
      </c>
      <c r="O55" s="442">
        <f>IF(OR($A55="",$A55=0),0,INDEX('Data Interface'!D:D,$A55))</f>
        <v>116.28780820000011</v>
      </c>
      <c r="P55" s="442">
        <f ca="1">$O55-SUM($AS55:AS55)</f>
        <v>114.89235450160011</v>
      </c>
      <c r="Q55" s="442">
        <f ca="1">$O55-SUM($AS55:AT55)</f>
        <v>114.42720326880011</v>
      </c>
      <c r="R55" s="442">
        <f ca="1">$O55-SUM($AS55:AU55)</f>
        <v>113.96205203600012</v>
      </c>
      <c r="S55" s="442">
        <f ca="1">$O55-SUM($AS55:AV55)</f>
        <v>113.49690080320011</v>
      </c>
      <c r="T55" s="442">
        <f ca="1">$O55-SUM($AS55:AW55)</f>
        <v>113.03174957040011</v>
      </c>
      <c r="U55" s="442">
        <f ca="1">$O55-SUM($AS55:AX55)</f>
        <v>112.56659833760011</v>
      </c>
      <c r="V55" s="442">
        <f ca="1">$O55-SUM($AS55:AY55)</f>
        <v>112.10144710480012</v>
      </c>
      <c r="W55" s="442">
        <f ca="1">$O55-SUM($AS55:AZ55)</f>
        <v>111.70274604811439</v>
      </c>
      <c r="X55" s="442">
        <f ca="1">$O55-SUM($AS55:BA55)</f>
        <v>111.30404499142868</v>
      </c>
      <c r="Y55" s="442">
        <f ca="1">$O55-SUM($AS55:BB55)</f>
        <v>110.90534393474297</v>
      </c>
      <c r="Z55" s="442">
        <f ca="1">$O55-SUM($AS55:BC55)</f>
        <v>110.50664287805725</v>
      </c>
      <c r="AA55" s="442">
        <f ca="1">$O55-SUM($AS55:BD55)</f>
        <v>110.10794182137154</v>
      </c>
      <c r="AB55" s="442">
        <f ca="1">$O55-SUM($AS55:BE55)</f>
        <v>109.70924076468582</v>
      </c>
      <c r="AC55" s="442">
        <f ca="1">$O55-SUM($AS55:BF55)</f>
        <v>109.31053970800011</v>
      </c>
      <c r="AD55" s="442">
        <f ca="1">$O55-SUM($AS55:BG55)</f>
        <v>106.98478354400011</v>
      </c>
      <c r="AE55" s="442">
        <f ca="1">$O55-SUM($AS55:BH55)</f>
        <v>104.65902738000011</v>
      </c>
      <c r="AF55" s="442">
        <f ca="1">$O55-SUM($AS55:BI55)</f>
        <v>104.65902738000011</v>
      </c>
      <c r="AG55" s="442">
        <f ca="1">$O55-SUM($AS55:BJ55)</f>
        <v>104.65902738000011</v>
      </c>
      <c r="AH55" s="442">
        <f ca="1">$O55-SUM($AS55:BK55)</f>
        <v>104.65902738000011</v>
      </c>
      <c r="AI55" s="442">
        <f ca="1">$O55-SUM($AS55:BL55)</f>
        <v>104.65902738000011</v>
      </c>
      <c r="AJ55" s="442">
        <f ca="1">$O55-SUM($AS55:BM55)</f>
        <v>104.65902738000011</v>
      </c>
      <c r="AK55" s="442">
        <f ca="1">$O55-SUM($AS55:BN55)</f>
        <v>104.65902738000011</v>
      </c>
      <c r="AL55" s="442">
        <f ca="1">$O55-SUM($AS55:BO55)</f>
        <v>104.65902738000011</v>
      </c>
      <c r="AM55" s="442">
        <f ca="1">$O55-SUM($AS55:BP55)</f>
        <v>104.65902738000011</v>
      </c>
      <c r="AN55" s="442">
        <f ca="1">$O55-SUM($AS55:BQ55)</f>
        <v>104.65902738000011</v>
      </c>
      <c r="AO55" s="442">
        <f ca="1">$O55-SUM($AS55:BR55)</f>
        <v>104.65902738000011</v>
      </c>
      <c r="AP55" s="442">
        <f ca="1">$O55-SUM($AS55:BS55)</f>
        <v>104.65902738000011</v>
      </c>
      <c r="AR55" s="439" t="s">
        <v>1202</v>
      </c>
      <c r="AS55" s="442">
        <f ca="1">IF($H55="",0,IF($H55=1,IF('Para Adj'!$B$5 = 1,O55-($O55-SUMPRODUCT($CX55:CX55,$BU55:BU55))*(1-SUM($DZ55:DZ55)),BU55*CX55),$O55*BU55))</f>
        <v>1.3954536984000014</v>
      </c>
      <c r="AT55" s="442">
        <f ca="1">IF($H55="",0,IF($H55=1,IF('Para Adj'!$B$5 = 1,P55-($O55-SUMPRODUCT($CX55:CY55,$BU55:BV55))*(1-SUM($DZ55:EA55)),BV55*CY55),$O55*BV55))</f>
        <v>0.46515123280000048</v>
      </c>
      <c r="AU55" s="442">
        <f ca="1">IF($H55="",0,IF($H55=1,IF('Para Adj'!$B$5 = 1,Q55-($O55-SUMPRODUCT($CX55:CZ55,$BU55:BW55))*(1-SUM($DZ55:EB55)),BW55*CZ55),$O55*BW55))</f>
        <v>0.46515123280000048</v>
      </c>
      <c r="AV55" s="442">
        <f ca="1">IF($H55="",0,IF($H55=1,IF('Para Adj'!$B$5 = 1,R55-($O55-SUMPRODUCT($CX55:DA55,$BU55:BX55))*(1-SUM($DZ55:EC55)),BX55*DA55),$O55*BX55))</f>
        <v>0.46515123280000048</v>
      </c>
      <c r="AW55" s="442">
        <f ca="1">IF($H55="",0,IF($H55=1,IF('Para Adj'!$B$5 = 1,S55-($O55-SUMPRODUCT($CX55:DB55,$BU55:BY55))*(1-SUM($DZ55:ED55)),BY55*DB55),$O55*BY55))</f>
        <v>0.46515123280000048</v>
      </c>
      <c r="AX55" s="442">
        <f ca="1">IF($H55="",0,IF($H55=1,IF('Para Adj'!$B$5 = 1,T55-($O55-SUMPRODUCT($CX55:DC55,$BU55:BZ55))*(1-SUM($DZ55:EE55)),BZ55*DC55),$O55*BZ55))</f>
        <v>0.46515123280000048</v>
      </c>
      <c r="AY55" s="442">
        <f ca="1">IF($H55="",0,IF($H55=1,IF('Para Adj'!$B$5 = 1,U55-($O55-SUMPRODUCT($CX55:DD55,$BU55:CA55))*(1-SUM($DZ55:EF55)),CA55*DD55),$O55*CA55))</f>
        <v>0.46515123280000048</v>
      </c>
      <c r="AZ55" s="442">
        <f ca="1">IF($H55="",0,IF($H55=1,IF('Para Adj'!$B$5 = 1,V55-($O55-SUMPRODUCT($CX55:DE55,$BU55:CB55))*(1-SUM($DZ55:EG55)),CB55*DE55),$O55*CB55))</f>
        <v>0.39870105668571471</v>
      </c>
      <c r="BA55" s="442">
        <f ca="1">IF($H55="",0,IF($H55=1,IF('Para Adj'!$B$5 = 1,W55-($O55-SUMPRODUCT($CX55:DF55,$BU55:CC55))*(1-SUM($DZ55:EH55)),CC55*DF55),$O55*CC55))</f>
        <v>0.39870105668571471</v>
      </c>
      <c r="BB55" s="442">
        <f ca="1">IF($H55="",0,IF($H55=1,IF('Para Adj'!$B$5 = 1,X55-($O55-SUMPRODUCT($CX55:DG55,$BU55:CD55))*(1-SUM($DZ55:EI55)),CD55*DG55),$O55*CD55))</f>
        <v>0.39870105668571471</v>
      </c>
      <c r="BC55" s="442">
        <f ca="1">IF($H55="",0,IF($H55=1,IF('Para Adj'!$B$5 = 1,Y55-($O55-SUMPRODUCT($CX55:DH55,$BU55:CE55))*(1-SUM($DZ55:EJ55)),CE55*DH55),$O55*CE55))</f>
        <v>0.39870105668571471</v>
      </c>
      <c r="BD55" s="442">
        <f ca="1">IF($H55="",0,IF($H55=1,IF('Para Adj'!$B$5 = 1,Z55-($O55-SUMPRODUCT($CX55:DI55,$BU55:CF55))*(1-SUM($DZ55:EK55)),CF55*DI55),$O55*CF55))</f>
        <v>0.39870105668571471</v>
      </c>
      <c r="BE55" s="442">
        <f ca="1">IF($H55="",0,IF($H55=1,IF('Para Adj'!$B$5 = 1,AA55-($O55-SUMPRODUCT($CX55:DJ55,$BU55:CG55))*(1-SUM($DZ55:EL55)),CG55*DJ55),$O55*CG55))</f>
        <v>0.39870105668571471</v>
      </c>
      <c r="BF55" s="442">
        <f ca="1">IF($H55="",0,IF($H55=1,IF('Para Adj'!$B$5 = 1,AB55-($O55-SUMPRODUCT($CX55:DK55,$BU55:CH55))*(1-SUM($DZ55:EM55)),CH55*DK55),$O55*CH55))</f>
        <v>0.39870105668571471</v>
      </c>
      <c r="BG55" s="442">
        <f ca="1">IF($H55="",0,IF($H55=1,IF('Para Adj'!$B$5 = 1,AC55-($O55-SUMPRODUCT($CX55:DL55,$BU55:CI55))*(1-SUM($DZ55:EN55)),CI55*DL55),$O55*CI55))</f>
        <v>2.3257561640000022</v>
      </c>
      <c r="BH55" s="442">
        <f ca="1">IF($H55="",0,IF($H55=1,IF('Para Adj'!$B$5 = 1,AD55-($O55-SUMPRODUCT($CX55:DM55,$BU55:CJ55))*(1-SUM($DZ55:EO55)),CJ55*DM55),$O55*CJ55))</f>
        <v>2.3257561640000022</v>
      </c>
      <c r="BI55" s="442">
        <f ca="1">IF($H55="",0,IF($H55=1,IF('Para Adj'!$B$5 = 1,AE55-($O55-SUMPRODUCT($CX55:DN55,$BU55:CK55))*(1-SUM($DZ55:EP55)),CK55*DN55),$O55*CK55))</f>
        <v>0</v>
      </c>
      <c r="BJ55" s="442">
        <f ca="1">IF($H55="",0,IF($H55=1,IF('Para Adj'!$B$5 = 1,AF55-($O55-SUMPRODUCT($CX55:DO55,$BU55:CL55))*(1-SUM($DZ55:EQ55)),CL55*DO55),$O55*CL55))</f>
        <v>0</v>
      </c>
      <c r="BK55" s="442">
        <f ca="1">IF($H55="",0,IF($H55=1,IF('Para Adj'!$B$5 = 1,AG55-($O55-SUMPRODUCT($CX55:DP55,$BU55:CM55))*(1-SUM($DZ55:ER55)),CM55*DP55),$O55*CM55))</f>
        <v>0</v>
      </c>
      <c r="BL55" s="442">
        <f ca="1">IF($H55="",0,IF($H55=1,IF('Para Adj'!$B$5 = 1,AH55-($O55-SUMPRODUCT($CX55:DQ55,$BU55:CN55))*(1-SUM($DZ55:ES55)),CN55*DQ55),$O55*CN55))</f>
        <v>0</v>
      </c>
      <c r="BM55" s="442">
        <f ca="1">IF($H55="",0,IF($H55=1,IF('Para Adj'!$B$5 = 1,AI55-($O55-SUMPRODUCT($CX55:DR55,$BU55:CO55))*(1-SUM($DZ55:ET55)),CO55*DR55),$O55*CO55))</f>
        <v>0</v>
      </c>
      <c r="BN55" s="442">
        <f ca="1">IF($H55="",0,IF($H55=1,IF('Para Adj'!$B$5 = 1,AJ55-($O55-SUMPRODUCT($CX55:DS55,$BU55:CP55))*(1-SUM($DZ55:EU55)),CP55*DS55),$O55*CP55))</f>
        <v>0</v>
      </c>
      <c r="BO55" s="442">
        <f ca="1">IF($H55="",0,IF($H55=1,IF('Para Adj'!$B$5 = 1,AK55-($O55-SUMPRODUCT($CX55:DT55,$BU55:CQ55))*(1-SUM($DZ55:EV55)),CQ55*DT55),$O55*CQ55))</f>
        <v>0</v>
      </c>
      <c r="BP55" s="442">
        <f ca="1">IF($H55="",0,IF($H55=1,IF('Para Adj'!$B$5 = 1,AL55-($O55-SUMPRODUCT($CX55:DU55,$BU55:CR55))*(1-SUM($DZ55:EW55)),CR55*DU55),$O55*CR55))</f>
        <v>0</v>
      </c>
      <c r="BQ55" s="442">
        <f ca="1">IF($H55="",0,IF($H55=1,IF('Para Adj'!$B$5 = 1,AM55-($O55-SUMPRODUCT($CX55:DV55,$BU55:CS55))*(1-SUM($DZ55:EX55)),CS55*DV55),$O55*CS55))</f>
        <v>0</v>
      </c>
      <c r="BR55" s="442">
        <f ca="1">IF($H55="",0,IF($H55=1,IF('Para Adj'!$B$5 = 1,AN55-($O55-SUMPRODUCT($CX55:DW55,$BU55:CT55))*(1-SUM($DZ55:EY55)),CT55*DW55),$O55*CT55))</f>
        <v>0</v>
      </c>
      <c r="BS55" s="442">
        <f ca="1">IF($H55="",0,IF($H55=1,IF('Para Adj'!$B$5 = 1,AO55-($O55-SUMPRODUCT($CX55:DX55,$BU55:CU55))*(1-SUM($DZ55:EZ55)),CU55*DX55),$O55*CU55))</f>
        <v>0</v>
      </c>
      <c r="BU55" s="820">
        <f ca="1">IF($B55=0,"",INDEX(Assumptions!G:G,$B55))</f>
        <v>1.2E-2</v>
      </c>
      <c r="BV55" s="820">
        <f ca="1">IF($B55=0,"",INDEX(Assumptions!H:H,$B55))</f>
        <v>4.0000000000000001E-3</v>
      </c>
      <c r="BW55" s="820">
        <f ca="1">IF($B55=0,"",INDEX(Assumptions!I:I,$B55))</f>
        <v>4.0000000000000001E-3</v>
      </c>
      <c r="BX55" s="820">
        <f ca="1">IF($B55=0,"",INDEX(Assumptions!J:J,$B55))</f>
        <v>4.0000000000000001E-3</v>
      </c>
      <c r="BY55" s="820">
        <f ca="1">IF($B55=0,"",INDEX(Assumptions!K:K,$B55))</f>
        <v>4.0000000000000001E-3</v>
      </c>
      <c r="BZ55" s="820">
        <f ca="1">IF($B55=0,"",INDEX(Assumptions!L:L,$B55))</f>
        <v>4.0000000000000001E-3</v>
      </c>
      <c r="CA55" s="820">
        <f ca="1">IF($B55=0,"",INDEX(Assumptions!M:M,$B55))</f>
        <v>4.0000000000000001E-3</v>
      </c>
      <c r="CB55" s="820">
        <f ca="1">IF($B55=0,"",INDEX(Assumptions!N:N,$B55))</f>
        <v>3.4285714285714288E-3</v>
      </c>
      <c r="CC55" s="820">
        <f ca="1">IF($B55=0,"",INDEX(Assumptions!O:O,$B55))</f>
        <v>3.4285714285714288E-3</v>
      </c>
      <c r="CD55" s="820">
        <f ca="1">IF($B55=0,"",INDEX(Assumptions!P:P,$B55))</f>
        <v>3.4285714285714288E-3</v>
      </c>
      <c r="CE55" s="820">
        <f ca="1">IF($B55=0,"",INDEX(Assumptions!Q:Q,$B55))</f>
        <v>3.4285714285714288E-3</v>
      </c>
      <c r="CF55" s="820">
        <f ca="1">IF($B55=0,"",INDEX(Assumptions!R:R,$B55))</f>
        <v>3.4285714285714288E-3</v>
      </c>
      <c r="CG55" s="820">
        <f ca="1">IF($B55=0,"",INDEX(Assumptions!S:S,$B55))</f>
        <v>3.4285714285714288E-3</v>
      </c>
      <c r="CH55" s="820">
        <f ca="1">IF($B55=0,"",INDEX(Assumptions!T:T,$B55))</f>
        <v>3.4285714285714288E-3</v>
      </c>
      <c r="CI55" s="820">
        <f ca="1">IF($B55=0,"",INDEX(Assumptions!U:U,$B55))</f>
        <v>0.02</v>
      </c>
      <c r="CJ55" s="820">
        <f ca="1">IF($B55=0,"",INDEX(Assumptions!V:V,$B55))</f>
        <v>0.02</v>
      </c>
      <c r="CK55" s="820">
        <f ca="1">IF($B55=0,"",INDEX(Assumptions!W:W,$B55))</f>
        <v>0</v>
      </c>
      <c r="CL55" s="820">
        <f ca="1">IF($B55=0,"",INDEX(Assumptions!X:X,$B55))</f>
        <v>0</v>
      </c>
      <c r="CM55" s="820">
        <f ca="1">IF($B55=0,"",INDEX(Assumptions!Y:Y,$B55))</f>
        <v>0</v>
      </c>
      <c r="CN55" s="820">
        <f ca="1">IF($B55=0,"",INDEX(Assumptions!Z:Z,$B55))</f>
        <v>0</v>
      </c>
      <c r="CO55" s="820">
        <f ca="1">IF($B55=0,"",INDEX(Assumptions!AA:AA,$B55))</f>
        <v>0</v>
      </c>
      <c r="CP55" s="820">
        <f ca="1">IF($B55=0,"",INDEX(Assumptions!AB:AB,$B55))</f>
        <v>0</v>
      </c>
      <c r="CQ55" s="820">
        <f ca="1">IF($B55=0,"",INDEX(Assumptions!AC:AC,$B55))</f>
        <v>0</v>
      </c>
      <c r="CR55" s="820">
        <f ca="1">IF($B55=0,"",INDEX(Assumptions!AD:AD,$B55))</f>
        <v>0</v>
      </c>
      <c r="CS55" s="820">
        <f ca="1">IF($B55=0,"",INDEX(Assumptions!AE:AE,$B55))</f>
        <v>0</v>
      </c>
      <c r="CT55" s="820">
        <f ca="1">IF($B55=0,"",INDEX(Assumptions!AF:AF,$B55))</f>
        <v>0</v>
      </c>
      <c r="CU55" s="820">
        <f ca="1">IF($B55=0,"",INDEX(Assumptions!AG:AG,$B55))</f>
        <v>0</v>
      </c>
      <c r="CX55" s="442">
        <f>IF($A55="","",INDEX('Data Interface'!G:G,$A55))</f>
        <v>116.28780820000011</v>
      </c>
      <c r="CY55" s="442">
        <f>IF($A55="","",INDEX('Data Interface'!H:H,$A55))</f>
        <v>0</v>
      </c>
      <c r="CZ55" s="442">
        <f>IF($A55="","",INDEX('Data Interface'!I:I,$A55))</f>
        <v>0</v>
      </c>
      <c r="DA55" s="442">
        <f>IF($A55="","",INDEX('Data Interface'!J:J,$A55))</f>
        <v>0</v>
      </c>
      <c r="DB55" s="442">
        <f>IF($A55="","",INDEX('Data Interface'!K:K,$A55))</f>
        <v>0</v>
      </c>
      <c r="DC55" s="442">
        <f>IF($A55="","",INDEX('Data Interface'!L:L,$A55))</f>
        <v>0</v>
      </c>
      <c r="DD55" s="442">
        <f>IF($A55="","",INDEX('Data Interface'!M:M,$A55))</f>
        <v>0</v>
      </c>
      <c r="DE55" s="442">
        <f>IF($A55="","",INDEX('Data Interface'!N:N,$A55))</f>
        <v>0</v>
      </c>
      <c r="DF55" s="442">
        <f>IF($A55="","",INDEX('Data Interface'!O:O,$A55))</f>
        <v>0</v>
      </c>
      <c r="DG55" s="442">
        <f>IF($A55="","",INDEX('Data Interface'!P:P,$A55))</f>
        <v>0</v>
      </c>
      <c r="DH55" s="442">
        <f>IF($A55="","",INDEX('Data Interface'!Q:Q,$A55))</f>
        <v>0</v>
      </c>
      <c r="DI55" s="442">
        <f>IF($A55="","",INDEX('Data Interface'!R:R,$A55))</f>
        <v>0</v>
      </c>
      <c r="DJ55" s="442">
        <f>IF($A55="","",INDEX('Data Interface'!S:S,$A55))</f>
        <v>0</v>
      </c>
      <c r="DK55" s="442">
        <f>IF($A55="","",INDEX('Data Interface'!T:T,$A55))</f>
        <v>0</v>
      </c>
      <c r="DL55" s="442">
        <f>IF($A55="","",INDEX('Data Interface'!U:U,$A55))</f>
        <v>0</v>
      </c>
      <c r="DM55" s="442">
        <f>IF($A55="","",INDEX('Data Interface'!V:V,$A55))</f>
        <v>0</v>
      </c>
      <c r="DN55" s="442">
        <f>IF($A55="","",INDEX('Data Interface'!W:W,$A55))</f>
        <v>0</v>
      </c>
      <c r="DO55" s="442">
        <f>IF($A55="","",INDEX('Data Interface'!X:X,$A55))</f>
        <v>0</v>
      </c>
      <c r="DP55" s="442">
        <f>IF($A55="","",INDEX('Data Interface'!Y:Y,$A55))</f>
        <v>0</v>
      </c>
      <c r="DQ55" s="442">
        <f>IF($A55="","",INDEX('Data Interface'!Z:Z,$A55))</f>
        <v>0</v>
      </c>
      <c r="DR55" s="442">
        <f>IF($A55="","",INDEX('Data Interface'!AA:AA,$A55))</f>
        <v>0</v>
      </c>
      <c r="DS55" s="442">
        <f>IF($A55="","",INDEX('Data Interface'!AB:AB,$A55))</f>
        <v>0</v>
      </c>
      <c r="DT55" s="442">
        <f>IF($A55="","",INDEX('Data Interface'!AC:AC,$A55))</f>
        <v>0</v>
      </c>
      <c r="DU55" s="442">
        <f>IF($A55="","",INDEX('Data Interface'!AD:AD,$A55))</f>
        <v>0</v>
      </c>
      <c r="DV55" s="442">
        <f>IF($A55="","",INDEX('Data Interface'!AE:AE,$A55))</f>
        <v>0</v>
      </c>
      <c r="DW55" s="442">
        <f>IF($A55="","",INDEX('Data Interface'!AF:AF,$A55))</f>
        <v>0</v>
      </c>
      <c r="DX55" s="442">
        <f>IF($A55="","",INDEX('Data Interface'!AG:AG,$A55))</f>
        <v>0</v>
      </c>
      <c r="DZ55" s="906" t="str">
        <f>IF(OR($B55=0,$A55=0,$H55&lt;&gt;1),"",INDEX(Assumptions!EO:EO,$B55))</f>
        <v/>
      </c>
      <c r="EA55" s="906" t="str">
        <f>IF(OR($B55=0,$A55=0,$H55&lt;&gt;1),"",INDEX(Assumptions!EP:EP,$B55))</f>
        <v/>
      </c>
      <c r="EB55" s="906" t="str">
        <f>IF(OR($B55=0,$A55=0,$H55&lt;&gt;1),"",INDEX(Assumptions!EQ:EQ,$B55))</f>
        <v/>
      </c>
      <c r="EC55" s="906" t="str">
        <f>IF(OR($B55=0,$A55=0,$H55&lt;&gt;1),"",INDEX(Assumptions!ER:ER,$B55))</f>
        <v/>
      </c>
      <c r="ED55" s="906" t="str">
        <f>IF(OR($B55=0,$A55=0,$H55&lt;&gt;1),"",INDEX(Assumptions!ES:ES,$B55))</f>
        <v/>
      </c>
      <c r="EE55" s="906" t="str">
        <f>IF(OR($B55=0,$A55=0,$H55&lt;&gt;1),"",INDEX(Assumptions!ET:ET,$B55))</f>
        <v/>
      </c>
      <c r="EF55" s="906" t="str">
        <f>IF(OR($B55=0,$A55=0,$H55&lt;&gt;1),"",INDEX(Assumptions!EU:EU,$B55))</f>
        <v/>
      </c>
      <c r="EG55" s="906" t="str">
        <f>IF(OR($B55=0,$A55=0,$H55&lt;&gt;1),"",INDEX(Assumptions!EV:EV,$B55))</f>
        <v/>
      </c>
      <c r="EH55" s="906" t="str">
        <f>IF(OR($B55=0,$A55=0,$H55&lt;&gt;1),"",INDEX(Assumptions!EW:EW,$B55))</f>
        <v/>
      </c>
      <c r="EI55" s="906" t="str">
        <f>IF(OR($B55=0,$A55=0,$H55&lt;&gt;1),"",INDEX(Assumptions!EX:EX,$B55))</f>
        <v/>
      </c>
      <c r="EJ55" s="906" t="str">
        <f>IF(OR($B55=0,$A55=0,$H55&lt;&gt;1),"",INDEX(Assumptions!EY:EY,$B55))</f>
        <v/>
      </c>
      <c r="EK55" s="906" t="str">
        <f>IF(OR($B55=0,$A55=0,$H55&lt;&gt;1),"",INDEX(Assumptions!EZ:EZ,$B55))</f>
        <v/>
      </c>
      <c r="EL55" s="906" t="str">
        <f>IF(OR($B55=0,$A55=0,$H55&lt;&gt;1),"",INDEX(Assumptions!FA:FA,$B55))</f>
        <v/>
      </c>
      <c r="EM55" s="906" t="str">
        <f>IF(OR($B55=0,$A55=0,$H55&lt;&gt;1),"",INDEX(Assumptions!FB:FB,$B55))</f>
        <v/>
      </c>
      <c r="EN55" s="906" t="str">
        <f>IF(OR($B55=0,$A55=0,$H55&lt;&gt;1),"",INDEX(Assumptions!FC:FC,$B55))</f>
        <v/>
      </c>
      <c r="EO55" s="906" t="str">
        <f>IF(OR($B55=0,$A55=0,$H55&lt;&gt;1),"",INDEX(Assumptions!FD:FD,$B55))</f>
        <v/>
      </c>
      <c r="EP55" s="906" t="str">
        <f>IF(OR($B55=0,$A55=0,$H55&lt;&gt;1),"",INDEX(Assumptions!FE:FE,$B55))</f>
        <v/>
      </c>
      <c r="EQ55" s="906" t="str">
        <f>IF(OR($B55=0,$A55=0,$H55&lt;&gt;1),"",INDEX(Assumptions!FF:FF,$B55))</f>
        <v/>
      </c>
      <c r="ER55" s="906" t="str">
        <f>IF(OR($B55=0,$A55=0,$H55&lt;&gt;1),"",INDEX(Assumptions!FG:FG,$B55))</f>
        <v/>
      </c>
      <c r="ES55" s="906" t="str">
        <f>IF(OR($B55=0,$A55=0,$H55&lt;&gt;1),"",INDEX(Assumptions!FH:FH,$B55))</f>
        <v/>
      </c>
      <c r="ET55" s="906" t="str">
        <f>IF(OR($B55=0,$A55=0,$H55&lt;&gt;1),"",INDEX(Assumptions!FI:FI,$B55))</f>
        <v/>
      </c>
      <c r="EU55" s="906" t="str">
        <f>IF(OR($B55=0,$A55=0,$H55&lt;&gt;1),"",INDEX(Assumptions!FJ:FJ,$B55))</f>
        <v/>
      </c>
      <c r="EV55" s="906" t="str">
        <f>IF(OR($B55=0,$A55=0,$H55&lt;&gt;1),"",INDEX(Assumptions!FK:FK,$B55))</f>
        <v/>
      </c>
      <c r="EW55" s="906" t="str">
        <f>IF(OR($B55=0,$A55=0,$H55&lt;&gt;1),"",INDEX(Assumptions!FL:FL,$B55))</f>
        <v/>
      </c>
      <c r="EX55" s="906" t="str">
        <f>IF(OR($B55=0,$A55=0,$H55&lt;&gt;1),"",INDEX(Assumptions!FM:FM,$B55))</f>
        <v/>
      </c>
      <c r="EY55" s="906" t="str">
        <f>IF(OR($B55=0,$A55=0,$H55&lt;&gt;1),"",INDEX(Assumptions!FN:FN,$B55))</f>
        <v/>
      </c>
      <c r="EZ55" s="906" t="str">
        <f>IF(OR($B55=0,$A55=0,$H55&lt;&gt;1),"",INDEX(Assumptions!FO:FO,$B55))</f>
        <v/>
      </c>
      <c r="FB55" s="820" t="str">
        <f t="shared" si="18"/>
        <v/>
      </c>
      <c r="FC55" s="820" t="str">
        <f t="shared" si="19"/>
        <v/>
      </c>
      <c r="FD55" s="820" t="str">
        <f t="shared" si="20"/>
        <v/>
      </c>
      <c r="FE55" s="820" t="str">
        <f t="shared" si="21"/>
        <v/>
      </c>
      <c r="FF55" s="820" t="str">
        <f t="shared" si="22"/>
        <v/>
      </c>
    </row>
    <row r="56" spans="1:162">
      <c r="A56" s="440">
        <f>IFERROR(MATCH(C56,'Data Interface'!B:B,0),0)</f>
        <v>54</v>
      </c>
      <c r="B56" s="440">
        <f>IFERROR(MATCH(C56,Assumptions!$B:$B,0),0)</f>
        <v>63</v>
      </c>
      <c r="C56" s="441" t="s">
        <v>1171</v>
      </c>
      <c r="E56" s="441" t="s">
        <v>1219</v>
      </c>
      <c r="F56" s="440" t="s">
        <v>24</v>
      </c>
      <c r="G56" s="440" t="str">
        <f>IF(A56=0,"",INDEX('Data Interface'!$C:$C,$A56))</f>
        <v>Demand,MM &amp; Savings - Corporates (Exclude Large Corporates)</v>
      </c>
      <c r="H56" s="440">
        <v>0</v>
      </c>
      <c r="I56" s="819">
        <f t="shared" ca="1" si="23"/>
        <v>9.600000000000003E-2</v>
      </c>
      <c r="J56" s="819">
        <f t="shared" ca="1" si="24"/>
        <v>0.16000000000000003</v>
      </c>
      <c r="K56" s="439" t="str">
        <f t="shared" ca="1" si="25"/>
        <v>9.6% of Current Balance</v>
      </c>
      <c r="L56" s="439" t="s">
        <v>1148</v>
      </c>
      <c r="M56" s="439" t="s">
        <v>1509</v>
      </c>
      <c r="O56" s="442">
        <f>IF(OR($A56="",$A56=0),0,INDEX('Data Interface'!D:D,$A56))</f>
        <v>2583.6036079000005</v>
      </c>
      <c r="P56" s="442">
        <f ca="1">$O56-SUM($AS56:AS56)</f>
        <v>2533.9984186283205</v>
      </c>
      <c r="Q56" s="442">
        <f ca="1">$O56-SUM($AS56:AT56)</f>
        <v>2517.4633555377604</v>
      </c>
      <c r="R56" s="442">
        <f ca="1">$O56-SUM($AS56:AU56)</f>
        <v>2500.9282924472004</v>
      </c>
      <c r="S56" s="442">
        <f ca="1">$O56-SUM($AS56:AV56)</f>
        <v>2484.3932293566404</v>
      </c>
      <c r="T56" s="442">
        <f ca="1">$O56-SUM($AS56:AW56)</f>
        <v>2467.8581662660804</v>
      </c>
      <c r="U56" s="442">
        <f ca="1">$O56-SUM($AS56:AX56)</f>
        <v>2451.3231031755204</v>
      </c>
      <c r="V56" s="442">
        <f ca="1">$O56-SUM($AS56:AY56)</f>
        <v>2434.7880400849604</v>
      </c>
      <c r="W56" s="442">
        <f ca="1">$O56-SUM($AS56:AZ56)</f>
        <v>2420.6151288644805</v>
      </c>
      <c r="X56" s="442">
        <f ca="1">$O56-SUM($AS56:BA56)</f>
        <v>2406.4422176440003</v>
      </c>
      <c r="Y56" s="442">
        <f ca="1">$O56-SUM($AS56:BB56)</f>
        <v>2392.2693064235204</v>
      </c>
      <c r="Z56" s="442">
        <f ca="1">$O56-SUM($AS56:BC56)</f>
        <v>2378.0963952030402</v>
      </c>
      <c r="AA56" s="442">
        <f ca="1">$O56-SUM($AS56:BD56)</f>
        <v>2363.9234839825604</v>
      </c>
      <c r="AB56" s="442">
        <f ca="1">$O56-SUM($AS56:BE56)</f>
        <v>2349.7505727620805</v>
      </c>
      <c r="AC56" s="442">
        <f ca="1">$O56-SUM($AS56:BF56)</f>
        <v>2335.5776615416003</v>
      </c>
      <c r="AD56" s="442">
        <f ca="1">$O56-SUM($AS56:BG56)</f>
        <v>2252.9023460888002</v>
      </c>
      <c r="AE56" s="442">
        <f ca="1">$O56-SUM($AS56:BH56)</f>
        <v>2170.2270306360001</v>
      </c>
      <c r="AF56" s="442">
        <f ca="1">$O56-SUM($AS56:BI56)</f>
        <v>2128.8893729096003</v>
      </c>
      <c r="AG56" s="442">
        <f ca="1">$O56-SUM($AS56:BJ56)</f>
        <v>2087.5517151832</v>
      </c>
      <c r="AH56" s="442">
        <f ca="1">$O56-SUM($AS56:BK56)</f>
        <v>2073.7724959410671</v>
      </c>
      <c r="AI56" s="442">
        <f ca="1">$O56-SUM($AS56:BL56)</f>
        <v>2059.9932766989336</v>
      </c>
      <c r="AJ56" s="442">
        <f ca="1">$O56-SUM($AS56:BM56)</f>
        <v>2046.2140574568002</v>
      </c>
      <c r="AK56" s="442">
        <f ca="1">$O56-SUM($AS56:BN56)</f>
        <v>2032.434838214667</v>
      </c>
      <c r="AL56" s="442">
        <f ca="1">$O56-SUM($AS56:BO56)</f>
        <v>2018.6556189725338</v>
      </c>
      <c r="AM56" s="442">
        <f ca="1">$O56-SUM($AS56:BP56)</f>
        <v>2004.8763997304004</v>
      </c>
      <c r="AN56" s="442">
        <f ca="1">$O56-SUM($AS56:BQ56)</f>
        <v>1991.097180488267</v>
      </c>
      <c r="AO56" s="442">
        <f ca="1">$O56-SUM($AS56:BR56)</f>
        <v>1977.3179612461338</v>
      </c>
      <c r="AP56" s="442">
        <f ca="1">$O56-SUM($AS56:BS56)</f>
        <v>1963.5387420040006</v>
      </c>
      <c r="AR56" s="439" t="s">
        <v>1202</v>
      </c>
      <c r="AS56" s="442">
        <f ca="1">IF($H56="",0,IF($H56=1,IF('Para Adj'!$B$5 = 1,O56-($O56-SUMPRODUCT($CX56:CX56,$BU56:BU56))*(1-SUM($DZ56:DZ56)),BU56*CX56),$O56*BU56))</f>
        <v>49.605189271680011</v>
      </c>
      <c r="AT56" s="442">
        <f ca="1">IF($H56="",0,IF($H56=1,IF('Para Adj'!$B$5 = 1,P56-($O56-SUMPRODUCT($CX56:CY56,$BU56:BV56))*(1-SUM($DZ56:EA56)),BV56*CY56),$O56*BV56))</f>
        <v>16.535063090560005</v>
      </c>
      <c r="AU56" s="442">
        <f ca="1">IF($H56="",0,IF($H56=1,IF('Para Adj'!$B$5 = 1,Q56-($O56-SUMPRODUCT($CX56:CZ56,$BU56:BW56))*(1-SUM($DZ56:EB56)),BW56*CZ56),$O56*BW56))</f>
        <v>16.535063090560005</v>
      </c>
      <c r="AV56" s="442">
        <f ca="1">IF($H56="",0,IF($H56=1,IF('Para Adj'!$B$5 = 1,R56-($O56-SUMPRODUCT($CX56:DA56,$BU56:BX56))*(1-SUM($DZ56:EC56)),BX56*DA56),$O56*BX56))</f>
        <v>16.535063090560005</v>
      </c>
      <c r="AW56" s="442">
        <f ca="1">IF($H56="",0,IF($H56=1,IF('Para Adj'!$B$5 = 1,S56-($O56-SUMPRODUCT($CX56:DB56,$BU56:BY56))*(1-SUM($DZ56:ED56)),BY56*DB56),$O56*BY56))</f>
        <v>16.535063090560005</v>
      </c>
      <c r="AX56" s="442">
        <f ca="1">IF($H56="",0,IF($H56=1,IF('Para Adj'!$B$5 = 1,T56-($O56-SUMPRODUCT($CX56:DC56,$BU56:BZ56))*(1-SUM($DZ56:EE56)),BZ56*DC56),$O56*BZ56))</f>
        <v>16.535063090560005</v>
      </c>
      <c r="AY56" s="442">
        <f ca="1">IF($H56="",0,IF($H56=1,IF('Para Adj'!$B$5 = 1,U56-($O56-SUMPRODUCT($CX56:DD56,$BU56:CA56))*(1-SUM($DZ56:EF56)),CA56*DD56),$O56*CA56))</f>
        <v>16.535063090560005</v>
      </c>
      <c r="AZ56" s="442">
        <f ca="1">IF($H56="",0,IF($H56=1,IF('Para Adj'!$B$5 = 1,V56-($O56-SUMPRODUCT($CX56:DE56,$BU56:CB56))*(1-SUM($DZ56:EG56)),CB56*DE56),$O56*CB56))</f>
        <v>14.172911220480005</v>
      </c>
      <c r="BA56" s="442">
        <f ca="1">IF($H56="",0,IF($H56=1,IF('Para Adj'!$B$5 = 1,W56-($O56-SUMPRODUCT($CX56:DF56,$BU56:CC56))*(1-SUM($DZ56:EH56)),CC56*DF56),$O56*CC56))</f>
        <v>14.172911220480005</v>
      </c>
      <c r="BB56" s="442">
        <f ca="1">IF($H56="",0,IF($H56=1,IF('Para Adj'!$B$5 = 1,X56-($O56-SUMPRODUCT($CX56:DG56,$BU56:CD56))*(1-SUM($DZ56:EI56)),CD56*DG56),$O56*CD56))</f>
        <v>14.172911220480005</v>
      </c>
      <c r="BC56" s="442">
        <f ca="1">IF($H56="",0,IF($H56=1,IF('Para Adj'!$B$5 = 1,Y56-($O56-SUMPRODUCT($CX56:DH56,$BU56:CE56))*(1-SUM($DZ56:EJ56)),CE56*DH56),$O56*CE56))</f>
        <v>14.172911220480005</v>
      </c>
      <c r="BD56" s="442">
        <f ca="1">IF($H56="",0,IF($H56=1,IF('Para Adj'!$B$5 = 1,Z56-($O56-SUMPRODUCT($CX56:DI56,$BU56:CF56))*(1-SUM($DZ56:EK56)),CF56*DI56),$O56*CF56))</f>
        <v>14.172911220480005</v>
      </c>
      <c r="BE56" s="442">
        <f ca="1">IF($H56="",0,IF($H56=1,IF('Para Adj'!$B$5 = 1,AA56-($O56-SUMPRODUCT($CX56:DJ56,$BU56:CG56))*(1-SUM($DZ56:EL56)),CG56*DJ56),$O56*CG56))</f>
        <v>14.172911220480005</v>
      </c>
      <c r="BF56" s="442">
        <f ca="1">IF($H56="",0,IF($H56=1,IF('Para Adj'!$B$5 = 1,AB56-($O56-SUMPRODUCT($CX56:DK56,$BU56:CH56))*(1-SUM($DZ56:EM56)),CH56*DK56),$O56*CH56))</f>
        <v>14.172911220480005</v>
      </c>
      <c r="BG56" s="442">
        <f ca="1">IF($H56="",0,IF($H56=1,IF('Para Adj'!$B$5 = 1,AC56-($O56-SUMPRODUCT($CX56:DL56,$BU56:CI56))*(1-SUM($DZ56:EN56)),CI56*DL56),$O56*CI56))</f>
        <v>82.675315452800021</v>
      </c>
      <c r="BH56" s="442">
        <f ca="1">IF($H56="",0,IF($H56=1,IF('Para Adj'!$B$5 = 1,AD56-($O56-SUMPRODUCT($CX56:DM56,$BU56:CJ56))*(1-SUM($DZ56:EO56)),CJ56*DM56),$O56*CJ56))</f>
        <v>82.675315452800021</v>
      </c>
      <c r="BI56" s="442">
        <f ca="1">IF($H56="",0,IF($H56=1,IF('Para Adj'!$B$5 = 1,AE56-($O56-SUMPRODUCT($CX56:DN56,$BU56:CK56))*(1-SUM($DZ56:EP56)),CK56*DN56),$O56*CK56))</f>
        <v>41.33765772640001</v>
      </c>
      <c r="BJ56" s="442">
        <f ca="1">IF($H56="",0,IF($H56=1,IF('Para Adj'!$B$5 = 1,AF56-($O56-SUMPRODUCT($CX56:DO56,$BU56:CL56))*(1-SUM($DZ56:EQ56)),CL56*DO56),$O56*CL56))</f>
        <v>41.33765772640001</v>
      </c>
      <c r="BK56" s="442">
        <f ca="1">IF($H56="",0,IF($H56=1,IF('Para Adj'!$B$5 = 1,AG56-($O56-SUMPRODUCT($CX56:DP56,$BU56:CM56))*(1-SUM($DZ56:ER56)),CM56*DP56),$O56*CM56))</f>
        <v>13.779219242133333</v>
      </c>
      <c r="BL56" s="442">
        <f ca="1">IF($H56="",0,IF($H56=1,IF('Para Adj'!$B$5 = 1,AH56-($O56-SUMPRODUCT($CX56:DQ56,$BU56:CN56))*(1-SUM($DZ56:ES56)),CN56*DQ56),$O56*CN56))</f>
        <v>13.779219242133333</v>
      </c>
      <c r="BM56" s="442">
        <f ca="1">IF($H56="",0,IF($H56=1,IF('Para Adj'!$B$5 = 1,AI56-($O56-SUMPRODUCT($CX56:DR56,$BU56:CO56))*(1-SUM($DZ56:ET56)),CO56*DR56),$O56*CO56))</f>
        <v>13.779219242133333</v>
      </c>
      <c r="BN56" s="442">
        <f ca="1">IF($H56="",0,IF($H56=1,IF('Para Adj'!$B$5 = 1,AJ56-($O56-SUMPRODUCT($CX56:DS56,$BU56:CP56))*(1-SUM($DZ56:EU56)),CP56*DS56),$O56*CP56))</f>
        <v>13.779219242133333</v>
      </c>
      <c r="BO56" s="442">
        <f ca="1">IF($H56="",0,IF($H56=1,IF('Para Adj'!$B$5 = 1,AK56-($O56-SUMPRODUCT($CX56:DT56,$BU56:CQ56))*(1-SUM($DZ56:EV56)),CQ56*DT56),$O56*CQ56))</f>
        <v>13.779219242133333</v>
      </c>
      <c r="BP56" s="442">
        <f ca="1">IF($H56="",0,IF($H56=1,IF('Para Adj'!$B$5 = 1,AL56-($O56-SUMPRODUCT($CX56:DU56,$BU56:CR56))*(1-SUM($DZ56:EW56)),CR56*DU56),$O56*CR56))</f>
        <v>13.779219242133333</v>
      </c>
      <c r="BQ56" s="442">
        <f ca="1">IF($H56="",0,IF($H56=1,IF('Para Adj'!$B$5 = 1,AM56-($O56-SUMPRODUCT($CX56:DV56,$BU56:CS56))*(1-SUM($DZ56:EX56)),CS56*DV56),$O56*CS56))</f>
        <v>13.779219242133333</v>
      </c>
      <c r="BR56" s="442">
        <f ca="1">IF($H56="",0,IF($H56=1,IF('Para Adj'!$B$5 = 1,AN56-($O56-SUMPRODUCT($CX56:DW56,$BU56:CT56))*(1-SUM($DZ56:EY56)),CT56*DW56),$O56*CT56))</f>
        <v>13.779219242133333</v>
      </c>
      <c r="BS56" s="442">
        <f ca="1">IF($H56="",0,IF($H56=1,IF('Para Adj'!$B$5 = 1,AO56-($O56-SUMPRODUCT($CX56:DX56,$BU56:CU56))*(1-SUM($DZ56:EZ56)),CU56*DX56),$O56*CU56))</f>
        <v>13.779219242133333</v>
      </c>
      <c r="BU56" s="820">
        <f ca="1">IF($B56=0,"",INDEX(Assumptions!G:G,$B56))</f>
        <v>1.9200000000000002E-2</v>
      </c>
      <c r="BV56" s="820">
        <f ca="1">IF($B56=0,"",INDEX(Assumptions!H:H,$B56))</f>
        <v>6.4000000000000003E-3</v>
      </c>
      <c r="BW56" s="820">
        <f ca="1">IF($B56=0,"",INDEX(Assumptions!I:I,$B56))</f>
        <v>6.4000000000000003E-3</v>
      </c>
      <c r="BX56" s="820">
        <f ca="1">IF($B56=0,"",INDEX(Assumptions!J:J,$B56))</f>
        <v>6.4000000000000003E-3</v>
      </c>
      <c r="BY56" s="820">
        <f ca="1">IF($B56=0,"",INDEX(Assumptions!K:K,$B56))</f>
        <v>6.4000000000000003E-3</v>
      </c>
      <c r="BZ56" s="820">
        <f ca="1">IF($B56=0,"",INDEX(Assumptions!L:L,$B56))</f>
        <v>6.4000000000000003E-3</v>
      </c>
      <c r="CA56" s="820">
        <f ca="1">IF($B56=0,"",INDEX(Assumptions!M:M,$B56))</f>
        <v>6.4000000000000003E-3</v>
      </c>
      <c r="CB56" s="820">
        <f ca="1">IF($B56=0,"",INDEX(Assumptions!N:N,$B56))</f>
        <v>5.4857142857142865E-3</v>
      </c>
      <c r="CC56" s="820">
        <f ca="1">IF($B56=0,"",INDEX(Assumptions!O:O,$B56))</f>
        <v>5.4857142857142865E-3</v>
      </c>
      <c r="CD56" s="820">
        <f ca="1">IF($B56=0,"",INDEX(Assumptions!P:P,$B56))</f>
        <v>5.4857142857142865E-3</v>
      </c>
      <c r="CE56" s="820">
        <f ca="1">IF($B56=0,"",INDEX(Assumptions!Q:Q,$B56))</f>
        <v>5.4857142857142865E-3</v>
      </c>
      <c r="CF56" s="820">
        <f ca="1">IF($B56=0,"",INDEX(Assumptions!R:R,$B56))</f>
        <v>5.4857142857142865E-3</v>
      </c>
      <c r="CG56" s="820">
        <f ca="1">IF($B56=0,"",INDEX(Assumptions!S:S,$B56))</f>
        <v>5.4857142857142865E-3</v>
      </c>
      <c r="CH56" s="820">
        <f ca="1">IF($B56=0,"",INDEX(Assumptions!T:T,$B56))</f>
        <v>5.4857142857142865E-3</v>
      </c>
      <c r="CI56" s="820">
        <f ca="1">IF($B56=0,"",INDEX(Assumptions!U:U,$B56))</f>
        <v>3.2000000000000001E-2</v>
      </c>
      <c r="CJ56" s="820">
        <f ca="1">IF($B56=0,"",INDEX(Assumptions!V:V,$B56))</f>
        <v>3.2000000000000001E-2</v>
      </c>
      <c r="CK56" s="820">
        <f ca="1">IF($B56=0,"",INDEX(Assumptions!W:W,$B56))</f>
        <v>1.6E-2</v>
      </c>
      <c r="CL56" s="820">
        <f ca="1">IF($B56=0,"",INDEX(Assumptions!X:X,$B56))</f>
        <v>1.6E-2</v>
      </c>
      <c r="CM56" s="820">
        <f ca="1">IF($B56=0,"",INDEX(Assumptions!Y:Y,$B56))</f>
        <v>5.3333333333333323E-3</v>
      </c>
      <c r="CN56" s="820">
        <f ca="1">IF($B56=0,"",INDEX(Assumptions!Z:Z,$B56))</f>
        <v>5.3333333333333323E-3</v>
      </c>
      <c r="CO56" s="820">
        <f ca="1">IF($B56=0,"",INDEX(Assumptions!AA:AA,$B56))</f>
        <v>5.3333333333333323E-3</v>
      </c>
      <c r="CP56" s="820">
        <f ca="1">IF($B56=0,"",INDEX(Assumptions!AB:AB,$B56))</f>
        <v>5.3333333333333323E-3</v>
      </c>
      <c r="CQ56" s="820">
        <f ca="1">IF($B56=0,"",INDEX(Assumptions!AC:AC,$B56))</f>
        <v>5.3333333333333323E-3</v>
      </c>
      <c r="CR56" s="820">
        <f ca="1">IF($B56=0,"",INDEX(Assumptions!AD:AD,$B56))</f>
        <v>5.3333333333333323E-3</v>
      </c>
      <c r="CS56" s="820">
        <f ca="1">IF($B56=0,"",INDEX(Assumptions!AE:AE,$B56))</f>
        <v>5.3333333333333323E-3</v>
      </c>
      <c r="CT56" s="820">
        <f ca="1">IF($B56=0,"",INDEX(Assumptions!AF:AF,$B56))</f>
        <v>5.3333333333333323E-3</v>
      </c>
      <c r="CU56" s="820">
        <f ca="1">IF($B56=0,"",INDEX(Assumptions!AG:AG,$B56))</f>
        <v>5.3333333333333323E-3</v>
      </c>
      <c r="CX56" s="442">
        <f>IF($A56="","",INDEX('Data Interface'!G:G,$A56))</f>
        <v>1978.6036079000005</v>
      </c>
      <c r="CY56" s="442">
        <f>IF($A56="","",INDEX('Data Interface'!H:H,$A56))</f>
        <v>405</v>
      </c>
      <c r="CZ56" s="442">
        <f>IF($A56="","",INDEX('Data Interface'!I:I,$A56))</f>
        <v>50</v>
      </c>
      <c r="DA56" s="442">
        <f>IF($A56="","",INDEX('Data Interface'!J:J,$A56))</f>
        <v>0</v>
      </c>
      <c r="DB56" s="442">
        <f>IF($A56="","",INDEX('Data Interface'!K:K,$A56))</f>
        <v>0</v>
      </c>
      <c r="DC56" s="442">
        <f>IF($A56="","",INDEX('Data Interface'!L:L,$A56))</f>
        <v>0</v>
      </c>
      <c r="DD56" s="442">
        <f>IF($A56="","",INDEX('Data Interface'!M:M,$A56))</f>
        <v>0</v>
      </c>
      <c r="DE56" s="442">
        <f>IF($A56="","",INDEX('Data Interface'!N:N,$A56))</f>
        <v>0</v>
      </c>
      <c r="DF56" s="442">
        <f>IF($A56="","",INDEX('Data Interface'!O:O,$A56))</f>
        <v>0</v>
      </c>
      <c r="DG56" s="442">
        <f>IF($A56="","",INDEX('Data Interface'!P:P,$A56))</f>
        <v>150</v>
      </c>
      <c r="DH56" s="442">
        <f>IF($A56="","",INDEX('Data Interface'!Q:Q,$A56))</f>
        <v>0</v>
      </c>
      <c r="DI56" s="442">
        <f>IF($A56="","",INDEX('Data Interface'!R:R,$A56))</f>
        <v>0</v>
      </c>
      <c r="DJ56" s="442">
        <f>IF($A56="","",INDEX('Data Interface'!S:S,$A56))</f>
        <v>0</v>
      </c>
      <c r="DK56" s="442">
        <f>IF($A56="","",INDEX('Data Interface'!T:T,$A56))</f>
        <v>0</v>
      </c>
      <c r="DL56" s="442">
        <f>IF($A56="","",INDEX('Data Interface'!U:U,$A56))</f>
        <v>0</v>
      </c>
      <c r="DM56" s="442">
        <f>IF($A56="","",INDEX('Data Interface'!V:V,$A56))</f>
        <v>0</v>
      </c>
      <c r="DN56" s="442">
        <f>IF($A56="","",INDEX('Data Interface'!W:W,$A56))</f>
        <v>0</v>
      </c>
      <c r="DO56" s="442">
        <f>IF($A56="","",INDEX('Data Interface'!X:X,$A56))</f>
        <v>0</v>
      </c>
      <c r="DP56" s="442">
        <f>IF($A56="","",INDEX('Data Interface'!Y:Y,$A56))</f>
        <v>0</v>
      </c>
      <c r="DQ56" s="442">
        <f>IF($A56="","",INDEX('Data Interface'!Z:Z,$A56))</f>
        <v>0</v>
      </c>
      <c r="DR56" s="442">
        <f>IF($A56="","",INDEX('Data Interface'!AA:AA,$A56))</f>
        <v>0</v>
      </c>
      <c r="DS56" s="442">
        <f>IF($A56="","",INDEX('Data Interface'!AB:AB,$A56))</f>
        <v>0</v>
      </c>
      <c r="DT56" s="442">
        <f>IF($A56="","",INDEX('Data Interface'!AC:AC,$A56))</f>
        <v>0</v>
      </c>
      <c r="DU56" s="442">
        <f>IF($A56="","",INDEX('Data Interface'!AD:AD,$A56))</f>
        <v>0</v>
      </c>
      <c r="DV56" s="442">
        <f>IF($A56="","",INDEX('Data Interface'!AE:AE,$A56))</f>
        <v>0</v>
      </c>
      <c r="DW56" s="442">
        <f>IF($A56="","",INDEX('Data Interface'!AF:AF,$A56))</f>
        <v>0</v>
      </c>
      <c r="DX56" s="442">
        <f>IF($A56="","",INDEX('Data Interface'!AG:AG,$A56))</f>
        <v>0</v>
      </c>
      <c r="DZ56" s="906" t="str">
        <f>IF(OR($B56=0,$A56=0,$H56&lt;&gt;1),"",INDEX(Assumptions!EO:EO,$B56))</f>
        <v/>
      </c>
      <c r="EA56" s="906" t="str">
        <f>IF(OR($B56=0,$A56=0,$H56&lt;&gt;1),"",INDEX(Assumptions!EP:EP,$B56))</f>
        <v/>
      </c>
      <c r="EB56" s="906" t="str">
        <f>IF(OR($B56=0,$A56=0,$H56&lt;&gt;1),"",INDEX(Assumptions!EQ:EQ,$B56))</f>
        <v/>
      </c>
      <c r="EC56" s="906" t="str">
        <f>IF(OR($B56=0,$A56=0,$H56&lt;&gt;1),"",INDEX(Assumptions!ER:ER,$B56))</f>
        <v/>
      </c>
      <c r="ED56" s="906" t="str">
        <f>IF(OR($B56=0,$A56=0,$H56&lt;&gt;1),"",INDEX(Assumptions!ES:ES,$B56))</f>
        <v/>
      </c>
      <c r="EE56" s="906" t="str">
        <f>IF(OR($B56=0,$A56=0,$H56&lt;&gt;1),"",INDEX(Assumptions!ET:ET,$B56))</f>
        <v/>
      </c>
      <c r="EF56" s="906" t="str">
        <f>IF(OR($B56=0,$A56=0,$H56&lt;&gt;1),"",INDEX(Assumptions!EU:EU,$B56))</f>
        <v/>
      </c>
      <c r="EG56" s="906" t="str">
        <f>IF(OR($B56=0,$A56=0,$H56&lt;&gt;1),"",INDEX(Assumptions!EV:EV,$B56))</f>
        <v/>
      </c>
      <c r="EH56" s="906" t="str">
        <f>IF(OR($B56=0,$A56=0,$H56&lt;&gt;1),"",INDEX(Assumptions!EW:EW,$B56))</f>
        <v/>
      </c>
      <c r="EI56" s="906" t="str">
        <f>IF(OR($B56=0,$A56=0,$H56&lt;&gt;1),"",INDEX(Assumptions!EX:EX,$B56))</f>
        <v/>
      </c>
      <c r="EJ56" s="906" t="str">
        <f>IF(OR($B56=0,$A56=0,$H56&lt;&gt;1),"",INDEX(Assumptions!EY:EY,$B56))</f>
        <v/>
      </c>
      <c r="EK56" s="906" t="str">
        <f>IF(OR($B56=0,$A56=0,$H56&lt;&gt;1),"",INDEX(Assumptions!EZ:EZ,$B56))</f>
        <v/>
      </c>
      <c r="EL56" s="906" t="str">
        <f>IF(OR($B56=0,$A56=0,$H56&lt;&gt;1),"",INDEX(Assumptions!FA:FA,$B56))</f>
        <v/>
      </c>
      <c r="EM56" s="906" t="str">
        <f>IF(OR($B56=0,$A56=0,$H56&lt;&gt;1),"",INDEX(Assumptions!FB:FB,$B56))</f>
        <v/>
      </c>
      <c r="EN56" s="906" t="str">
        <f>IF(OR($B56=0,$A56=0,$H56&lt;&gt;1),"",INDEX(Assumptions!FC:FC,$B56))</f>
        <v/>
      </c>
      <c r="EO56" s="906" t="str">
        <f>IF(OR($B56=0,$A56=0,$H56&lt;&gt;1),"",INDEX(Assumptions!FD:FD,$B56))</f>
        <v/>
      </c>
      <c r="EP56" s="906" t="str">
        <f>IF(OR($B56=0,$A56=0,$H56&lt;&gt;1),"",INDEX(Assumptions!FE:FE,$B56))</f>
        <v/>
      </c>
      <c r="EQ56" s="906" t="str">
        <f>IF(OR($B56=0,$A56=0,$H56&lt;&gt;1),"",INDEX(Assumptions!FF:FF,$B56))</f>
        <v/>
      </c>
      <c r="ER56" s="906" t="str">
        <f>IF(OR($B56=0,$A56=0,$H56&lt;&gt;1),"",INDEX(Assumptions!FG:FG,$B56))</f>
        <v/>
      </c>
      <c r="ES56" s="906" t="str">
        <f>IF(OR($B56=0,$A56=0,$H56&lt;&gt;1),"",INDEX(Assumptions!FH:FH,$B56))</f>
        <v/>
      </c>
      <c r="ET56" s="906" t="str">
        <f>IF(OR($B56=0,$A56=0,$H56&lt;&gt;1),"",INDEX(Assumptions!FI:FI,$B56))</f>
        <v/>
      </c>
      <c r="EU56" s="906" t="str">
        <f>IF(OR($B56=0,$A56=0,$H56&lt;&gt;1),"",INDEX(Assumptions!FJ:FJ,$B56))</f>
        <v/>
      </c>
      <c r="EV56" s="906" t="str">
        <f>IF(OR($B56=0,$A56=0,$H56&lt;&gt;1),"",INDEX(Assumptions!FK:FK,$B56))</f>
        <v/>
      </c>
      <c r="EW56" s="906" t="str">
        <f>IF(OR($B56=0,$A56=0,$H56&lt;&gt;1),"",INDEX(Assumptions!FL:FL,$B56))</f>
        <v/>
      </c>
      <c r="EX56" s="906" t="str">
        <f>IF(OR($B56=0,$A56=0,$H56&lt;&gt;1),"",INDEX(Assumptions!FM:FM,$B56))</f>
        <v/>
      </c>
      <c r="EY56" s="906" t="str">
        <f>IF(OR($B56=0,$A56=0,$H56&lt;&gt;1),"",INDEX(Assumptions!FN:FN,$B56))</f>
        <v/>
      </c>
      <c r="EZ56" s="906" t="str">
        <f>IF(OR($B56=0,$A56=0,$H56&lt;&gt;1),"",INDEX(Assumptions!FO:FO,$B56))</f>
        <v/>
      </c>
      <c r="FB56" s="820" t="str">
        <f t="shared" si="18"/>
        <v/>
      </c>
      <c r="FC56" s="820" t="str">
        <f t="shared" si="19"/>
        <v/>
      </c>
      <c r="FD56" s="820" t="str">
        <f t="shared" si="20"/>
        <v/>
      </c>
      <c r="FE56" s="820" t="str">
        <f t="shared" si="21"/>
        <v/>
      </c>
      <c r="FF56" s="820" t="str">
        <f t="shared" si="22"/>
        <v/>
      </c>
    </row>
    <row r="57" spans="1:162">
      <c r="A57" s="440">
        <f>IFERROR(MATCH(C57,'Data Interface'!B:B,0),0)</f>
        <v>55</v>
      </c>
      <c r="B57" s="440">
        <f>IFERROR(MATCH(C57,Assumptions!$B:$B,0),0)</f>
        <v>64</v>
      </c>
      <c r="C57" s="441" t="s">
        <v>1449</v>
      </c>
      <c r="E57" s="441" t="s">
        <v>1219</v>
      </c>
      <c r="F57" s="440" t="s">
        <v>24</v>
      </c>
      <c r="G57" s="440" t="str">
        <f>IF(A57=0,"",INDEX('Data Interface'!$C:$C,$A57))</f>
        <v>Demand,MM &amp; Savings - Large Corporates - Verizon</v>
      </c>
      <c r="H57" s="440">
        <v>0</v>
      </c>
      <c r="I57" s="819">
        <f t="shared" ca="1" si="23"/>
        <v>9.600000000000003E-2</v>
      </c>
      <c r="J57" s="819">
        <f t="shared" ca="1" si="24"/>
        <v>0.16000000000000003</v>
      </c>
      <c r="K57" s="439" t="str">
        <f t="shared" ca="1" si="25"/>
        <v>9.6% of Current Balance</v>
      </c>
      <c r="L57" s="439" t="s">
        <v>1148</v>
      </c>
      <c r="M57" s="439" t="s">
        <v>1509</v>
      </c>
      <c r="O57" s="442">
        <f>IF(OR($A57="",$A57=0),0,INDEX('Data Interface'!D:D,$A57))</f>
        <v>0</v>
      </c>
      <c r="P57" s="442">
        <f ca="1">$O57-SUM($AS57:AS57)</f>
        <v>0</v>
      </c>
      <c r="Q57" s="442">
        <f ca="1">$O57-SUM($AS57:AT57)</f>
        <v>0</v>
      </c>
      <c r="R57" s="442">
        <f ca="1">$O57-SUM($AS57:AU57)</f>
        <v>0</v>
      </c>
      <c r="S57" s="442">
        <f ca="1">$O57-SUM($AS57:AV57)</f>
        <v>0</v>
      </c>
      <c r="T57" s="442">
        <f ca="1">$O57-SUM($AS57:AW57)</f>
        <v>0</v>
      </c>
      <c r="U57" s="442">
        <f ca="1">$O57-SUM($AS57:AX57)</f>
        <v>0</v>
      </c>
      <c r="V57" s="442">
        <f ca="1">$O57-SUM($AS57:AY57)</f>
        <v>0</v>
      </c>
      <c r="W57" s="442">
        <f ca="1">$O57-SUM($AS57:AZ57)</f>
        <v>0</v>
      </c>
      <c r="X57" s="442">
        <f ca="1">$O57-SUM($AS57:BA57)</f>
        <v>0</v>
      </c>
      <c r="Y57" s="442">
        <f ca="1">$O57-SUM($AS57:BB57)</f>
        <v>0</v>
      </c>
      <c r="Z57" s="442">
        <f ca="1">$O57-SUM($AS57:BC57)</f>
        <v>0</v>
      </c>
      <c r="AA57" s="442">
        <f ca="1">$O57-SUM($AS57:BD57)</f>
        <v>0</v>
      </c>
      <c r="AB57" s="442">
        <f ca="1">$O57-SUM($AS57:BE57)</f>
        <v>0</v>
      </c>
      <c r="AC57" s="442">
        <f ca="1">$O57-SUM($AS57:BF57)</f>
        <v>0</v>
      </c>
      <c r="AD57" s="442">
        <f ca="1">$O57-SUM($AS57:BG57)</f>
        <v>0</v>
      </c>
      <c r="AE57" s="442">
        <f ca="1">$O57-SUM($AS57:BH57)</f>
        <v>0</v>
      </c>
      <c r="AF57" s="442">
        <f ca="1">$O57-SUM($AS57:BI57)</f>
        <v>0</v>
      </c>
      <c r="AG57" s="442">
        <f ca="1">$O57-SUM($AS57:BJ57)</f>
        <v>0</v>
      </c>
      <c r="AH57" s="442">
        <f ca="1">$O57-SUM($AS57:BK57)</f>
        <v>0</v>
      </c>
      <c r="AI57" s="442">
        <f ca="1">$O57-SUM($AS57:BL57)</f>
        <v>0</v>
      </c>
      <c r="AJ57" s="442">
        <f ca="1">$O57-SUM($AS57:BM57)</f>
        <v>0</v>
      </c>
      <c r="AK57" s="442">
        <f ca="1">$O57-SUM($AS57:BN57)</f>
        <v>0</v>
      </c>
      <c r="AL57" s="442">
        <f ca="1">$O57-SUM($AS57:BO57)</f>
        <v>0</v>
      </c>
      <c r="AM57" s="442">
        <f ca="1">$O57-SUM($AS57:BP57)</f>
        <v>0</v>
      </c>
      <c r="AN57" s="442">
        <f ca="1">$O57-SUM($AS57:BQ57)</f>
        <v>0</v>
      </c>
      <c r="AO57" s="442">
        <f ca="1">$O57-SUM($AS57:BR57)</f>
        <v>0</v>
      </c>
      <c r="AP57" s="442">
        <f ca="1">$O57-SUM($AS57:BS57)</f>
        <v>0</v>
      </c>
      <c r="AR57" s="439" t="s">
        <v>1202</v>
      </c>
      <c r="AS57" s="442">
        <f ca="1">IF($H57="",0,IF($H57=1,IF('Para Adj'!$B$5 = 1,O57-($O57-SUMPRODUCT($CX57:CX57,$BU57:BU57))*(1-SUM($DZ57:DZ57)),BU57*CX57),$O57*BU57))</f>
        <v>0</v>
      </c>
      <c r="AT57" s="442">
        <f ca="1">IF($H57="",0,IF($H57=1,IF('Para Adj'!$B$5 = 1,P57-($O57-SUMPRODUCT($CX57:CY57,$BU57:BV57))*(1-SUM($DZ57:EA57)),BV57*CY57),$O57*BV57))</f>
        <v>0</v>
      </c>
      <c r="AU57" s="442">
        <f ca="1">IF($H57="",0,IF($H57=1,IF('Para Adj'!$B$5 = 1,Q57-($O57-SUMPRODUCT($CX57:CZ57,$BU57:BW57))*(1-SUM($DZ57:EB57)),BW57*CZ57),$O57*BW57))</f>
        <v>0</v>
      </c>
      <c r="AV57" s="442">
        <f ca="1">IF($H57="",0,IF($H57=1,IF('Para Adj'!$B$5 = 1,R57-($O57-SUMPRODUCT($CX57:DA57,$BU57:BX57))*(1-SUM($DZ57:EC57)),BX57*DA57),$O57*BX57))</f>
        <v>0</v>
      </c>
      <c r="AW57" s="442">
        <f ca="1">IF($H57="",0,IF($H57=1,IF('Para Adj'!$B$5 = 1,S57-($O57-SUMPRODUCT($CX57:DB57,$BU57:BY57))*(1-SUM($DZ57:ED57)),BY57*DB57),$O57*BY57))</f>
        <v>0</v>
      </c>
      <c r="AX57" s="442">
        <f ca="1">IF($H57="",0,IF($H57=1,IF('Para Adj'!$B$5 = 1,T57-($O57-SUMPRODUCT($CX57:DC57,$BU57:BZ57))*(1-SUM($DZ57:EE57)),BZ57*DC57),$O57*BZ57))</f>
        <v>0</v>
      </c>
      <c r="AY57" s="442">
        <f ca="1">IF($H57="",0,IF($H57=1,IF('Para Adj'!$B$5 = 1,U57-($O57-SUMPRODUCT($CX57:DD57,$BU57:CA57))*(1-SUM($DZ57:EF57)),CA57*DD57),$O57*CA57))</f>
        <v>0</v>
      </c>
      <c r="AZ57" s="442">
        <f ca="1">IF($H57="",0,IF($H57=1,IF('Para Adj'!$B$5 = 1,V57-($O57-SUMPRODUCT($CX57:DE57,$BU57:CB57))*(1-SUM($DZ57:EG57)),CB57*DE57),$O57*CB57))</f>
        <v>0</v>
      </c>
      <c r="BA57" s="442">
        <f ca="1">IF($H57="",0,IF($H57=1,IF('Para Adj'!$B$5 = 1,W57-($O57-SUMPRODUCT($CX57:DF57,$BU57:CC57))*(1-SUM($DZ57:EH57)),CC57*DF57),$O57*CC57))</f>
        <v>0</v>
      </c>
      <c r="BB57" s="442">
        <f ca="1">IF($H57="",0,IF($H57=1,IF('Para Adj'!$B$5 = 1,X57-($O57-SUMPRODUCT($CX57:DG57,$BU57:CD57))*(1-SUM($DZ57:EI57)),CD57*DG57),$O57*CD57))</f>
        <v>0</v>
      </c>
      <c r="BC57" s="442">
        <f ca="1">IF($H57="",0,IF($H57=1,IF('Para Adj'!$B$5 = 1,Y57-($O57-SUMPRODUCT($CX57:DH57,$BU57:CE57))*(1-SUM($DZ57:EJ57)),CE57*DH57),$O57*CE57))</f>
        <v>0</v>
      </c>
      <c r="BD57" s="442">
        <f ca="1">IF($H57="",0,IF($H57=1,IF('Para Adj'!$B$5 = 1,Z57-($O57-SUMPRODUCT($CX57:DI57,$BU57:CF57))*(1-SUM($DZ57:EK57)),CF57*DI57),$O57*CF57))</f>
        <v>0</v>
      </c>
      <c r="BE57" s="442">
        <f ca="1">IF($H57="",0,IF($H57=1,IF('Para Adj'!$B$5 = 1,AA57-($O57-SUMPRODUCT($CX57:DJ57,$BU57:CG57))*(1-SUM($DZ57:EL57)),CG57*DJ57),$O57*CG57))</f>
        <v>0</v>
      </c>
      <c r="BF57" s="442">
        <f ca="1">IF($H57="",0,IF($H57=1,IF('Para Adj'!$B$5 = 1,AB57-($O57-SUMPRODUCT($CX57:DK57,$BU57:CH57))*(1-SUM($DZ57:EM57)),CH57*DK57),$O57*CH57))</f>
        <v>0</v>
      </c>
      <c r="BG57" s="442">
        <f ca="1">IF($H57="",0,IF($H57=1,IF('Para Adj'!$B$5 = 1,AC57-($O57-SUMPRODUCT($CX57:DL57,$BU57:CI57))*(1-SUM($DZ57:EN57)),CI57*DL57),$O57*CI57))</f>
        <v>0</v>
      </c>
      <c r="BH57" s="442">
        <f ca="1">IF($H57="",0,IF($H57=1,IF('Para Adj'!$B$5 = 1,AD57-($O57-SUMPRODUCT($CX57:DM57,$BU57:CJ57))*(1-SUM($DZ57:EO57)),CJ57*DM57),$O57*CJ57))</f>
        <v>0</v>
      </c>
      <c r="BI57" s="442">
        <f ca="1">IF($H57="",0,IF($H57=1,IF('Para Adj'!$B$5 = 1,AE57-($O57-SUMPRODUCT($CX57:DN57,$BU57:CK57))*(1-SUM($DZ57:EP57)),CK57*DN57),$O57*CK57))</f>
        <v>0</v>
      </c>
      <c r="BJ57" s="442">
        <f ca="1">IF($H57="",0,IF($H57=1,IF('Para Adj'!$B$5 = 1,AF57-($O57-SUMPRODUCT($CX57:DO57,$BU57:CL57))*(1-SUM($DZ57:EQ57)),CL57*DO57),$O57*CL57))</f>
        <v>0</v>
      </c>
      <c r="BK57" s="442">
        <f ca="1">IF($H57="",0,IF($H57=1,IF('Para Adj'!$B$5 = 1,AG57-($O57-SUMPRODUCT($CX57:DP57,$BU57:CM57))*(1-SUM($DZ57:ER57)),CM57*DP57),$O57*CM57))</f>
        <v>0</v>
      </c>
      <c r="BL57" s="442">
        <f ca="1">IF($H57="",0,IF($H57=1,IF('Para Adj'!$B$5 = 1,AH57-($O57-SUMPRODUCT($CX57:DQ57,$BU57:CN57))*(1-SUM($DZ57:ES57)),CN57*DQ57),$O57*CN57))</f>
        <v>0</v>
      </c>
      <c r="BM57" s="442">
        <f ca="1">IF($H57="",0,IF($H57=1,IF('Para Adj'!$B$5 = 1,AI57-($O57-SUMPRODUCT($CX57:DR57,$BU57:CO57))*(1-SUM($DZ57:ET57)),CO57*DR57),$O57*CO57))</f>
        <v>0</v>
      </c>
      <c r="BN57" s="442">
        <f ca="1">IF($H57="",0,IF($H57=1,IF('Para Adj'!$B$5 = 1,AJ57-($O57-SUMPRODUCT($CX57:DS57,$BU57:CP57))*(1-SUM($DZ57:EU57)),CP57*DS57),$O57*CP57))</f>
        <v>0</v>
      </c>
      <c r="BO57" s="442">
        <f ca="1">IF($H57="",0,IF($H57=1,IF('Para Adj'!$B$5 = 1,AK57-($O57-SUMPRODUCT($CX57:DT57,$BU57:CQ57))*(1-SUM($DZ57:EV57)),CQ57*DT57),$O57*CQ57))</f>
        <v>0</v>
      </c>
      <c r="BP57" s="442">
        <f ca="1">IF($H57="",0,IF($H57=1,IF('Para Adj'!$B$5 = 1,AL57-($O57-SUMPRODUCT($CX57:DU57,$BU57:CR57))*(1-SUM($DZ57:EW57)),CR57*DU57),$O57*CR57))</f>
        <v>0</v>
      </c>
      <c r="BQ57" s="442">
        <f ca="1">IF($H57="",0,IF($H57=1,IF('Para Adj'!$B$5 = 1,AM57-($O57-SUMPRODUCT($CX57:DV57,$BU57:CS57))*(1-SUM($DZ57:EX57)),CS57*DV57),$O57*CS57))</f>
        <v>0</v>
      </c>
      <c r="BR57" s="442">
        <f ca="1">IF($H57="",0,IF($H57=1,IF('Para Adj'!$B$5 = 1,AN57-($O57-SUMPRODUCT($CX57:DW57,$BU57:CT57))*(1-SUM($DZ57:EY57)),CT57*DW57),$O57*CT57))</f>
        <v>0</v>
      </c>
      <c r="BS57" s="442">
        <f ca="1">IF($H57="",0,IF($H57=1,IF('Para Adj'!$B$5 = 1,AO57-($O57-SUMPRODUCT($CX57:DX57,$BU57:CU57))*(1-SUM($DZ57:EZ57)),CU57*DX57),$O57*CU57))</f>
        <v>0</v>
      </c>
      <c r="BU57" s="820">
        <f ca="1">IF($B57=0,"",INDEX(Assumptions!G:G,$B57))</f>
        <v>1.9200000000000002E-2</v>
      </c>
      <c r="BV57" s="820">
        <f ca="1">IF($B57=0,"",INDEX(Assumptions!H:H,$B57))</f>
        <v>6.4000000000000003E-3</v>
      </c>
      <c r="BW57" s="820">
        <f ca="1">IF($B57=0,"",INDEX(Assumptions!I:I,$B57))</f>
        <v>6.4000000000000003E-3</v>
      </c>
      <c r="BX57" s="820">
        <f ca="1">IF($B57=0,"",INDEX(Assumptions!J:J,$B57))</f>
        <v>6.4000000000000003E-3</v>
      </c>
      <c r="BY57" s="820">
        <f ca="1">IF($B57=0,"",INDEX(Assumptions!K:K,$B57))</f>
        <v>6.4000000000000003E-3</v>
      </c>
      <c r="BZ57" s="820">
        <f ca="1">IF($B57=0,"",INDEX(Assumptions!L:L,$B57))</f>
        <v>6.4000000000000003E-3</v>
      </c>
      <c r="CA57" s="820">
        <f ca="1">IF($B57=0,"",INDEX(Assumptions!M:M,$B57))</f>
        <v>6.4000000000000003E-3</v>
      </c>
      <c r="CB57" s="820">
        <f ca="1">IF($B57=0,"",INDEX(Assumptions!N:N,$B57))</f>
        <v>5.4857142857142865E-3</v>
      </c>
      <c r="CC57" s="820">
        <f ca="1">IF($B57=0,"",INDEX(Assumptions!O:O,$B57))</f>
        <v>5.4857142857142865E-3</v>
      </c>
      <c r="CD57" s="820">
        <f ca="1">IF($B57=0,"",INDEX(Assumptions!P:P,$B57))</f>
        <v>5.4857142857142865E-3</v>
      </c>
      <c r="CE57" s="820">
        <f ca="1">IF($B57=0,"",INDEX(Assumptions!Q:Q,$B57))</f>
        <v>5.4857142857142865E-3</v>
      </c>
      <c r="CF57" s="820">
        <f ca="1">IF($B57=0,"",INDEX(Assumptions!R:R,$B57))</f>
        <v>5.4857142857142865E-3</v>
      </c>
      <c r="CG57" s="820">
        <f ca="1">IF($B57=0,"",INDEX(Assumptions!S:S,$B57))</f>
        <v>5.4857142857142865E-3</v>
      </c>
      <c r="CH57" s="820">
        <f ca="1">IF($B57=0,"",INDEX(Assumptions!T:T,$B57))</f>
        <v>5.4857142857142865E-3</v>
      </c>
      <c r="CI57" s="820">
        <f ca="1">IF($B57=0,"",INDEX(Assumptions!U:U,$B57))</f>
        <v>3.2000000000000001E-2</v>
      </c>
      <c r="CJ57" s="820">
        <f ca="1">IF($B57=0,"",INDEX(Assumptions!V:V,$B57))</f>
        <v>3.2000000000000001E-2</v>
      </c>
      <c r="CK57" s="820">
        <f ca="1">IF($B57=0,"",INDEX(Assumptions!W:W,$B57))</f>
        <v>1.6E-2</v>
      </c>
      <c r="CL57" s="820">
        <f ca="1">IF($B57=0,"",INDEX(Assumptions!X:X,$B57))</f>
        <v>1.6E-2</v>
      </c>
      <c r="CM57" s="820">
        <f ca="1">IF($B57=0,"",INDEX(Assumptions!Y:Y,$B57))</f>
        <v>5.3333333333333323E-3</v>
      </c>
      <c r="CN57" s="820">
        <f ca="1">IF($B57=0,"",INDEX(Assumptions!Z:Z,$B57))</f>
        <v>5.3333333333333323E-3</v>
      </c>
      <c r="CO57" s="820">
        <f ca="1">IF($B57=0,"",INDEX(Assumptions!AA:AA,$B57))</f>
        <v>5.3333333333333323E-3</v>
      </c>
      <c r="CP57" s="820">
        <f ca="1">IF($B57=0,"",INDEX(Assumptions!AB:AB,$B57))</f>
        <v>5.3333333333333323E-3</v>
      </c>
      <c r="CQ57" s="820">
        <f ca="1">IF($B57=0,"",INDEX(Assumptions!AC:AC,$B57))</f>
        <v>5.3333333333333323E-3</v>
      </c>
      <c r="CR57" s="820">
        <f ca="1">IF($B57=0,"",INDEX(Assumptions!AD:AD,$B57))</f>
        <v>5.3333333333333323E-3</v>
      </c>
      <c r="CS57" s="820">
        <f ca="1">IF($B57=0,"",INDEX(Assumptions!AE:AE,$B57))</f>
        <v>5.3333333333333323E-3</v>
      </c>
      <c r="CT57" s="820">
        <f ca="1">IF($B57=0,"",INDEX(Assumptions!AF:AF,$B57))</f>
        <v>5.3333333333333323E-3</v>
      </c>
      <c r="CU57" s="820">
        <f ca="1">IF($B57=0,"",INDEX(Assumptions!AG:AG,$B57))</f>
        <v>5.3333333333333323E-3</v>
      </c>
      <c r="CX57" s="442">
        <f>IF($A57="","",INDEX('Data Interface'!G:G,$A57))</f>
        <v>0</v>
      </c>
      <c r="CY57" s="442">
        <f>IF($A57="","",INDEX('Data Interface'!H:H,$A57))</f>
        <v>0</v>
      </c>
      <c r="CZ57" s="442">
        <f>IF($A57="","",INDEX('Data Interface'!I:I,$A57))</f>
        <v>0</v>
      </c>
      <c r="DA57" s="442">
        <f>IF($A57="","",INDEX('Data Interface'!J:J,$A57))</f>
        <v>0</v>
      </c>
      <c r="DB57" s="442">
        <f>IF($A57="","",INDEX('Data Interface'!K:K,$A57))</f>
        <v>0</v>
      </c>
      <c r="DC57" s="442">
        <f>IF($A57="","",INDEX('Data Interface'!L:L,$A57))</f>
        <v>0</v>
      </c>
      <c r="DD57" s="442">
        <f>IF($A57="","",INDEX('Data Interface'!M:M,$A57))</f>
        <v>0</v>
      </c>
      <c r="DE57" s="442">
        <f>IF($A57="","",INDEX('Data Interface'!N:N,$A57))</f>
        <v>0</v>
      </c>
      <c r="DF57" s="442">
        <f>IF($A57="","",INDEX('Data Interface'!O:O,$A57))</f>
        <v>0</v>
      </c>
      <c r="DG57" s="442">
        <f>IF($A57="","",INDEX('Data Interface'!P:P,$A57))</f>
        <v>0</v>
      </c>
      <c r="DH57" s="442">
        <f>IF($A57="","",INDEX('Data Interface'!Q:Q,$A57))</f>
        <v>0</v>
      </c>
      <c r="DI57" s="442">
        <f>IF($A57="","",INDEX('Data Interface'!R:R,$A57))</f>
        <v>0</v>
      </c>
      <c r="DJ57" s="442">
        <f>IF($A57="","",INDEX('Data Interface'!S:S,$A57))</f>
        <v>0</v>
      </c>
      <c r="DK57" s="442">
        <f>IF($A57="","",INDEX('Data Interface'!T:T,$A57))</f>
        <v>0</v>
      </c>
      <c r="DL57" s="442">
        <f>IF($A57="","",INDEX('Data Interface'!U:U,$A57))</f>
        <v>0</v>
      </c>
      <c r="DM57" s="442">
        <f>IF($A57="","",INDEX('Data Interface'!V:V,$A57))</f>
        <v>0</v>
      </c>
      <c r="DN57" s="442">
        <f>IF($A57="","",INDEX('Data Interface'!W:W,$A57))</f>
        <v>0</v>
      </c>
      <c r="DO57" s="442">
        <f>IF($A57="","",INDEX('Data Interface'!X:X,$A57))</f>
        <v>0</v>
      </c>
      <c r="DP57" s="442">
        <f>IF($A57="","",INDEX('Data Interface'!Y:Y,$A57))</f>
        <v>0</v>
      </c>
      <c r="DQ57" s="442">
        <f>IF($A57="","",INDEX('Data Interface'!Z:Z,$A57))</f>
        <v>0</v>
      </c>
      <c r="DR57" s="442">
        <f>IF($A57="","",INDEX('Data Interface'!AA:AA,$A57))</f>
        <v>0</v>
      </c>
      <c r="DS57" s="442">
        <f>IF($A57="","",INDEX('Data Interface'!AB:AB,$A57))</f>
        <v>0</v>
      </c>
      <c r="DT57" s="442">
        <f>IF($A57="","",INDEX('Data Interface'!AC:AC,$A57))</f>
        <v>0</v>
      </c>
      <c r="DU57" s="442">
        <f>IF($A57="","",INDEX('Data Interface'!AD:AD,$A57))</f>
        <v>0</v>
      </c>
      <c r="DV57" s="442">
        <f>IF($A57="","",INDEX('Data Interface'!AE:AE,$A57))</f>
        <v>0</v>
      </c>
      <c r="DW57" s="442">
        <f>IF($A57="","",INDEX('Data Interface'!AF:AF,$A57))</f>
        <v>0</v>
      </c>
      <c r="DX57" s="442">
        <f>IF($A57="","",INDEX('Data Interface'!AG:AG,$A57))</f>
        <v>0</v>
      </c>
      <c r="DZ57" s="906" t="str">
        <f>IF(OR($B57=0,$A57=0,$H57&lt;&gt;1),"",INDEX(Assumptions!EO:EO,$B57))</f>
        <v/>
      </c>
      <c r="EA57" s="906" t="str">
        <f>IF(OR($B57=0,$A57=0,$H57&lt;&gt;1),"",INDEX(Assumptions!EP:EP,$B57))</f>
        <v/>
      </c>
      <c r="EB57" s="906" t="str">
        <f>IF(OR($B57=0,$A57=0,$H57&lt;&gt;1),"",INDEX(Assumptions!EQ:EQ,$B57))</f>
        <v/>
      </c>
      <c r="EC57" s="906" t="str">
        <f>IF(OR($B57=0,$A57=0,$H57&lt;&gt;1),"",INDEX(Assumptions!ER:ER,$B57))</f>
        <v/>
      </c>
      <c r="ED57" s="906" t="str">
        <f>IF(OR($B57=0,$A57=0,$H57&lt;&gt;1),"",INDEX(Assumptions!ES:ES,$B57))</f>
        <v/>
      </c>
      <c r="EE57" s="906" t="str">
        <f>IF(OR($B57=0,$A57=0,$H57&lt;&gt;1),"",INDEX(Assumptions!ET:ET,$B57))</f>
        <v/>
      </c>
      <c r="EF57" s="906" t="str">
        <f>IF(OR($B57=0,$A57=0,$H57&lt;&gt;1),"",INDEX(Assumptions!EU:EU,$B57))</f>
        <v/>
      </c>
      <c r="EG57" s="906" t="str">
        <f>IF(OR($B57=0,$A57=0,$H57&lt;&gt;1),"",INDEX(Assumptions!EV:EV,$B57))</f>
        <v/>
      </c>
      <c r="EH57" s="906" t="str">
        <f>IF(OR($B57=0,$A57=0,$H57&lt;&gt;1),"",INDEX(Assumptions!EW:EW,$B57))</f>
        <v/>
      </c>
      <c r="EI57" s="906" t="str">
        <f>IF(OR($B57=0,$A57=0,$H57&lt;&gt;1),"",INDEX(Assumptions!EX:EX,$B57))</f>
        <v/>
      </c>
      <c r="EJ57" s="906" t="str">
        <f>IF(OR($B57=0,$A57=0,$H57&lt;&gt;1),"",INDEX(Assumptions!EY:EY,$B57))</f>
        <v/>
      </c>
      <c r="EK57" s="906" t="str">
        <f>IF(OR($B57=0,$A57=0,$H57&lt;&gt;1),"",INDEX(Assumptions!EZ:EZ,$B57))</f>
        <v/>
      </c>
      <c r="EL57" s="906" t="str">
        <f>IF(OR($B57=0,$A57=0,$H57&lt;&gt;1),"",INDEX(Assumptions!FA:FA,$B57))</f>
        <v/>
      </c>
      <c r="EM57" s="906" t="str">
        <f>IF(OR($B57=0,$A57=0,$H57&lt;&gt;1),"",INDEX(Assumptions!FB:FB,$B57))</f>
        <v/>
      </c>
      <c r="EN57" s="906" t="str">
        <f>IF(OR($B57=0,$A57=0,$H57&lt;&gt;1),"",INDEX(Assumptions!FC:FC,$B57))</f>
        <v/>
      </c>
      <c r="EO57" s="906" t="str">
        <f>IF(OR($B57=0,$A57=0,$H57&lt;&gt;1),"",INDEX(Assumptions!FD:FD,$B57))</f>
        <v/>
      </c>
      <c r="EP57" s="906" t="str">
        <f>IF(OR($B57=0,$A57=0,$H57&lt;&gt;1),"",INDEX(Assumptions!FE:FE,$B57))</f>
        <v/>
      </c>
      <c r="EQ57" s="906" t="str">
        <f>IF(OR($B57=0,$A57=0,$H57&lt;&gt;1),"",INDEX(Assumptions!FF:FF,$B57))</f>
        <v/>
      </c>
      <c r="ER57" s="906" t="str">
        <f>IF(OR($B57=0,$A57=0,$H57&lt;&gt;1),"",INDEX(Assumptions!FG:FG,$B57))</f>
        <v/>
      </c>
      <c r="ES57" s="906" t="str">
        <f>IF(OR($B57=0,$A57=0,$H57&lt;&gt;1),"",INDEX(Assumptions!FH:FH,$B57))</f>
        <v/>
      </c>
      <c r="ET57" s="906" t="str">
        <f>IF(OR($B57=0,$A57=0,$H57&lt;&gt;1),"",INDEX(Assumptions!FI:FI,$B57))</f>
        <v/>
      </c>
      <c r="EU57" s="906" t="str">
        <f>IF(OR($B57=0,$A57=0,$H57&lt;&gt;1),"",INDEX(Assumptions!FJ:FJ,$B57))</f>
        <v/>
      </c>
      <c r="EV57" s="906" t="str">
        <f>IF(OR($B57=0,$A57=0,$H57&lt;&gt;1),"",INDEX(Assumptions!FK:FK,$B57))</f>
        <v/>
      </c>
      <c r="EW57" s="906" t="str">
        <f>IF(OR($B57=0,$A57=0,$H57&lt;&gt;1),"",INDEX(Assumptions!FL:FL,$B57))</f>
        <v/>
      </c>
      <c r="EX57" s="906" t="str">
        <f>IF(OR($B57=0,$A57=0,$H57&lt;&gt;1),"",INDEX(Assumptions!FM:FM,$B57))</f>
        <v/>
      </c>
      <c r="EY57" s="906" t="str">
        <f>IF(OR($B57=0,$A57=0,$H57&lt;&gt;1),"",INDEX(Assumptions!FN:FN,$B57))</f>
        <v/>
      </c>
      <c r="EZ57" s="906" t="str">
        <f>IF(OR($B57=0,$A57=0,$H57&lt;&gt;1),"",INDEX(Assumptions!FO:FO,$B57))</f>
        <v/>
      </c>
      <c r="FB57" s="820" t="str">
        <f t="shared" si="18"/>
        <v/>
      </c>
      <c r="FC57" s="820" t="str">
        <f t="shared" si="19"/>
        <v/>
      </c>
      <c r="FD57" s="820" t="str">
        <f t="shared" si="20"/>
        <v/>
      </c>
      <c r="FE57" s="820" t="str">
        <f t="shared" si="21"/>
        <v/>
      </c>
      <c r="FF57" s="820" t="str">
        <f t="shared" si="22"/>
        <v/>
      </c>
    </row>
    <row r="58" spans="1:162">
      <c r="A58" s="440">
        <f>IFERROR(MATCH(C58,'Data Interface'!B:B,0),0)</f>
        <v>56</v>
      </c>
      <c r="B58" s="440">
        <f>IFERROR(MATCH(C58,Assumptions!$B:$B,0),0)</f>
        <v>65</v>
      </c>
      <c r="C58" s="441" t="s">
        <v>2801</v>
      </c>
      <c r="E58" s="441" t="s">
        <v>1219</v>
      </c>
      <c r="F58" s="440" t="s">
        <v>24</v>
      </c>
      <c r="G58" s="440" t="str">
        <f>IF(A58=0,"",INDEX('Data Interface'!$C:$C,$A58))</f>
        <v>Demand,MM &amp; Savings - Large Corporates - KEMPS LANDING CAPITAL</v>
      </c>
      <c r="H58" s="440">
        <v>0</v>
      </c>
      <c r="I58" s="819">
        <f t="shared" ref="I58" ca="1" si="42">IF(H58=1,CH58,IF(H58=0,SUM(BU58:CH58),""))</f>
        <v>0.25377755664941259</v>
      </c>
      <c r="J58" s="819">
        <f t="shared" ref="J58" ca="1" si="43">IF(H58=1,CJ58,IF(H58=0,SUM(BU58:CJ58),""))</f>
        <v>0.31722206388550134</v>
      </c>
      <c r="K58" s="439" t="str">
        <f t="shared" ref="K58" ca="1" si="44">IF(H58=1,ROUND(I58*100,1)&amp;"% of Contractual Maturity",IF(H58="","No Run-off",ROUND(I58*100,1)&amp;"% of Current Balance"))</f>
        <v>25.4% of Current Balance</v>
      </c>
      <c r="L58" s="439" t="s">
        <v>1148</v>
      </c>
      <c r="M58" s="439" t="s">
        <v>1509</v>
      </c>
      <c r="O58" s="442">
        <f>IF(OR($A58="",$A58=0),0,INDEX('Data Interface'!D:D,$A58))</f>
        <v>1101.9382160099999</v>
      </c>
      <c r="P58" s="442">
        <f ca="1">$O58-SUM($AS58:AS58)</f>
        <v>1046.0087784024738</v>
      </c>
      <c r="Q58" s="442">
        <f ca="1">$O58-SUM($AS58:AT58)</f>
        <v>1027.3656325332986</v>
      </c>
      <c r="R58" s="442">
        <f ca="1">$O58-SUM($AS58:AU58)</f>
        <v>1008.7224866641232</v>
      </c>
      <c r="S58" s="442">
        <f ca="1">$O58-SUM($AS58:AV58)</f>
        <v>990.07934079494771</v>
      </c>
      <c r="T58" s="442">
        <f ca="1">$O58-SUM($AS58:AW58)</f>
        <v>971.43619492577238</v>
      </c>
      <c r="U58" s="442">
        <f ca="1">$O58-SUM($AS58:AX58)</f>
        <v>952.79304905659706</v>
      </c>
      <c r="V58" s="442">
        <f ca="1">$O58-SUM($AS58:AY58)</f>
        <v>934.14990318742173</v>
      </c>
      <c r="W58" s="442">
        <f ca="1">$O58-SUM($AS58:AZ58)</f>
        <v>918.1700638709857</v>
      </c>
      <c r="X58" s="442">
        <f ca="1">$O58-SUM($AS58:BA58)</f>
        <v>902.19022455454967</v>
      </c>
      <c r="Y58" s="442">
        <f ca="1">$O58-SUM($AS58:BB58)</f>
        <v>886.21038523811364</v>
      </c>
      <c r="Z58" s="442">
        <f ca="1">$O58-SUM($AS58:BC58)</f>
        <v>870.23054592167762</v>
      </c>
      <c r="AA58" s="442">
        <f ca="1">$O58-SUM($AS58:BD58)</f>
        <v>854.25070660524159</v>
      </c>
      <c r="AB58" s="442">
        <f ca="1">$O58-SUM($AS58:BE58)</f>
        <v>838.27086728880556</v>
      </c>
      <c r="AC58" s="442">
        <f ca="1">$O58-SUM($AS58:BF58)</f>
        <v>822.29102797236953</v>
      </c>
      <c r="AD58" s="442">
        <f ca="1">$O58-SUM($AS58:BG58)</f>
        <v>787.33506441268491</v>
      </c>
      <c r="AE58" s="442">
        <f ca="1">$O58-SUM($AS58:BH58)</f>
        <v>752.37910085300041</v>
      </c>
      <c r="AF58" s="442">
        <f ca="1">$O58-SUM($AS58:BI58)</f>
        <v>717.42318933730053</v>
      </c>
      <c r="AG58" s="442">
        <f ca="1">$O58-SUM($AS58:BJ58)</f>
        <v>682.46727782160053</v>
      </c>
      <c r="AH58" s="442">
        <f ca="1">$O58-SUM($AS58:BK58)</f>
        <v>670.81530731636724</v>
      </c>
      <c r="AI58" s="442">
        <f ca="1">$O58-SUM($AS58:BL58)</f>
        <v>659.16333681113395</v>
      </c>
      <c r="AJ58" s="442">
        <f ca="1">$O58-SUM($AS58:BM58)</f>
        <v>647.51136630590065</v>
      </c>
      <c r="AK58" s="442">
        <f ca="1">$O58-SUM($AS58:BN58)</f>
        <v>635.85939580066736</v>
      </c>
      <c r="AL58" s="442">
        <f ca="1">$O58-SUM($AS58:BO58)</f>
        <v>624.20742529543406</v>
      </c>
      <c r="AM58" s="442">
        <f ca="1">$O58-SUM($AS58:BP58)</f>
        <v>612.55545479020077</v>
      </c>
      <c r="AN58" s="442">
        <f ca="1">$O58-SUM($AS58:BQ58)</f>
        <v>600.90348428496748</v>
      </c>
      <c r="AO58" s="442">
        <f ca="1">$O58-SUM($AS58:BR58)</f>
        <v>589.25151377973418</v>
      </c>
      <c r="AP58" s="442">
        <f ca="1">$O58-SUM($AS58:BS58)</f>
        <v>577.59954327450089</v>
      </c>
      <c r="AR58" s="439" t="s">
        <v>1202</v>
      </c>
      <c r="AS58" s="442">
        <f ca="1">IF($H58="",0,IF($H58=1,IF('Para Adj'!$B$5 = 1,O58-($O58-SUMPRODUCT($CX58:CX58,$BU58:BU58))*(1-SUM($DZ58:DZ58)),BU58*CX58),$O58*BU58))</f>
        <v>55.929437607526076</v>
      </c>
      <c r="AT58" s="442">
        <f ca="1">IF($H58="",0,IF($H58=1,IF('Para Adj'!$B$5 = 1,P58-($O58-SUMPRODUCT($CX58:CY58,$BU58:BV58))*(1-SUM($DZ58:EA58)),BV58*CY58),$O58*BV58))</f>
        <v>18.643145869175356</v>
      </c>
      <c r="AU58" s="442">
        <f ca="1">IF($H58="",0,IF($H58=1,IF('Para Adj'!$B$5 = 1,Q58-($O58-SUMPRODUCT($CX58:CZ58,$BU58:BW58))*(1-SUM($DZ58:EB58)),BW58*CZ58),$O58*BW58))</f>
        <v>18.643145869175356</v>
      </c>
      <c r="AV58" s="442">
        <f ca="1">IF($H58="",0,IF($H58=1,IF('Para Adj'!$B$5 = 1,R58-($O58-SUMPRODUCT($CX58:DA58,$BU58:BX58))*(1-SUM($DZ58:EC58)),BX58*DA58),$O58*BX58))</f>
        <v>18.643145869175356</v>
      </c>
      <c r="AW58" s="442">
        <f ca="1">IF($H58="",0,IF($H58=1,IF('Para Adj'!$B$5 = 1,S58-($O58-SUMPRODUCT($CX58:DB58,$BU58:BY58))*(1-SUM($DZ58:ED58)),BY58*DB58),$O58*BY58))</f>
        <v>18.643145869175356</v>
      </c>
      <c r="AX58" s="442">
        <f ca="1">IF($H58="",0,IF($H58=1,IF('Para Adj'!$B$5 = 1,T58-($O58-SUMPRODUCT($CX58:DC58,$BU58:BZ58))*(1-SUM($DZ58:EE58)),BZ58*DC58),$O58*BZ58))</f>
        <v>18.643145869175356</v>
      </c>
      <c r="AY58" s="442">
        <f ca="1">IF($H58="",0,IF($H58=1,IF('Para Adj'!$B$5 = 1,U58-($O58-SUMPRODUCT($CX58:DD58,$BU58:CA58))*(1-SUM($DZ58:EF58)),CA58*DD58),$O58*CA58))</f>
        <v>18.643145869175356</v>
      </c>
      <c r="AZ58" s="442">
        <f ca="1">IF($H58="",0,IF($H58=1,IF('Para Adj'!$B$5 = 1,V58-($O58-SUMPRODUCT($CX58:DE58,$BU58:CB58))*(1-SUM($DZ58:EG58)),CB58*DE58),$O58*CB58))</f>
        <v>15.979839316436022</v>
      </c>
      <c r="BA58" s="442">
        <f ca="1">IF($H58="",0,IF($H58=1,IF('Para Adj'!$B$5 = 1,W58-($O58-SUMPRODUCT($CX58:DF58,$BU58:CC58))*(1-SUM($DZ58:EH58)),CC58*DF58),$O58*CC58))</f>
        <v>15.979839316436022</v>
      </c>
      <c r="BB58" s="442">
        <f ca="1">IF($H58="",0,IF($H58=1,IF('Para Adj'!$B$5 = 1,X58-($O58-SUMPRODUCT($CX58:DG58,$BU58:CD58))*(1-SUM($DZ58:EI58)),CD58*DG58),$O58*CD58))</f>
        <v>15.979839316436022</v>
      </c>
      <c r="BC58" s="442">
        <f ca="1">IF($H58="",0,IF($H58=1,IF('Para Adj'!$B$5 = 1,Y58-($O58-SUMPRODUCT($CX58:DH58,$BU58:CE58))*(1-SUM($DZ58:EJ58)),CE58*DH58),$O58*CE58))</f>
        <v>15.979839316436022</v>
      </c>
      <c r="BD58" s="442">
        <f ca="1">IF($H58="",0,IF($H58=1,IF('Para Adj'!$B$5 = 1,Z58-($O58-SUMPRODUCT($CX58:DI58,$BU58:CF58))*(1-SUM($DZ58:EK58)),CF58*DI58),$O58*CF58))</f>
        <v>15.979839316436022</v>
      </c>
      <c r="BE58" s="442">
        <f ca="1">IF($H58="",0,IF($H58=1,IF('Para Adj'!$B$5 = 1,AA58-($O58-SUMPRODUCT($CX58:DJ58,$BU58:CG58))*(1-SUM($DZ58:EL58)),CG58*DJ58),$O58*CG58))</f>
        <v>15.979839316436022</v>
      </c>
      <c r="BF58" s="442">
        <f ca="1">IF($H58="",0,IF($H58=1,IF('Para Adj'!$B$5 = 1,AB58-($O58-SUMPRODUCT($CX58:DK58,$BU58:CH58))*(1-SUM($DZ58:EM58)),CH58*DK58),$O58*CH58))</f>
        <v>15.979839316436022</v>
      </c>
      <c r="BG58" s="442">
        <f ca="1">IF($H58="",0,IF($H58=1,IF('Para Adj'!$B$5 = 1,AC58-($O58-SUMPRODUCT($CX58:DL58,$BU58:CI58))*(1-SUM($DZ58:EN58)),CI58*DL58),$O58*CI58))</f>
        <v>34.955963559684577</v>
      </c>
      <c r="BH58" s="442">
        <f ca="1">IF($H58="",0,IF($H58=1,IF('Para Adj'!$B$5 = 1,AD58-($O58-SUMPRODUCT($CX58:DM58,$BU58:CJ58))*(1-SUM($DZ58:EO58)),CJ58*DM58),$O58*CJ58))</f>
        <v>34.955963559684577</v>
      </c>
      <c r="BI58" s="442">
        <f ca="1">IF($H58="",0,IF($H58=1,IF('Para Adj'!$B$5 = 1,AE58-($O58-SUMPRODUCT($CX58:DN58,$BU58:CK58))*(1-SUM($DZ58:EP58)),CK58*DN58),$O58*CK58))</f>
        <v>34.95591151569996</v>
      </c>
      <c r="BJ58" s="442">
        <f ca="1">IF($H58="",0,IF($H58=1,IF('Para Adj'!$B$5 = 1,AF58-($O58-SUMPRODUCT($CX58:DO58,$BU58:CL58))*(1-SUM($DZ58:EQ58)),CL58*DO58),$O58*CL58))</f>
        <v>34.95591151569996</v>
      </c>
      <c r="BK58" s="442">
        <f ca="1">IF($H58="",0,IF($H58=1,IF('Para Adj'!$B$5 = 1,AG58-($O58-SUMPRODUCT($CX58:DP58,$BU58:CM58))*(1-SUM($DZ58:ER58)),CM58*DP58),$O58*CM58))</f>
        <v>11.651970505233317</v>
      </c>
      <c r="BL58" s="442">
        <f ca="1">IF($H58="",0,IF($H58=1,IF('Para Adj'!$B$5 = 1,AH58-($O58-SUMPRODUCT($CX58:DQ58,$BU58:CN58))*(1-SUM($DZ58:ES58)),CN58*DQ58),$O58*CN58))</f>
        <v>11.651970505233317</v>
      </c>
      <c r="BM58" s="442">
        <f ca="1">IF($H58="",0,IF($H58=1,IF('Para Adj'!$B$5 = 1,AI58-($O58-SUMPRODUCT($CX58:DR58,$BU58:CO58))*(1-SUM($DZ58:ET58)),CO58*DR58),$O58*CO58))</f>
        <v>11.651970505233317</v>
      </c>
      <c r="BN58" s="442">
        <f ca="1">IF($H58="",0,IF($H58=1,IF('Para Adj'!$B$5 = 1,AJ58-($O58-SUMPRODUCT($CX58:DS58,$BU58:CP58))*(1-SUM($DZ58:EU58)),CP58*DS58),$O58*CP58))</f>
        <v>11.651970505233317</v>
      </c>
      <c r="BO58" s="442">
        <f ca="1">IF($H58="",0,IF($H58=1,IF('Para Adj'!$B$5 = 1,AK58-($O58-SUMPRODUCT($CX58:DT58,$BU58:CQ58))*(1-SUM($DZ58:EV58)),CQ58*DT58),$O58*CQ58))</f>
        <v>11.651970505233317</v>
      </c>
      <c r="BP58" s="442">
        <f ca="1">IF($H58="",0,IF($H58=1,IF('Para Adj'!$B$5 = 1,AL58-($O58-SUMPRODUCT($CX58:DU58,$BU58:CR58))*(1-SUM($DZ58:EW58)),CR58*DU58),$O58*CR58))</f>
        <v>11.651970505233317</v>
      </c>
      <c r="BQ58" s="442">
        <f ca="1">IF($H58="",0,IF($H58=1,IF('Para Adj'!$B$5 = 1,AM58-($O58-SUMPRODUCT($CX58:DV58,$BU58:CS58))*(1-SUM($DZ58:EX58)),CS58*DV58),$O58*CS58))</f>
        <v>11.651970505233317</v>
      </c>
      <c r="BR58" s="442">
        <f ca="1">IF($H58="",0,IF($H58=1,IF('Para Adj'!$B$5 = 1,AN58-($O58-SUMPRODUCT($CX58:DW58,$BU58:CT58))*(1-SUM($DZ58:EY58)),CT58*DW58),$O58*CT58))</f>
        <v>11.651970505233317</v>
      </c>
      <c r="BS58" s="442">
        <f ca="1">IF($H58="",0,IF($H58=1,IF('Para Adj'!$B$5 = 1,AO58-($O58-SUMPRODUCT($CX58:DX58,$BU58:CU58))*(1-SUM($DZ58:EZ58)),CU58*DX58),$O58*CU58))</f>
        <v>11.651970505233317</v>
      </c>
      <c r="BU58" s="820">
        <f ca="1">IF($B58=0,"",INDEX(Assumptions!G:G,$B58))</f>
        <v>5.0755511329882513E-2</v>
      </c>
      <c r="BV58" s="820">
        <f ca="1">IF($B58=0,"",INDEX(Assumptions!H:H,$B58))</f>
        <v>1.6918503776627503E-2</v>
      </c>
      <c r="BW58" s="820">
        <f ca="1">IF($B58=0,"",INDEX(Assumptions!I:I,$B58))</f>
        <v>1.6918503776627503E-2</v>
      </c>
      <c r="BX58" s="820">
        <f ca="1">IF($B58=0,"",INDEX(Assumptions!J:J,$B58))</f>
        <v>1.6918503776627503E-2</v>
      </c>
      <c r="BY58" s="820">
        <f ca="1">IF($B58=0,"",INDEX(Assumptions!K:K,$B58))</f>
        <v>1.6918503776627503E-2</v>
      </c>
      <c r="BZ58" s="820">
        <f ca="1">IF($B58=0,"",INDEX(Assumptions!L:L,$B58))</f>
        <v>1.6918503776627503E-2</v>
      </c>
      <c r="CA58" s="820">
        <f ca="1">IF($B58=0,"",INDEX(Assumptions!M:M,$B58))</f>
        <v>1.6918503776627503E-2</v>
      </c>
      <c r="CB58" s="820">
        <f ca="1">IF($B58=0,"",INDEX(Assumptions!N:N,$B58))</f>
        <v>1.4501574665680719E-2</v>
      </c>
      <c r="CC58" s="820">
        <f ca="1">IF($B58=0,"",INDEX(Assumptions!O:O,$B58))</f>
        <v>1.4501574665680719E-2</v>
      </c>
      <c r="CD58" s="820">
        <f ca="1">IF($B58=0,"",INDEX(Assumptions!P:P,$B58))</f>
        <v>1.4501574665680719E-2</v>
      </c>
      <c r="CE58" s="820">
        <f ca="1">IF($B58=0,"",INDEX(Assumptions!Q:Q,$B58))</f>
        <v>1.4501574665680719E-2</v>
      </c>
      <c r="CF58" s="820">
        <f ca="1">IF($B58=0,"",INDEX(Assumptions!R:R,$B58))</f>
        <v>1.4501574665680719E-2</v>
      </c>
      <c r="CG58" s="820">
        <f ca="1">IF($B58=0,"",INDEX(Assumptions!S:S,$B58))</f>
        <v>1.4501574665680719E-2</v>
      </c>
      <c r="CH58" s="820">
        <f ca="1">IF($B58=0,"",INDEX(Assumptions!T:T,$B58))</f>
        <v>1.4501574665680719E-2</v>
      </c>
      <c r="CI58" s="820">
        <f ca="1">IF($B58=0,"",INDEX(Assumptions!U:U,$B58))</f>
        <v>3.1722253618044371E-2</v>
      </c>
      <c r="CJ58" s="820">
        <f ca="1">IF($B58=0,"",INDEX(Assumptions!V:V,$B58))</f>
        <v>3.1722253618044371E-2</v>
      </c>
      <c r="CK58" s="820">
        <f ca="1">IF($B58=0,"",INDEX(Assumptions!W:W,$B58))</f>
        <v>3.1722206388550139E-2</v>
      </c>
      <c r="CL58" s="820">
        <f ca="1">IF($B58=0,"",INDEX(Assumptions!X:X,$B58))</f>
        <v>3.1722206388550139E-2</v>
      </c>
      <c r="CM58" s="820">
        <f ca="1">IF($B58=0,"",INDEX(Assumptions!Y:Y,$B58))</f>
        <v>1.0574068796183377E-2</v>
      </c>
      <c r="CN58" s="820">
        <f ca="1">IF($B58=0,"",INDEX(Assumptions!Z:Z,$B58))</f>
        <v>1.0574068796183377E-2</v>
      </c>
      <c r="CO58" s="820">
        <f ca="1">IF($B58=0,"",INDEX(Assumptions!AA:AA,$B58))</f>
        <v>1.0574068796183377E-2</v>
      </c>
      <c r="CP58" s="820">
        <f ca="1">IF($B58=0,"",INDEX(Assumptions!AB:AB,$B58))</f>
        <v>1.0574068796183377E-2</v>
      </c>
      <c r="CQ58" s="820">
        <f ca="1">IF($B58=0,"",INDEX(Assumptions!AC:AC,$B58))</f>
        <v>1.0574068796183377E-2</v>
      </c>
      <c r="CR58" s="820">
        <f ca="1">IF($B58=0,"",INDEX(Assumptions!AD:AD,$B58))</f>
        <v>1.0574068796183377E-2</v>
      </c>
      <c r="CS58" s="820">
        <f ca="1">IF($B58=0,"",INDEX(Assumptions!AE:AE,$B58))</f>
        <v>1.0574068796183377E-2</v>
      </c>
      <c r="CT58" s="820">
        <f ca="1">IF($B58=0,"",INDEX(Assumptions!AF:AF,$B58))</f>
        <v>1.0574068796183377E-2</v>
      </c>
      <c r="CU58" s="820">
        <f ca="1">IF($B58=0,"",INDEX(Assumptions!AG:AG,$B58))</f>
        <v>1.0574068796183377E-2</v>
      </c>
      <c r="CX58" s="442">
        <f>IF($A58="","",INDEX('Data Interface'!G:G,$A58))</f>
        <v>1101.9382160099999</v>
      </c>
      <c r="CY58" s="442">
        <f>IF($A58="","",INDEX('Data Interface'!H:H,$A58))</f>
        <v>0</v>
      </c>
      <c r="CZ58" s="442">
        <f>IF($A58="","",INDEX('Data Interface'!I:I,$A58))</f>
        <v>0</v>
      </c>
      <c r="DA58" s="442">
        <f>IF($A58="","",INDEX('Data Interface'!J:J,$A58))</f>
        <v>0</v>
      </c>
      <c r="DB58" s="442">
        <f>IF($A58="","",INDEX('Data Interface'!K:K,$A58))</f>
        <v>0</v>
      </c>
      <c r="DC58" s="442">
        <f>IF($A58="","",INDEX('Data Interface'!L:L,$A58))</f>
        <v>0</v>
      </c>
      <c r="DD58" s="442">
        <f>IF($A58="","",INDEX('Data Interface'!M:M,$A58))</f>
        <v>0</v>
      </c>
      <c r="DE58" s="442">
        <f>IF($A58="","",INDEX('Data Interface'!N:N,$A58))</f>
        <v>0</v>
      </c>
      <c r="DF58" s="442">
        <f>IF($A58="","",INDEX('Data Interface'!O:O,$A58))</f>
        <v>0</v>
      </c>
      <c r="DG58" s="442">
        <f>IF($A58="","",INDEX('Data Interface'!P:P,$A58))</f>
        <v>0</v>
      </c>
      <c r="DH58" s="442">
        <f>IF($A58="","",INDEX('Data Interface'!Q:Q,$A58))</f>
        <v>0</v>
      </c>
      <c r="DI58" s="442">
        <f>IF($A58="","",INDEX('Data Interface'!R:R,$A58))</f>
        <v>0</v>
      </c>
      <c r="DJ58" s="442">
        <f>IF($A58="","",INDEX('Data Interface'!S:S,$A58))</f>
        <v>0</v>
      </c>
      <c r="DK58" s="442">
        <f>IF($A58="","",INDEX('Data Interface'!T:T,$A58))</f>
        <v>0</v>
      </c>
      <c r="DL58" s="442">
        <f>IF($A58="","",INDEX('Data Interface'!U:U,$A58))</f>
        <v>0</v>
      </c>
      <c r="DM58" s="442">
        <f>IF($A58="","",INDEX('Data Interface'!V:V,$A58))</f>
        <v>0</v>
      </c>
      <c r="DN58" s="442">
        <f>IF($A58="","",INDEX('Data Interface'!W:W,$A58))</f>
        <v>0</v>
      </c>
      <c r="DO58" s="442">
        <f>IF($A58="","",INDEX('Data Interface'!X:X,$A58))</f>
        <v>0</v>
      </c>
      <c r="DP58" s="442">
        <f>IF($A58="","",INDEX('Data Interface'!Y:Y,$A58))</f>
        <v>0</v>
      </c>
      <c r="DQ58" s="442">
        <f>IF($A58="","",INDEX('Data Interface'!Z:Z,$A58))</f>
        <v>0</v>
      </c>
      <c r="DR58" s="442">
        <f>IF($A58="","",INDEX('Data Interface'!AA:AA,$A58))</f>
        <v>0</v>
      </c>
      <c r="DS58" s="442">
        <f>IF($A58="","",INDEX('Data Interface'!AB:AB,$A58))</f>
        <v>0</v>
      </c>
      <c r="DT58" s="442">
        <f>IF($A58="","",INDEX('Data Interface'!AC:AC,$A58))</f>
        <v>0</v>
      </c>
      <c r="DU58" s="442">
        <f>IF($A58="","",INDEX('Data Interface'!AD:AD,$A58))</f>
        <v>0</v>
      </c>
      <c r="DV58" s="442">
        <f>IF($A58="","",INDEX('Data Interface'!AE:AE,$A58))</f>
        <v>0</v>
      </c>
      <c r="DW58" s="442">
        <f>IF($A58="","",INDEX('Data Interface'!AF:AF,$A58))</f>
        <v>0</v>
      </c>
      <c r="DX58" s="442">
        <f>IF($A58="","",INDEX('Data Interface'!AG:AG,$A58))</f>
        <v>0</v>
      </c>
      <c r="DZ58" s="906" t="str">
        <f>IF(OR($B58=0,$A58=0,$H58&lt;&gt;1),"",INDEX(Assumptions!EO:EO,$B58))</f>
        <v/>
      </c>
      <c r="EA58" s="906" t="str">
        <f>IF(OR($B58=0,$A58=0,$H58&lt;&gt;1),"",INDEX(Assumptions!EP:EP,$B58))</f>
        <v/>
      </c>
      <c r="EB58" s="906" t="str">
        <f>IF(OR($B58=0,$A58=0,$H58&lt;&gt;1),"",INDEX(Assumptions!EQ:EQ,$B58))</f>
        <v/>
      </c>
      <c r="EC58" s="906" t="str">
        <f>IF(OR($B58=0,$A58=0,$H58&lt;&gt;1),"",INDEX(Assumptions!ER:ER,$B58))</f>
        <v/>
      </c>
      <c r="ED58" s="906" t="str">
        <f>IF(OR($B58=0,$A58=0,$H58&lt;&gt;1),"",INDEX(Assumptions!ES:ES,$B58))</f>
        <v/>
      </c>
      <c r="EE58" s="906" t="str">
        <f>IF(OR($B58=0,$A58=0,$H58&lt;&gt;1),"",INDEX(Assumptions!ET:ET,$B58))</f>
        <v/>
      </c>
      <c r="EF58" s="906" t="str">
        <f>IF(OR($B58=0,$A58=0,$H58&lt;&gt;1),"",INDEX(Assumptions!EU:EU,$B58))</f>
        <v/>
      </c>
      <c r="EG58" s="906" t="str">
        <f>IF(OR($B58=0,$A58=0,$H58&lt;&gt;1),"",INDEX(Assumptions!EV:EV,$B58))</f>
        <v/>
      </c>
      <c r="EH58" s="906" t="str">
        <f>IF(OR($B58=0,$A58=0,$H58&lt;&gt;1),"",INDEX(Assumptions!EW:EW,$B58))</f>
        <v/>
      </c>
      <c r="EI58" s="906" t="str">
        <f>IF(OR($B58=0,$A58=0,$H58&lt;&gt;1),"",INDEX(Assumptions!EX:EX,$B58))</f>
        <v/>
      </c>
      <c r="EJ58" s="906" t="str">
        <f>IF(OR($B58=0,$A58=0,$H58&lt;&gt;1),"",INDEX(Assumptions!EY:EY,$B58))</f>
        <v/>
      </c>
      <c r="EK58" s="906" t="str">
        <f>IF(OR($B58=0,$A58=0,$H58&lt;&gt;1),"",INDEX(Assumptions!EZ:EZ,$B58))</f>
        <v/>
      </c>
      <c r="EL58" s="906" t="str">
        <f>IF(OR($B58=0,$A58=0,$H58&lt;&gt;1),"",INDEX(Assumptions!FA:FA,$B58))</f>
        <v/>
      </c>
      <c r="EM58" s="906" t="str">
        <f>IF(OR($B58=0,$A58=0,$H58&lt;&gt;1),"",INDEX(Assumptions!FB:FB,$B58))</f>
        <v/>
      </c>
      <c r="EN58" s="906" t="str">
        <f>IF(OR($B58=0,$A58=0,$H58&lt;&gt;1),"",INDEX(Assumptions!FC:FC,$B58))</f>
        <v/>
      </c>
      <c r="EO58" s="906" t="str">
        <f>IF(OR($B58=0,$A58=0,$H58&lt;&gt;1),"",INDEX(Assumptions!FD:FD,$B58))</f>
        <v/>
      </c>
      <c r="EP58" s="906" t="str">
        <f>IF(OR($B58=0,$A58=0,$H58&lt;&gt;1),"",INDEX(Assumptions!FE:FE,$B58))</f>
        <v/>
      </c>
      <c r="EQ58" s="906" t="str">
        <f>IF(OR($B58=0,$A58=0,$H58&lt;&gt;1),"",INDEX(Assumptions!FF:FF,$B58))</f>
        <v/>
      </c>
      <c r="ER58" s="906" t="str">
        <f>IF(OR($B58=0,$A58=0,$H58&lt;&gt;1),"",INDEX(Assumptions!FG:FG,$B58))</f>
        <v/>
      </c>
      <c r="ES58" s="906" t="str">
        <f>IF(OR($B58=0,$A58=0,$H58&lt;&gt;1),"",INDEX(Assumptions!FH:FH,$B58))</f>
        <v/>
      </c>
      <c r="ET58" s="906" t="str">
        <f>IF(OR($B58=0,$A58=0,$H58&lt;&gt;1),"",INDEX(Assumptions!FI:FI,$B58))</f>
        <v/>
      </c>
      <c r="EU58" s="906" t="str">
        <f>IF(OR($B58=0,$A58=0,$H58&lt;&gt;1),"",INDEX(Assumptions!FJ:FJ,$B58))</f>
        <v/>
      </c>
      <c r="EV58" s="906" t="str">
        <f>IF(OR($B58=0,$A58=0,$H58&lt;&gt;1),"",INDEX(Assumptions!FK:FK,$B58))</f>
        <v/>
      </c>
      <c r="EW58" s="906" t="str">
        <f>IF(OR($B58=0,$A58=0,$H58&lt;&gt;1),"",INDEX(Assumptions!FL:FL,$B58))</f>
        <v/>
      </c>
      <c r="EX58" s="906" t="str">
        <f>IF(OR($B58=0,$A58=0,$H58&lt;&gt;1),"",INDEX(Assumptions!FM:FM,$B58))</f>
        <v/>
      </c>
      <c r="EY58" s="906" t="str">
        <f>IF(OR($B58=0,$A58=0,$H58&lt;&gt;1),"",INDEX(Assumptions!FN:FN,$B58))</f>
        <v/>
      </c>
      <c r="EZ58" s="906" t="str">
        <f>IF(OR($B58=0,$A58=0,$H58&lt;&gt;1),"",INDEX(Assumptions!FO:FO,$B58))</f>
        <v/>
      </c>
      <c r="FB58" s="820" t="str">
        <f t="shared" ref="FB58" si="45">IF(AND(DZ58&lt;&gt;0,DZ58&lt;&gt;""),SUM(AS58:BF58),"")</f>
        <v/>
      </c>
      <c r="FC58" s="820" t="str">
        <f t="shared" ref="FC58" si="46">IF(AND($DZ58&lt;&gt;0,$DZ58&lt;&gt;""),SUM(DZ58:EM58),"")</f>
        <v/>
      </c>
      <c r="FD58" s="820" t="str">
        <f t="shared" ref="FD58" si="47">IF(AND($DZ58&lt;&gt;"",$DZ58&lt;&gt;0),SUM(DZ58:EM58)*O58,"")</f>
        <v/>
      </c>
      <c r="FE58" s="820" t="str">
        <f t="shared" ref="FE58" si="48">IF(AND($DZ58&lt;&gt;0,$DZ58&lt;&gt;""),SUMPRODUCT(CX58:DK58,BU58:CH58)*(1-SUM(DZ58:EM58)),"")</f>
        <v/>
      </c>
      <c r="FF58" s="820" t="str">
        <f t="shared" ref="FF58" si="49">IF(AND($DZ58&lt;&gt;"",$DZ58&lt;&gt;0),FB58-FD58-FE58,"")</f>
        <v/>
      </c>
    </row>
    <row r="59" spans="1:162">
      <c r="A59" s="440">
        <f>IFERROR(MATCH(C59,'Data Interface'!B:B,0),0)</f>
        <v>58</v>
      </c>
      <c r="B59" s="440">
        <f>IFERROR(MATCH(C59,Assumptions!$B:$B,0),0)</f>
        <v>66</v>
      </c>
      <c r="C59" s="441" t="s">
        <v>1337</v>
      </c>
      <c r="E59" s="441" t="s">
        <v>1219</v>
      </c>
      <c r="F59" s="440" t="s">
        <v>24</v>
      </c>
      <c r="G59" s="440" t="str">
        <f>IF(A59=0,"",INDEX('Data Interface'!$C:$C,$A59))</f>
        <v>ESCROW Deposits</v>
      </c>
      <c r="H59" s="440">
        <v>0</v>
      </c>
      <c r="I59" s="819">
        <f t="shared" ca="1" si="23"/>
        <v>8.0000000000000016E-2</v>
      </c>
      <c r="J59" s="819">
        <f t="shared" ca="1" si="24"/>
        <v>0.16000000000000003</v>
      </c>
      <c r="K59" s="439" t="str">
        <f t="shared" ca="1" si="25"/>
        <v>8% of Current Balance</v>
      </c>
      <c r="L59" s="439" t="s">
        <v>1148</v>
      </c>
      <c r="M59" s="439" t="s">
        <v>1509</v>
      </c>
      <c r="O59" s="442">
        <f>IF(OR($A59="",$A59=0),0,INDEX('Data Interface'!D:D,$A59))</f>
        <v>147.44580615999999</v>
      </c>
      <c r="P59" s="442">
        <f ca="1">$O59-SUM($AS59:AS59)</f>
        <v>145.08667326143998</v>
      </c>
      <c r="Q59" s="442">
        <f ca="1">$O59-SUM($AS59:AT59)</f>
        <v>144.30029562858667</v>
      </c>
      <c r="R59" s="442">
        <f ca="1">$O59-SUM($AS59:AU59)</f>
        <v>143.51391799573332</v>
      </c>
      <c r="S59" s="442">
        <f ca="1">$O59-SUM($AS59:AV59)</f>
        <v>142.72754036287998</v>
      </c>
      <c r="T59" s="442">
        <f ca="1">$O59-SUM($AS59:AW59)</f>
        <v>141.94116273002666</v>
      </c>
      <c r="U59" s="442">
        <f ca="1">$O59-SUM($AS59:AX59)</f>
        <v>141.15478509717332</v>
      </c>
      <c r="V59" s="442">
        <f ca="1">$O59-SUM($AS59:AY59)</f>
        <v>140.36840746432</v>
      </c>
      <c r="W59" s="442">
        <f ca="1">$O59-SUM($AS59:AZ59)</f>
        <v>139.69436949330284</v>
      </c>
      <c r="X59" s="442">
        <f ca="1">$O59-SUM($AS59:BA59)</f>
        <v>139.02033152228572</v>
      </c>
      <c r="Y59" s="442">
        <f ca="1">$O59-SUM($AS59:BB59)</f>
        <v>138.34629355126856</v>
      </c>
      <c r="Z59" s="442">
        <f ca="1">$O59-SUM($AS59:BC59)</f>
        <v>137.67225558025143</v>
      </c>
      <c r="AA59" s="442">
        <f ca="1">$O59-SUM($AS59:BD59)</f>
        <v>136.99821760923427</v>
      </c>
      <c r="AB59" s="442">
        <f ca="1">$O59-SUM($AS59:BE59)</f>
        <v>136.32417963821715</v>
      </c>
      <c r="AC59" s="442">
        <f ca="1">$O59-SUM($AS59:BF59)</f>
        <v>135.65014166719999</v>
      </c>
      <c r="AD59" s="442">
        <f ca="1">$O59-SUM($AS59:BG59)</f>
        <v>129.7523094208</v>
      </c>
      <c r="AE59" s="442">
        <f ca="1">$O59-SUM($AS59:BH59)</f>
        <v>123.85447717439999</v>
      </c>
      <c r="AF59" s="442">
        <f ca="1">$O59-SUM($AS59:BI59)</f>
        <v>117.956644928</v>
      </c>
      <c r="AG59" s="442">
        <f ca="1">$O59-SUM($AS59:BJ59)</f>
        <v>112.05881268159999</v>
      </c>
      <c r="AH59" s="442">
        <f ca="1">$O59-SUM($AS59:BK59)</f>
        <v>110.7481832935111</v>
      </c>
      <c r="AI59" s="442">
        <f ca="1">$O59-SUM($AS59:BL59)</f>
        <v>109.43755390542222</v>
      </c>
      <c r="AJ59" s="442">
        <f ca="1">$O59-SUM($AS59:BM59)</f>
        <v>108.12692451733332</v>
      </c>
      <c r="AK59" s="442">
        <f ca="1">$O59-SUM($AS59:BN59)</f>
        <v>106.81629512924442</v>
      </c>
      <c r="AL59" s="442">
        <f ca="1">$O59-SUM($AS59:BO59)</f>
        <v>105.50566574115554</v>
      </c>
      <c r="AM59" s="442">
        <f ca="1">$O59-SUM($AS59:BP59)</f>
        <v>104.19503635306666</v>
      </c>
      <c r="AN59" s="442">
        <f ca="1">$O59-SUM($AS59:BQ59)</f>
        <v>102.88440696497776</v>
      </c>
      <c r="AO59" s="442">
        <f ca="1">$O59-SUM($AS59:BR59)</f>
        <v>101.57377757688886</v>
      </c>
      <c r="AP59" s="442">
        <f ca="1">$O59-SUM($AS59:BS59)</f>
        <v>100.26314818879997</v>
      </c>
      <c r="AR59" s="439" t="s">
        <v>1202</v>
      </c>
      <c r="AS59" s="442">
        <f ca="1">IF($H59="",0,IF($H59=1,IF('Para Adj'!$B$5 = 1,O59-($O59-SUMPRODUCT($CX59:CX59,$BU59:BU59))*(1-SUM($DZ59:DZ59)),BU59*CX59),$O59*BU59))</f>
        <v>2.35913289856</v>
      </c>
      <c r="AT59" s="442">
        <f ca="1">IF($H59="",0,IF($H59=1,IF('Para Adj'!$B$5 = 1,P59-($O59-SUMPRODUCT($CX59:CY59,$BU59:BV59))*(1-SUM($DZ59:EA59)),BV59*CY59),$O59*BV59))</f>
        <v>0.78637763285333329</v>
      </c>
      <c r="AU59" s="442">
        <f ca="1">IF($H59="",0,IF($H59=1,IF('Para Adj'!$B$5 = 1,Q59-($O59-SUMPRODUCT($CX59:CZ59,$BU59:BW59))*(1-SUM($DZ59:EB59)),BW59*CZ59),$O59*BW59))</f>
        <v>0.78637763285333329</v>
      </c>
      <c r="AV59" s="442">
        <f ca="1">IF($H59="",0,IF($H59=1,IF('Para Adj'!$B$5 = 1,R59-($O59-SUMPRODUCT($CX59:DA59,$BU59:BX59))*(1-SUM($DZ59:EC59)),BX59*DA59),$O59*BX59))</f>
        <v>0.78637763285333329</v>
      </c>
      <c r="AW59" s="442">
        <f ca="1">IF($H59="",0,IF($H59=1,IF('Para Adj'!$B$5 = 1,S59-($O59-SUMPRODUCT($CX59:DB59,$BU59:BY59))*(1-SUM($DZ59:ED59)),BY59*DB59),$O59*BY59))</f>
        <v>0.78637763285333329</v>
      </c>
      <c r="AX59" s="442">
        <f ca="1">IF($H59="",0,IF($H59=1,IF('Para Adj'!$B$5 = 1,T59-($O59-SUMPRODUCT($CX59:DC59,$BU59:BZ59))*(1-SUM($DZ59:EE59)),BZ59*DC59),$O59*BZ59))</f>
        <v>0.78637763285333329</v>
      </c>
      <c r="AY59" s="442">
        <f ca="1">IF($H59="",0,IF($H59=1,IF('Para Adj'!$B$5 = 1,U59-($O59-SUMPRODUCT($CX59:DD59,$BU59:CA59))*(1-SUM($DZ59:EF59)),CA59*DD59),$O59*CA59))</f>
        <v>0.78637763285333329</v>
      </c>
      <c r="AZ59" s="442">
        <f ca="1">IF($H59="",0,IF($H59=1,IF('Para Adj'!$B$5 = 1,V59-($O59-SUMPRODUCT($CX59:DE59,$BU59:CB59))*(1-SUM($DZ59:EG59)),CB59*DE59),$O59*CB59))</f>
        <v>0.67403797101714291</v>
      </c>
      <c r="BA59" s="442">
        <f ca="1">IF($H59="",0,IF($H59=1,IF('Para Adj'!$B$5 = 1,W59-($O59-SUMPRODUCT($CX59:DF59,$BU59:CC59))*(1-SUM($DZ59:EH59)),CC59*DF59),$O59*CC59))</f>
        <v>0.67403797101714291</v>
      </c>
      <c r="BB59" s="442">
        <f ca="1">IF($H59="",0,IF($H59=1,IF('Para Adj'!$B$5 = 1,X59-($O59-SUMPRODUCT($CX59:DG59,$BU59:CD59))*(1-SUM($DZ59:EI59)),CD59*DG59),$O59*CD59))</f>
        <v>0.67403797101714291</v>
      </c>
      <c r="BC59" s="442">
        <f ca="1">IF($H59="",0,IF($H59=1,IF('Para Adj'!$B$5 = 1,Y59-($O59-SUMPRODUCT($CX59:DH59,$BU59:CE59))*(1-SUM($DZ59:EJ59)),CE59*DH59),$O59*CE59))</f>
        <v>0.67403797101714291</v>
      </c>
      <c r="BD59" s="442">
        <f ca="1">IF($H59="",0,IF($H59=1,IF('Para Adj'!$B$5 = 1,Z59-($O59-SUMPRODUCT($CX59:DI59,$BU59:CF59))*(1-SUM($DZ59:EK59)),CF59*DI59),$O59*CF59))</f>
        <v>0.67403797101714291</v>
      </c>
      <c r="BE59" s="442">
        <f ca="1">IF($H59="",0,IF($H59=1,IF('Para Adj'!$B$5 = 1,AA59-($O59-SUMPRODUCT($CX59:DJ59,$BU59:CG59))*(1-SUM($DZ59:EL59)),CG59*DJ59),$O59*CG59))</f>
        <v>0.67403797101714291</v>
      </c>
      <c r="BF59" s="442">
        <f ca="1">IF($H59="",0,IF($H59=1,IF('Para Adj'!$B$5 = 1,AB59-($O59-SUMPRODUCT($CX59:DK59,$BU59:CH59))*(1-SUM($DZ59:EM59)),CH59*DK59),$O59*CH59))</f>
        <v>0.67403797101714291</v>
      </c>
      <c r="BG59" s="442">
        <f ca="1">IF($H59="",0,IF($H59=1,IF('Para Adj'!$B$5 = 1,AC59-($O59-SUMPRODUCT($CX59:DL59,$BU59:CI59))*(1-SUM($DZ59:EN59)),CI59*DL59),$O59*CI59))</f>
        <v>5.8978322463999993</v>
      </c>
      <c r="BH59" s="442">
        <f ca="1">IF($H59="",0,IF($H59=1,IF('Para Adj'!$B$5 = 1,AD59-($O59-SUMPRODUCT($CX59:DM59,$BU59:CJ59))*(1-SUM($DZ59:EO59)),CJ59*DM59),$O59*CJ59))</f>
        <v>5.8978322463999993</v>
      </c>
      <c r="BI59" s="442">
        <f ca="1">IF($H59="",0,IF($H59=1,IF('Para Adj'!$B$5 = 1,AE59-($O59-SUMPRODUCT($CX59:DN59,$BU59:CK59))*(1-SUM($DZ59:EP59)),CK59*DN59),$O59*CK59))</f>
        <v>5.8978322463999984</v>
      </c>
      <c r="BJ59" s="442">
        <f ca="1">IF($H59="",0,IF($H59=1,IF('Para Adj'!$B$5 = 1,AF59-($O59-SUMPRODUCT($CX59:DO59,$BU59:CL59))*(1-SUM($DZ59:EQ59)),CL59*DO59),$O59*CL59))</f>
        <v>5.8978322463999984</v>
      </c>
      <c r="BK59" s="442">
        <f ca="1">IF($H59="",0,IF($H59=1,IF('Para Adj'!$B$5 = 1,AG59-($O59-SUMPRODUCT($CX59:DP59,$BU59:CM59))*(1-SUM($DZ59:ER59)),CM59*DP59),$O59*CM59))</f>
        <v>1.3106293880888891</v>
      </c>
      <c r="BL59" s="442">
        <f ca="1">IF($H59="",0,IF($H59=1,IF('Para Adj'!$B$5 = 1,AH59-($O59-SUMPRODUCT($CX59:DQ59,$BU59:CN59))*(1-SUM($DZ59:ES59)),CN59*DQ59),$O59*CN59))</f>
        <v>1.3106293880888891</v>
      </c>
      <c r="BM59" s="442">
        <f ca="1">IF($H59="",0,IF($H59=1,IF('Para Adj'!$B$5 = 1,AI59-($O59-SUMPRODUCT($CX59:DR59,$BU59:CO59))*(1-SUM($DZ59:ET59)),CO59*DR59),$O59*CO59))</f>
        <v>1.3106293880888891</v>
      </c>
      <c r="BN59" s="442">
        <f ca="1">IF($H59="",0,IF($H59=1,IF('Para Adj'!$B$5 = 1,AJ59-($O59-SUMPRODUCT($CX59:DS59,$BU59:CP59))*(1-SUM($DZ59:EU59)),CP59*DS59),$O59*CP59))</f>
        <v>1.3106293880888891</v>
      </c>
      <c r="BO59" s="442">
        <f ca="1">IF($H59="",0,IF($H59=1,IF('Para Adj'!$B$5 = 1,AK59-($O59-SUMPRODUCT($CX59:DT59,$BU59:CQ59))*(1-SUM($DZ59:EV59)),CQ59*DT59),$O59*CQ59))</f>
        <v>1.3106293880888891</v>
      </c>
      <c r="BP59" s="442">
        <f ca="1">IF($H59="",0,IF($H59=1,IF('Para Adj'!$B$5 = 1,AL59-($O59-SUMPRODUCT($CX59:DU59,$BU59:CR59))*(1-SUM($DZ59:EW59)),CR59*DU59),$O59*CR59))</f>
        <v>1.3106293880888891</v>
      </c>
      <c r="BQ59" s="442">
        <f ca="1">IF($H59="",0,IF($H59=1,IF('Para Adj'!$B$5 = 1,AM59-($O59-SUMPRODUCT($CX59:DV59,$BU59:CS59))*(1-SUM($DZ59:EX59)),CS59*DV59),$O59*CS59))</f>
        <v>1.3106293880888891</v>
      </c>
      <c r="BR59" s="442">
        <f ca="1">IF($H59="",0,IF($H59=1,IF('Para Adj'!$B$5 = 1,AN59-($O59-SUMPRODUCT($CX59:DW59,$BU59:CT59))*(1-SUM($DZ59:EY59)),CT59*DW59),$O59*CT59))</f>
        <v>1.3106293880888891</v>
      </c>
      <c r="BS59" s="442">
        <f ca="1">IF($H59="",0,IF($H59=1,IF('Para Adj'!$B$5 = 1,AO59-($O59-SUMPRODUCT($CX59:DX59,$BU59:CU59))*(1-SUM($DZ59:EZ59)),CU59*DX59),$O59*CU59))</f>
        <v>1.3106293880888891</v>
      </c>
      <c r="BU59" s="820">
        <f ca="1">IF($B59=0,"",INDEX(Assumptions!G:G,$B59))</f>
        <v>1.6E-2</v>
      </c>
      <c r="BV59" s="820">
        <f ca="1">IF($B59=0,"",INDEX(Assumptions!H:H,$B59))</f>
        <v>5.3333333333333332E-3</v>
      </c>
      <c r="BW59" s="820">
        <f ca="1">IF($B59=0,"",INDEX(Assumptions!I:I,$B59))</f>
        <v>5.3333333333333332E-3</v>
      </c>
      <c r="BX59" s="820">
        <f ca="1">IF($B59=0,"",INDEX(Assumptions!J:J,$B59))</f>
        <v>5.3333333333333332E-3</v>
      </c>
      <c r="BY59" s="820">
        <f ca="1">IF($B59=0,"",INDEX(Assumptions!K:K,$B59))</f>
        <v>5.3333333333333332E-3</v>
      </c>
      <c r="BZ59" s="820">
        <f ca="1">IF($B59=0,"",INDEX(Assumptions!L:L,$B59))</f>
        <v>5.3333333333333332E-3</v>
      </c>
      <c r="CA59" s="820">
        <f ca="1">IF($B59=0,"",INDEX(Assumptions!M:M,$B59))</f>
        <v>5.3333333333333332E-3</v>
      </c>
      <c r="CB59" s="820">
        <f ca="1">IF($B59=0,"",INDEX(Assumptions!N:N,$B59))</f>
        <v>4.5714285714285718E-3</v>
      </c>
      <c r="CC59" s="820">
        <f ca="1">IF($B59=0,"",INDEX(Assumptions!O:O,$B59))</f>
        <v>4.5714285714285718E-3</v>
      </c>
      <c r="CD59" s="820">
        <f ca="1">IF($B59=0,"",INDEX(Assumptions!P:P,$B59))</f>
        <v>4.5714285714285718E-3</v>
      </c>
      <c r="CE59" s="820">
        <f ca="1">IF($B59=0,"",INDEX(Assumptions!Q:Q,$B59))</f>
        <v>4.5714285714285718E-3</v>
      </c>
      <c r="CF59" s="820">
        <f ca="1">IF($B59=0,"",INDEX(Assumptions!R:R,$B59))</f>
        <v>4.5714285714285718E-3</v>
      </c>
      <c r="CG59" s="820">
        <f ca="1">IF($B59=0,"",INDEX(Assumptions!S:S,$B59))</f>
        <v>4.5714285714285718E-3</v>
      </c>
      <c r="CH59" s="820">
        <f ca="1">IF($B59=0,"",INDEX(Assumptions!T:T,$B59))</f>
        <v>4.5714285714285718E-3</v>
      </c>
      <c r="CI59" s="820">
        <f ca="1">IF($B59=0,"",INDEX(Assumptions!U:U,$B59))</f>
        <v>0.04</v>
      </c>
      <c r="CJ59" s="820">
        <f ca="1">IF($B59=0,"",INDEX(Assumptions!V:V,$B59))</f>
        <v>0.04</v>
      </c>
      <c r="CK59" s="820">
        <f ca="1">IF($B59=0,"",INDEX(Assumptions!W:W,$B59))</f>
        <v>3.9999999999999994E-2</v>
      </c>
      <c r="CL59" s="820">
        <f ca="1">IF($B59=0,"",INDEX(Assumptions!X:X,$B59))</f>
        <v>3.9999999999999994E-2</v>
      </c>
      <c r="CM59" s="820">
        <f ca="1">IF($B59=0,"",INDEX(Assumptions!Y:Y,$B59))</f>
        <v>8.8888888888888906E-3</v>
      </c>
      <c r="CN59" s="820">
        <f ca="1">IF($B59=0,"",INDEX(Assumptions!Z:Z,$B59))</f>
        <v>8.8888888888888906E-3</v>
      </c>
      <c r="CO59" s="820">
        <f ca="1">IF($B59=0,"",INDEX(Assumptions!AA:AA,$B59))</f>
        <v>8.8888888888888906E-3</v>
      </c>
      <c r="CP59" s="820">
        <f ca="1">IF($B59=0,"",INDEX(Assumptions!AB:AB,$B59))</f>
        <v>8.8888888888888906E-3</v>
      </c>
      <c r="CQ59" s="820">
        <f ca="1">IF($B59=0,"",INDEX(Assumptions!AC:AC,$B59))</f>
        <v>8.8888888888888906E-3</v>
      </c>
      <c r="CR59" s="820">
        <f ca="1">IF($B59=0,"",INDEX(Assumptions!AD:AD,$B59))</f>
        <v>8.8888888888888906E-3</v>
      </c>
      <c r="CS59" s="820">
        <f ca="1">IF($B59=0,"",INDEX(Assumptions!AE:AE,$B59))</f>
        <v>8.8888888888888906E-3</v>
      </c>
      <c r="CT59" s="820">
        <f ca="1">IF($B59=0,"",INDEX(Assumptions!AF:AF,$B59))</f>
        <v>8.8888888888888906E-3</v>
      </c>
      <c r="CU59" s="820">
        <f ca="1">IF($B59=0,"",INDEX(Assumptions!AG:AG,$B59))</f>
        <v>8.8888888888888906E-3</v>
      </c>
      <c r="CX59" s="442">
        <f>IF($A59="","",INDEX('Data Interface'!G:G,$A59))</f>
        <v>147.44580615999999</v>
      </c>
      <c r="CY59" s="442">
        <f>IF($A59="","",INDEX('Data Interface'!H:H,$A59))</f>
        <v>0</v>
      </c>
      <c r="CZ59" s="442">
        <f>IF($A59="","",INDEX('Data Interface'!I:I,$A59))</f>
        <v>0</v>
      </c>
      <c r="DA59" s="442">
        <f>IF($A59="","",INDEX('Data Interface'!J:J,$A59))</f>
        <v>0</v>
      </c>
      <c r="DB59" s="442">
        <f>IF($A59="","",INDEX('Data Interface'!K:K,$A59))</f>
        <v>0</v>
      </c>
      <c r="DC59" s="442">
        <f>IF($A59="","",INDEX('Data Interface'!L:L,$A59))</f>
        <v>0</v>
      </c>
      <c r="DD59" s="442">
        <f>IF($A59="","",INDEX('Data Interface'!M:M,$A59))</f>
        <v>0</v>
      </c>
      <c r="DE59" s="442">
        <f>IF($A59="","",INDEX('Data Interface'!N:N,$A59))</f>
        <v>0</v>
      </c>
      <c r="DF59" s="442">
        <f>IF($A59="","",INDEX('Data Interface'!O:O,$A59))</f>
        <v>0</v>
      </c>
      <c r="DG59" s="442">
        <f>IF($A59="","",INDEX('Data Interface'!P:P,$A59))</f>
        <v>0</v>
      </c>
      <c r="DH59" s="442">
        <f>IF($A59="","",INDEX('Data Interface'!Q:Q,$A59))</f>
        <v>0</v>
      </c>
      <c r="DI59" s="442">
        <f>IF($A59="","",INDEX('Data Interface'!R:R,$A59))</f>
        <v>0</v>
      </c>
      <c r="DJ59" s="442">
        <f>IF($A59="","",INDEX('Data Interface'!S:S,$A59))</f>
        <v>0</v>
      </c>
      <c r="DK59" s="442">
        <f>IF($A59="","",INDEX('Data Interface'!T:T,$A59))</f>
        <v>0</v>
      </c>
      <c r="DL59" s="442">
        <f>IF($A59="","",INDEX('Data Interface'!U:U,$A59))</f>
        <v>0</v>
      </c>
      <c r="DM59" s="442">
        <f>IF($A59="","",INDEX('Data Interface'!V:V,$A59))</f>
        <v>0</v>
      </c>
      <c r="DN59" s="442">
        <f>IF($A59="","",INDEX('Data Interface'!W:W,$A59))</f>
        <v>0</v>
      </c>
      <c r="DO59" s="442">
        <f>IF($A59="","",INDEX('Data Interface'!X:X,$A59))</f>
        <v>0</v>
      </c>
      <c r="DP59" s="442">
        <f>IF($A59="","",INDEX('Data Interface'!Y:Y,$A59))</f>
        <v>0</v>
      </c>
      <c r="DQ59" s="442">
        <f>IF($A59="","",INDEX('Data Interface'!Z:Z,$A59))</f>
        <v>0</v>
      </c>
      <c r="DR59" s="442">
        <f>IF($A59="","",INDEX('Data Interface'!AA:AA,$A59))</f>
        <v>0</v>
      </c>
      <c r="DS59" s="442">
        <f>IF($A59="","",INDEX('Data Interface'!AB:AB,$A59))</f>
        <v>0</v>
      </c>
      <c r="DT59" s="442">
        <f>IF($A59="","",INDEX('Data Interface'!AC:AC,$A59))</f>
        <v>0</v>
      </c>
      <c r="DU59" s="442">
        <f>IF($A59="","",INDEX('Data Interface'!AD:AD,$A59))</f>
        <v>0</v>
      </c>
      <c r="DV59" s="442">
        <f>IF($A59="","",INDEX('Data Interface'!AE:AE,$A59))</f>
        <v>0</v>
      </c>
      <c r="DW59" s="442">
        <f>IF($A59="","",INDEX('Data Interface'!AF:AF,$A59))</f>
        <v>0</v>
      </c>
      <c r="DX59" s="442">
        <f>IF($A59="","",INDEX('Data Interface'!AG:AG,$A59))</f>
        <v>0</v>
      </c>
      <c r="DZ59" s="906" t="str">
        <f>IF(OR($B59=0,$A59=0,$H59&lt;&gt;1),"",INDEX(Assumptions!EO:EO,$B59))</f>
        <v/>
      </c>
      <c r="EA59" s="906" t="str">
        <f>IF(OR($B59=0,$A59=0,$H59&lt;&gt;1),"",INDEX(Assumptions!EP:EP,$B59))</f>
        <v/>
      </c>
      <c r="EB59" s="906" t="str">
        <f>IF(OR($B59=0,$A59=0,$H59&lt;&gt;1),"",INDEX(Assumptions!EQ:EQ,$B59))</f>
        <v/>
      </c>
      <c r="EC59" s="906" t="str">
        <f>IF(OR($B59=0,$A59=0,$H59&lt;&gt;1),"",INDEX(Assumptions!ER:ER,$B59))</f>
        <v/>
      </c>
      <c r="ED59" s="906" t="str">
        <f>IF(OR($B59=0,$A59=0,$H59&lt;&gt;1),"",INDEX(Assumptions!ES:ES,$B59))</f>
        <v/>
      </c>
      <c r="EE59" s="906" t="str">
        <f>IF(OR($B59=0,$A59=0,$H59&lt;&gt;1),"",INDEX(Assumptions!ET:ET,$B59))</f>
        <v/>
      </c>
      <c r="EF59" s="906" t="str">
        <f>IF(OR($B59=0,$A59=0,$H59&lt;&gt;1),"",INDEX(Assumptions!EU:EU,$B59))</f>
        <v/>
      </c>
      <c r="EG59" s="906" t="str">
        <f>IF(OR($B59=0,$A59=0,$H59&lt;&gt;1),"",INDEX(Assumptions!EV:EV,$B59))</f>
        <v/>
      </c>
      <c r="EH59" s="906" t="str">
        <f>IF(OR($B59=0,$A59=0,$H59&lt;&gt;1),"",INDEX(Assumptions!EW:EW,$B59))</f>
        <v/>
      </c>
      <c r="EI59" s="906" t="str">
        <f>IF(OR($B59=0,$A59=0,$H59&lt;&gt;1),"",INDEX(Assumptions!EX:EX,$B59))</f>
        <v/>
      </c>
      <c r="EJ59" s="906" t="str">
        <f>IF(OR($B59=0,$A59=0,$H59&lt;&gt;1),"",INDEX(Assumptions!EY:EY,$B59))</f>
        <v/>
      </c>
      <c r="EK59" s="906" t="str">
        <f>IF(OR($B59=0,$A59=0,$H59&lt;&gt;1),"",INDEX(Assumptions!EZ:EZ,$B59))</f>
        <v/>
      </c>
      <c r="EL59" s="906" t="str">
        <f>IF(OR($B59=0,$A59=0,$H59&lt;&gt;1),"",INDEX(Assumptions!FA:FA,$B59))</f>
        <v/>
      </c>
      <c r="EM59" s="906" t="str">
        <f>IF(OR($B59=0,$A59=0,$H59&lt;&gt;1),"",INDEX(Assumptions!FB:FB,$B59))</f>
        <v/>
      </c>
      <c r="EN59" s="906" t="str">
        <f>IF(OR($B59=0,$A59=0,$H59&lt;&gt;1),"",INDEX(Assumptions!FC:FC,$B59))</f>
        <v/>
      </c>
      <c r="EO59" s="906" t="str">
        <f>IF(OR($B59=0,$A59=0,$H59&lt;&gt;1),"",INDEX(Assumptions!FD:FD,$B59))</f>
        <v/>
      </c>
      <c r="EP59" s="906" t="str">
        <f>IF(OR($B59=0,$A59=0,$H59&lt;&gt;1),"",INDEX(Assumptions!FE:FE,$B59))</f>
        <v/>
      </c>
      <c r="EQ59" s="906" t="str">
        <f>IF(OR($B59=0,$A59=0,$H59&lt;&gt;1),"",INDEX(Assumptions!FF:FF,$B59))</f>
        <v/>
      </c>
      <c r="ER59" s="906" t="str">
        <f>IF(OR($B59=0,$A59=0,$H59&lt;&gt;1),"",INDEX(Assumptions!FG:FG,$B59))</f>
        <v/>
      </c>
      <c r="ES59" s="906" t="str">
        <f>IF(OR($B59=0,$A59=0,$H59&lt;&gt;1),"",INDEX(Assumptions!FH:FH,$B59))</f>
        <v/>
      </c>
      <c r="ET59" s="906" t="str">
        <f>IF(OR($B59=0,$A59=0,$H59&lt;&gt;1),"",INDEX(Assumptions!FI:FI,$B59))</f>
        <v/>
      </c>
      <c r="EU59" s="906" t="str">
        <f>IF(OR($B59=0,$A59=0,$H59&lt;&gt;1),"",INDEX(Assumptions!FJ:FJ,$B59))</f>
        <v/>
      </c>
      <c r="EV59" s="906" t="str">
        <f>IF(OR($B59=0,$A59=0,$H59&lt;&gt;1),"",INDEX(Assumptions!FK:FK,$B59))</f>
        <v/>
      </c>
      <c r="EW59" s="906" t="str">
        <f>IF(OR($B59=0,$A59=0,$H59&lt;&gt;1),"",INDEX(Assumptions!FL:FL,$B59))</f>
        <v/>
      </c>
      <c r="EX59" s="906" t="str">
        <f>IF(OR($B59=0,$A59=0,$H59&lt;&gt;1),"",INDEX(Assumptions!FM:FM,$B59))</f>
        <v/>
      </c>
      <c r="EY59" s="906" t="str">
        <f>IF(OR($B59=0,$A59=0,$H59&lt;&gt;1),"",INDEX(Assumptions!FN:FN,$B59))</f>
        <v/>
      </c>
      <c r="EZ59" s="906" t="str">
        <f>IF(OR($B59=0,$A59=0,$H59&lt;&gt;1),"",INDEX(Assumptions!FO:FO,$B59))</f>
        <v/>
      </c>
      <c r="FB59" s="820" t="str">
        <f t="shared" si="18"/>
        <v/>
      </c>
      <c r="FC59" s="820" t="str">
        <f t="shared" si="19"/>
        <v/>
      </c>
      <c r="FD59" s="820" t="str">
        <f t="shared" si="20"/>
        <v/>
      </c>
      <c r="FE59" s="820" t="str">
        <f t="shared" si="21"/>
        <v/>
      </c>
      <c r="FF59" s="820" t="str">
        <f t="shared" si="22"/>
        <v/>
      </c>
    </row>
    <row r="60" spans="1:162">
      <c r="A60" s="440">
        <f>IFERROR(MATCH(C60,'Data Interface'!B:B,0),0)</f>
        <v>57</v>
      </c>
      <c r="B60" s="440">
        <f>IFERROR(MATCH(C60,Assumptions!$B:$B,0),0)</f>
        <v>62</v>
      </c>
      <c r="C60" s="441" t="s">
        <v>1325</v>
      </c>
      <c r="E60" s="441" t="s">
        <v>1219</v>
      </c>
      <c r="F60" s="440" t="s">
        <v>24</v>
      </c>
      <c r="G60" s="440" t="str">
        <f>IF(A60=0,"",INDEX('Data Interface'!$C:$C,$A60))</f>
        <v>Demand,MM &amp; Savings - Large Corporates - Uber Tech.</v>
      </c>
      <c r="H60" s="440">
        <v>0</v>
      </c>
      <c r="I60" s="819">
        <f t="shared" ca="1" si="23"/>
        <v>9.600000000000003E-2</v>
      </c>
      <c r="J60" s="819">
        <f t="shared" ca="1" si="24"/>
        <v>0.16000000000000003</v>
      </c>
      <c r="K60" s="439" t="str">
        <f t="shared" ca="1" si="25"/>
        <v>9.6% of Current Balance</v>
      </c>
      <c r="L60" s="439" t="s">
        <v>1148</v>
      </c>
      <c r="M60" s="439" t="s">
        <v>1509</v>
      </c>
      <c r="O60" s="442">
        <f>IF(OR($A60="",$A60=0),0,INDEX('Data Interface'!D:D,$A60))</f>
        <v>0</v>
      </c>
      <c r="P60" s="442">
        <f ca="1">$O60-SUM($AS60:AS60)</f>
        <v>0</v>
      </c>
      <c r="Q60" s="442">
        <f ca="1">$O60-SUM($AS60:AT60)</f>
        <v>0</v>
      </c>
      <c r="R60" s="442">
        <f ca="1">$O60-SUM($AS60:AU60)</f>
        <v>0</v>
      </c>
      <c r="S60" s="442">
        <f ca="1">$O60-SUM($AS60:AV60)</f>
        <v>0</v>
      </c>
      <c r="T60" s="442">
        <f ca="1">$O60-SUM($AS60:AW60)</f>
        <v>0</v>
      </c>
      <c r="U60" s="442">
        <f ca="1">$O60-SUM($AS60:AX60)</f>
        <v>0</v>
      </c>
      <c r="V60" s="442">
        <f ca="1">$O60-SUM($AS60:AY60)</f>
        <v>0</v>
      </c>
      <c r="W60" s="442">
        <f ca="1">$O60-SUM($AS60:AZ60)</f>
        <v>0</v>
      </c>
      <c r="X60" s="442">
        <f ca="1">$O60-SUM($AS60:BA60)</f>
        <v>0</v>
      </c>
      <c r="Y60" s="442">
        <f ca="1">$O60-SUM($AS60:BB60)</f>
        <v>0</v>
      </c>
      <c r="Z60" s="442">
        <f ca="1">$O60-SUM($AS60:BC60)</f>
        <v>0</v>
      </c>
      <c r="AA60" s="442">
        <f ca="1">$O60-SUM($AS60:BD60)</f>
        <v>0</v>
      </c>
      <c r="AB60" s="442">
        <f ca="1">$O60-SUM($AS60:BE60)</f>
        <v>0</v>
      </c>
      <c r="AC60" s="442">
        <f ca="1">$O60-SUM($AS60:BF60)</f>
        <v>0</v>
      </c>
      <c r="AD60" s="442">
        <f ca="1">$O60-SUM($AS60:BG60)</f>
        <v>0</v>
      </c>
      <c r="AE60" s="442">
        <f ca="1">$O60-SUM($AS60:BH60)</f>
        <v>0</v>
      </c>
      <c r="AF60" s="442">
        <f ca="1">$O60-SUM($AS60:BI60)</f>
        <v>0</v>
      </c>
      <c r="AG60" s="442">
        <f ca="1">$O60-SUM($AS60:BJ60)</f>
        <v>0</v>
      </c>
      <c r="AH60" s="442">
        <f ca="1">$O60-SUM($AS60:BK60)</f>
        <v>0</v>
      </c>
      <c r="AI60" s="442">
        <f ca="1">$O60-SUM($AS60:BL60)</f>
        <v>0</v>
      </c>
      <c r="AJ60" s="442">
        <f ca="1">$O60-SUM($AS60:BM60)</f>
        <v>0</v>
      </c>
      <c r="AK60" s="442">
        <f ca="1">$O60-SUM($AS60:BN60)</f>
        <v>0</v>
      </c>
      <c r="AL60" s="442">
        <f ca="1">$O60-SUM($AS60:BO60)</f>
        <v>0</v>
      </c>
      <c r="AM60" s="442">
        <f ca="1">$O60-SUM($AS60:BP60)</f>
        <v>0</v>
      </c>
      <c r="AN60" s="442">
        <f ca="1">$O60-SUM($AS60:BQ60)</f>
        <v>0</v>
      </c>
      <c r="AO60" s="442">
        <f ca="1">$O60-SUM($AS60:BR60)</f>
        <v>0</v>
      </c>
      <c r="AP60" s="442">
        <f ca="1">$O60-SUM($AS60:BS60)</f>
        <v>0</v>
      </c>
      <c r="AR60" s="439" t="s">
        <v>1202</v>
      </c>
      <c r="AS60" s="820">
        <f ca="1">IF($H60="",0,IF($H60=1,IF('Para Adj'!$B$5 = 1,O60-($O60-SUMPRODUCT($CX60:CX60,$BU60:BU60))*(1-SUM($DZ60:DZ60)),BU60*CX60),$O60*BU60))</f>
        <v>0</v>
      </c>
      <c r="AT60" s="820">
        <f ca="1">IF($H60="",0,IF($H60=1,IF('Para Adj'!$B$5 = 1,P60-($O60-SUMPRODUCT($CX60:CY60,$BU60:BV60))*(1-SUM($DZ60:EA60)),BV60*CY60),$O60*BV60))</f>
        <v>0</v>
      </c>
      <c r="AU60" s="820">
        <f ca="1">IF($H60="",0,IF($H60=1,IF('Para Adj'!$B$5 = 1,Q60-($O60-SUMPRODUCT($CX60:CZ60,$BU60:BW60))*(1-SUM($DZ60:EB60)),BW60*CZ60),$O60*BW60))</f>
        <v>0</v>
      </c>
      <c r="AV60" s="820">
        <f ca="1">IF($H60="",0,IF($H60=1,IF('Para Adj'!$B$5 = 1,R60-($O60-SUMPRODUCT($CX60:DA60,$BU60:BX60))*(1-SUM($DZ60:EC60)),BX60*DA60),$O60*BX60))</f>
        <v>0</v>
      </c>
      <c r="AW60" s="836">
        <f ca="1">IF($H60="",0,IF($H60=1,IF('Para Adj'!$B$5 = 1,S60-($O60-SUMPRODUCT($CX60:DB60,$BU60:BY60))*(1-SUM($DZ60:ED60)),BY60*DB60),$O60*BY60))</f>
        <v>0</v>
      </c>
      <c r="AX60" s="442">
        <f ca="1">IF($H60="",0,IF($H60=1,IF('Para Adj'!$B$5 = 1,T60-($O60-SUMPRODUCT($CX60:DC60,$BU60:BZ60))*(1-SUM($DZ60:EE60)),BZ60*DC60),$O60*BZ60))</f>
        <v>0</v>
      </c>
      <c r="AY60" s="442">
        <f ca="1">IF($H60="",0,IF($H60=1,IF('Para Adj'!$B$5 = 1,U60-($O60-SUMPRODUCT($CX60:DD60,$BU60:CA60))*(1-SUM($DZ60:EF60)),CA60*DD60),$O60*CA60))</f>
        <v>0</v>
      </c>
      <c r="AZ60" s="442">
        <f ca="1">IF($H60="",0,IF($H60=1,IF('Para Adj'!$B$5 = 1,V60-($O60-SUMPRODUCT($CX60:DE60,$BU60:CB60))*(1-SUM($DZ60:EG60)),CB60*DE60),$O60*CB60))</f>
        <v>0</v>
      </c>
      <c r="BA60" s="442">
        <f ca="1">IF($H60="",0,IF($H60=1,IF('Para Adj'!$B$5 = 1,W60-($O60-SUMPRODUCT($CX60:DF60,$BU60:CC60))*(1-SUM($DZ60:EH60)),CC60*DF60),$O60*CC60))</f>
        <v>0</v>
      </c>
      <c r="BB60" s="442">
        <f ca="1">IF($H60="",0,IF($H60=1,IF('Para Adj'!$B$5 = 1,X60-($O60-SUMPRODUCT($CX60:DG60,$BU60:CD60))*(1-SUM($DZ60:EI60)),CD60*DG60),$O60*CD60))</f>
        <v>0</v>
      </c>
      <c r="BC60" s="442">
        <f ca="1">IF($H60="",0,IF($H60=1,IF('Para Adj'!$B$5 = 1,Y60-($O60-SUMPRODUCT($CX60:DH60,$BU60:CE60))*(1-SUM($DZ60:EJ60)),CE60*DH60),$O60*CE60))</f>
        <v>0</v>
      </c>
      <c r="BD60" s="442">
        <f ca="1">IF($H60="",0,IF($H60=1,IF('Para Adj'!$B$5 = 1,Z60-($O60-SUMPRODUCT($CX60:DI60,$BU60:CF60))*(1-SUM($DZ60:EK60)),CF60*DI60),$O60*CF60))</f>
        <v>0</v>
      </c>
      <c r="BE60" s="442">
        <f ca="1">IF($H60="",0,IF($H60=1,IF('Para Adj'!$B$5 = 1,AA60-($O60-SUMPRODUCT($CX60:DJ60,$BU60:CG60))*(1-SUM($DZ60:EL60)),CG60*DJ60),$O60*CG60))</f>
        <v>0</v>
      </c>
      <c r="BF60" s="442">
        <f ca="1">IF($H60="",0,IF($H60=1,IF('Para Adj'!$B$5 = 1,AB60-($O60-SUMPRODUCT($CX60:DK60,$BU60:CH60))*(1-SUM($DZ60:EM60)),CH60*DK60),$O60*CH60))</f>
        <v>0</v>
      </c>
      <c r="BG60" s="442">
        <f ca="1">IF($H60="",0,IF($H60=1,IF('Para Adj'!$B$5 = 1,AC60-($O60-SUMPRODUCT($CX60:DL60,$BU60:CI60))*(1-SUM($DZ60:EN60)),CI60*DL60),$O60*CI60))</f>
        <v>0</v>
      </c>
      <c r="BH60" s="442">
        <f ca="1">IF($H60="",0,IF($H60=1,IF('Para Adj'!$B$5 = 1,AD60-($O60-SUMPRODUCT($CX60:DM60,$BU60:CJ60))*(1-SUM($DZ60:EO60)),CJ60*DM60),$O60*CJ60))</f>
        <v>0</v>
      </c>
      <c r="BI60" s="442">
        <f ca="1">IF($H60="",0,IF($H60=1,IF('Para Adj'!$B$5 = 1,AE60-($O60-SUMPRODUCT($CX60:DN60,$BU60:CK60))*(1-SUM($DZ60:EP60)),CK60*DN60),$O60*CK60))</f>
        <v>0</v>
      </c>
      <c r="BJ60" s="442">
        <f ca="1">IF($H60="",0,IF($H60=1,IF('Para Adj'!$B$5 = 1,AF60-($O60-SUMPRODUCT($CX60:DO60,$BU60:CL60))*(1-SUM($DZ60:EQ60)),CL60*DO60),$O60*CL60))</f>
        <v>0</v>
      </c>
      <c r="BK60" s="442">
        <f ca="1">IF($H60="",0,IF($H60=1,IF('Para Adj'!$B$5 = 1,AG60-($O60-SUMPRODUCT($CX60:DP60,$BU60:CM60))*(1-SUM($DZ60:ER60)),CM60*DP60),$O60*CM60))</f>
        <v>0</v>
      </c>
      <c r="BL60" s="442">
        <f ca="1">IF($H60="",0,IF($H60=1,IF('Para Adj'!$B$5 = 1,AH60-($O60-SUMPRODUCT($CX60:DQ60,$BU60:CN60))*(1-SUM($DZ60:ES60)),CN60*DQ60),$O60*CN60))</f>
        <v>0</v>
      </c>
      <c r="BM60" s="442">
        <f ca="1">IF($H60="",0,IF($H60=1,IF('Para Adj'!$B$5 = 1,AI60-($O60-SUMPRODUCT($CX60:DR60,$BU60:CO60))*(1-SUM($DZ60:ET60)),CO60*DR60),$O60*CO60))</f>
        <v>0</v>
      </c>
      <c r="BN60" s="442">
        <f ca="1">IF($H60="",0,IF($H60=1,IF('Para Adj'!$B$5 = 1,AJ60-($O60-SUMPRODUCT($CX60:DS60,$BU60:CP60))*(1-SUM($DZ60:EU60)),CP60*DS60),$O60*CP60))</f>
        <v>0</v>
      </c>
      <c r="BO60" s="442">
        <f ca="1">IF($H60="",0,IF($H60=1,IF('Para Adj'!$B$5 = 1,AK60-($O60-SUMPRODUCT($CX60:DT60,$BU60:CQ60))*(1-SUM($DZ60:EV60)),CQ60*DT60),$O60*CQ60))</f>
        <v>0</v>
      </c>
      <c r="BP60" s="442">
        <f ca="1">IF($H60="",0,IF($H60=1,IF('Para Adj'!$B$5 = 1,AL60-($O60-SUMPRODUCT($CX60:DU60,$BU60:CR60))*(1-SUM($DZ60:EW60)),CR60*DU60),$O60*CR60))</f>
        <v>0</v>
      </c>
      <c r="BQ60" s="442">
        <f ca="1">IF($H60="",0,IF($H60=1,IF('Para Adj'!$B$5 = 1,AM60-($O60-SUMPRODUCT($CX60:DV60,$BU60:CS60))*(1-SUM($DZ60:EX60)),CS60*DV60),$O60*CS60))</f>
        <v>0</v>
      </c>
      <c r="BR60" s="442">
        <f ca="1">IF($H60="",0,IF($H60=1,IF('Para Adj'!$B$5 = 1,AN60-($O60-SUMPRODUCT($CX60:DW60,$BU60:CT60))*(1-SUM($DZ60:EY60)),CT60*DW60),$O60*CT60))</f>
        <v>0</v>
      </c>
      <c r="BS60" s="442">
        <f ca="1">IF($H60="",0,IF($H60=1,IF('Para Adj'!$B$5 = 1,AO60-($O60-SUMPRODUCT($CX60:DX60,$BU60:CU60))*(1-SUM($DZ60:EZ60)),CU60*DX60),$O60*CU60))</f>
        <v>0</v>
      </c>
      <c r="BU60" s="820">
        <f ca="1">IF($B60=0,"",INDEX(Assumptions!G:G,$B60))</f>
        <v>1.9200000000000002E-2</v>
      </c>
      <c r="BV60" s="820">
        <f ca="1">IF($B60=0,"",INDEX(Assumptions!H:H,$B60))</f>
        <v>6.4000000000000003E-3</v>
      </c>
      <c r="BW60" s="820">
        <f ca="1">IF($B60=0,"",INDEX(Assumptions!I:I,$B60))</f>
        <v>6.4000000000000003E-3</v>
      </c>
      <c r="BX60" s="820">
        <f ca="1">IF($B60=0,"",INDEX(Assumptions!J:J,$B60))</f>
        <v>6.4000000000000003E-3</v>
      </c>
      <c r="BY60" s="820">
        <f ca="1">IF($B60=0,"",INDEX(Assumptions!K:K,$B60))</f>
        <v>6.4000000000000003E-3</v>
      </c>
      <c r="BZ60" s="820">
        <f ca="1">IF($B60=0,"",INDEX(Assumptions!L:L,$B60))</f>
        <v>6.4000000000000003E-3</v>
      </c>
      <c r="CA60" s="820">
        <f ca="1">IF($B60=0,"",INDEX(Assumptions!M:M,$B60))</f>
        <v>6.4000000000000003E-3</v>
      </c>
      <c r="CB60" s="820">
        <f ca="1">IF($B60=0,"",INDEX(Assumptions!N:N,$B60))</f>
        <v>5.4857142857142865E-3</v>
      </c>
      <c r="CC60" s="820">
        <f ca="1">IF($B60=0,"",INDEX(Assumptions!O:O,$B60))</f>
        <v>5.4857142857142865E-3</v>
      </c>
      <c r="CD60" s="820">
        <f ca="1">IF($B60=0,"",INDEX(Assumptions!P:P,$B60))</f>
        <v>5.4857142857142865E-3</v>
      </c>
      <c r="CE60" s="820">
        <f ca="1">IF($B60=0,"",INDEX(Assumptions!Q:Q,$B60))</f>
        <v>5.4857142857142865E-3</v>
      </c>
      <c r="CF60" s="820">
        <f ca="1">IF($B60=0,"",INDEX(Assumptions!R:R,$B60))</f>
        <v>5.4857142857142865E-3</v>
      </c>
      <c r="CG60" s="820">
        <f ca="1">IF($B60=0,"",INDEX(Assumptions!S:S,$B60))</f>
        <v>5.4857142857142865E-3</v>
      </c>
      <c r="CH60" s="820">
        <f ca="1">IF($B60=0,"",INDEX(Assumptions!T:T,$B60))</f>
        <v>5.4857142857142865E-3</v>
      </c>
      <c r="CI60" s="820">
        <f ca="1">IF($B60=0,"",INDEX(Assumptions!U:U,$B60))</f>
        <v>3.2000000000000001E-2</v>
      </c>
      <c r="CJ60" s="820">
        <f ca="1">IF($B60=0,"",INDEX(Assumptions!V:V,$B60))</f>
        <v>3.2000000000000001E-2</v>
      </c>
      <c r="CK60" s="820">
        <f ca="1">IF($B60=0,"",INDEX(Assumptions!W:W,$B60))</f>
        <v>1.6E-2</v>
      </c>
      <c r="CL60" s="820">
        <f ca="1">IF($B60=0,"",INDEX(Assumptions!X:X,$B60))</f>
        <v>1.6E-2</v>
      </c>
      <c r="CM60" s="820">
        <f ca="1">IF($B60=0,"",INDEX(Assumptions!Y:Y,$B60))</f>
        <v>5.3333333333333323E-3</v>
      </c>
      <c r="CN60" s="820">
        <f ca="1">IF($B60=0,"",INDEX(Assumptions!Z:Z,$B60))</f>
        <v>5.3333333333333323E-3</v>
      </c>
      <c r="CO60" s="820">
        <f ca="1">IF($B60=0,"",INDEX(Assumptions!AA:AA,$B60))</f>
        <v>5.3333333333333323E-3</v>
      </c>
      <c r="CP60" s="820">
        <f ca="1">IF($B60=0,"",INDEX(Assumptions!AB:AB,$B60))</f>
        <v>5.3333333333333323E-3</v>
      </c>
      <c r="CQ60" s="820">
        <f ca="1">IF($B60=0,"",INDEX(Assumptions!AC:AC,$B60))</f>
        <v>5.3333333333333323E-3</v>
      </c>
      <c r="CR60" s="820">
        <f ca="1">IF($B60=0,"",INDEX(Assumptions!AD:AD,$B60))</f>
        <v>5.3333333333333323E-3</v>
      </c>
      <c r="CS60" s="820">
        <f ca="1">IF($B60=0,"",INDEX(Assumptions!AE:AE,$B60))</f>
        <v>5.3333333333333323E-3</v>
      </c>
      <c r="CT60" s="820">
        <f ca="1">IF($B60=0,"",INDEX(Assumptions!AF:AF,$B60))</f>
        <v>5.3333333333333323E-3</v>
      </c>
      <c r="CU60" s="820">
        <f ca="1">IF($B60=0,"",INDEX(Assumptions!AG:AG,$B60))</f>
        <v>5.3333333333333323E-3</v>
      </c>
      <c r="CX60" s="442">
        <f>IF($A60="","",INDEX('Data Interface'!G:G,$A60))</f>
        <v>0</v>
      </c>
      <c r="CY60" s="442">
        <f>IF($A60="","",INDEX('Data Interface'!H:H,$A60))</f>
        <v>0</v>
      </c>
      <c r="CZ60" s="442">
        <f>IF($A60="","",INDEX('Data Interface'!I:I,$A60))</f>
        <v>0</v>
      </c>
      <c r="DA60" s="442">
        <f>IF($A60="","",INDEX('Data Interface'!J:J,$A60))</f>
        <v>0</v>
      </c>
      <c r="DB60" s="442">
        <f>IF($A60="","",INDEX('Data Interface'!K:K,$A60))</f>
        <v>0</v>
      </c>
      <c r="DC60" s="442">
        <f>IF($A60="","",INDEX('Data Interface'!L:L,$A60))</f>
        <v>0</v>
      </c>
      <c r="DD60" s="442">
        <f>IF($A60="","",INDEX('Data Interface'!M:M,$A60))</f>
        <v>0</v>
      </c>
      <c r="DE60" s="442">
        <f>IF($A60="","",INDEX('Data Interface'!N:N,$A60))</f>
        <v>0</v>
      </c>
      <c r="DF60" s="442">
        <f>IF($A60="","",INDEX('Data Interface'!O:O,$A60))</f>
        <v>0</v>
      </c>
      <c r="DG60" s="442">
        <f>IF($A60="","",INDEX('Data Interface'!P:P,$A60))</f>
        <v>0</v>
      </c>
      <c r="DH60" s="442">
        <f>IF($A60="","",INDEX('Data Interface'!Q:Q,$A60))</f>
        <v>0</v>
      </c>
      <c r="DI60" s="442">
        <f>IF($A60="","",INDEX('Data Interface'!R:R,$A60))</f>
        <v>0</v>
      </c>
      <c r="DJ60" s="442">
        <f>IF($A60="","",INDEX('Data Interface'!S:S,$A60))</f>
        <v>0</v>
      </c>
      <c r="DK60" s="442">
        <f>IF($A60="","",INDEX('Data Interface'!T:T,$A60))</f>
        <v>0</v>
      </c>
      <c r="DL60" s="442">
        <f>IF($A60="","",INDEX('Data Interface'!U:U,$A60))</f>
        <v>0</v>
      </c>
      <c r="DM60" s="442">
        <f>IF($A60="","",INDEX('Data Interface'!V:V,$A60))</f>
        <v>0</v>
      </c>
      <c r="DN60" s="442">
        <f>IF($A60="","",INDEX('Data Interface'!W:W,$A60))</f>
        <v>0</v>
      </c>
      <c r="DO60" s="442">
        <f>IF($A60="","",INDEX('Data Interface'!X:X,$A60))</f>
        <v>0</v>
      </c>
      <c r="DP60" s="442">
        <f>IF($A60="","",INDEX('Data Interface'!Y:Y,$A60))</f>
        <v>0</v>
      </c>
      <c r="DQ60" s="442">
        <f>IF($A60="","",INDEX('Data Interface'!Z:Z,$A60))</f>
        <v>0</v>
      </c>
      <c r="DR60" s="442">
        <f>IF($A60="","",INDEX('Data Interface'!AA:AA,$A60))</f>
        <v>0</v>
      </c>
      <c r="DS60" s="442">
        <f>IF($A60="","",INDEX('Data Interface'!AB:AB,$A60))</f>
        <v>0</v>
      </c>
      <c r="DT60" s="442">
        <f>IF($A60="","",INDEX('Data Interface'!AC:AC,$A60))</f>
        <v>0</v>
      </c>
      <c r="DU60" s="442">
        <f>IF($A60="","",INDEX('Data Interface'!AD:AD,$A60))</f>
        <v>0</v>
      </c>
      <c r="DV60" s="442">
        <f>IF($A60="","",INDEX('Data Interface'!AE:AE,$A60))</f>
        <v>0</v>
      </c>
      <c r="DW60" s="442">
        <f>IF($A60="","",INDEX('Data Interface'!AF:AF,$A60))</f>
        <v>0</v>
      </c>
      <c r="DX60" s="442">
        <f>IF($A60="","",INDEX('Data Interface'!AG:AG,$A60))</f>
        <v>0</v>
      </c>
      <c r="DZ60" s="906" t="str">
        <f>IF(OR($B60=0,$A60=0,$H60&lt;&gt;1),"",INDEX(Assumptions!EO:EO,$B60))</f>
        <v/>
      </c>
      <c r="EA60" s="906" t="str">
        <f>IF(OR($B60=0,$A60=0,$H60&lt;&gt;1),"",INDEX(Assumptions!EP:EP,$B60))</f>
        <v/>
      </c>
      <c r="EB60" s="906" t="str">
        <f>IF(OR($B60=0,$A60=0,$H60&lt;&gt;1),"",INDEX(Assumptions!EQ:EQ,$B60))</f>
        <v/>
      </c>
      <c r="EC60" s="906" t="str">
        <f>IF(OR($B60=0,$A60=0,$H60&lt;&gt;1),"",INDEX(Assumptions!ER:ER,$B60))</f>
        <v/>
      </c>
      <c r="ED60" s="906" t="str">
        <f>IF(OR($B60=0,$A60=0,$H60&lt;&gt;1),"",INDEX(Assumptions!ES:ES,$B60))</f>
        <v/>
      </c>
      <c r="EE60" s="906" t="str">
        <f>IF(OR($B60=0,$A60=0,$H60&lt;&gt;1),"",INDEX(Assumptions!ET:ET,$B60))</f>
        <v/>
      </c>
      <c r="EF60" s="906" t="str">
        <f>IF(OR($B60=0,$A60=0,$H60&lt;&gt;1),"",INDEX(Assumptions!EU:EU,$B60))</f>
        <v/>
      </c>
      <c r="EG60" s="906" t="str">
        <f>IF(OR($B60=0,$A60=0,$H60&lt;&gt;1),"",INDEX(Assumptions!EV:EV,$B60))</f>
        <v/>
      </c>
      <c r="EH60" s="906" t="str">
        <f>IF(OR($B60=0,$A60=0,$H60&lt;&gt;1),"",INDEX(Assumptions!EW:EW,$B60))</f>
        <v/>
      </c>
      <c r="EI60" s="906" t="str">
        <f>IF(OR($B60=0,$A60=0,$H60&lt;&gt;1),"",INDEX(Assumptions!EX:EX,$B60))</f>
        <v/>
      </c>
      <c r="EJ60" s="906" t="str">
        <f>IF(OR($B60=0,$A60=0,$H60&lt;&gt;1),"",INDEX(Assumptions!EY:EY,$B60))</f>
        <v/>
      </c>
      <c r="EK60" s="906" t="str">
        <f>IF(OR($B60=0,$A60=0,$H60&lt;&gt;1),"",INDEX(Assumptions!EZ:EZ,$B60))</f>
        <v/>
      </c>
      <c r="EL60" s="906" t="str">
        <f>IF(OR($B60=0,$A60=0,$H60&lt;&gt;1),"",INDEX(Assumptions!FA:FA,$B60))</f>
        <v/>
      </c>
      <c r="EM60" s="906" t="str">
        <f>IF(OR($B60=0,$A60=0,$H60&lt;&gt;1),"",INDEX(Assumptions!FB:FB,$B60))</f>
        <v/>
      </c>
      <c r="EN60" s="906" t="str">
        <f>IF(OR($B60=0,$A60=0,$H60&lt;&gt;1),"",INDEX(Assumptions!FC:FC,$B60))</f>
        <v/>
      </c>
      <c r="EO60" s="906" t="str">
        <f>IF(OR($B60=0,$A60=0,$H60&lt;&gt;1),"",INDEX(Assumptions!FD:FD,$B60))</f>
        <v/>
      </c>
      <c r="EP60" s="906" t="str">
        <f>IF(OR($B60=0,$A60=0,$H60&lt;&gt;1),"",INDEX(Assumptions!FE:FE,$B60))</f>
        <v/>
      </c>
      <c r="EQ60" s="906" t="str">
        <f>IF(OR($B60=0,$A60=0,$H60&lt;&gt;1),"",INDEX(Assumptions!FF:FF,$B60))</f>
        <v/>
      </c>
      <c r="ER60" s="906" t="str">
        <f>IF(OR($B60=0,$A60=0,$H60&lt;&gt;1),"",INDEX(Assumptions!FG:FG,$B60))</f>
        <v/>
      </c>
      <c r="ES60" s="906" t="str">
        <f>IF(OR($B60=0,$A60=0,$H60&lt;&gt;1),"",INDEX(Assumptions!FH:FH,$B60))</f>
        <v/>
      </c>
      <c r="ET60" s="906" t="str">
        <f>IF(OR($B60=0,$A60=0,$H60&lt;&gt;1),"",INDEX(Assumptions!FI:FI,$B60))</f>
        <v/>
      </c>
      <c r="EU60" s="906" t="str">
        <f>IF(OR($B60=0,$A60=0,$H60&lt;&gt;1),"",INDEX(Assumptions!FJ:FJ,$B60))</f>
        <v/>
      </c>
      <c r="EV60" s="906" t="str">
        <f>IF(OR($B60=0,$A60=0,$H60&lt;&gt;1),"",INDEX(Assumptions!FK:FK,$B60))</f>
        <v/>
      </c>
      <c r="EW60" s="906" t="str">
        <f>IF(OR($B60=0,$A60=0,$H60&lt;&gt;1),"",INDEX(Assumptions!FL:FL,$B60))</f>
        <v/>
      </c>
      <c r="EX60" s="906" t="str">
        <f>IF(OR($B60=0,$A60=0,$H60&lt;&gt;1),"",INDEX(Assumptions!FM:FM,$B60))</f>
        <v/>
      </c>
      <c r="EY60" s="906" t="str">
        <f>IF(OR($B60=0,$A60=0,$H60&lt;&gt;1),"",INDEX(Assumptions!FN:FN,$B60))</f>
        <v/>
      </c>
      <c r="EZ60" s="906" t="str">
        <f>IF(OR($B60=0,$A60=0,$H60&lt;&gt;1),"",INDEX(Assumptions!FO:FO,$B60))</f>
        <v/>
      </c>
      <c r="FB60" s="820" t="str">
        <f t="shared" si="18"/>
        <v/>
      </c>
      <c r="FC60" s="820" t="str">
        <f t="shared" si="19"/>
        <v/>
      </c>
      <c r="FD60" s="820" t="str">
        <f t="shared" si="20"/>
        <v/>
      </c>
      <c r="FE60" s="820" t="str">
        <f t="shared" si="21"/>
        <v/>
      </c>
      <c r="FF60" s="820" t="str">
        <f t="shared" si="22"/>
        <v/>
      </c>
    </row>
    <row r="61" spans="1:162" ht="15" customHeight="1">
      <c r="A61" s="440">
        <f>IFERROR(MATCH(C61,'Data Interface'!B:B,0),0)</f>
        <v>59</v>
      </c>
      <c r="B61" s="440">
        <f>IFERROR(MATCH(C61,Assumptions!$B:$B,0),0)</f>
        <v>22</v>
      </c>
      <c r="C61" s="441">
        <v>9.3000000000000007</v>
      </c>
      <c r="E61" s="441" t="s">
        <v>1219</v>
      </c>
      <c r="F61" s="440" t="s">
        <v>24</v>
      </c>
      <c r="G61" s="440" t="str">
        <f>IF(A61=0,"",INDEX('Data Interface'!$C:$C,$A61))</f>
        <v>Time Deposits - Retail</v>
      </c>
      <c r="H61" s="440">
        <v>1</v>
      </c>
      <c r="I61" s="819">
        <f t="shared" ca="1" si="23"/>
        <v>0.06</v>
      </c>
      <c r="J61" s="819">
        <f t="shared" ca="1" si="24"/>
        <v>0.1</v>
      </c>
      <c r="K61" s="439" t="str">
        <f t="shared" ca="1" si="25"/>
        <v>6% of Contractual Maturity</v>
      </c>
      <c r="L61" s="439" t="s">
        <v>1148</v>
      </c>
      <c r="M61" s="439" t="s">
        <v>1509</v>
      </c>
      <c r="O61" s="442">
        <f>IF(OR($A61="",$A61=0),0,INDEX('Data Interface'!D:D,$A61))</f>
        <v>174.09592567000021</v>
      </c>
      <c r="P61" s="442">
        <f ca="1">$O61-SUM($AS61:AS61)</f>
        <v>172.92307371935848</v>
      </c>
      <c r="Q61" s="442">
        <f ca="1">$O61-SUM($AS61:AT61)</f>
        <v>172.5261755283336</v>
      </c>
      <c r="R61" s="442">
        <f ca="1">$O61-SUM($AS61:AU61)</f>
        <v>172.13523835466694</v>
      </c>
      <c r="S61" s="442">
        <f ca="1">$O61-SUM($AS61:AV61)</f>
        <v>171.74377387318427</v>
      </c>
      <c r="T61" s="442">
        <f ca="1">$O61-SUM($AS61:AW61)</f>
        <v>171.35283789981497</v>
      </c>
      <c r="U61" s="442">
        <f ca="1">$O61-SUM($AS61:AX61)</f>
        <v>170.96190192644565</v>
      </c>
      <c r="V61" s="442">
        <f ca="1">$O61-SUM($AS61:AY61)</f>
        <v>170.56845139881912</v>
      </c>
      <c r="W61" s="442">
        <f ca="1">$O61-SUM($AS61:AZ61)</f>
        <v>170.23201716735343</v>
      </c>
      <c r="X61" s="442">
        <f ca="1">$O61-SUM($AS61:BA61)</f>
        <v>169.88769137933281</v>
      </c>
      <c r="Y61" s="442">
        <f ca="1">$O61-SUM($AS61:BB61)</f>
        <v>169.54994500941609</v>
      </c>
      <c r="Z61" s="442">
        <f ca="1">$O61-SUM($AS61:BC61)</f>
        <v>169.19905293728971</v>
      </c>
      <c r="AA61" s="442">
        <f ca="1">$O61-SUM($AS61:BD61)</f>
        <v>168.86402745322692</v>
      </c>
      <c r="AB61" s="442">
        <f ca="1">$O61-SUM($AS61:BE61)</f>
        <v>168.52900196916411</v>
      </c>
      <c r="AC61" s="442">
        <f ca="1">$O61-SUM($AS61:BF61)</f>
        <v>168.1857003990923</v>
      </c>
      <c r="AD61" s="442">
        <f ca="1">$O61-SUM($AS61:BG61)</f>
        <v>166.01354822412247</v>
      </c>
      <c r="AE61" s="442">
        <f ca="1">$O61-SUM($AS61:BH61)</f>
        <v>163.68120499515226</v>
      </c>
      <c r="AF61" s="442">
        <f ca="1">$O61-SUM($AS61:BI61)</f>
        <v>163.68120499515226</v>
      </c>
      <c r="AG61" s="442">
        <f ca="1">$O61-SUM($AS61:BJ61)</f>
        <v>163.68120499515226</v>
      </c>
      <c r="AH61" s="442">
        <f ca="1">$O61-SUM($AS61:BK61)</f>
        <v>163.68120499515226</v>
      </c>
      <c r="AI61" s="442">
        <f ca="1">$O61-SUM($AS61:BL61)</f>
        <v>163.68120499515226</v>
      </c>
      <c r="AJ61" s="442">
        <f ca="1">$O61-SUM($AS61:BM61)</f>
        <v>163.68120499515226</v>
      </c>
      <c r="AK61" s="442">
        <f ca="1">$O61-SUM($AS61:BN61)</f>
        <v>163.68120499515226</v>
      </c>
      <c r="AL61" s="442">
        <f ca="1">$O61-SUM($AS61:BO61)</f>
        <v>163.68120499515226</v>
      </c>
      <c r="AM61" s="442">
        <f ca="1">$O61-SUM($AS61:BP61)</f>
        <v>163.68120499515226</v>
      </c>
      <c r="AN61" s="442">
        <f ca="1">$O61-SUM($AS61:BQ61)</f>
        <v>163.68120499515226</v>
      </c>
      <c r="AO61" s="442">
        <f ca="1">$O61-SUM($AS61:BR61)</f>
        <v>163.68120499515226</v>
      </c>
      <c r="AP61" s="442">
        <f ca="1">$O61-SUM($AS61:BS61)</f>
        <v>163.68120499515226</v>
      </c>
      <c r="AR61" s="439" t="s">
        <v>1202</v>
      </c>
      <c r="AS61" s="820">
        <f ca="1">IF($H61="",0,IF($H61=1,IF('Para Adj'!$B$5 = 1,O61-($O61-SUMPRODUCT($CX61:CX61,$BU61:BU61))*(1-SUM($DZ61:DZ61)),BU61*CX61),$O61*BU61))</f>
        <v>1.1728519506417285</v>
      </c>
      <c r="AT61" s="820">
        <f ca="1">IF($H61="",0,IF($H61=1,IF('Para Adj'!$B$5 = 1,P61-($O61-SUMPRODUCT($CX61:CY61,$BU61:BV61))*(1-SUM($DZ61:EA61)),BV61*CY61),$O61*BV61))</f>
        <v>0.39689819102488855</v>
      </c>
      <c r="AU61" s="820">
        <f ca="1">IF($H61="",0,IF($H61=1,IF('Para Adj'!$B$5 = 1,Q61-($O61-SUMPRODUCT($CX61:CZ61,$BU61:BW61))*(1-SUM($DZ61:EB61)),BW61*CZ61),$O61*BW61))</f>
        <v>0.39093717366665715</v>
      </c>
      <c r="AV61" s="820">
        <f ca="1">IF($H61="",0,IF($H61=1,IF('Para Adj'!$B$5 = 1,R61-($O61-SUMPRODUCT($CX61:DA61,$BU61:BX61))*(1-SUM($DZ61:EC61)),BX61*DA61),$O61*BX61))</f>
        <v>0.39146448148267154</v>
      </c>
      <c r="AW61" s="820">
        <f ca="1">IF($H61="",0,IF($H61=1,IF('Para Adj'!$B$5 = 1,S61-($O61-SUMPRODUCT($CX61:DB61,$BU61:BY61))*(1-SUM($DZ61:ED61)),BY61*DB61),$O61*BY61))</f>
        <v>0.3909359733692952</v>
      </c>
      <c r="AX61" s="820">
        <f ca="1">IF($H61="",0,IF($H61=1,IF('Para Adj'!$B$5 = 1,T61-($O61-SUMPRODUCT($CX61:DC61,$BU61:BZ61))*(1-SUM($DZ61:EE61)),BZ61*DC61),$O61*BZ61))</f>
        <v>0.39093597336932362</v>
      </c>
      <c r="AY61" s="820">
        <f ca="1">IF($H61="",0,IF($H61=1,IF('Para Adj'!$B$5 = 1,U61-($O61-SUMPRODUCT($CX61:DD61,$BU61:CA61))*(1-SUM($DZ61:EF61)),CA61*DD61),$O61*CA61))</f>
        <v>0.39345052762652699</v>
      </c>
      <c r="AZ61" s="820">
        <f ca="1">IF($H61="",0,IF($H61=1,IF('Para Adj'!$B$5 = 1,V61-($O61-SUMPRODUCT($CX61:DE61,$BU61:CB61))*(1-SUM($DZ61:EG61)),CB61*DE61),$O61*CB61))</f>
        <v>0.33643423146568807</v>
      </c>
      <c r="BA61" s="820">
        <f ca="1">IF($H61="",0,IF($H61=1,IF('Para Adj'!$B$5 = 1,W61-($O61-SUMPRODUCT($CX61:DF61,$BU61:CC61))*(1-SUM($DZ61:EH61)),CC61*DF61),$O61*CC61))</f>
        <v>0.34432578802062608</v>
      </c>
      <c r="BB61" s="820">
        <f ca="1">IF($H61="",0,IF($H61=1,IF('Para Adj'!$B$5 = 1,X61-($O61-SUMPRODUCT($CX61:DG61,$BU61:CD61))*(1-SUM($DZ61:EI61)),CD61*DG61),$O61*CD61))</f>
        <v>0.33774636991671514</v>
      </c>
      <c r="BC61" s="820">
        <f ca="1">IF($H61="",0,IF($H61=1,IF('Para Adj'!$B$5 = 1,Y61-($O61-SUMPRODUCT($CX61:DH61,$BU61:CE61))*(1-SUM($DZ61:EJ61)),CE61*DH61),$O61*CE61))</f>
        <v>0.35089207212638485</v>
      </c>
      <c r="BD61" s="820">
        <f ca="1">IF($H61="",0,IF($H61=1,IF('Para Adj'!$B$5 = 1,Z61-($O61-SUMPRODUCT($CX61:DI61,$BU61:CF61))*(1-SUM($DZ61:EK61)),CF61*DI61),$O61*CF61))</f>
        <v>0.33502548406278265</v>
      </c>
      <c r="BE61" s="820">
        <f ca="1">IF($H61="",0,IF($H61=1,IF('Para Adj'!$B$5 = 1,AA61-($O61-SUMPRODUCT($CX61:DJ61,$BU61:CG61))*(1-SUM($DZ61:EL61)),CG61*DJ61),$O61*CG61))</f>
        <v>0.33502548406281107</v>
      </c>
      <c r="BF61" s="820">
        <f ca="1">IF($H61="",0,IF($H61=1,IF('Para Adj'!$B$5 = 1,AB61-($O61-SUMPRODUCT($CX61:DK61,$BU61:CH61))*(1-SUM($DZ61:EM61)),CH61*DK61),$O61*CH61))</f>
        <v>0.34330157007181583</v>
      </c>
      <c r="BG61" s="820">
        <f ca="1">IF($H61="",0,IF($H61=1,IF('Para Adj'!$B$5 = 1,AC61-($O61-SUMPRODUCT($CX61:DL61,$BU61:CI61))*(1-SUM($DZ61:EN61)),CI61*DL61),$O61*CI61))</f>
        <v>2.172152174969824</v>
      </c>
      <c r="BH61" s="820">
        <f ca="1">IF($H61="",0,IF($H61=1,IF('Para Adj'!$B$5 = 1,AD61-($O61-SUMPRODUCT($CX61:DM61,$BU61:CJ61))*(1-SUM($DZ61:EO61)),CJ61*DM61),$O61*CJ61))</f>
        <v>2.3323432289702168</v>
      </c>
      <c r="BI61" s="820">
        <f ca="1">IF($H61="",0,IF($H61=1,IF('Para Adj'!$B$5 = 1,AE61-($O61-SUMPRODUCT($CX61:DN61,$BU61:CK61))*(1-SUM($DZ61:EP61)),CK61*DN61),$O61*CK61))</f>
        <v>0</v>
      </c>
      <c r="BJ61" s="820">
        <f ca="1">IF($H61="",0,IF($H61=1,IF('Para Adj'!$B$5 = 1,AF61-($O61-SUMPRODUCT($CX61:DO61,$BU61:CL61))*(1-SUM($DZ61:EQ61)),CL61*DO61),$O61*CL61))</f>
        <v>0</v>
      </c>
      <c r="BK61" s="820">
        <f ca="1">IF($H61="",0,IF($H61=1,IF('Para Adj'!$B$5 = 1,AG61-($O61-SUMPRODUCT($CX61:DP61,$BU61:CM61))*(1-SUM($DZ61:ER61)),CM61*DP61),$O61*CM61))</f>
        <v>0</v>
      </c>
      <c r="BL61" s="820">
        <f ca="1">IF($H61="",0,IF($H61=1,IF('Para Adj'!$B$5 = 1,AH61-($O61-SUMPRODUCT($CX61:DQ61,$BU61:CN61))*(1-SUM($DZ61:ES61)),CN61*DQ61),$O61*CN61))</f>
        <v>0</v>
      </c>
      <c r="BM61" s="820">
        <f ca="1">IF($H61="",0,IF($H61=1,IF('Para Adj'!$B$5 = 1,AI61-($O61-SUMPRODUCT($CX61:DR61,$BU61:CO61))*(1-SUM($DZ61:ET61)),CO61*DR61),$O61*CO61))</f>
        <v>0</v>
      </c>
      <c r="BN61" s="820">
        <f ca="1">IF($H61="",0,IF($H61=1,IF('Para Adj'!$B$5 = 1,AJ61-($O61-SUMPRODUCT($CX61:DS61,$BU61:CP61))*(1-SUM($DZ61:EU61)),CP61*DS61),$O61*CP61))</f>
        <v>0</v>
      </c>
      <c r="BO61" s="820">
        <f ca="1">IF($H61="",0,IF($H61=1,IF('Para Adj'!$B$5 = 1,AK61-($O61-SUMPRODUCT($CX61:DT61,$BU61:CQ61))*(1-SUM($DZ61:EV61)),CQ61*DT61),$O61*CQ61))</f>
        <v>0</v>
      </c>
      <c r="BP61" s="820">
        <f ca="1">IF($H61="",0,IF($H61=1,IF('Para Adj'!$B$5 = 1,AL61-($O61-SUMPRODUCT($CX61:DU61,$BU61:CR61))*(1-SUM($DZ61:EW61)),CR61*DU61),$O61*CR61))</f>
        <v>0</v>
      </c>
      <c r="BQ61" s="820">
        <f ca="1">IF($H61="",0,IF($H61=1,IF('Para Adj'!$B$5 = 1,AM61-($O61-SUMPRODUCT($CX61:DV61,$BU61:CS61))*(1-SUM($DZ61:EX61)),CS61*DV61),$O61*CS61))</f>
        <v>0</v>
      </c>
      <c r="BR61" s="820">
        <f ca="1">IF($H61="",0,IF($H61=1,IF('Para Adj'!$B$5 = 1,AN61-($O61-SUMPRODUCT($CX61:DW61,$BU61:CT61))*(1-SUM($DZ61:EY61)),CT61*DW61),$O61*CT61))</f>
        <v>0</v>
      </c>
      <c r="BS61" s="820">
        <f ca="1">IF($H61="",0,IF($H61=1,IF('Para Adj'!$B$5 = 1,AO61-($O61-SUMPRODUCT($CX61:DX61,$BU61:CU61))*(1-SUM($DZ61:EZ61)),CU61*DX61),$O61*CU61))</f>
        <v>0</v>
      </c>
      <c r="BU61" s="820">
        <f ca="1">IF($B61=0,"",INDEX(Assumptions!G:G,$B61))</f>
        <v>0.02</v>
      </c>
      <c r="BV61" s="820">
        <f ca="1">IF($B61=0,"",IF(COLUMN(BV61)-COLUMN($BU61)&lt;'Para Adj'!$B$2,$BU61,INDEX(Assumptions!H:H,$B61)))</f>
        <v>0.04</v>
      </c>
      <c r="BW61" s="820">
        <f ca="1">IF($B61=0,"",IF(COLUMN(BW61)-COLUMN($BU61)&lt;'Para Adj'!$B$2,$BU61,INDEX(Assumptions!I:I,$B61)))</f>
        <v>0.04</v>
      </c>
      <c r="BX61" s="820">
        <f ca="1">IF($B61=0,"",IF(COLUMN(BX61)-COLUMN($BU61)&lt;'Para Adj'!$B$2,$BU61,INDEX(Assumptions!J:J,$B61)))</f>
        <v>0.04</v>
      </c>
      <c r="BY61" s="820">
        <f ca="1">IF($B61=0,"",IF(COLUMN(BY61)-COLUMN($BU61)&lt;'Para Adj'!$B$2,$BU61,INDEX(Assumptions!K:K,$B61)))</f>
        <v>0.04</v>
      </c>
      <c r="BZ61" s="820">
        <f ca="1">IF($B61=0,"",IF(COLUMN(BZ61)-COLUMN($BU61)&lt;'Para Adj'!$B$2,$BU61,INDEX(Assumptions!L:L,$B61)))</f>
        <v>0.04</v>
      </c>
      <c r="CA61" s="820">
        <f ca="1">IF($B61=0,"",IF(COLUMN(CA61)-COLUMN($BU61)&lt;'Para Adj'!$B$2,$BU61,INDEX(Assumptions!M:M,$B61)))</f>
        <v>0.04</v>
      </c>
      <c r="CB61" s="820">
        <f ca="1">IF($B61=0,"",IF(COLUMN(CB61)-COLUMN($BU61)&lt;'Para Adj'!$B$2,$BU61,INDEX(Assumptions!N:N,$B61)))</f>
        <v>0.06</v>
      </c>
      <c r="CC61" s="820">
        <f ca="1">IF($B61=0,"",IF(COLUMN(CC61)-COLUMN($BU61)&lt;'Para Adj'!$B$2,$BU61,INDEX(Assumptions!O:O,$B61)))</f>
        <v>0.06</v>
      </c>
      <c r="CD61" s="820">
        <f ca="1">IF($B61=0,"",IF(COLUMN(CD61)-COLUMN($BU61)&lt;'Para Adj'!$B$2,$BU61,INDEX(Assumptions!P:P,$B61)))</f>
        <v>0.06</v>
      </c>
      <c r="CE61" s="820">
        <f ca="1">IF($B61=0,"",IF(COLUMN(CE61)-COLUMN($BU61)&lt;'Para Adj'!$B$2,$BU61,INDEX(Assumptions!Q:Q,$B61)))</f>
        <v>0.06</v>
      </c>
      <c r="CF61" s="820">
        <f ca="1">IF($B61=0,"",IF(COLUMN(CF61)-COLUMN($BU61)&lt;'Para Adj'!$B$2,$BU61,INDEX(Assumptions!R:R,$B61)))</f>
        <v>0.06</v>
      </c>
      <c r="CG61" s="820">
        <f ca="1">IF($B61=0,"",IF(COLUMN(CG61)-COLUMN($BU61)&lt;'Para Adj'!$B$2,$BU61,INDEX(Assumptions!S:S,$B61)))</f>
        <v>0.06</v>
      </c>
      <c r="CH61" s="820">
        <f ca="1">IF($B61=0,"",IF(COLUMN(CH61)-COLUMN($BU61)&lt;'Para Adj'!$B$2,$BU61,INDEX(Assumptions!T:T,$B61)))</f>
        <v>0.06</v>
      </c>
      <c r="CI61" s="820">
        <f ca="1">IF($B61=0,"",IF(COLUMN(CI61)-COLUMN($BU61)&lt;'Para Adj'!$B$2,$BU61,INDEX(Assumptions!U:U,$B61)))</f>
        <v>0.08</v>
      </c>
      <c r="CJ61" s="820">
        <f ca="1">IF($B61=0,"",IF(COLUMN(CJ61)-COLUMN($BU61)&lt;'Para Adj'!$B$2,$BU61,INDEX(Assumptions!V:V,$B61)))</f>
        <v>0.1</v>
      </c>
      <c r="CK61" s="820">
        <f ca="1">IF($B61=0,"",IF(COLUMN(CK61)-COLUMN($BU61)&lt;'Para Adj'!$B$2,$BU61,INDEX(Assumptions!W:W,$B61)))</f>
        <v>0</v>
      </c>
      <c r="CL61" s="820">
        <f ca="1">IF($B61=0,"",IF(COLUMN(CL61)-COLUMN($BU61)&lt;'Para Adj'!$B$2,$BU61,INDEX(Assumptions!X:X,$B61)))</f>
        <v>0</v>
      </c>
      <c r="CM61" s="820">
        <f ca="1">IF($B61=0,"",IF(COLUMN(CM61)-COLUMN($BU61)&lt;'Para Adj'!$B$2,$BU61,INDEX(Assumptions!Y:Y,$B61)))</f>
        <v>0</v>
      </c>
      <c r="CN61" s="820">
        <f ca="1">IF($B61=0,"",IF(COLUMN(CN61)-COLUMN($BU61)&lt;'Para Adj'!$B$2,$BU61,INDEX(Assumptions!Z:Z,$B61)))</f>
        <v>0</v>
      </c>
      <c r="CO61" s="820">
        <f ca="1">IF($B61=0,"",IF(COLUMN(CO61)-COLUMN($BU61)&lt;'Para Adj'!$B$2,$BU61,INDEX(Assumptions!AA:AA,$B61)))</f>
        <v>0</v>
      </c>
      <c r="CP61" s="820">
        <f ca="1">IF($B61=0,"",IF(COLUMN(CP61)-COLUMN($BU61)&lt;'Para Adj'!$B$2,$BU61,INDEX(Assumptions!AB:AB,$B61)))</f>
        <v>0</v>
      </c>
      <c r="CQ61" s="820">
        <f ca="1">IF($B61=0,"",IF(COLUMN(CQ61)-COLUMN($BU61)&lt;'Para Adj'!$B$2,$BU61,INDEX(Assumptions!AC:AC,$B61)))</f>
        <v>0</v>
      </c>
      <c r="CR61" s="820">
        <f ca="1">IF($B61=0,"",IF(COLUMN(CR61)-COLUMN($BU61)&lt;'Para Adj'!$B$2,$BU61,INDEX(Assumptions!AD:AD,$B61)))</f>
        <v>0</v>
      </c>
      <c r="CS61" s="820">
        <f ca="1">IF($B61=0,"",IF(COLUMN(CS61)-COLUMN($BU61)&lt;'Para Adj'!$B$2,$BU61,INDEX(Assumptions!AE:AE,$B61)))</f>
        <v>0</v>
      </c>
      <c r="CT61" s="820">
        <f ca="1">IF($B61=0,"",IF(COLUMN(CT61)-COLUMN($BU61)&lt;'Para Adj'!$B$2,$BU61,INDEX(Assumptions!AF:AF,$B61)))</f>
        <v>0</v>
      </c>
      <c r="CU61" s="820">
        <f ca="1">IF($B61=0,"",IF(COLUMN(CU61)-COLUMN($BU61)&lt;'Para Adj'!$B$2,$BU61,INDEX(Assumptions!AG:AG,$B61)))</f>
        <v>0</v>
      </c>
      <c r="CX61" s="442">
        <f>IF($A61="","",INDEX('Data Interface'!G:G,$A61))</f>
        <v>-5.0000000000000011E-8</v>
      </c>
      <c r="CY61" s="442">
        <f>IF($A61="","",INDEX('Data Interface'!H:H,$A61))</f>
        <v>0.15003620000000001</v>
      </c>
      <c r="CZ61" s="442">
        <f>IF($A61="","",INDEX('Data Interface'!I:I,$A61))</f>
        <v>0</v>
      </c>
      <c r="DA61" s="442">
        <f>IF($A61="","",INDEX('Data Interface'!J:J,$A61))</f>
        <v>1.336274E-2</v>
      </c>
      <c r="DB61" s="442">
        <f>IF($A61="","",INDEX('Data Interface'!K:K,$A61))</f>
        <v>0</v>
      </c>
      <c r="DC61" s="442">
        <f>IF($A61="","",INDEX('Data Interface'!L:L,$A61))</f>
        <v>0</v>
      </c>
      <c r="DD61" s="442">
        <f>IF($A61="","",INDEX('Data Interface'!M:M,$A61))</f>
        <v>6.416057E-2</v>
      </c>
      <c r="DE61" s="442">
        <f>IF($A61="","",INDEX('Data Interface'!N:N,$A61))</f>
        <v>2.3029670000000002E-2</v>
      </c>
      <c r="DF61" s="442">
        <f>IF($A61="","",INDEX('Data Interface'!O:O,$A61))</f>
        <v>0.15788898999999998</v>
      </c>
      <c r="DG61" s="442">
        <f>IF($A61="","",INDEX('Data Interface'!P:P,$A61))</f>
        <v>4.5930610000000004E-2</v>
      </c>
      <c r="DH61" s="442">
        <f>IF($A61="","",INDEX('Data Interface'!Q:Q,$A61))</f>
        <v>0.27149796999999998</v>
      </c>
      <c r="DI61" s="442">
        <f>IF($A61="","",INDEX('Data Interface'!R:R,$A61))</f>
        <v>0</v>
      </c>
      <c r="DJ61" s="442">
        <f>IF($A61="","",INDEX('Data Interface'!S:S,$A61))</f>
        <v>0</v>
      </c>
      <c r="DK61" s="442">
        <f>IF($A61="","",INDEX('Data Interface'!T:T,$A61))</f>
        <v>0.14274292999999999</v>
      </c>
      <c r="DL61" s="442">
        <f>IF($A61="","",INDEX('Data Interface'!U:U,$A61))</f>
        <v>2.8522638300000001</v>
      </c>
      <c r="DM61" s="442">
        <f>IF($A61="","",INDEX('Data Interface'!V:V,$A61))</f>
        <v>4.0332903199999999</v>
      </c>
      <c r="DN61" s="442">
        <f>IF($A61="","",INDEX('Data Interface'!W:W,$A61))</f>
        <v>5.4897570899999977</v>
      </c>
      <c r="DO61" s="442">
        <f>IF($A61="","",INDEX('Data Interface'!X:X,$A61))</f>
        <v>21.290466020000007</v>
      </c>
      <c r="DP61" s="442">
        <f>IF($A61="","",INDEX('Data Interface'!Y:Y,$A61))</f>
        <v>59.154645299999999</v>
      </c>
      <c r="DQ61" s="442">
        <f>IF($A61="","",INDEX('Data Interface'!Z:Z,$A61))</f>
        <v>19.7707953</v>
      </c>
      <c r="DR61" s="442">
        <f>IF($A61="","",INDEX('Data Interface'!AA:AA,$A61))</f>
        <v>24.81666637</v>
      </c>
      <c r="DS61" s="442">
        <f>IF($A61="","",INDEX('Data Interface'!AB:AB,$A61))</f>
        <v>5.4207585900000037</v>
      </c>
      <c r="DT61" s="442">
        <f>IF($A61="","",INDEX('Data Interface'!AC:AC,$A61))</f>
        <v>4.7887277800000021</v>
      </c>
      <c r="DU61" s="442">
        <f>IF($A61="","",INDEX('Data Interface'!AD:AD,$A61))</f>
        <v>5.1386272099999974</v>
      </c>
      <c r="DV61" s="442">
        <f>IF($A61="","",INDEX('Data Interface'!AE:AE,$A61))</f>
        <v>4.9281893599999993</v>
      </c>
      <c r="DW61" s="442">
        <f>IF($A61="","",INDEX('Data Interface'!AF:AF,$A61))</f>
        <v>3.7473913899999993</v>
      </c>
      <c r="DX61" s="442">
        <f>IF($A61="","",INDEX('Data Interface'!AG:AG,$A61))</f>
        <v>2.2473409400000013</v>
      </c>
      <c r="DZ61" s="906">
        <f ca="1">IF(OR($B61=0,$A61=0,$H61&lt;&gt;1),"",INDEX(Assumptions!EO:EO,$B61))</f>
        <v>6.73681447237383E-3</v>
      </c>
      <c r="EA61" s="906">
        <f ca="1">IF(OR($B61=0,$A61=0,$H61&lt;&gt;1),"",INDEX(Assumptions!EP:EP,$B61))</f>
        <v>2.2456048241246097E-3</v>
      </c>
      <c r="EB61" s="906">
        <f ca="1">IF(OR($B61=0,$A61=0,$H61&lt;&gt;1),"",INDEX(Assumptions!EQ:EQ,$B61))</f>
        <v>2.2456048241246097E-3</v>
      </c>
      <c r="EC61" s="906">
        <f ca="1">IF(OR($B61=0,$A61=0,$H61&lt;&gt;1),"",INDEX(Assumptions!ER:ER,$B61))</f>
        <v>2.2456048241246097E-3</v>
      </c>
      <c r="ED61" s="906">
        <f ca="1">IF(OR($B61=0,$A61=0,$H61&lt;&gt;1),"",INDEX(Assumptions!ES:ES,$B61))</f>
        <v>2.2456048241246097E-3</v>
      </c>
      <c r="EE61" s="906">
        <f ca="1">IF(OR($B61=0,$A61=0,$H61&lt;&gt;1),"",INDEX(Assumptions!ET:ET,$B61))</f>
        <v>2.2456048241246097E-3</v>
      </c>
      <c r="EF61" s="906">
        <f ca="1">IF(OR($B61=0,$A61=0,$H61&lt;&gt;1),"",INDEX(Assumptions!EU:EU,$B61))</f>
        <v>2.2456048241246097E-3</v>
      </c>
      <c r="EG61" s="906">
        <f ca="1">IF(OR($B61=0,$A61=0,$H61&lt;&gt;1),"",INDEX(Assumptions!EV:EV,$B61))</f>
        <v>1.9248041349639515E-3</v>
      </c>
      <c r="EH61" s="906">
        <f ca="1">IF(OR($B61=0,$A61=0,$H61&lt;&gt;1),"",INDEX(Assumptions!EW:EW,$B61))</f>
        <v>1.9248041349639515E-3</v>
      </c>
      <c r="EI61" s="906">
        <f ca="1">IF(OR($B61=0,$A61=0,$H61&lt;&gt;1),"",INDEX(Assumptions!EX:EX,$B61))</f>
        <v>1.9248041349639515E-3</v>
      </c>
      <c r="EJ61" s="906">
        <f ca="1">IF(OR($B61=0,$A61=0,$H61&lt;&gt;1),"",INDEX(Assumptions!EY:EY,$B61))</f>
        <v>1.9248041349639515E-3</v>
      </c>
      <c r="EK61" s="906">
        <f ca="1">IF(OR($B61=0,$A61=0,$H61&lt;&gt;1),"",INDEX(Assumptions!EZ:EZ,$B61))</f>
        <v>1.9248041349639515E-3</v>
      </c>
      <c r="EL61" s="906">
        <f ca="1">IF(OR($B61=0,$A61=0,$H61&lt;&gt;1),"",INDEX(Assumptions!FA:FA,$B61))</f>
        <v>1.9248041349639515E-3</v>
      </c>
      <c r="EM61" s="906">
        <f ca="1">IF(OR($B61=0,$A61=0,$H61&lt;&gt;1),"",INDEX(Assumptions!FB:FB,$B61))</f>
        <v>1.9248041349639515E-3</v>
      </c>
      <c r="EN61" s="906">
        <f ca="1">IF(OR($B61=0,$A61=0,$H61&lt;&gt;1),"",INDEX(Assumptions!FC:FC,$B61))</f>
        <v>1.1228024120623046E-2</v>
      </c>
      <c r="EO61" s="906">
        <f ca="1">IF(OR($B61=0,$A61=0,$H61&lt;&gt;1),"",INDEX(Assumptions!FD:FD,$B61))</f>
        <v>1.1228024120623046E-2</v>
      </c>
      <c r="EP61" s="906">
        <f ca="1">IF(OR($B61=0,$A61=0,$H61&lt;&gt;1),"",INDEX(Assumptions!FE:FE,$B61))</f>
        <v>0</v>
      </c>
      <c r="EQ61" s="906">
        <f ca="1">IF(OR($B61=0,$A61=0,$H61&lt;&gt;1),"",INDEX(Assumptions!FF:FF,$B61))</f>
        <v>0</v>
      </c>
      <c r="ER61" s="906">
        <f ca="1">IF(OR($B61=0,$A61=0,$H61&lt;&gt;1),"",INDEX(Assumptions!FG:FG,$B61))</f>
        <v>0</v>
      </c>
      <c r="ES61" s="906">
        <f ca="1">IF(OR($B61=0,$A61=0,$H61&lt;&gt;1),"",INDEX(Assumptions!FH:FH,$B61))</f>
        <v>0</v>
      </c>
      <c r="ET61" s="906">
        <f ca="1">IF(OR($B61=0,$A61=0,$H61&lt;&gt;1),"",INDEX(Assumptions!FI:FI,$B61))</f>
        <v>0</v>
      </c>
      <c r="EU61" s="906">
        <f ca="1">IF(OR($B61=0,$A61=0,$H61&lt;&gt;1),"",INDEX(Assumptions!FJ:FJ,$B61))</f>
        <v>0</v>
      </c>
      <c r="EV61" s="906">
        <f ca="1">IF(OR($B61=0,$A61=0,$H61&lt;&gt;1),"",INDEX(Assumptions!FK:FK,$B61))</f>
        <v>0</v>
      </c>
      <c r="EW61" s="906">
        <f ca="1">IF(OR($B61=0,$A61=0,$H61&lt;&gt;1),"",INDEX(Assumptions!FL:FL,$B61))</f>
        <v>0</v>
      </c>
      <c r="EX61" s="906">
        <f ca="1">IF(OR($B61=0,$A61=0,$H61&lt;&gt;1),"",INDEX(Assumptions!FM:FM,$B61))</f>
        <v>0</v>
      </c>
      <c r="EY61" s="906">
        <f ca="1">IF(OR($B61=0,$A61=0,$H61&lt;&gt;1),"",INDEX(Assumptions!FN:FN,$B61))</f>
        <v>0</v>
      </c>
      <c r="EZ61" s="906">
        <f ca="1">IF(OR($B61=0,$A61=0,$H61&lt;&gt;1),"",INDEX(Assumptions!FO:FO,$B61))</f>
        <v>0</v>
      </c>
      <c r="FB61" s="820">
        <f t="shared" ca="1" si="18"/>
        <v>5.9102252709079153</v>
      </c>
      <c r="FC61" s="820">
        <f t="shared" ca="1" si="19"/>
        <v>3.3684072361869155E-2</v>
      </c>
      <c r="FD61" s="820">
        <f t="shared" ca="1" si="20"/>
        <v>5.8642597581748808</v>
      </c>
      <c r="FE61" s="820">
        <f t="shared" ca="1" si="21"/>
        <v>4.5965512733019423E-2</v>
      </c>
      <c r="FF61" s="820">
        <f t="shared" ca="1" si="22"/>
        <v>1.5085155347094314E-14</v>
      </c>
    </row>
    <row r="62" spans="1:162">
      <c r="A62" s="440">
        <f>IFERROR(MATCH(C62,'Data Interface'!B:B,0),0)</f>
        <v>60</v>
      </c>
      <c r="B62" s="440">
        <f>IFERROR(MATCH(C62,Assumptions!$B:$B,0),0)</f>
        <v>23</v>
      </c>
      <c r="C62" s="441">
        <v>9.4</v>
      </c>
      <c r="E62" s="441" t="s">
        <v>1219</v>
      </c>
      <c r="F62" s="440" t="s">
        <v>24</v>
      </c>
      <c r="G62" s="440" t="str">
        <f>IF(A62=0,"",INDEX('Data Interface'!$C:$C,$A62))</f>
        <v>Time Deposits - Corporates</v>
      </c>
      <c r="H62" s="440">
        <v>1</v>
      </c>
      <c r="I62" s="819">
        <f t="shared" ca="1" si="23"/>
        <v>0.24</v>
      </c>
      <c r="J62" s="819">
        <f t="shared" ca="1" si="24"/>
        <v>0.4</v>
      </c>
      <c r="K62" s="439" t="str">
        <f t="shared" ca="1" si="25"/>
        <v>24% of Contractual Maturity</v>
      </c>
      <c r="L62" s="439" t="s">
        <v>1148</v>
      </c>
      <c r="M62" s="439" t="s">
        <v>1509</v>
      </c>
      <c r="O62" s="442">
        <f>IF(OR($A62="",$A62=0),0,INDEX('Data Interface'!D:D,$A62))</f>
        <v>2649.5570429800018</v>
      </c>
      <c r="P62" s="442">
        <f ca="1">$O62-SUM($AS62:AS62)</f>
        <v>2592.3506514681303</v>
      </c>
      <c r="Q62" s="442">
        <f ca="1">$O62-SUM($AS62:AT62)</f>
        <v>2573.2818542975065</v>
      </c>
      <c r="R62" s="442">
        <f ca="1">$O62-SUM($AS62:AU62)</f>
        <v>2546.396835996693</v>
      </c>
      <c r="S62" s="442">
        <f ca="1">$O62-SUM($AS62:AV62)</f>
        <v>2520.9172260827127</v>
      </c>
      <c r="T62" s="442">
        <f ca="1">$O62-SUM($AS62:AW62)</f>
        <v>2501.9554415296975</v>
      </c>
      <c r="U62" s="442">
        <f ca="1">$O62-SUM($AS62:AX62)</f>
        <v>2482.9936569766824</v>
      </c>
      <c r="V62" s="442">
        <f ca="1">$O62-SUM($AS62:AY62)</f>
        <v>2415.2390070467432</v>
      </c>
      <c r="W62" s="442">
        <f ca="1">$O62-SUM($AS62:AZ62)</f>
        <v>2395.8613830720378</v>
      </c>
      <c r="X62" s="442">
        <f ca="1">$O62-SUM($AS62:BA62)</f>
        <v>2311.7448419601847</v>
      </c>
      <c r="Y62" s="442">
        <f ca="1">$O62-SUM($AS62:BB62)</f>
        <v>2274.0201791368672</v>
      </c>
      <c r="Z62" s="442">
        <f ca="1">$O62-SUM($AS62:BC62)</f>
        <v>2258.5788152476284</v>
      </c>
      <c r="AA62" s="442">
        <f ca="1">$O62-SUM($AS62:BD62)</f>
        <v>2243.2773227872995</v>
      </c>
      <c r="AB62" s="442">
        <f ca="1">$O62-SUM($AS62:BE62)</f>
        <v>2227.97583032697</v>
      </c>
      <c r="AC62" s="442">
        <f ca="1">$O62-SUM($AS62:BF62)</f>
        <v>2177.0035808830398</v>
      </c>
      <c r="AD62" s="442">
        <f ca="1">$O62-SUM($AS62:BG62)</f>
        <v>2042.257000597725</v>
      </c>
      <c r="AE62" s="442">
        <f ca="1">$O62-SUM($AS62:BH62)</f>
        <v>1870.6005534815981</v>
      </c>
      <c r="AF62" s="442">
        <f ca="1">$O62-SUM($AS62:BI62)</f>
        <v>1763.5713854324567</v>
      </c>
      <c r="AG62" s="442">
        <f ca="1">$O62-SUM($AS62:BJ62)</f>
        <v>1554.5660103655937</v>
      </c>
      <c r="AH62" s="442">
        <f ca="1">$O62-SUM($AS62:BK62)</f>
        <v>1500.7800269141824</v>
      </c>
      <c r="AI62" s="442">
        <f ca="1">$O62-SUM($AS62:BL62)</f>
        <v>1465.6849322062401</v>
      </c>
      <c r="AJ62" s="442">
        <f ca="1">$O62-SUM($AS62:BM62)</f>
        <v>1432.8940448866645</v>
      </c>
      <c r="AK62" s="442">
        <f ca="1">$O62-SUM($AS62:BN62)</f>
        <v>1429.3875064735607</v>
      </c>
      <c r="AL62" s="442">
        <f ca="1">$O62-SUM($AS62:BO62)</f>
        <v>1359.8804888853326</v>
      </c>
      <c r="AM62" s="442">
        <f ca="1">$O62-SUM($AS62:BP62)</f>
        <v>1350.9725899587279</v>
      </c>
      <c r="AN62" s="442">
        <f ca="1">$O62-SUM($AS62:BQ62)</f>
        <v>1345.9704926474215</v>
      </c>
      <c r="AO62" s="442">
        <f ca="1">$O62-SUM($AS62:BR62)</f>
        <v>1342.6197238781585</v>
      </c>
      <c r="AP62" s="442">
        <f ca="1">$O62-SUM($AS62:BS62)</f>
        <v>1321.1907933784755</v>
      </c>
      <c r="AR62" s="439" t="s">
        <v>1202</v>
      </c>
      <c r="AS62" s="820">
        <f ca="1">IF($H62="",0,IF($H62=1,IF('Para Adj'!$B$5 = 1,O62-($O62-SUMPRODUCT($CX62:CX62,$BU62:BU62))*(1-SUM($DZ62:DZ62)),BU62*CX62),$O62*BU62))</f>
        <v>57.206391511871516</v>
      </c>
      <c r="AT62" s="820">
        <f ca="1">IF($H62="",0,IF($H62=1,IF('Para Adj'!$B$5 = 1,P62-($O62-SUMPRODUCT($CX62:CY62,$BU62:BV62))*(1-SUM($DZ62:EA62)),BV62*CY62),$O62*BV62))</f>
        <v>19.068797170623839</v>
      </c>
      <c r="AU62" s="820">
        <f ca="1">IF($H62="",0,IF($H62=1,IF('Para Adj'!$B$5 = 1,Q62-($O62-SUMPRODUCT($CX62:CZ62,$BU62:BW62))*(1-SUM($DZ62:EB62)),BW62*CZ62),$O62*BW62))</f>
        <v>26.885018300813499</v>
      </c>
      <c r="AV62" s="820">
        <f ca="1">IF($H62="",0,IF($H62=1,IF('Para Adj'!$B$5 = 1,R62-($O62-SUMPRODUCT($CX62:DA62,$BU62:BX62))*(1-SUM($DZ62:EC62)),BX62*DA62),$O62*BX62))</f>
        <v>25.479609913980312</v>
      </c>
      <c r="AW62" s="820">
        <f ca="1">IF($H62="",0,IF($H62=1,IF('Para Adj'!$B$5 = 1,S62-($O62-SUMPRODUCT($CX62:DB62,$BU62:BY62))*(1-SUM($DZ62:ED62)),BY62*DB62),$O62*BY62))</f>
        <v>18.96178455301515</v>
      </c>
      <c r="AX62" s="820">
        <f ca="1">IF($H62="",0,IF($H62=1,IF('Para Adj'!$B$5 = 1,T62-($O62-SUMPRODUCT($CX62:DC62,$BU62:BZ62))*(1-SUM($DZ62:EE62)),BZ62*DC62),$O62*BZ62))</f>
        <v>18.96178455301515</v>
      </c>
      <c r="AY62" s="820">
        <f ca="1">IF($H62="",0,IF($H62=1,IF('Para Adj'!$B$5 = 1,U62-($O62-SUMPRODUCT($CX62:DD62,$BU62:CA62))*(1-SUM($DZ62:EF62)),CA62*DD62),$O62*CA62))</f>
        <v>67.754649929939205</v>
      </c>
      <c r="AZ62" s="820">
        <f ca="1">IF($H62="",0,IF($H62=1,IF('Para Adj'!$B$5 = 1,V62-($O62-SUMPRODUCT($CX62:DE62,$BU62:CB62))*(1-SUM($DZ62:EG62)),CB62*DE62),$O62*CB62))</f>
        <v>19.37762397470533</v>
      </c>
      <c r="BA62" s="820">
        <f ca="1">IF($H62="",0,IF($H62=1,IF('Para Adj'!$B$5 = 1,W62-($O62-SUMPRODUCT($CX62:DF62,$BU62:CC62))*(1-SUM($DZ62:EH62)),CC62*DF62),$O62*CC62))</f>
        <v>84.116541111853167</v>
      </c>
      <c r="BB62" s="820">
        <f ca="1">IF($H62="",0,IF($H62=1,IF('Para Adj'!$B$5 = 1,X62-($O62-SUMPRODUCT($CX62:DG62,$BU62:CD62))*(1-SUM($DZ62:EI62)),CD62*DG62),$O62*CD62))</f>
        <v>37.724662823317431</v>
      </c>
      <c r="BC62" s="820">
        <f ca="1">IF($H62="",0,IF($H62=1,IF('Para Adj'!$B$5 = 1,Y62-($O62-SUMPRODUCT($CX62:DH62,$BU62:CE62))*(1-SUM($DZ62:EJ62)),CE62*DH62),$O62*CE62))</f>
        <v>15.441363889238801</v>
      </c>
      <c r="BD62" s="820">
        <f ca="1">IF($H62="",0,IF($H62=1,IF('Para Adj'!$B$5 = 1,Z62-($O62-SUMPRODUCT($CX62:DI62,$BU62:CF62))*(1-SUM($DZ62:EK62)),CF62*DI62),$O62*CF62))</f>
        <v>15.301492460328973</v>
      </c>
      <c r="BE62" s="820">
        <f ca="1">IF($H62="",0,IF($H62=1,IF('Para Adj'!$B$5 = 1,AA62-($O62-SUMPRODUCT($CX62:DJ62,$BU62:CG62))*(1-SUM($DZ62:EL62)),CG62*DJ62),$O62*CG62))</f>
        <v>15.301492460329428</v>
      </c>
      <c r="BF62" s="820">
        <f ca="1">IF($H62="",0,IF($H62=1,IF('Para Adj'!$B$5 = 1,AB62-($O62-SUMPRODUCT($CX62:DK62,$BU62:CH62))*(1-SUM($DZ62:EM62)),CH62*DK62),$O62*CH62))</f>
        <v>50.972249443930195</v>
      </c>
      <c r="BG62" s="820">
        <f ca="1">IF($H62="",0,IF($H62=1,IF('Para Adj'!$B$5 = 1,AC62-($O62-SUMPRODUCT($CX62:DL62,$BU62:CI62))*(1-SUM($DZ62:EN62)),CI62*DL62),$O62*CI62))</f>
        <v>134.74658028531485</v>
      </c>
      <c r="BH62" s="820">
        <f ca="1">IF($H62="",0,IF($H62=1,IF('Para Adj'!$B$5 = 1,AD62-($O62-SUMPRODUCT($CX62:DM62,$BU62:CJ62))*(1-SUM($DZ62:EO62)),CJ62*DM62),$O62*CJ62))</f>
        <v>171.65644711612686</v>
      </c>
      <c r="BI62" s="820">
        <f ca="1">IF($H62="",0,IF($H62=1,IF('Para Adj'!$B$5 = 1,AE62-($O62-SUMPRODUCT($CX62:DN62,$BU62:CK62))*(1-SUM($DZ62:EP62)),CK62*DN62),$O62*CK62))</f>
        <v>107.02916804914139</v>
      </c>
      <c r="BJ62" s="820">
        <f ca="1">IF($H62="",0,IF($H62=1,IF('Para Adj'!$B$5 = 1,AF62-($O62-SUMPRODUCT($CX62:DO62,$BU62:CL62))*(1-SUM($DZ62:EQ62)),CL62*DO62),$O62*CL62))</f>
        <v>209.00537506686305</v>
      </c>
      <c r="BK62" s="820">
        <f ca="1">IF($H62="",0,IF($H62=1,IF('Para Adj'!$B$5 = 1,AG62-($O62-SUMPRODUCT($CX62:DP62,$BU62:CM62))*(1-SUM($DZ62:ER62)),CM62*DP62),$O62*CM62))</f>
        <v>53.785983451411312</v>
      </c>
      <c r="BL62" s="820">
        <f ca="1">IF($H62="",0,IF($H62=1,IF('Para Adj'!$B$5 = 1,AH62-($O62-SUMPRODUCT($CX62:DQ62,$BU62:CN62))*(1-SUM($DZ62:ES62)),CN62*DQ62),$O62*CN62))</f>
        <v>35.09509470794228</v>
      </c>
      <c r="BM62" s="820">
        <f ca="1">IF($H62="",0,IF($H62=1,IF('Para Adj'!$B$5 = 1,AI62-($O62-SUMPRODUCT($CX62:DR62,$BU62:CO62))*(1-SUM($DZ62:ET62)),CO62*DR62),$O62*CO62))</f>
        <v>32.790887319575631</v>
      </c>
      <c r="BN62" s="820">
        <f ca="1">IF($H62="",0,IF($H62=1,IF('Para Adj'!$B$5 = 1,AJ62-($O62-SUMPRODUCT($CX62:DS62,$BU62:CP62))*(1-SUM($DZ62:EU62)),CP62*DS62),$O62*CP62))</f>
        <v>3.5065384131037263</v>
      </c>
      <c r="BO62" s="820">
        <f ca="1">IF($H62="",0,IF($H62=1,IF('Para Adj'!$B$5 = 1,AK62-($O62-SUMPRODUCT($CX62:DT62,$BU62:CQ62))*(1-SUM($DZ62:EV62)),CQ62*DT62),$O62*CQ62))</f>
        <v>69.507017588228109</v>
      </c>
      <c r="BP62" s="820">
        <f ca="1">IF($H62="",0,IF($H62=1,IF('Para Adj'!$B$5 = 1,AL62-($O62-SUMPRODUCT($CX62:DU62,$BU62:CR62))*(1-SUM($DZ62:EW62)),CR62*DU62),$O62*CR62))</f>
        <v>8.9078989266047301</v>
      </c>
      <c r="BQ62" s="820">
        <f ca="1">IF($H62="",0,IF($H62=1,IF('Para Adj'!$B$5 = 1,AM62-($O62-SUMPRODUCT($CX62:DV62,$BU62:CS62))*(1-SUM($DZ62:EX62)),CS62*DV62),$O62*CS62))</f>
        <v>5.0020973113064429</v>
      </c>
      <c r="BR62" s="820">
        <f ca="1">IF($H62="",0,IF($H62=1,IF('Para Adj'!$B$5 = 1,AN62-($O62-SUMPRODUCT($CX62:DW62,$BU62:CT62))*(1-SUM($DZ62:EY62)),CT62*DW62),$O62*CT62))</f>
        <v>3.3507687692629133</v>
      </c>
      <c r="BS62" s="820">
        <f ca="1">IF($H62="",0,IF($H62=1,IF('Para Adj'!$B$5 = 1,AO62-($O62-SUMPRODUCT($CX62:DX62,$BU62:CU62))*(1-SUM($DZ62:EZ62)),CU62*DX62),$O62*CU62))</f>
        <v>21.42893049968302</v>
      </c>
      <c r="BU62" s="820">
        <f ca="1">IF($B62=0,"",INDEX(Assumptions!G:G,$B62))</f>
        <v>0.08</v>
      </c>
      <c r="BV62" s="820">
        <f ca="1">IF($B62=0,"",IF(COLUMN(BV62)-COLUMN($BU62)&lt;'Para Adj'!$B$2,$BU62,INDEX(Assumptions!H:H,$B62)))</f>
        <v>0.16</v>
      </c>
      <c r="BW62" s="820">
        <f ca="1">IF($B62=0,"",IF(COLUMN(BW62)-COLUMN($BU62)&lt;'Para Adj'!$B$2,$BU62,INDEX(Assumptions!I:I,$B62)))</f>
        <v>0.16</v>
      </c>
      <c r="BX62" s="820">
        <f ca="1">IF($B62=0,"",IF(COLUMN(BX62)-COLUMN($BU62)&lt;'Para Adj'!$B$2,$BU62,INDEX(Assumptions!J:J,$B62)))</f>
        <v>0.16</v>
      </c>
      <c r="BY62" s="820">
        <f ca="1">IF($B62=0,"",IF(COLUMN(BY62)-COLUMN($BU62)&lt;'Para Adj'!$B$2,$BU62,INDEX(Assumptions!K:K,$B62)))</f>
        <v>0.16</v>
      </c>
      <c r="BZ62" s="820">
        <f ca="1">IF($B62=0,"",IF(COLUMN(BZ62)-COLUMN($BU62)&lt;'Para Adj'!$B$2,$BU62,INDEX(Assumptions!L:L,$B62)))</f>
        <v>0.16</v>
      </c>
      <c r="CA62" s="820">
        <f ca="1">IF($B62=0,"",IF(COLUMN(CA62)-COLUMN($BU62)&lt;'Para Adj'!$B$2,$BU62,INDEX(Assumptions!M:M,$B62)))</f>
        <v>0.16</v>
      </c>
      <c r="CB62" s="820">
        <f ca="1">IF($B62=0,"",IF(COLUMN(CB62)-COLUMN($BU62)&lt;'Para Adj'!$B$2,$BU62,INDEX(Assumptions!N:N,$B62)))</f>
        <v>0.24</v>
      </c>
      <c r="CC62" s="820">
        <f ca="1">IF($B62=0,"",IF(COLUMN(CC62)-COLUMN($BU62)&lt;'Para Adj'!$B$2,$BU62,INDEX(Assumptions!O:O,$B62)))</f>
        <v>0.24</v>
      </c>
      <c r="CD62" s="820">
        <f ca="1">IF($B62=0,"",IF(COLUMN(CD62)-COLUMN($BU62)&lt;'Para Adj'!$B$2,$BU62,INDEX(Assumptions!P:P,$B62)))</f>
        <v>0.24</v>
      </c>
      <c r="CE62" s="820">
        <f ca="1">IF($B62=0,"",IF(COLUMN(CE62)-COLUMN($BU62)&lt;'Para Adj'!$B$2,$BU62,INDEX(Assumptions!Q:Q,$B62)))</f>
        <v>0.24</v>
      </c>
      <c r="CF62" s="820">
        <f ca="1">IF($B62=0,"",IF(COLUMN(CF62)-COLUMN($BU62)&lt;'Para Adj'!$B$2,$BU62,INDEX(Assumptions!R:R,$B62)))</f>
        <v>0.24</v>
      </c>
      <c r="CG62" s="820">
        <f ca="1">IF($B62=0,"",IF(COLUMN(CG62)-COLUMN($BU62)&lt;'Para Adj'!$B$2,$BU62,INDEX(Assumptions!S:S,$B62)))</f>
        <v>0.24</v>
      </c>
      <c r="CH62" s="820">
        <f ca="1">IF($B62=0,"",IF(COLUMN(CH62)-COLUMN($BU62)&lt;'Para Adj'!$B$2,$BU62,INDEX(Assumptions!T:T,$B62)))</f>
        <v>0.24</v>
      </c>
      <c r="CI62" s="820">
        <f ca="1">IF($B62=0,"",IF(COLUMN(CI62)-COLUMN($BU62)&lt;'Para Adj'!$B$2,$BU62,INDEX(Assumptions!U:U,$B62)))</f>
        <v>0.32</v>
      </c>
      <c r="CJ62" s="820">
        <f ca="1">IF($B62=0,"",IF(COLUMN(CJ62)-COLUMN($BU62)&lt;'Para Adj'!$B$2,$BU62,INDEX(Assumptions!V:V,$B62)))</f>
        <v>0.4</v>
      </c>
      <c r="CK62" s="820">
        <f ca="1">IF($B62=0,"",IF(COLUMN(CK62)-COLUMN($BU62)&lt;'Para Adj'!$B$2,$BU62,INDEX(Assumptions!W:W,$B62)))</f>
        <v>0.45454545454545459</v>
      </c>
      <c r="CL62" s="820">
        <f ca="1">IF($B62=0,"",IF(COLUMN(CL62)-COLUMN($BU62)&lt;'Para Adj'!$B$2,$BU62,INDEX(Assumptions!X:X,$B62)))</f>
        <v>0.50909090909090915</v>
      </c>
      <c r="CM62" s="820">
        <f ca="1">IF($B62=0,"",IF(COLUMN(CM62)-COLUMN($BU62)&lt;'Para Adj'!$B$2,$BU62,INDEX(Assumptions!Y:Y,$B62)))</f>
        <v>0.56363636363636371</v>
      </c>
      <c r="CN62" s="820">
        <f ca="1">IF($B62=0,"",IF(COLUMN(CN62)-COLUMN($BU62)&lt;'Para Adj'!$B$2,$BU62,INDEX(Assumptions!Z:Z,$B62)))</f>
        <v>0.61818181818181828</v>
      </c>
      <c r="CO62" s="820">
        <f ca="1">IF($B62=0,"",IF(COLUMN(CO62)-COLUMN($BU62)&lt;'Para Adj'!$B$2,$BU62,INDEX(Assumptions!AA:AA,$B62)))</f>
        <v>0.67272727272727284</v>
      </c>
      <c r="CP62" s="820">
        <f ca="1">IF($B62=0,"",IF(COLUMN(CP62)-COLUMN($BU62)&lt;'Para Adj'!$B$2,$BU62,INDEX(Assumptions!AB:AB,$B62)))</f>
        <v>0.7272727272727274</v>
      </c>
      <c r="CQ62" s="820">
        <f ca="1">IF($B62=0,"",IF(COLUMN(CQ62)-COLUMN($BU62)&lt;'Para Adj'!$B$2,$BU62,INDEX(Assumptions!AC:AC,$B62)))</f>
        <v>0.78181818181818197</v>
      </c>
      <c r="CR62" s="820">
        <f ca="1">IF($B62=0,"",IF(COLUMN(CR62)-COLUMN($BU62)&lt;'Para Adj'!$B$2,$BU62,INDEX(Assumptions!AD:AD,$B62)))</f>
        <v>0.83636363636363653</v>
      </c>
      <c r="CS62" s="820">
        <f ca="1">IF($B62=0,"",IF(COLUMN(CS62)-COLUMN($BU62)&lt;'Para Adj'!$B$2,$BU62,INDEX(Assumptions!AE:AE,$B62)))</f>
        <v>0.89090909090909109</v>
      </c>
      <c r="CT62" s="820">
        <f ca="1">IF($B62=0,"",IF(COLUMN(CT62)-COLUMN($BU62)&lt;'Para Adj'!$B$2,$BU62,INDEX(Assumptions!AF:AF,$B62)))</f>
        <v>0.94545454545454566</v>
      </c>
      <c r="CU62" s="820">
        <f ca="1">IF($B62=0,"",IF(COLUMN(CU62)-COLUMN($BU62)&lt;'Para Adj'!$B$2,$BU62,INDEX(Assumptions!AG:AG,$B62)))</f>
        <v>1.0000000000000002</v>
      </c>
      <c r="CX62" s="442">
        <f>IF($A62="","",INDEX('Data Interface'!G:G,$A62))</f>
        <v>0</v>
      </c>
      <c r="CY62" s="442">
        <f>IF($A62="","",INDEX('Data Interface'!H:H,$A62))</f>
        <v>0</v>
      </c>
      <c r="CZ62" s="442">
        <f>IF($A62="","",INDEX('Data Interface'!I:I,$A62))</f>
        <v>50.674912590000005</v>
      </c>
      <c r="DA62" s="442">
        <f>IF($A62="","",INDEX('Data Interface'!J:J,$A62))</f>
        <v>42.257022280000001</v>
      </c>
      <c r="DB62" s="442">
        <f>IF($A62="","",INDEX('Data Interface'!K:K,$A62))</f>
        <v>0</v>
      </c>
      <c r="DC62" s="442">
        <f>IF($A62="","",INDEX('Data Interface'!L:L,$A62))</f>
        <v>0</v>
      </c>
      <c r="DD62" s="442">
        <f>IF($A62="","",INDEX('Data Interface'!M:M,$A62))</f>
        <v>326.07627534</v>
      </c>
      <c r="DE62" s="442">
        <f>IF($A62="","",INDEX('Data Interface'!N:N,$A62))</f>
        <v>15.456992189999999</v>
      </c>
      <c r="DF62" s="442">
        <f>IF($A62="","",INDEX('Data Interface'!O:O,$A62))</f>
        <v>307.94723866999999</v>
      </c>
      <c r="DG62" s="442">
        <f>IF($A62="","",INDEX('Data Interface'!P:P,$A62))</f>
        <v>101.232</v>
      </c>
      <c r="DH62" s="442">
        <f>IF($A62="","",INDEX('Data Interface'!Q:Q,$A62))</f>
        <v>0.63574173999999994</v>
      </c>
      <c r="DI62" s="442">
        <f>IF($A62="","",INDEX('Data Interface'!R:R,$A62))</f>
        <v>0</v>
      </c>
      <c r="DJ62" s="442">
        <f>IF($A62="","",INDEX('Data Interface'!S:S,$A62))</f>
        <v>0</v>
      </c>
      <c r="DK62" s="442">
        <f>IF($A62="","",INDEX('Data Interface'!T:T,$A62))</f>
        <v>166.61501707999997</v>
      </c>
      <c r="DL62" s="442">
        <f>IF($A62="","",INDEX('Data Interface'!U:U,$A62))</f>
        <v>171.30369244000002</v>
      </c>
      <c r="DM62" s="442">
        <f>IF($A62="","",INDEX('Data Interface'!V:V,$A62))</f>
        <v>261.58953651000002</v>
      </c>
      <c r="DN62" s="442">
        <f>IF($A62="","",INDEX('Data Interface'!W:W,$A62))</f>
        <v>287.12495073000002</v>
      </c>
      <c r="DO62" s="442">
        <f>IF($A62="","",INDEX('Data Interface'!X:X,$A62))</f>
        <v>500.62002383000009</v>
      </c>
      <c r="DP62" s="442">
        <f>IF($A62="","",INDEX('Data Interface'!Y:Y,$A62))</f>
        <v>116.36334922</v>
      </c>
      <c r="DQ62" s="442">
        <f>IF($A62="","",INDEX('Data Interface'!Z:Z,$A62))</f>
        <v>69.227124789999962</v>
      </c>
      <c r="DR62" s="442">
        <f>IF($A62="","",INDEX('Data Interface'!AA:AA,$A62))</f>
        <v>59.437459379999993</v>
      </c>
      <c r="DS62" s="442">
        <f>IF($A62="","",INDEX('Data Interface'!AB:AB,$A62))</f>
        <v>5.8793241099999998</v>
      </c>
      <c r="DT62" s="442">
        <f>IF($A62="","",INDEX('Data Interface'!AC:AC,$A62))</f>
        <v>108.40991186000001</v>
      </c>
      <c r="DU62" s="442">
        <f>IF($A62="","",INDEX('Data Interface'!AD:AD,$A62))</f>
        <v>12.987520369999995</v>
      </c>
      <c r="DV62" s="442">
        <f>IF($A62="","",INDEX('Data Interface'!AE:AE,$A62))</f>
        <v>6.8464406700000007</v>
      </c>
      <c r="DW62" s="442">
        <f>IF($A62="","",INDEX('Data Interface'!AF:AF,$A62))</f>
        <v>4.3216531500000004</v>
      </c>
      <c r="DX62" s="442">
        <f>IF($A62="","",INDEX('Data Interface'!AG:AG,$A62))</f>
        <v>26.130432590000002</v>
      </c>
      <c r="DZ62" s="906">
        <f ca="1">IF(OR($B62=0,$A62=0,$H62&lt;&gt;1),"",INDEX(Assumptions!EO:EO,$B62))</f>
        <v>2.1590926552587271E-2</v>
      </c>
      <c r="EA62" s="906">
        <f ca="1">IF(OR($B62=0,$A62=0,$H62&lt;&gt;1),"",INDEX(Assumptions!EP:EP,$B62))</f>
        <v>7.1969755175290894E-3</v>
      </c>
      <c r="EB62" s="906">
        <f ca="1">IF(OR($B62=0,$A62=0,$H62&lt;&gt;1),"",INDEX(Assumptions!EQ:EQ,$B62))</f>
        <v>7.1969755175290894E-3</v>
      </c>
      <c r="EC62" s="906">
        <f ca="1">IF(OR($B62=0,$A62=0,$H62&lt;&gt;1),"",INDEX(Assumptions!ER:ER,$B62))</f>
        <v>7.1969755175290894E-3</v>
      </c>
      <c r="ED62" s="906">
        <f ca="1">IF(OR($B62=0,$A62=0,$H62&lt;&gt;1),"",INDEX(Assumptions!ES:ES,$B62))</f>
        <v>7.1969755175290894E-3</v>
      </c>
      <c r="EE62" s="906">
        <f ca="1">IF(OR($B62=0,$A62=0,$H62&lt;&gt;1),"",INDEX(Assumptions!ET:ET,$B62))</f>
        <v>7.1969755175290894E-3</v>
      </c>
      <c r="EF62" s="906">
        <f ca="1">IF(OR($B62=0,$A62=0,$H62&lt;&gt;1),"",INDEX(Assumptions!EU:EU,$B62))</f>
        <v>7.1969755175290894E-3</v>
      </c>
      <c r="EG62" s="906">
        <f ca="1">IF(OR($B62=0,$A62=0,$H62&lt;&gt;1),"",INDEX(Assumptions!EV:EV,$B62))</f>
        <v>6.1688361578820777E-3</v>
      </c>
      <c r="EH62" s="906">
        <f ca="1">IF(OR($B62=0,$A62=0,$H62&lt;&gt;1),"",INDEX(Assumptions!EW:EW,$B62))</f>
        <v>6.1688361578820777E-3</v>
      </c>
      <c r="EI62" s="906">
        <f ca="1">IF(OR($B62=0,$A62=0,$H62&lt;&gt;1),"",INDEX(Assumptions!EX:EX,$B62))</f>
        <v>6.1688361578820777E-3</v>
      </c>
      <c r="EJ62" s="906">
        <f ca="1">IF(OR($B62=0,$A62=0,$H62&lt;&gt;1),"",INDEX(Assumptions!EY:EY,$B62))</f>
        <v>6.1688361578820777E-3</v>
      </c>
      <c r="EK62" s="906">
        <f ca="1">IF(OR($B62=0,$A62=0,$H62&lt;&gt;1),"",INDEX(Assumptions!EZ:EZ,$B62))</f>
        <v>6.1688361578820777E-3</v>
      </c>
      <c r="EL62" s="906">
        <f ca="1">IF(OR($B62=0,$A62=0,$H62&lt;&gt;1),"",INDEX(Assumptions!FA:FA,$B62))</f>
        <v>6.1688361578820777E-3</v>
      </c>
      <c r="EM62" s="906">
        <f ca="1">IF(OR($B62=0,$A62=0,$H62&lt;&gt;1),"",INDEX(Assumptions!FB:FB,$B62))</f>
        <v>6.1688361578820777E-3</v>
      </c>
      <c r="EN62" s="906">
        <f ca="1">IF(OR($B62=0,$A62=0,$H62&lt;&gt;1),"",INDEX(Assumptions!FC:FC,$B62))</f>
        <v>3.5984877587645445E-2</v>
      </c>
      <c r="EO62" s="906">
        <f ca="1">IF(OR($B62=0,$A62=0,$H62&lt;&gt;1),"",INDEX(Assumptions!FD:FD,$B62))</f>
        <v>3.5984877587645445E-2</v>
      </c>
      <c r="EP62" s="906">
        <f ca="1">IF(OR($B62=0,$A62=0,$H62&lt;&gt;1),"",INDEX(Assumptions!FE:FE,$B62))</f>
        <v>0</v>
      </c>
      <c r="EQ62" s="906">
        <f ca="1">IF(OR($B62=0,$A62=0,$H62&lt;&gt;1),"",INDEX(Assumptions!FF:FF,$B62))</f>
        <v>0</v>
      </c>
      <c r="ER62" s="906">
        <f ca="1">IF(OR($B62=0,$A62=0,$H62&lt;&gt;1),"",INDEX(Assumptions!FG:FG,$B62))</f>
        <v>0</v>
      </c>
      <c r="ES62" s="906">
        <f ca="1">IF(OR($B62=0,$A62=0,$H62&lt;&gt;1),"",INDEX(Assumptions!FH:FH,$B62))</f>
        <v>0</v>
      </c>
      <c r="ET62" s="906">
        <f ca="1">IF(OR($B62=0,$A62=0,$H62&lt;&gt;1),"",INDEX(Assumptions!FI:FI,$B62))</f>
        <v>0</v>
      </c>
      <c r="EU62" s="906">
        <f ca="1">IF(OR($B62=0,$A62=0,$H62&lt;&gt;1),"",INDEX(Assumptions!FJ:FJ,$B62))</f>
        <v>0</v>
      </c>
      <c r="EV62" s="906">
        <f ca="1">IF(OR($B62=0,$A62=0,$H62&lt;&gt;1),"",INDEX(Assumptions!FK:FK,$B62))</f>
        <v>0</v>
      </c>
      <c r="EW62" s="906">
        <f ca="1">IF(OR($B62=0,$A62=0,$H62&lt;&gt;1),"",INDEX(Assumptions!FL:FL,$B62))</f>
        <v>0</v>
      </c>
      <c r="EX62" s="906">
        <f ca="1">IF(OR($B62=0,$A62=0,$H62&lt;&gt;1),"",INDEX(Assumptions!FM:FM,$B62))</f>
        <v>0</v>
      </c>
      <c r="EY62" s="906">
        <f ca="1">IF(OR($B62=0,$A62=0,$H62&lt;&gt;1),"",INDEX(Assumptions!FN:FN,$B62))</f>
        <v>0</v>
      </c>
      <c r="EZ62" s="906">
        <f ca="1">IF(OR($B62=0,$A62=0,$H62&lt;&gt;1),"",INDEX(Assumptions!FO:FO,$B62))</f>
        <v>0</v>
      </c>
      <c r="FB62" s="820">
        <f t="shared" ca="1" si="18"/>
        <v>472.55346209696199</v>
      </c>
      <c r="FC62" s="820">
        <f t="shared" ca="1" si="19"/>
        <v>0.10795463276293636</v>
      </c>
      <c r="FD62" s="820">
        <f t="shared" ca="1" si="20"/>
        <v>286.03195755935769</v>
      </c>
      <c r="FE62" s="820">
        <f t="shared" ca="1" si="21"/>
        <v>186.52150453760441</v>
      </c>
      <c r="FF62" s="820">
        <f t="shared" ca="1" si="22"/>
        <v>-1.1368683772161603E-13</v>
      </c>
    </row>
    <row r="63" spans="1:162">
      <c r="A63" s="440">
        <f>IFERROR(MATCH(C63,'Data Interface'!B:B,0),0)</f>
        <v>61</v>
      </c>
      <c r="B63" s="440">
        <f>IFERROR(MATCH(C63,Assumptions!$B:$B,0),0)</f>
        <v>24</v>
      </c>
      <c r="C63" s="441" t="s">
        <v>1227</v>
      </c>
      <c r="E63" s="441" t="s">
        <v>1219</v>
      </c>
      <c r="F63" s="440" t="s">
        <v>25</v>
      </c>
      <c r="G63" s="440" t="str">
        <f>IF(A63=0,"",INDEX('Data Interface'!$C:$C,$A63))</f>
        <v>FDIC Sweep Deposits - Retail - Custodial IND</v>
      </c>
      <c r="H63" s="440">
        <v>0</v>
      </c>
      <c r="I63" s="819">
        <f t="shared" ca="1" si="23"/>
        <v>5.9999999999999991E-2</v>
      </c>
      <c r="J63" s="819">
        <f t="shared" ca="1" si="24"/>
        <v>9.9999999999999992E-2</v>
      </c>
      <c r="K63" s="439" t="str">
        <f t="shared" ca="1" si="25"/>
        <v>6% of Current Balance</v>
      </c>
      <c r="L63" s="439" t="s">
        <v>1148</v>
      </c>
      <c r="M63" s="439" t="s">
        <v>1509</v>
      </c>
      <c r="O63" s="442">
        <f>IF(OR($A63="",$A63=0),0,INDEX('Data Interface'!D:D,$A63))</f>
        <v>2989.0659873999998</v>
      </c>
      <c r="P63" s="442">
        <f ca="1">$O63-SUM($AS63:AS63)</f>
        <v>2953.1971955511999</v>
      </c>
      <c r="Q63" s="442">
        <f ca="1">$O63-SUM($AS63:AT63)</f>
        <v>2941.2409316015996</v>
      </c>
      <c r="R63" s="442">
        <f ca="1">$O63-SUM($AS63:AU63)</f>
        <v>2929.2846676519998</v>
      </c>
      <c r="S63" s="442">
        <f ca="1">$O63-SUM($AS63:AV63)</f>
        <v>2917.3284037024</v>
      </c>
      <c r="T63" s="442">
        <f ca="1">$O63-SUM($AS63:AW63)</f>
        <v>2905.3721397527997</v>
      </c>
      <c r="U63" s="442">
        <f ca="1">$O63-SUM($AS63:AX63)</f>
        <v>2893.4158758031999</v>
      </c>
      <c r="V63" s="442">
        <f ca="1">$O63-SUM($AS63:AY63)</f>
        <v>2881.4596118535997</v>
      </c>
      <c r="W63" s="442">
        <f ca="1">$O63-SUM($AS63:AZ63)</f>
        <v>2871.2113856110855</v>
      </c>
      <c r="X63" s="442">
        <f ca="1">$O63-SUM($AS63:BA63)</f>
        <v>2860.9631593685713</v>
      </c>
      <c r="Y63" s="442">
        <f ca="1">$O63-SUM($AS63:BB63)</f>
        <v>2850.7149331260571</v>
      </c>
      <c r="Z63" s="442">
        <f ca="1">$O63-SUM($AS63:BC63)</f>
        <v>2840.4667068835429</v>
      </c>
      <c r="AA63" s="442">
        <f ca="1">$O63-SUM($AS63:BD63)</f>
        <v>2830.2184806410282</v>
      </c>
      <c r="AB63" s="442">
        <f ca="1">$O63-SUM($AS63:BE63)</f>
        <v>2819.970254398514</v>
      </c>
      <c r="AC63" s="442">
        <f ca="1">$O63-SUM($AS63:BF63)</f>
        <v>2809.7220281559999</v>
      </c>
      <c r="AD63" s="442">
        <f ca="1">$O63-SUM($AS63:BG63)</f>
        <v>2749.9407084079999</v>
      </c>
      <c r="AE63" s="442">
        <f ca="1">$O63-SUM($AS63:BH63)</f>
        <v>2690.1593886599999</v>
      </c>
      <c r="AF63" s="442">
        <f ca="1">$O63-SUM($AS63:BI63)</f>
        <v>2690.1593886599999</v>
      </c>
      <c r="AG63" s="442">
        <f ca="1">$O63-SUM($AS63:BJ63)</f>
        <v>2690.1593886599999</v>
      </c>
      <c r="AH63" s="442">
        <f ca="1">$O63-SUM($AS63:BK63)</f>
        <v>2690.1593886599999</v>
      </c>
      <c r="AI63" s="442">
        <f ca="1">$O63-SUM($AS63:BL63)</f>
        <v>2690.1593886599999</v>
      </c>
      <c r="AJ63" s="442">
        <f ca="1">$O63-SUM($AS63:BM63)</f>
        <v>2690.1593886599999</v>
      </c>
      <c r="AK63" s="442">
        <f ca="1">$O63-SUM($AS63:BN63)</f>
        <v>2690.1593886599999</v>
      </c>
      <c r="AL63" s="442">
        <f ca="1">$O63-SUM($AS63:BO63)</f>
        <v>2690.1593886599999</v>
      </c>
      <c r="AM63" s="442">
        <f ca="1">$O63-SUM($AS63:BP63)</f>
        <v>2690.1593886599999</v>
      </c>
      <c r="AN63" s="442">
        <f ca="1">$O63-SUM($AS63:BQ63)</f>
        <v>2690.1593886599999</v>
      </c>
      <c r="AO63" s="442">
        <f ca="1">$O63-SUM($AS63:BR63)</f>
        <v>2690.1593886599999</v>
      </c>
      <c r="AP63" s="442">
        <f ca="1">$O63-SUM($AS63:BS63)</f>
        <v>2690.1593886599999</v>
      </c>
      <c r="AR63" s="439" t="s">
        <v>1202</v>
      </c>
      <c r="AS63" s="442">
        <f ca="1">IF($H63="",0,IF($H63=1,IF('Para Adj'!$B$5 = 1,O63-($O63-SUMPRODUCT($CX63:CX63,$BU63:BU63))*(1-SUM($DZ63:DZ63)),BU63*CX63),$O63*BU63))</f>
        <v>35.868791848800001</v>
      </c>
      <c r="AT63" s="442">
        <f ca="1">IF($H63="",0,IF($H63=1,IF('Para Adj'!$B$5 = 1,P63-($O63-SUMPRODUCT($CX63:CY63,$BU63:BV63))*(1-SUM($DZ63:EA63)),BV63*CY63),$O63*BV63))</f>
        <v>11.9562639496</v>
      </c>
      <c r="AU63" s="442">
        <f ca="1">IF($H63="",0,IF($H63=1,IF('Para Adj'!$B$5 = 1,Q63-($O63-SUMPRODUCT($CX63:CZ63,$BU63:BW63))*(1-SUM($DZ63:EB63)),BW63*CZ63),$O63*BW63))</f>
        <v>11.9562639496</v>
      </c>
      <c r="AV63" s="442">
        <f ca="1">IF($H63="",0,IF($H63=1,IF('Para Adj'!$B$5 = 1,R63-($O63-SUMPRODUCT($CX63:DA63,$BU63:BX63))*(1-SUM($DZ63:EC63)),BX63*DA63),$O63*BX63))</f>
        <v>11.9562639496</v>
      </c>
      <c r="AW63" s="442">
        <f ca="1">IF($H63="",0,IF($H63=1,IF('Para Adj'!$B$5 = 1,S63-($O63-SUMPRODUCT($CX63:DB63,$BU63:BY63))*(1-SUM($DZ63:ED63)),BY63*DB63),$O63*BY63))</f>
        <v>11.9562639496</v>
      </c>
      <c r="AX63" s="442">
        <f ca="1">IF($H63="",0,IF($H63=1,IF('Para Adj'!$B$5 = 1,T63-($O63-SUMPRODUCT($CX63:DC63,$BU63:BZ63))*(1-SUM($DZ63:EE63)),BZ63*DC63),$O63*BZ63))</f>
        <v>11.9562639496</v>
      </c>
      <c r="AY63" s="442">
        <f ca="1">IF($H63="",0,IF($H63=1,IF('Para Adj'!$B$5 = 1,U63-($O63-SUMPRODUCT($CX63:DD63,$BU63:CA63))*(1-SUM($DZ63:EF63)),CA63*DD63),$O63*CA63))</f>
        <v>11.9562639496</v>
      </c>
      <c r="AZ63" s="442">
        <f ca="1">IF($H63="",0,IF($H63=1,IF('Para Adj'!$B$5 = 1,V63-($O63-SUMPRODUCT($CX63:DE63,$BU63:CB63))*(1-SUM($DZ63:EG63)),CB63*DE63),$O63*CB63))</f>
        <v>10.248226242514287</v>
      </c>
      <c r="BA63" s="442">
        <f ca="1">IF($H63="",0,IF($H63=1,IF('Para Adj'!$B$5 = 1,W63-($O63-SUMPRODUCT($CX63:DF63,$BU63:CC63))*(1-SUM($DZ63:EH63)),CC63*DF63),$O63*CC63))</f>
        <v>10.248226242514287</v>
      </c>
      <c r="BB63" s="442">
        <f ca="1">IF($H63="",0,IF($H63=1,IF('Para Adj'!$B$5 = 1,X63-($O63-SUMPRODUCT($CX63:DG63,$BU63:CD63))*(1-SUM($DZ63:EI63)),CD63*DG63),$O63*CD63))</f>
        <v>10.248226242514287</v>
      </c>
      <c r="BC63" s="442">
        <f ca="1">IF($H63="",0,IF($H63=1,IF('Para Adj'!$B$5 = 1,Y63-($O63-SUMPRODUCT($CX63:DH63,$BU63:CE63))*(1-SUM($DZ63:EJ63)),CE63*DH63),$O63*CE63))</f>
        <v>10.248226242514287</v>
      </c>
      <c r="BD63" s="442">
        <f ca="1">IF($H63="",0,IF($H63=1,IF('Para Adj'!$B$5 = 1,Z63-($O63-SUMPRODUCT($CX63:DI63,$BU63:CF63))*(1-SUM($DZ63:EK63)),CF63*DI63),$O63*CF63))</f>
        <v>10.248226242514287</v>
      </c>
      <c r="BE63" s="442">
        <f ca="1">IF($H63="",0,IF($H63=1,IF('Para Adj'!$B$5 = 1,AA63-($O63-SUMPRODUCT($CX63:DJ63,$BU63:CG63))*(1-SUM($DZ63:EL63)),CG63*DJ63),$O63*CG63))</f>
        <v>10.248226242514287</v>
      </c>
      <c r="BF63" s="442">
        <f ca="1">IF($H63="",0,IF($H63=1,IF('Para Adj'!$B$5 = 1,AB63-($O63-SUMPRODUCT($CX63:DK63,$BU63:CH63))*(1-SUM($DZ63:EM63)),CH63*DK63),$O63*CH63))</f>
        <v>10.248226242514287</v>
      </c>
      <c r="BG63" s="442">
        <f ca="1">IF($H63="",0,IF($H63=1,IF('Para Adj'!$B$5 = 1,AC63-($O63-SUMPRODUCT($CX63:DL63,$BU63:CI63))*(1-SUM($DZ63:EN63)),CI63*DL63),$O63*CI63))</f>
        <v>59.781319747999994</v>
      </c>
      <c r="BH63" s="442">
        <f ca="1">IF($H63="",0,IF($H63=1,IF('Para Adj'!$B$5 = 1,AD63-($O63-SUMPRODUCT($CX63:DM63,$BU63:CJ63))*(1-SUM($DZ63:EO63)),CJ63*DM63),$O63*CJ63))</f>
        <v>59.781319747999994</v>
      </c>
      <c r="BI63" s="442">
        <f ca="1">IF($H63="",0,IF($H63=1,IF('Para Adj'!$B$5 = 1,AE63-($O63-SUMPRODUCT($CX63:DN63,$BU63:CK63))*(1-SUM($DZ63:EP63)),CK63*DN63),$O63*CK63))</f>
        <v>0</v>
      </c>
      <c r="BJ63" s="442">
        <f ca="1">IF($H63="",0,IF($H63=1,IF('Para Adj'!$B$5 = 1,AF63-($O63-SUMPRODUCT($CX63:DO63,$BU63:CL63))*(1-SUM($DZ63:EQ63)),CL63*DO63),$O63*CL63))</f>
        <v>0</v>
      </c>
      <c r="BK63" s="442">
        <f ca="1">IF($H63="",0,IF($H63=1,IF('Para Adj'!$B$5 = 1,AG63-($O63-SUMPRODUCT($CX63:DP63,$BU63:CM63))*(1-SUM($DZ63:ER63)),CM63*DP63),$O63*CM63))</f>
        <v>0</v>
      </c>
      <c r="BL63" s="442">
        <f ca="1">IF($H63="",0,IF($H63=1,IF('Para Adj'!$B$5 = 1,AH63-($O63-SUMPRODUCT($CX63:DQ63,$BU63:CN63))*(1-SUM($DZ63:ES63)),CN63*DQ63),$O63*CN63))</f>
        <v>0</v>
      </c>
      <c r="BM63" s="442">
        <f ca="1">IF($H63="",0,IF($H63=1,IF('Para Adj'!$B$5 = 1,AI63-($O63-SUMPRODUCT($CX63:DR63,$BU63:CO63))*(1-SUM($DZ63:ET63)),CO63*DR63),$O63*CO63))</f>
        <v>0</v>
      </c>
      <c r="BN63" s="442">
        <f ca="1">IF($H63="",0,IF($H63=1,IF('Para Adj'!$B$5 = 1,AJ63-($O63-SUMPRODUCT($CX63:DS63,$BU63:CP63))*(1-SUM($DZ63:EU63)),CP63*DS63),$O63*CP63))</f>
        <v>0</v>
      </c>
      <c r="BO63" s="442">
        <f ca="1">IF($H63="",0,IF($H63=1,IF('Para Adj'!$B$5 = 1,AK63-($O63-SUMPRODUCT($CX63:DT63,$BU63:CQ63))*(1-SUM($DZ63:EV63)),CQ63*DT63),$O63*CQ63))</f>
        <v>0</v>
      </c>
      <c r="BP63" s="442">
        <f ca="1">IF($H63="",0,IF($H63=1,IF('Para Adj'!$B$5 = 1,AL63-($O63-SUMPRODUCT($CX63:DU63,$BU63:CR63))*(1-SUM($DZ63:EW63)),CR63*DU63),$O63*CR63))</f>
        <v>0</v>
      </c>
      <c r="BQ63" s="442">
        <f ca="1">IF($H63="",0,IF($H63=1,IF('Para Adj'!$B$5 = 1,AM63-($O63-SUMPRODUCT($CX63:DV63,$BU63:CS63))*(1-SUM($DZ63:EX63)),CS63*DV63),$O63*CS63))</f>
        <v>0</v>
      </c>
      <c r="BR63" s="442">
        <f ca="1">IF($H63="",0,IF($H63=1,IF('Para Adj'!$B$5 = 1,AN63-($O63-SUMPRODUCT($CX63:DW63,$BU63:CT63))*(1-SUM($DZ63:EY63)),CT63*DW63),$O63*CT63))</f>
        <v>0</v>
      </c>
      <c r="BS63" s="442">
        <f ca="1">IF($H63="",0,IF($H63=1,IF('Para Adj'!$B$5 = 1,AO63-($O63-SUMPRODUCT($CX63:DX63,$BU63:CU63))*(1-SUM($DZ63:EZ63)),CU63*DX63),$O63*CU63))</f>
        <v>0</v>
      </c>
      <c r="BU63" s="820">
        <f ca="1">IF($B63=0,"",INDEX(Assumptions!G:G,$B63))</f>
        <v>1.2E-2</v>
      </c>
      <c r="BV63" s="820">
        <f ca="1">IF($B63=0,"",INDEX(Assumptions!H:H,$B63))</f>
        <v>4.0000000000000001E-3</v>
      </c>
      <c r="BW63" s="820">
        <f ca="1">IF($B63=0,"",INDEX(Assumptions!I:I,$B63))</f>
        <v>4.0000000000000001E-3</v>
      </c>
      <c r="BX63" s="820">
        <f ca="1">IF($B63=0,"",INDEX(Assumptions!J:J,$B63))</f>
        <v>4.0000000000000001E-3</v>
      </c>
      <c r="BY63" s="820">
        <f ca="1">IF($B63=0,"",INDEX(Assumptions!K:K,$B63))</f>
        <v>4.0000000000000001E-3</v>
      </c>
      <c r="BZ63" s="820">
        <f ca="1">IF($B63=0,"",INDEX(Assumptions!L:L,$B63))</f>
        <v>4.0000000000000001E-3</v>
      </c>
      <c r="CA63" s="820">
        <f ca="1">IF($B63=0,"",INDEX(Assumptions!M:M,$B63))</f>
        <v>4.0000000000000001E-3</v>
      </c>
      <c r="CB63" s="820">
        <f ca="1">IF($B63=0,"",INDEX(Assumptions!N:N,$B63))</f>
        <v>3.4285714285714288E-3</v>
      </c>
      <c r="CC63" s="820">
        <f ca="1">IF($B63=0,"",INDEX(Assumptions!O:O,$B63))</f>
        <v>3.4285714285714288E-3</v>
      </c>
      <c r="CD63" s="820">
        <f ca="1">IF($B63=0,"",INDEX(Assumptions!P:P,$B63))</f>
        <v>3.4285714285714288E-3</v>
      </c>
      <c r="CE63" s="820">
        <f ca="1">IF($B63=0,"",INDEX(Assumptions!Q:Q,$B63))</f>
        <v>3.4285714285714288E-3</v>
      </c>
      <c r="CF63" s="820">
        <f ca="1">IF($B63=0,"",INDEX(Assumptions!R:R,$B63))</f>
        <v>3.4285714285714288E-3</v>
      </c>
      <c r="CG63" s="820">
        <f ca="1">IF($B63=0,"",INDEX(Assumptions!S:S,$B63))</f>
        <v>3.4285714285714288E-3</v>
      </c>
      <c r="CH63" s="820">
        <f ca="1">IF($B63=0,"",INDEX(Assumptions!T:T,$B63))</f>
        <v>3.4285714285714288E-3</v>
      </c>
      <c r="CI63" s="820">
        <f ca="1">IF($B63=0,"",INDEX(Assumptions!U:U,$B63))</f>
        <v>0.02</v>
      </c>
      <c r="CJ63" s="820">
        <f ca="1">IF($B63=0,"",INDEX(Assumptions!V:V,$B63))</f>
        <v>0.02</v>
      </c>
      <c r="CK63" s="820">
        <f ca="1">IF($B63=0,"",INDEX(Assumptions!W:W,$B63))</f>
        <v>0</v>
      </c>
      <c r="CL63" s="820">
        <f ca="1">IF($B63=0,"",INDEX(Assumptions!X:X,$B63))</f>
        <v>0</v>
      </c>
      <c r="CM63" s="820">
        <f ca="1">IF($B63=0,"",INDEX(Assumptions!Y:Y,$B63))</f>
        <v>0</v>
      </c>
      <c r="CN63" s="820">
        <f ca="1">IF($B63=0,"",INDEX(Assumptions!Z:Z,$B63))</f>
        <v>0</v>
      </c>
      <c r="CO63" s="820">
        <f ca="1">IF($B63=0,"",INDEX(Assumptions!AA:AA,$B63))</f>
        <v>0</v>
      </c>
      <c r="CP63" s="820">
        <f ca="1">IF($B63=0,"",INDEX(Assumptions!AB:AB,$B63))</f>
        <v>0</v>
      </c>
      <c r="CQ63" s="820">
        <f ca="1">IF($B63=0,"",INDEX(Assumptions!AC:AC,$B63))</f>
        <v>0</v>
      </c>
      <c r="CR63" s="820">
        <f ca="1">IF($B63=0,"",INDEX(Assumptions!AD:AD,$B63))</f>
        <v>0</v>
      </c>
      <c r="CS63" s="820">
        <f ca="1">IF($B63=0,"",INDEX(Assumptions!AE:AE,$B63))</f>
        <v>0</v>
      </c>
      <c r="CT63" s="820">
        <f ca="1">IF($B63=0,"",INDEX(Assumptions!AF:AF,$B63))</f>
        <v>0</v>
      </c>
      <c r="CU63" s="820">
        <f ca="1">IF($B63=0,"",INDEX(Assumptions!AG:AG,$B63))</f>
        <v>0</v>
      </c>
      <c r="CX63" s="442">
        <f>IF($A63="","",INDEX('Data Interface'!G:G,$A63))</f>
        <v>2989.0659873999998</v>
      </c>
      <c r="CY63" s="442">
        <f>IF($A63="","",INDEX('Data Interface'!H:H,$A63))</f>
        <v>0</v>
      </c>
      <c r="CZ63" s="442">
        <f>IF($A63="","",INDEX('Data Interface'!I:I,$A63))</f>
        <v>0</v>
      </c>
      <c r="DA63" s="442">
        <f>IF($A63="","",INDEX('Data Interface'!J:J,$A63))</f>
        <v>0</v>
      </c>
      <c r="DB63" s="442">
        <f>IF($A63="","",INDEX('Data Interface'!K:K,$A63))</f>
        <v>0</v>
      </c>
      <c r="DC63" s="442">
        <f>IF($A63="","",INDEX('Data Interface'!L:L,$A63))</f>
        <v>0</v>
      </c>
      <c r="DD63" s="442">
        <f>IF($A63="","",INDEX('Data Interface'!M:M,$A63))</f>
        <v>0</v>
      </c>
      <c r="DE63" s="442">
        <f>IF($A63="","",INDEX('Data Interface'!N:N,$A63))</f>
        <v>0</v>
      </c>
      <c r="DF63" s="442">
        <f>IF($A63="","",INDEX('Data Interface'!O:O,$A63))</f>
        <v>0</v>
      </c>
      <c r="DG63" s="442">
        <f>IF($A63="","",INDEX('Data Interface'!P:P,$A63))</f>
        <v>0</v>
      </c>
      <c r="DH63" s="442">
        <f>IF($A63="","",INDEX('Data Interface'!Q:Q,$A63))</f>
        <v>0</v>
      </c>
      <c r="DI63" s="442">
        <f>IF($A63="","",INDEX('Data Interface'!R:R,$A63))</f>
        <v>0</v>
      </c>
      <c r="DJ63" s="442">
        <f>IF($A63="","",INDEX('Data Interface'!S:S,$A63))</f>
        <v>0</v>
      </c>
      <c r="DK63" s="442">
        <f>IF($A63="","",INDEX('Data Interface'!T:T,$A63))</f>
        <v>0</v>
      </c>
      <c r="DL63" s="442">
        <f>IF($A63="","",INDEX('Data Interface'!U:U,$A63))</f>
        <v>0</v>
      </c>
      <c r="DM63" s="442">
        <f>IF($A63="","",INDEX('Data Interface'!V:V,$A63))</f>
        <v>0</v>
      </c>
      <c r="DN63" s="442">
        <f>IF($A63="","",INDEX('Data Interface'!W:W,$A63))</f>
        <v>0</v>
      </c>
      <c r="DO63" s="442">
        <f>IF($A63="","",INDEX('Data Interface'!X:X,$A63))</f>
        <v>0</v>
      </c>
      <c r="DP63" s="442">
        <f>IF($A63="","",INDEX('Data Interface'!Y:Y,$A63))</f>
        <v>0</v>
      </c>
      <c r="DQ63" s="442">
        <f>IF($A63="","",INDEX('Data Interface'!Z:Z,$A63))</f>
        <v>0</v>
      </c>
      <c r="DR63" s="442">
        <f>IF($A63="","",INDEX('Data Interface'!AA:AA,$A63))</f>
        <v>0</v>
      </c>
      <c r="DS63" s="442">
        <f>IF($A63="","",INDEX('Data Interface'!AB:AB,$A63))</f>
        <v>0</v>
      </c>
      <c r="DT63" s="442">
        <f>IF($A63="","",INDEX('Data Interface'!AC:AC,$A63))</f>
        <v>0</v>
      </c>
      <c r="DU63" s="442">
        <f>IF($A63="","",INDEX('Data Interface'!AD:AD,$A63))</f>
        <v>0</v>
      </c>
      <c r="DV63" s="442">
        <f>IF($A63="","",INDEX('Data Interface'!AE:AE,$A63))</f>
        <v>0</v>
      </c>
      <c r="DW63" s="442">
        <f>IF($A63="","",INDEX('Data Interface'!AF:AF,$A63))</f>
        <v>0</v>
      </c>
      <c r="DX63" s="442">
        <f>IF($A63="","",INDEX('Data Interface'!AG:AG,$A63))</f>
        <v>0</v>
      </c>
      <c r="DZ63" s="906" t="str">
        <f>IF(OR($B63=0,$A63=0,$H63&lt;&gt;1),"",INDEX(Assumptions!EO:EO,$B63))</f>
        <v/>
      </c>
      <c r="EA63" s="906" t="str">
        <f>IF(OR($B63=0,$A63=0,$H63&lt;&gt;1),"",INDEX(Assumptions!EP:EP,$B63))</f>
        <v/>
      </c>
      <c r="EB63" s="906" t="str">
        <f>IF(OR($B63=0,$A63=0,$H63&lt;&gt;1),"",INDEX(Assumptions!EQ:EQ,$B63))</f>
        <v/>
      </c>
      <c r="EC63" s="906" t="str">
        <f>IF(OR($B63=0,$A63=0,$H63&lt;&gt;1),"",INDEX(Assumptions!ER:ER,$B63))</f>
        <v/>
      </c>
      <c r="ED63" s="906" t="str">
        <f>IF(OR($B63=0,$A63=0,$H63&lt;&gt;1),"",INDEX(Assumptions!ES:ES,$B63))</f>
        <v/>
      </c>
      <c r="EE63" s="906" t="str">
        <f>IF(OR($B63=0,$A63=0,$H63&lt;&gt;1),"",INDEX(Assumptions!ET:ET,$B63))</f>
        <v/>
      </c>
      <c r="EF63" s="906" t="str">
        <f>IF(OR($B63=0,$A63=0,$H63&lt;&gt;1),"",INDEX(Assumptions!EU:EU,$B63))</f>
        <v/>
      </c>
      <c r="EG63" s="906" t="str">
        <f>IF(OR($B63=0,$A63=0,$H63&lt;&gt;1),"",INDEX(Assumptions!EV:EV,$B63))</f>
        <v/>
      </c>
      <c r="EH63" s="906" t="str">
        <f>IF(OR($B63=0,$A63=0,$H63&lt;&gt;1),"",INDEX(Assumptions!EW:EW,$B63))</f>
        <v/>
      </c>
      <c r="EI63" s="906" t="str">
        <f>IF(OR($B63=0,$A63=0,$H63&lt;&gt;1),"",INDEX(Assumptions!EX:EX,$B63))</f>
        <v/>
      </c>
      <c r="EJ63" s="906" t="str">
        <f>IF(OR($B63=0,$A63=0,$H63&lt;&gt;1),"",INDEX(Assumptions!EY:EY,$B63))</f>
        <v/>
      </c>
      <c r="EK63" s="906" t="str">
        <f>IF(OR($B63=0,$A63=0,$H63&lt;&gt;1),"",INDEX(Assumptions!EZ:EZ,$B63))</f>
        <v/>
      </c>
      <c r="EL63" s="906" t="str">
        <f>IF(OR($B63=0,$A63=0,$H63&lt;&gt;1),"",INDEX(Assumptions!FA:FA,$B63))</f>
        <v/>
      </c>
      <c r="EM63" s="906" t="str">
        <f>IF(OR($B63=0,$A63=0,$H63&lt;&gt;1),"",INDEX(Assumptions!FB:FB,$B63))</f>
        <v/>
      </c>
      <c r="EN63" s="906" t="str">
        <f>IF(OR($B63=0,$A63=0,$H63&lt;&gt;1),"",INDEX(Assumptions!FC:FC,$B63))</f>
        <v/>
      </c>
      <c r="EO63" s="906" t="str">
        <f>IF(OR($B63=0,$A63=0,$H63&lt;&gt;1),"",INDEX(Assumptions!FD:FD,$B63))</f>
        <v/>
      </c>
      <c r="EP63" s="906" t="str">
        <f>IF(OR($B63=0,$A63=0,$H63&lt;&gt;1),"",INDEX(Assumptions!FE:FE,$B63))</f>
        <v/>
      </c>
      <c r="EQ63" s="906" t="str">
        <f>IF(OR($B63=0,$A63=0,$H63&lt;&gt;1),"",INDEX(Assumptions!FF:FF,$B63))</f>
        <v/>
      </c>
      <c r="ER63" s="906" t="str">
        <f>IF(OR($B63=0,$A63=0,$H63&lt;&gt;1),"",INDEX(Assumptions!FG:FG,$B63))</f>
        <v/>
      </c>
      <c r="ES63" s="906" t="str">
        <f>IF(OR($B63=0,$A63=0,$H63&lt;&gt;1),"",INDEX(Assumptions!FH:FH,$B63))</f>
        <v/>
      </c>
      <c r="ET63" s="906" t="str">
        <f>IF(OR($B63=0,$A63=0,$H63&lt;&gt;1),"",INDEX(Assumptions!FI:FI,$B63))</f>
        <v/>
      </c>
      <c r="EU63" s="906" t="str">
        <f>IF(OR($B63=0,$A63=0,$H63&lt;&gt;1),"",INDEX(Assumptions!FJ:FJ,$B63))</f>
        <v/>
      </c>
      <c r="EV63" s="906" t="str">
        <f>IF(OR($B63=0,$A63=0,$H63&lt;&gt;1),"",INDEX(Assumptions!FK:FK,$B63))</f>
        <v/>
      </c>
      <c r="EW63" s="906" t="str">
        <f>IF(OR($B63=0,$A63=0,$H63&lt;&gt;1),"",INDEX(Assumptions!FL:FL,$B63))</f>
        <v/>
      </c>
      <c r="EX63" s="906" t="str">
        <f>IF(OR($B63=0,$A63=0,$H63&lt;&gt;1),"",INDEX(Assumptions!FM:FM,$B63))</f>
        <v/>
      </c>
      <c r="EY63" s="906" t="str">
        <f>IF(OR($B63=0,$A63=0,$H63&lt;&gt;1),"",INDEX(Assumptions!FN:FN,$B63))</f>
        <v/>
      </c>
      <c r="EZ63" s="906" t="str">
        <f>IF(OR($B63=0,$A63=0,$H63&lt;&gt;1),"",INDEX(Assumptions!FO:FO,$B63))</f>
        <v/>
      </c>
      <c r="FB63" s="820" t="str">
        <f t="shared" si="18"/>
        <v/>
      </c>
      <c r="FC63" s="820" t="str">
        <f t="shared" si="19"/>
        <v/>
      </c>
      <c r="FD63" s="820" t="str">
        <f t="shared" si="20"/>
        <v/>
      </c>
      <c r="FE63" s="820" t="str">
        <f t="shared" si="21"/>
        <v/>
      </c>
      <c r="FF63" s="820" t="str">
        <f t="shared" si="22"/>
        <v/>
      </c>
    </row>
    <row r="64" spans="1:162">
      <c r="A64" s="440">
        <f>IFERROR(MATCH(C64,'Data Interface'!B:B,0),0)</f>
        <v>62</v>
      </c>
      <c r="B64" s="440">
        <f>IFERROR(MATCH(C64,Assumptions!$B:$B,0),0)</f>
        <v>25</v>
      </c>
      <c r="C64" s="441" t="s">
        <v>1228</v>
      </c>
      <c r="E64" s="441" t="s">
        <v>1219</v>
      </c>
      <c r="F64" s="440" t="s">
        <v>25</v>
      </c>
      <c r="G64" s="440" t="str">
        <f>IF(A64=0,"",INDEX('Data Interface'!$C:$C,$A64))</f>
        <v>FDIC Sweep Deposits - Retail - ICS/CEDARS</v>
      </c>
      <c r="H64" s="440">
        <v>0</v>
      </c>
      <c r="I64" s="819">
        <f t="shared" ca="1" si="23"/>
        <v>5.9999999999999991E-2</v>
      </c>
      <c r="J64" s="819">
        <f t="shared" ca="1" si="24"/>
        <v>9.9999999999999992E-2</v>
      </c>
      <c r="K64" s="439" t="str">
        <f t="shared" ca="1" si="25"/>
        <v>6% of Current Balance</v>
      </c>
      <c r="L64" s="439" t="s">
        <v>1148</v>
      </c>
      <c r="M64" s="439" t="s">
        <v>1509</v>
      </c>
      <c r="O64" s="442">
        <f>IF(OR($A64="",$A64=0),0,INDEX('Data Interface'!D:D,$A64))</f>
        <v>1327.2317001799997</v>
      </c>
      <c r="P64" s="442">
        <f ca="1">$O64-SUM($AS64:AS64)</f>
        <v>1311.3049197778398</v>
      </c>
      <c r="Q64" s="442">
        <f ca="1">$O64-SUM($AS64:AT64)</f>
        <v>1305.9959929771198</v>
      </c>
      <c r="R64" s="442">
        <f ca="1">$O64-SUM($AS64:AU64)</f>
        <v>1300.6870661763996</v>
      </c>
      <c r="S64" s="442">
        <f ca="1">$O64-SUM($AS64:AV64)</f>
        <v>1295.3781393756797</v>
      </c>
      <c r="T64" s="442">
        <f ca="1">$O64-SUM($AS64:AW64)</f>
        <v>1290.0692125749597</v>
      </c>
      <c r="U64" s="442">
        <f ca="1">$O64-SUM($AS64:AX64)</f>
        <v>1284.7602857742397</v>
      </c>
      <c r="V64" s="442">
        <f ca="1">$O64-SUM($AS64:AY64)</f>
        <v>1279.4513589735197</v>
      </c>
      <c r="W64" s="442">
        <f ca="1">$O64-SUM($AS64:AZ64)</f>
        <v>1274.9008502871884</v>
      </c>
      <c r="X64" s="442">
        <f ca="1">$O64-SUM($AS64:BA64)</f>
        <v>1270.3503416008568</v>
      </c>
      <c r="Y64" s="442">
        <f ca="1">$O64-SUM($AS64:BB64)</f>
        <v>1265.7998329145255</v>
      </c>
      <c r="Z64" s="442">
        <f ca="1">$O64-SUM($AS64:BC64)</f>
        <v>1261.2493242281939</v>
      </c>
      <c r="AA64" s="442">
        <f ca="1">$O64-SUM($AS64:BD64)</f>
        <v>1256.6988155418626</v>
      </c>
      <c r="AB64" s="442">
        <f ca="1">$O64-SUM($AS64:BE64)</f>
        <v>1252.1483068555312</v>
      </c>
      <c r="AC64" s="442">
        <f ca="1">$O64-SUM($AS64:BF64)</f>
        <v>1247.5977981691997</v>
      </c>
      <c r="AD64" s="442">
        <f ca="1">$O64-SUM($AS64:BG64)</f>
        <v>1221.0531641655998</v>
      </c>
      <c r="AE64" s="442">
        <f ca="1">$O64-SUM($AS64:BH64)</f>
        <v>1194.5085301619997</v>
      </c>
      <c r="AF64" s="442">
        <f ca="1">$O64-SUM($AS64:BI64)</f>
        <v>1194.5085301619997</v>
      </c>
      <c r="AG64" s="442">
        <f ca="1">$O64-SUM($AS64:BJ64)</f>
        <v>1194.5085301619997</v>
      </c>
      <c r="AH64" s="442">
        <f ca="1">$O64-SUM($AS64:BK64)</f>
        <v>1194.5085301619997</v>
      </c>
      <c r="AI64" s="442">
        <f ca="1">$O64-SUM($AS64:BL64)</f>
        <v>1194.5085301619997</v>
      </c>
      <c r="AJ64" s="442">
        <f ca="1">$O64-SUM($AS64:BM64)</f>
        <v>1194.5085301619997</v>
      </c>
      <c r="AK64" s="442">
        <f ca="1">$O64-SUM($AS64:BN64)</f>
        <v>1194.5085301619997</v>
      </c>
      <c r="AL64" s="442">
        <f ca="1">$O64-SUM($AS64:BO64)</f>
        <v>1194.5085301619997</v>
      </c>
      <c r="AM64" s="442">
        <f ca="1">$O64-SUM($AS64:BP64)</f>
        <v>1194.5085301619997</v>
      </c>
      <c r="AN64" s="442">
        <f ca="1">$O64-SUM($AS64:BQ64)</f>
        <v>1194.5085301619997</v>
      </c>
      <c r="AO64" s="442">
        <f ca="1">$O64-SUM($AS64:BR64)</f>
        <v>1194.5085301619997</v>
      </c>
      <c r="AP64" s="442">
        <f ca="1">$O64-SUM($AS64:BS64)</f>
        <v>1194.5085301619997</v>
      </c>
      <c r="AR64" s="439" t="s">
        <v>1202</v>
      </c>
      <c r="AS64" s="442">
        <f ca="1">IF($H64="",0,IF($H64=1,IF('Para Adj'!$B$5 = 1,O64-($O64-SUMPRODUCT($CX64:CX64,$BU64:BU64))*(1-SUM($DZ64:DZ64)),BU64*CX64),$O64*BU64))</f>
        <v>15.926780402159997</v>
      </c>
      <c r="AT64" s="442">
        <f ca="1">IF($H64="",0,IF($H64=1,IF('Para Adj'!$B$5 = 1,P64-($O64-SUMPRODUCT($CX64:CY64,$BU64:BV64))*(1-SUM($DZ64:EA64)),BV64*CY64),$O64*BV64))</f>
        <v>5.3089268007199992</v>
      </c>
      <c r="AU64" s="442">
        <f ca="1">IF($H64="",0,IF($H64=1,IF('Para Adj'!$B$5 = 1,Q64-($O64-SUMPRODUCT($CX64:CZ64,$BU64:BW64))*(1-SUM($DZ64:EB64)),BW64*CZ64),$O64*BW64))</f>
        <v>5.3089268007199992</v>
      </c>
      <c r="AV64" s="442">
        <f ca="1">IF($H64="",0,IF($H64=1,IF('Para Adj'!$B$5 = 1,R64-($O64-SUMPRODUCT($CX64:DA64,$BU64:BX64))*(1-SUM($DZ64:EC64)),BX64*DA64),$O64*BX64))</f>
        <v>5.3089268007199992</v>
      </c>
      <c r="AW64" s="442">
        <f ca="1">IF($H64="",0,IF($H64=1,IF('Para Adj'!$B$5 = 1,S64-($O64-SUMPRODUCT($CX64:DB64,$BU64:BY64))*(1-SUM($DZ64:ED64)),BY64*DB64),$O64*BY64))</f>
        <v>5.3089268007199992</v>
      </c>
      <c r="AX64" s="442">
        <f ca="1">IF($H64="",0,IF($H64=1,IF('Para Adj'!$B$5 = 1,T64-($O64-SUMPRODUCT($CX64:DC64,$BU64:BZ64))*(1-SUM($DZ64:EE64)),BZ64*DC64),$O64*BZ64))</f>
        <v>5.3089268007199992</v>
      </c>
      <c r="AY64" s="442">
        <f ca="1">IF($H64="",0,IF($H64=1,IF('Para Adj'!$B$5 = 1,U64-($O64-SUMPRODUCT($CX64:DD64,$BU64:CA64))*(1-SUM($DZ64:EF64)),CA64*DD64),$O64*CA64))</f>
        <v>5.3089268007199992</v>
      </c>
      <c r="AZ64" s="442">
        <f ca="1">IF($H64="",0,IF($H64=1,IF('Para Adj'!$B$5 = 1,V64-($O64-SUMPRODUCT($CX64:DE64,$BU64:CB64))*(1-SUM($DZ64:EG64)),CB64*DE64),$O64*CB64))</f>
        <v>4.5505086863314279</v>
      </c>
      <c r="BA64" s="442">
        <f ca="1">IF($H64="",0,IF($H64=1,IF('Para Adj'!$B$5 = 1,W64-($O64-SUMPRODUCT($CX64:DF64,$BU64:CC64))*(1-SUM($DZ64:EH64)),CC64*DF64),$O64*CC64))</f>
        <v>4.5505086863314279</v>
      </c>
      <c r="BB64" s="442">
        <f ca="1">IF($H64="",0,IF($H64=1,IF('Para Adj'!$B$5 = 1,X64-($O64-SUMPRODUCT($CX64:DG64,$BU64:CD64))*(1-SUM($DZ64:EI64)),CD64*DG64),$O64*CD64))</f>
        <v>4.5505086863314279</v>
      </c>
      <c r="BC64" s="442">
        <f ca="1">IF($H64="",0,IF($H64=1,IF('Para Adj'!$B$5 = 1,Y64-($O64-SUMPRODUCT($CX64:DH64,$BU64:CE64))*(1-SUM($DZ64:EJ64)),CE64*DH64),$O64*CE64))</f>
        <v>4.5505086863314279</v>
      </c>
      <c r="BD64" s="442">
        <f ca="1">IF($H64="",0,IF($H64=1,IF('Para Adj'!$B$5 = 1,Z64-($O64-SUMPRODUCT($CX64:DI64,$BU64:CF64))*(1-SUM($DZ64:EK64)),CF64*DI64),$O64*CF64))</f>
        <v>4.5505086863314279</v>
      </c>
      <c r="BE64" s="442">
        <f ca="1">IF($H64="",0,IF($H64=1,IF('Para Adj'!$B$5 = 1,AA64-($O64-SUMPRODUCT($CX64:DJ64,$BU64:CG64))*(1-SUM($DZ64:EL64)),CG64*DJ64),$O64*CG64))</f>
        <v>4.5505086863314279</v>
      </c>
      <c r="BF64" s="442">
        <f ca="1">IF($H64="",0,IF($H64=1,IF('Para Adj'!$B$5 = 1,AB64-($O64-SUMPRODUCT($CX64:DK64,$BU64:CH64))*(1-SUM($DZ64:EM64)),CH64*DK64),$O64*CH64))</f>
        <v>4.5505086863314279</v>
      </c>
      <c r="BG64" s="442">
        <f ca="1">IF($H64="",0,IF($H64=1,IF('Para Adj'!$B$5 = 1,AC64-($O64-SUMPRODUCT($CX64:DL64,$BU64:CI64))*(1-SUM($DZ64:EN64)),CI64*DL64),$O64*CI64))</f>
        <v>26.544634003599995</v>
      </c>
      <c r="BH64" s="442">
        <f ca="1">IF($H64="",0,IF($H64=1,IF('Para Adj'!$B$5 = 1,AD64-($O64-SUMPRODUCT($CX64:DM64,$BU64:CJ64))*(1-SUM($DZ64:EO64)),CJ64*DM64),$O64*CJ64))</f>
        <v>26.544634003599995</v>
      </c>
      <c r="BI64" s="442">
        <f ca="1">IF($H64="",0,IF($H64=1,IF('Para Adj'!$B$5 = 1,AE64-($O64-SUMPRODUCT($CX64:DN64,$BU64:CK64))*(1-SUM($DZ64:EP64)),CK64*DN64),$O64*CK64))</f>
        <v>0</v>
      </c>
      <c r="BJ64" s="442">
        <f ca="1">IF($H64="",0,IF($H64=1,IF('Para Adj'!$B$5 = 1,AF64-($O64-SUMPRODUCT($CX64:DO64,$BU64:CL64))*(1-SUM($DZ64:EQ64)),CL64*DO64),$O64*CL64))</f>
        <v>0</v>
      </c>
      <c r="BK64" s="442">
        <f ca="1">IF($H64="",0,IF($H64=1,IF('Para Adj'!$B$5 = 1,AG64-($O64-SUMPRODUCT($CX64:DP64,$BU64:CM64))*(1-SUM($DZ64:ER64)),CM64*DP64),$O64*CM64))</f>
        <v>0</v>
      </c>
      <c r="BL64" s="442">
        <f ca="1">IF($H64="",0,IF($H64=1,IF('Para Adj'!$B$5 = 1,AH64-($O64-SUMPRODUCT($CX64:DQ64,$BU64:CN64))*(1-SUM($DZ64:ES64)),CN64*DQ64),$O64*CN64))</f>
        <v>0</v>
      </c>
      <c r="BM64" s="442">
        <f ca="1">IF($H64="",0,IF($H64=1,IF('Para Adj'!$B$5 = 1,AI64-($O64-SUMPRODUCT($CX64:DR64,$BU64:CO64))*(1-SUM($DZ64:ET64)),CO64*DR64),$O64*CO64))</f>
        <v>0</v>
      </c>
      <c r="BN64" s="442">
        <f ca="1">IF($H64="",0,IF($H64=1,IF('Para Adj'!$B$5 = 1,AJ64-($O64-SUMPRODUCT($CX64:DS64,$BU64:CP64))*(1-SUM($DZ64:EU64)),CP64*DS64),$O64*CP64))</f>
        <v>0</v>
      </c>
      <c r="BO64" s="442">
        <f ca="1">IF($H64="",0,IF($H64=1,IF('Para Adj'!$B$5 = 1,AK64-($O64-SUMPRODUCT($CX64:DT64,$BU64:CQ64))*(1-SUM($DZ64:EV64)),CQ64*DT64),$O64*CQ64))</f>
        <v>0</v>
      </c>
      <c r="BP64" s="442">
        <f ca="1">IF($H64="",0,IF($H64=1,IF('Para Adj'!$B$5 = 1,AL64-($O64-SUMPRODUCT($CX64:DU64,$BU64:CR64))*(1-SUM($DZ64:EW64)),CR64*DU64),$O64*CR64))</f>
        <v>0</v>
      </c>
      <c r="BQ64" s="442">
        <f ca="1">IF($H64="",0,IF($H64=1,IF('Para Adj'!$B$5 = 1,AM64-($O64-SUMPRODUCT($CX64:DV64,$BU64:CS64))*(1-SUM($DZ64:EX64)),CS64*DV64),$O64*CS64))</f>
        <v>0</v>
      </c>
      <c r="BR64" s="442">
        <f ca="1">IF($H64="",0,IF($H64=1,IF('Para Adj'!$B$5 = 1,AN64-($O64-SUMPRODUCT($CX64:DW64,$BU64:CT64))*(1-SUM($DZ64:EY64)),CT64*DW64),$O64*CT64))</f>
        <v>0</v>
      </c>
      <c r="BS64" s="442">
        <f ca="1">IF($H64="",0,IF($H64=1,IF('Para Adj'!$B$5 = 1,AO64-($O64-SUMPRODUCT($CX64:DX64,$BU64:CU64))*(1-SUM($DZ64:EZ64)),CU64*DX64),$O64*CU64))</f>
        <v>0</v>
      </c>
      <c r="BU64" s="820">
        <f ca="1">IF($B64=0,"",INDEX(Assumptions!G:G,$B64))</f>
        <v>1.2E-2</v>
      </c>
      <c r="BV64" s="820">
        <f ca="1">IF($B64=0,"",INDEX(Assumptions!H:H,$B64))</f>
        <v>4.0000000000000001E-3</v>
      </c>
      <c r="BW64" s="820">
        <f ca="1">IF($B64=0,"",INDEX(Assumptions!I:I,$B64))</f>
        <v>4.0000000000000001E-3</v>
      </c>
      <c r="BX64" s="820">
        <f ca="1">IF($B64=0,"",INDEX(Assumptions!J:J,$B64))</f>
        <v>4.0000000000000001E-3</v>
      </c>
      <c r="BY64" s="820">
        <f ca="1">IF($B64=0,"",INDEX(Assumptions!K:K,$B64))</f>
        <v>4.0000000000000001E-3</v>
      </c>
      <c r="BZ64" s="820">
        <f ca="1">IF($B64=0,"",INDEX(Assumptions!L:L,$B64))</f>
        <v>4.0000000000000001E-3</v>
      </c>
      <c r="CA64" s="820">
        <f ca="1">IF($B64=0,"",INDEX(Assumptions!M:M,$B64))</f>
        <v>4.0000000000000001E-3</v>
      </c>
      <c r="CB64" s="820">
        <f ca="1">IF($B64=0,"",INDEX(Assumptions!N:N,$B64))</f>
        <v>3.4285714285714288E-3</v>
      </c>
      <c r="CC64" s="820">
        <f ca="1">IF($B64=0,"",INDEX(Assumptions!O:O,$B64))</f>
        <v>3.4285714285714288E-3</v>
      </c>
      <c r="CD64" s="820">
        <f ca="1">IF($B64=0,"",INDEX(Assumptions!P:P,$B64))</f>
        <v>3.4285714285714288E-3</v>
      </c>
      <c r="CE64" s="820">
        <f ca="1">IF($B64=0,"",INDEX(Assumptions!Q:Q,$B64))</f>
        <v>3.4285714285714288E-3</v>
      </c>
      <c r="CF64" s="820">
        <f ca="1">IF($B64=0,"",INDEX(Assumptions!R:R,$B64))</f>
        <v>3.4285714285714288E-3</v>
      </c>
      <c r="CG64" s="820">
        <f ca="1">IF($B64=0,"",INDEX(Assumptions!S:S,$B64))</f>
        <v>3.4285714285714288E-3</v>
      </c>
      <c r="CH64" s="820">
        <f ca="1">IF($B64=0,"",INDEX(Assumptions!T:T,$B64))</f>
        <v>3.4285714285714288E-3</v>
      </c>
      <c r="CI64" s="820">
        <f ca="1">IF($B64=0,"",INDEX(Assumptions!U:U,$B64))</f>
        <v>0.02</v>
      </c>
      <c r="CJ64" s="820">
        <f ca="1">IF($B64=0,"",INDEX(Assumptions!V:V,$B64))</f>
        <v>0.02</v>
      </c>
      <c r="CK64" s="820">
        <f ca="1">IF($B64=0,"",INDEX(Assumptions!W:W,$B64))</f>
        <v>0</v>
      </c>
      <c r="CL64" s="820">
        <f ca="1">IF($B64=0,"",INDEX(Assumptions!X:X,$B64))</f>
        <v>0</v>
      </c>
      <c r="CM64" s="820">
        <f ca="1">IF($B64=0,"",INDEX(Assumptions!Y:Y,$B64))</f>
        <v>0</v>
      </c>
      <c r="CN64" s="820">
        <f ca="1">IF($B64=0,"",INDEX(Assumptions!Z:Z,$B64))</f>
        <v>0</v>
      </c>
      <c r="CO64" s="820">
        <f ca="1">IF($B64=0,"",INDEX(Assumptions!AA:AA,$B64))</f>
        <v>0</v>
      </c>
      <c r="CP64" s="820">
        <f ca="1">IF($B64=0,"",INDEX(Assumptions!AB:AB,$B64))</f>
        <v>0</v>
      </c>
      <c r="CQ64" s="820">
        <f ca="1">IF($B64=0,"",INDEX(Assumptions!AC:AC,$B64))</f>
        <v>0</v>
      </c>
      <c r="CR64" s="820">
        <f ca="1">IF($B64=0,"",INDEX(Assumptions!AD:AD,$B64))</f>
        <v>0</v>
      </c>
      <c r="CS64" s="820">
        <f ca="1">IF($B64=0,"",INDEX(Assumptions!AE:AE,$B64))</f>
        <v>0</v>
      </c>
      <c r="CT64" s="820">
        <f ca="1">IF($B64=0,"",INDEX(Assumptions!AF:AF,$B64))</f>
        <v>0</v>
      </c>
      <c r="CU64" s="820">
        <f ca="1">IF($B64=0,"",INDEX(Assumptions!AG:AG,$B64))</f>
        <v>0</v>
      </c>
      <c r="CX64" s="442">
        <f>IF($A64="","",INDEX('Data Interface'!G:G,$A64))</f>
        <v>1327.2317001799997</v>
      </c>
      <c r="CY64" s="442">
        <f>IF($A64="","",INDEX('Data Interface'!H:H,$A64))</f>
        <v>0</v>
      </c>
      <c r="CZ64" s="442">
        <f>IF($A64="","",INDEX('Data Interface'!I:I,$A64))</f>
        <v>0</v>
      </c>
      <c r="DA64" s="442">
        <f>IF($A64="","",INDEX('Data Interface'!J:J,$A64))</f>
        <v>0</v>
      </c>
      <c r="DB64" s="442">
        <f>IF($A64="","",INDEX('Data Interface'!K:K,$A64))</f>
        <v>0</v>
      </c>
      <c r="DC64" s="442">
        <f>IF($A64="","",INDEX('Data Interface'!L:L,$A64))</f>
        <v>0</v>
      </c>
      <c r="DD64" s="442">
        <f>IF($A64="","",INDEX('Data Interface'!M:M,$A64))</f>
        <v>0</v>
      </c>
      <c r="DE64" s="442">
        <f>IF($A64="","",INDEX('Data Interface'!N:N,$A64))</f>
        <v>0</v>
      </c>
      <c r="DF64" s="442">
        <f>IF($A64="","",INDEX('Data Interface'!O:O,$A64))</f>
        <v>0</v>
      </c>
      <c r="DG64" s="442">
        <f>IF($A64="","",INDEX('Data Interface'!P:P,$A64))</f>
        <v>0</v>
      </c>
      <c r="DH64" s="442">
        <f>IF($A64="","",INDEX('Data Interface'!Q:Q,$A64))</f>
        <v>0</v>
      </c>
      <c r="DI64" s="442">
        <f>IF($A64="","",INDEX('Data Interface'!R:R,$A64))</f>
        <v>0</v>
      </c>
      <c r="DJ64" s="442">
        <f>IF($A64="","",INDEX('Data Interface'!S:S,$A64))</f>
        <v>0</v>
      </c>
      <c r="DK64" s="442">
        <f>IF($A64="","",INDEX('Data Interface'!T:T,$A64))</f>
        <v>0</v>
      </c>
      <c r="DL64" s="442">
        <f>IF($A64="","",INDEX('Data Interface'!U:U,$A64))</f>
        <v>0</v>
      </c>
      <c r="DM64" s="442">
        <f>IF($A64="","",INDEX('Data Interface'!V:V,$A64))</f>
        <v>0</v>
      </c>
      <c r="DN64" s="442">
        <f>IF($A64="","",INDEX('Data Interface'!W:W,$A64))</f>
        <v>0</v>
      </c>
      <c r="DO64" s="442">
        <f>IF($A64="","",INDEX('Data Interface'!X:X,$A64))</f>
        <v>0</v>
      </c>
      <c r="DP64" s="442">
        <f>IF($A64="","",INDEX('Data Interface'!Y:Y,$A64))</f>
        <v>0</v>
      </c>
      <c r="DQ64" s="442">
        <f>IF($A64="","",INDEX('Data Interface'!Z:Z,$A64))</f>
        <v>0</v>
      </c>
      <c r="DR64" s="442">
        <f>IF($A64="","",INDEX('Data Interface'!AA:AA,$A64))</f>
        <v>0</v>
      </c>
      <c r="DS64" s="442">
        <f>IF($A64="","",INDEX('Data Interface'!AB:AB,$A64))</f>
        <v>0</v>
      </c>
      <c r="DT64" s="442">
        <f>IF($A64="","",INDEX('Data Interface'!AC:AC,$A64))</f>
        <v>0</v>
      </c>
      <c r="DU64" s="442">
        <f>IF($A64="","",INDEX('Data Interface'!AD:AD,$A64))</f>
        <v>0</v>
      </c>
      <c r="DV64" s="442">
        <f>IF($A64="","",INDEX('Data Interface'!AE:AE,$A64))</f>
        <v>0</v>
      </c>
      <c r="DW64" s="442">
        <f>IF($A64="","",INDEX('Data Interface'!AF:AF,$A64))</f>
        <v>0</v>
      </c>
      <c r="DX64" s="442">
        <f>IF($A64="","",INDEX('Data Interface'!AG:AG,$A64))</f>
        <v>0</v>
      </c>
      <c r="DZ64" s="906" t="str">
        <f>IF(OR($B64=0,$A64=0,$H64&lt;&gt;1),"",INDEX(Assumptions!EO:EO,$B64))</f>
        <v/>
      </c>
      <c r="EA64" s="906" t="str">
        <f>IF(OR($B64=0,$A64=0,$H64&lt;&gt;1),"",INDEX(Assumptions!EP:EP,$B64))</f>
        <v/>
      </c>
      <c r="EB64" s="906" t="str">
        <f>IF(OR($B64=0,$A64=0,$H64&lt;&gt;1),"",INDEX(Assumptions!EQ:EQ,$B64))</f>
        <v/>
      </c>
      <c r="EC64" s="906" t="str">
        <f>IF(OR($B64=0,$A64=0,$H64&lt;&gt;1),"",INDEX(Assumptions!ER:ER,$B64))</f>
        <v/>
      </c>
      <c r="ED64" s="906" t="str">
        <f>IF(OR($B64=0,$A64=0,$H64&lt;&gt;1),"",INDEX(Assumptions!ES:ES,$B64))</f>
        <v/>
      </c>
      <c r="EE64" s="906" t="str">
        <f>IF(OR($B64=0,$A64=0,$H64&lt;&gt;1),"",INDEX(Assumptions!ET:ET,$B64))</f>
        <v/>
      </c>
      <c r="EF64" s="906" t="str">
        <f>IF(OR($B64=0,$A64=0,$H64&lt;&gt;1),"",INDEX(Assumptions!EU:EU,$B64))</f>
        <v/>
      </c>
      <c r="EG64" s="906" t="str">
        <f>IF(OR($B64=0,$A64=0,$H64&lt;&gt;1),"",INDEX(Assumptions!EV:EV,$B64))</f>
        <v/>
      </c>
      <c r="EH64" s="906" t="str">
        <f>IF(OR($B64=0,$A64=0,$H64&lt;&gt;1),"",INDEX(Assumptions!EW:EW,$B64))</f>
        <v/>
      </c>
      <c r="EI64" s="906" t="str">
        <f>IF(OR($B64=0,$A64=0,$H64&lt;&gt;1),"",INDEX(Assumptions!EX:EX,$B64))</f>
        <v/>
      </c>
      <c r="EJ64" s="906" t="str">
        <f>IF(OR($B64=0,$A64=0,$H64&lt;&gt;1),"",INDEX(Assumptions!EY:EY,$B64))</f>
        <v/>
      </c>
      <c r="EK64" s="906" t="str">
        <f>IF(OR($B64=0,$A64=0,$H64&lt;&gt;1),"",INDEX(Assumptions!EZ:EZ,$B64))</f>
        <v/>
      </c>
      <c r="EL64" s="906" t="str">
        <f>IF(OR($B64=0,$A64=0,$H64&lt;&gt;1),"",INDEX(Assumptions!FA:FA,$B64))</f>
        <v/>
      </c>
      <c r="EM64" s="906" t="str">
        <f>IF(OR($B64=0,$A64=0,$H64&lt;&gt;1),"",INDEX(Assumptions!FB:FB,$B64))</f>
        <v/>
      </c>
      <c r="EN64" s="906" t="str">
        <f>IF(OR($B64=0,$A64=0,$H64&lt;&gt;1),"",INDEX(Assumptions!FC:FC,$B64))</f>
        <v/>
      </c>
      <c r="EO64" s="906" t="str">
        <f>IF(OR($B64=0,$A64=0,$H64&lt;&gt;1),"",INDEX(Assumptions!FD:FD,$B64))</f>
        <v/>
      </c>
      <c r="EP64" s="906" t="str">
        <f>IF(OR($B64=0,$A64=0,$H64&lt;&gt;1),"",INDEX(Assumptions!FE:FE,$B64))</f>
        <v/>
      </c>
      <c r="EQ64" s="906" t="str">
        <f>IF(OR($B64=0,$A64=0,$H64&lt;&gt;1),"",INDEX(Assumptions!FF:FF,$B64))</f>
        <v/>
      </c>
      <c r="ER64" s="906" t="str">
        <f>IF(OR($B64=0,$A64=0,$H64&lt;&gt;1),"",INDEX(Assumptions!FG:FG,$B64))</f>
        <v/>
      </c>
      <c r="ES64" s="906" t="str">
        <f>IF(OR($B64=0,$A64=0,$H64&lt;&gt;1),"",INDEX(Assumptions!FH:FH,$B64))</f>
        <v/>
      </c>
      <c r="ET64" s="906" t="str">
        <f>IF(OR($B64=0,$A64=0,$H64&lt;&gt;1),"",INDEX(Assumptions!FI:FI,$B64))</f>
        <v/>
      </c>
      <c r="EU64" s="906" t="str">
        <f>IF(OR($B64=0,$A64=0,$H64&lt;&gt;1),"",INDEX(Assumptions!FJ:FJ,$B64))</f>
        <v/>
      </c>
      <c r="EV64" s="906" t="str">
        <f>IF(OR($B64=0,$A64=0,$H64&lt;&gt;1),"",INDEX(Assumptions!FK:FK,$B64))</f>
        <v/>
      </c>
      <c r="EW64" s="906" t="str">
        <f>IF(OR($B64=0,$A64=0,$H64&lt;&gt;1),"",INDEX(Assumptions!FL:FL,$B64))</f>
        <v/>
      </c>
      <c r="EX64" s="906" t="str">
        <f>IF(OR($B64=0,$A64=0,$H64&lt;&gt;1),"",INDEX(Assumptions!FM:FM,$B64))</f>
        <v/>
      </c>
      <c r="EY64" s="906" t="str">
        <f>IF(OR($B64=0,$A64=0,$H64&lt;&gt;1),"",INDEX(Assumptions!FN:FN,$B64))</f>
        <v/>
      </c>
      <c r="EZ64" s="906" t="str">
        <f>IF(OR($B64=0,$A64=0,$H64&lt;&gt;1),"",INDEX(Assumptions!FO:FO,$B64))</f>
        <v/>
      </c>
      <c r="FB64" s="820" t="str">
        <f t="shared" si="18"/>
        <v/>
      </c>
      <c r="FC64" s="820" t="str">
        <f t="shared" si="19"/>
        <v/>
      </c>
      <c r="FD64" s="820" t="str">
        <f t="shared" si="20"/>
        <v/>
      </c>
      <c r="FE64" s="820" t="str">
        <f t="shared" si="21"/>
        <v/>
      </c>
      <c r="FF64" s="820" t="str">
        <f t="shared" si="22"/>
        <v/>
      </c>
    </row>
    <row r="65" spans="1:162">
      <c r="A65" s="440">
        <f>IFERROR(MATCH(C65,'Data Interface'!B:B,0),0)</f>
        <v>63</v>
      </c>
      <c r="B65" s="440">
        <f>IFERROR(MATCH(C65,Assumptions!$B:$B,0),0)</f>
        <v>26</v>
      </c>
      <c r="C65" s="441" t="s">
        <v>1286</v>
      </c>
      <c r="E65" s="441" t="s">
        <v>1219</v>
      </c>
      <c r="F65" s="440" t="s">
        <v>25</v>
      </c>
      <c r="G65" s="440" t="str">
        <f>IF(A65=0,"",INDEX('Data Interface'!$C:$C,$A65))</f>
        <v>FDIC Sweep Deposits - Retail - MMDA</v>
      </c>
      <c r="H65" s="440">
        <v>0</v>
      </c>
      <c r="I65" s="819">
        <f t="shared" ca="1" si="23"/>
        <v>5.9999999999999991E-2</v>
      </c>
      <c r="J65" s="819">
        <f t="shared" ca="1" si="24"/>
        <v>9.9999999999999992E-2</v>
      </c>
      <c r="K65" s="439" t="str">
        <f t="shared" ca="1" si="25"/>
        <v>6% of Current Balance</v>
      </c>
      <c r="L65" s="439" t="s">
        <v>1148</v>
      </c>
      <c r="M65" s="439" t="s">
        <v>1509</v>
      </c>
      <c r="O65" s="442">
        <f>IF(OR($A65="",$A65=0),0,INDEX('Data Interface'!D:D,$A65))</f>
        <v>70.697602650000007</v>
      </c>
      <c r="P65" s="442">
        <f ca="1">$O65-SUM($AS65:AS65)</f>
        <v>69.849231418200006</v>
      </c>
      <c r="Q65" s="442">
        <f ca="1">$O65-SUM($AS65:AT65)</f>
        <v>69.566441007600005</v>
      </c>
      <c r="R65" s="442">
        <f ca="1">$O65-SUM($AS65:AU65)</f>
        <v>69.283650597000005</v>
      </c>
      <c r="S65" s="442">
        <f ca="1">$O65-SUM($AS65:AV65)</f>
        <v>69.000860186400004</v>
      </c>
      <c r="T65" s="442">
        <f ca="1">$O65-SUM($AS65:AW65)</f>
        <v>68.718069775800004</v>
      </c>
      <c r="U65" s="442">
        <f ca="1">$O65-SUM($AS65:AX65)</f>
        <v>68.435279365200003</v>
      </c>
      <c r="V65" s="442">
        <f ca="1">$O65-SUM($AS65:AY65)</f>
        <v>68.152488954600003</v>
      </c>
      <c r="W65" s="442">
        <f ca="1">$O65-SUM($AS65:AZ65)</f>
        <v>67.91009717408572</v>
      </c>
      <c r="X65" s="442">
        <f ca="1">$O65-SUM($AS65:BA65)</f>
        <v>67.667705393571438</v>
      </c>
      <c r="Y65" s="442">
        <f ca="1">$O65-SUM($AS65:BB65)</f>
        <v>67.425313613057156</v>
      </c>
      <c r="Z65" s="442">
        <f ca="1">$O65-SUM($AS65:BC65)</f>
        <v>67.18292183254286</v>
      </c>
      <c r="AA65" s="442">
        <f ca="1">$O65-SUM($AS65:BD65)</f>
        <v>66.940530052028578</v>
      </c>
      <c r="AB65" s="442">
        <f ca="1">$O65-SUM($AS65:BE65)</f>
        <v>66.698138271514296</v>
      </c>
      <c r="AC65" s="442">
        <f ca="1">$O65-SUM($AS65:BF65)</f>
        <v>66.455746491000014</v>
      </c>
      <c r="AD65" s="442">
        <f ca="1">$O65-SUM($AS65:BG65)</f>
        <v>65.041794438000011</v>
      </c>
      <c r="AE65" s="442">
        <f ca="1">$O65-SUM($AS65:BH65)</f>
        <v>63.627842385000008</v>
      </c>
      <c r="AF65" s="442">
        <f ca="1">$O65-SUM($AS65:BI65)</f>
        <v>63.627842385000008</v>
      </c>
      <c r="AG65" s="442">
        <f ca="1">$O65-SUM($AS65:BJ65)</f>
        <v>63.627842385000008</v>
      </c>
      <c r="AH65" s="442">
        <f ca="1">$O65-SUM($AS65:BK65)</f>
        <v>63.627842385000008</v>
      </c>
      <c r="AI65" s="442">
        <f ca="1">$O65-SUM($AS65:BL65)</f>
        <v>63.627842385000008</v>
      </c>
      <c r="AJ65" s="442">
        <f ca="1">$O65-SUM($AS65:BM65)</f>
        <v>63.627842385000008</v>
      </c>
      <c r="AK65" s="442">
        <f ca="1">$O65-SUM($AS65:BN65)</f>
        <v>63.627842385000008</v>
      </c>
      <c r="AL65" s="442">
        <f ca="1">$O65-SUM($AS65:BO65)</f>
        <v>63.627842385000008</v>
      </c>
      <c r="AM65" s="442">
        <f ca="1">$O65-SUM($AS65:BP65)</f>
        <v>63.627842385000008</v>
      </c>
      <c r="AN65" s="442">
        <f ca="1">$O65-SUM($AS65:BQ65)</f>
        <v>63.627842385000008</v>
      </c>
      <c r="AO65" s="442">
        <f ca="1">$O65-SUM($AS65:BR65)</f>
        <v>63.627842385000008</v>
      </c>
      <c r="AP65" s="442">
        <f ca="1">$O65-SUM($AS65:BS65)</f>
        <v>63.627842385000008</v>
      </c>
      <c r="AR65" s="439" t="s">
        <v>1202</v>
      </c>
      <c r="AS65" s="442">
        <f ca="1">IF($H65="",0,IF($H65=1,IF('Para Adj'!$B$5 = 1,O65-($O65-SUMPRODUCT($CX65:CX65,$BU65:BU65))*(1-SUM($DZ65:DZ65)),BU65*CX65),$O65*BU65))</f>
        <v>0.84837123180000007</v>
      </c>
      <c r="AT65" s="442">
        <f ca="1">IF($H65="",0,IF($H65=1,IF('Para Adj'!$B$5 = 1,P65-($O65-SUMPRODUCT($CX65:CY65,$BU65:BV65))*(1-SUM($DZ65:EA65)),BV65*CY65),$O65*BV65))</f>
        <v>0.28279041060000004</v>
      </c>
      <c r="AU65" s="442">
        <f ca="1">IF($H65="",0,IF($H65=1,IF('Para Adj'!$B$5 = 1,Q65-($O65-SUMPRODUCT($CX65:CZ65,$BU65:BW65))*(1-SUM($DZ65:EB65)),BW65*CZ65),$O65*BW65))</f>
        <v>0.28279041060000004</v>
      </c>
      <c r="AV65" s="442">
        <f ca="1">IF($H65="",0,IF($H65=1,IF('Para Adj'!$B$5 = 1,R65-($O65-SUMPRODUCT($CX65:DA65,$BU65:BX65))*(1-SUM($DZ65:EC65)),BX65*DA65),$O65*BX65))</f>
        <v>0.28279041060000004</v>
      </c>
      <c r="AW65" s="442">
        <f ca="1">IF($H65="",0,IF($H65=1,IF('Para Adj'!$B$5 = 1,S65-($O65-SUMPRODUCT($CX65:DB65,$BU65:BY65))*(1-SUM($DZ65:ED65)),BY65*DB65),$O65*BY65))</f>
        <v>0.28279041060000004</v>
      </c>
      <c r="AX65" s="442">
        <f ca="1">IF($H65="",0,IF($H65=1,IF('Para Adj'!$B$5 = 1,T65-($O65-SUMPRODUCT($CX65:DC65,$BU65:BZ65))*(1-SUM($DZ65:EE65)),BZ65*DC65),$O65*BZ65))</f>
        <v>0.28279041060000004</v>
      </c>
      <c r="AY65" s="442">
        <f ca="1">IF($H65="",0,IF($H65=1,IF('Para Adj'!$B$5 = 1,U65-($O65-SUMPRODUCT($CX65:DD65,$BU65:CA65))*(1-SUM($DZ65:EF65)),CA65*DD65),$O65*CA65))</f>
        <v>0.28279041060000004</v>
      </c>
      <c r="AZ65" s="442">
        <f ca="1">IF($H65="",0,IF($H65=1,IF('Para Adj'!$B$5 = 1,V65-($O65-SUMPRODUCT($CX65:DE65,$BU65:CB65))*(1-SUM($DZ65:EG65)),CB65*DE65),$O65*CB65))</f>
        <v>0.24239178051428575</v>
      </c>
      <c r="BA65" s="442">
        <f ca="1">IF($H65="",0,IF($H65=1,IF('Para Adj'!$B$5 = 1,W65-($O65-SUMPRODUCT($CX65:DF65,$BU65:CC65))*(1-SUM($DZ65:EH65)),CC65*DF65),$O65*CC65))</f>
        <v>0.24239178051428575</v>
      </c>
      <c r="BB65" s="442">
        <f ca="1">IF($H65="",0,IF($H65=1,IF('Para Adj'!$B$5 = 1,X65-($O65-SUMPRODUCT($CX65:DG65,$BU65:CD65))*(1-SUM($DZ65:EI65)),CD65*DG65),$O65*CD65))</f>
        <v>0.24239178051428575</v>
      </c>
      <c r="BC65" s="442">
        <f ca="1">IF($H65="",0,IF($H65=1,IF('Para Adj'!$B$5 = 1,Y65-($O65-SUMPRODUCT($CX65:DH65,$BU65:CE65))*(1-SUM($DZ65:EJ65)),CE65*DH65),$O65*CE65))</f>
        <v>0.24239178051428575</v>
      </c>
      <c r="BD65" s="442">
        <f ca="1">IF($H65="",0,IF($H65=1,IF('Para Adj'!$B$5 = 1,Z65-($O65-SUMPRODUCT($CX65:DI65,$BU65:CF65))*(1-SUM($DZ65:EK65)),CF65*DI65),$O65*CF65))</f>
        <v>0.24239178051428575</v>
      </c>
      <c r="BE65" s="442">
        <f ca="1">IF($H65="",0,IF($H65=1,IF('Para Adj'!$B$5 = 1,AA65-($O65-SUMPRODUCT($CX65:DJ65,$BU65:CG65))*(1-SUM($DZ65:EL65)),CG65*DJ65),$O65*CG65))</f>
        <v>0.24239178051428575</v>
      </c>
      <c r="BF65" s="442">
        <f ca="1">IF($H65="",0,IF($H65=1,IF('Para Adj'!$B$5 = 1,AB65-($O65-SUMPRODUCT($CX65:DK65,$BU65:CH65))*(1-SUM($DZ65:EM65)),CH65*DK65),$O65*CH65))</f>
        <v>0.24239178051428575</v>
      </c>
      <c r="BG65" s="442">
        <f ca="1">IF($H65="",0,IF($H65=1,IF('Para Adj'!$B$5 = 1,AC65-($O65-SUMPRODUCT($CX65:DL65,$BU65:CI65))*(1-SUM($DZ65:EN65)),CI65*DL65),$O65*CI65))</f>
        <v>1.4139520530000003</v>
      </c>
      <c r="BH65" s="442">
        <f ca="1">IF($H65="",0,IF($H65=1,IF('Para Adj'!$B$5 = 1,AD65-($O65-SUMPRODUCT($CX65:DM65,$BU65:CJ65))*(1-SUM($DZ65:EO65)),CJ65*DM65),$O65*CJ65))</f>
        <v>1.4139520530000003</v>
      </c>
      <c r="BI65" s="442">
        <f ca="1">IF($H65="",0,IF($H65=1,IF('Para Adj'!$B$5 = 1,AE65-($O65-SUMPRODUCT($CX65:DN65,$BU65:CK65))*(1-SUM($DZ65:EP65)),CK65*DN65),$O65*CK65))</f>
        <v>0</v>
      </c>
      <c r="BJ65" s="442">
        <f ca="1">IF($H65="",0,IF($H65=1,IF('Para Adj'!$B$5 = 1,AF65-($O65-SUMPRODUCT($CX65:DO65,$BU65:CL65))*(1-SUM($DZ65:EQ65)),CL65*DO65),$O65*CL65))</f>
        <v>0</v>
      </c>
      <c r="BK65" s="442">
        <f ca="1">IF($H65="",0,IF($H65=1,IF('Para Adj'!$B$5 = 1,AG65-($O65-SUMPRODUCT($CX65:DP65,$BU65:CM65))*(1-SUM($DZ65:ER65)),CM65*DP65),$O65*CM65))</f>
        <v>0</v>
      </c>
      <c r="BL65" s="442">
        <f ca="1">IF($H65="",0,IF($H65=1,IF('Para Adj'!$B$5 = 1,AH65-($O65-SUMPRODUCT($CX65:DQ65,$BU65:CN65))*(1-SUM($DZ65:ES65)),CN65*DQ65),$O65*CN65))</f>
        <v>0</v>
      </c>
      <c r="BM65" s="442">
        <f ca="1">IF($H65="",0,IF($H65=1,IF('Para Adj'!$B$5 = 1,AI65-($O65-SUMPRODUCT($CX65:DR65,$BU65:CO65))*(1-SUM($DZ65:ET65)),CO65*DR65),$O65*CO65))</f>
        <v>0</v>
      </c>
      <c r="BN65" s="442">
        <f ca="1">IF($H65="",0,IF($H65=1,IF('Para Adj'!$B$5 = 1,AJ65-($O65-SUMPRODUCT($CX65:DS65,$BU65:CP65))*(1-SUM($DZ65:EU65)),CP65*DS65),$O65*CP65))</f>
        <v>0</v>
      </c>
      <c r="BO65" s="442">
        <f ca="1">IF($H65="",0,IF($H65=1,IF('Para Adj'!$B$5 = 1,AK65-($O65-SUMPRODUCT($CX65:DT65,$BU65:CQ65))*(1-SUM($DZ65:EV65)),CQ65*DT65),$O65*CQ65))</f>
        <v>0</v>
      </c>
      <c r="BP65" s="442">
        <f ca="1">IF($H65="",0,IF($H65=1,IF('Para Adj'!$B$5 = 1,AL65-($O65-SUMPRODUCT($CX65:DU65,$BU65:CR65))*(1-SUM($DZ65:EW65)),CR65*DU65),$O65*CR65))</f>
        <v>0</v>
      </c>
      <c r="BQ65" s="442">
        <f ca="1">IF($H65="",0,IF($H65=1,IF('Para Adj'!$B$5 = 1,AM65-($O65-SUMPRODUCT($CX65:DV65,$BU65:CS65))*(1-SUM($DZ65:EX65)),CS65*DV65),$O65*CS65))</f>
        <v>0</v>
      </c>
      <c r="BR65" s="442">
        <f ca="1">IF($H65="",0,IF($H65=1,IF('Para Adj'!$B$5 = 1,AN65-($O65-SUMPRODUCT($CX65:DW65,$BU65:CT65))*(1-SUM($DZ65:EY65)),CT65*DW65),$O65*CT65))</f>
        <v>0</v>
      </c>
      <c r="BS65" s="442">
        <f ca="1">IF($H65="",0,IF($H65=1,IF('Para Adj'!$B$5 = 1,AO65-($O65-SUMPRODUCT($CX65:DX65,$BU65:CU65))*(1-SUM($DZ65:EZ65)),CU65*DX65),$O65*CU65))</f>
        <v>0</v>
      </c>
      <c r="BU65" s="820">
        <f ca="1">IF($B65=0,"",INDEX(Assumptions!G:G,$B65))</f>
        <v>1.2E-2</v>
      </c>
      <c r="BV65" s="820">
        <f ca="1">IF($B65=0,"",INDEX(Assumptions!H:H,$B65))</f>
        <v>4.0000000000000001E-3</v>
      </c>
      <c r="BW65" s="820">
        <f ca="1">IF($B65=0,"",INDEX(Assumptions!I:I,$B65))</f>
        <v>4.0000000000000001E-3</v>
      </c>
      <c r="BX65" s="820">
        <f ca="1">IF($B65=0,"",INDEX(Assumptions!J:J,$B65))</f>
        <v>4.0000000000000001E-3</v>
      </c>
      <c r="BY65" s="820">
        <f ca="1">IF($B65=0,"",INDEX(Assumptions!K:K,$B65))</f>
        <v>4.0000000000000001E-3</v>
      </c>
      <c r="BZ65" s="820">
        <f ca="1">IF($B65=0,"",INDEX(Assumptions!L:L,$B65))</f>
        <v>4.0000000000000001E-3</v>
      </c>
      <c r="CA65" s="820">
        <f ca="1">IF($B65=0,"",INDEX(Assumptions!M:M,$B65))</f>
        <v>4.0000000000000001E-3</v>
      </c>
      <c r="CB65" s="820">
        <f ca="1">IF($B65=0,"",INDEX(Assumptions!N:N,$B65))</f>
        <v>3.4285714285714288E-3</v>
      </c>
      <c r="CC65" s="820">
        <f ca="1">IF($B65=0,"",INDEX(Assumptions!O:O,$B65))</f>
        <v>3.4285714285714288E-3</v>
      </c>
      <c r="CD65" s="820">
        <f ca="1">IF($B65=0,"",INDEX(Assumptions!P:P,$B65))</f>
        <v>3.4285714285714288E-3</v>
      </c>
      <c r="CE65" s="820">
        <f ca="1">IF($B65=0,"",INDEX(Assumptions!Q:Q,$B65))</f>
        <v>3.4285714285714288E-3</v>
      </c>
      <c r="CF65" s="820">
        <f ca="1">IF($B65=0,"",INDEX(Assumptions!R:R,$B65))</f>
        <v>3.4285714285714288E-3</v>
      </c>
      <c r="CG65" s="820">
        <f ca="1">IF($B65=0,"",INDEX(Assumptions!S:S,$B65))</f>
        <v>3.4285714285714288E-3</v>
      </c>
      <c r="CH65" s="820">
        <f ca="1">IF($B65=0,"",INDEX(Assumptions!T:T,$B65))</f>
        <v>3.4285714285714288E-3</v>
      </c>
      <c r="CI65" s="820">
        <f ca="1">IF($B65=0,"",INDEX(Assumptions!U:U,$B65))</f>
        <v>0.02</v>
      </c>
      <c r="CJ65" s="820">
        <f ca="1">IF($B65=0,"",INDEX(Assumptions!V:V,$B65))</f>
        <v>0.02</v>
      </c>
      <c r="CK65" s="820">
        <f ca="1">IF($B65=0,"",INDEX(Assumptions!W:W,$B65))</f>
        <v>0</v>
      </c>
      <c r="CL65" s="820">
        <f ca="1">IF($B65=0,"",INDEX(Assumptions!X:X,$B65))</f>
        <v>0</v>
      </c>
      <c r="CM65" s="820">
        <f ca="1">IF($B65=0,"",INDEX(Assumptions!Y:Y,$B65))</f>
        <v>0</v>
      </c>
      <c r="CN65" s="820">
        <f ca="1">IF($B65=0,"",INDEX(Assumptions!Z:Z,$B65))</f>
        <v>0</v>
      </c>
      <c r="CO65" s="820">
        <f ca="1">IF($B65=0,"",INDEX(Assumptions!AA:AA,$B65))</f>
        <v>0</v>
      </c>
      <c r="CP65" s="820">
        <f ca="1">IF($B65=0,"",INDEX(Assumptions!AB:AB,$B65))</f>
        <v>0</v>
      </c>
      <c r="CQ65" s="820">
        <f ca="1">IF($B65=0,"",INDEX(Assumptions!AC:AC,$B65))</f>
        <v>0</v>
      </c>
      <c r="CR65" s="820">
        <f ca="1">IF($B65=0,"",INDEX(Assumptions!AD:AD,$B65))</f>
        <v>0</v>
      </c>
      <c r="CS65" s="820">
        <f ca="1">IF($B65=0,"",INDEX(Assumptions!AE:AE,$B65))</f>
        <v>0</v>
      </c>
      <c r="CT65" s="820">
        <f ca="1">IF($B65=0,"",INDEX(Assumptions!AF:AF,$B65))</f>
        <v>0</v>
      </c>
      <c r="CU65" s="820">
        <f ca="1">IF($B65=0,"",INDEX(Assumptions!AG:AG,$B65))</f>
        <v>0</v>
      </c>
      <c r="CX65" s="442">
        <f>IF($A65="","",INDEX('Data Interface'!G:G,$A65))</f>
        <v>70.697602650000007</v>
      </c>
      <c r="CY65" s="442">
        <f>IF($A65="","",INDEX('Data Interface'!H:H,$A65))</f>
        <v>0</v>
      </c>
      <c r="CZ65" s="442">
        <f>IF($A65="","",INDEX('Data Interface'!I:I,$A65))</f>
        <v>0</v>
      </c>
      <c r="DA65" s="442">
        <f>IF($A65="","",INDEX('Data Interface'!J:J,$A65))</f>
        <v>0</v>
      </c>
      <c r="DB65" s="442">
        <f>IF($A65="","",INDEX('Data Interface'!K:K,$A65))</f>
        <v>0</v>
      </c>
      <c r="DC65" s="442">
        <f>IF($A65="","",INDEX('Data Interface'!L:L,$A65))</f>
        <v>0</v>
      </c>
      <c r="DD65" s="442">
        <f>IF($A65="","",INDEX('Data Interface'!M:M,$A65))</f>
        <v>0</v>
      </c>
      <c r="DE65" s="442">
        <f>IF($A65="","",INDEX('Data Interface'!N:N,$A65))</f>
        <v>0</v>
      </c>
      <c r="DF65" s="442">
        <f>IF($A65="","",INDEX('Data Interface'!O:O,$A65))</f>
        <v>0</v>
      </c>
      <c r="DG65" s="442">
        <f>IF($A65="","",INDEX('Data Interface'!P:P,$A65))</f>
        <v>0</v>
      </c>
      <c r="DH65" s="442">
        <f>IF($A65="","",INDEX('Data Interface'!Q:Q,$A65))</f>
        <v>0</v>
      </c>
      <c r="DI65" s="442">
        <f>IF($A65="","",INDEX('Data Interface'!R:R,$A65))</f>
        <v>0</v>
      </c>
      <c r="DJ65" s="442">
        <f>IF($A65="","",INDEX('Data Interface'!S:S,$A65))</f>
        <v>0</v>
      </c>
      <c r="DK65" s="442">
        <f>IF($A65="","",INDEX('Data Interface'!T:T,$A65))</f>
        <v>0</v>
      </c>
      <c r="DL65" s="442">
        <f>IF($A65="","",INDEX('Data Interface'!U:U,$A65))</f>
        <v>0</v>
      </c>
      <c r="DM65" s="442">
        <f>IF($A65="","",INDEX('Data Interface'!V:V,$A65))</f>
        <v>0</v>
      </c>
      <c r="DN65" s="442">
        <f>IF($A65="","",INDEX('Data Interface'!W:W,$A65))</f>
        <v>0</v>
      </c>
      <c r="DO65" s="442">
        <f>IF($A65="","",INDEX('Data Interface'!X:X,$A65))</f>
        <v>0</v>
      </c>
      <c r="DP65" s="442">
        <f>IF($A65="","",INDEX('Data Interface'!Y:Y,$A65))</f>
        <v>0</v>
      </c>
      <c r="DQ65" s="442">
        <f>IF($A65="","",INDEX('Data Interface'!Z:Z,$A65))</f>
        <v>0</v>
      </c>
      <c r="DR65" s="442">
        <f>IF($A65="","",INDEX('Data Interface'!AA:AA,$A65))</f>
        <v>0</v>
      </c>
      <c r="DS65" s="442">
        <f>IF($A65="","",INDEX('Data Interface'!AB:AB,$A65))</f>
        <v>0</v>
      </c>
      <c r="DT65" s="442">
        <f>IF($A65="","",INDEX('Data Interface'!AC:AC,$A65))</f>
        <v>0</v>
      </c>
      <c r="DU65" s="442">
        <f>IF($A65="","",INDEX('Data Interface'!AD:AD,$A65))</f>
        <v>0</v>
      </c>
      <c r="DV65" s="442">
        <f>IF($A65="","",INDEX('Data Interface'!AE:AE,$A65))</f>
        <v>0</v>
      </c>
      <c r="DW65" s="442">
        <f>IF($A65="","",INDEX('Data Interface'!AF:AF,$A65))</f>
        <v>0</v>
      </c>
      <c r="DX65" s="442">
        <f>IF($A65="","",INDEX('Data Interface'!AG:AG,$A65))</f>
        <v>0</v>
      </c>
      <c r="DZ65" s="906" t="str">
        <f>IF(OR($B65=0,$A65=0,$H65&lt;&gt;1),"",INDEX(Assumptions!EO:EO,$B65))</f>
        <v/>
      </c>
      <c r="EA65" s="906" t="str">
        <f>IF(OR($B65=0,$A65=0,$H65&lt;&gt;1),"",INDEX(Assumptions!EP:EP,$B65))</f>
        <v/>
      </c>
      <c r="EB65" s="906" t="str">
        <f>IF(OR($B65=0,$A65=0,$H65&lt;&gt;1),"",INDEX(Assumptions!EQ:EQ,$B65))</f>
        <v/>
      </c>
      <c r="EC65" s="906" t="str">
        <f>IF(OR($B65=0,$A65=0,$H65&lt;&gt;1),"",INDEX(Assumptions!ER:ER,$B65))</f>
        <v/>
      </c>
      <c r="ED65" s="906" t="str">
        <f>IF(OR($B65=0,$A65=0,$H65&lt;&gt;1),"",INDEX(Assumptions!ES:ES,$B65))</f>
        <v/>
      </c>
      <c r="EE65" s="906" t="str">
        <f>IF(OR($B65=0,$A65=0,$H65&lt;&gt;1),"",INDEX(Assumptions!ET:ET,$B65))</f>
        <v/>
      </c>
      <c r="EF65" s="906" t="str">
        <f>IF(OR($B65=0,$A65=0,$H65&lt;&gt;1),"",INDEX(Assumptions!EU:EU,$B65))</f>
        <v/>
      </c>
      <c r="EG65" s="906" t="str">
        <f>IF(OR($B65=0,$A65=0,$H65&lt;&gt;1),"",INDEX(Assumptions!EV:EV,$B65))</f>
        <v/>
      </c>
      <c r="EH65" s="906" t="str">
        <f>IF(OR($B65=0,$A65=0,$H65&lt;&gt;1),"",INDEX(Assumptions!EW:EW,$B65))</f>
        <v/>
      </c>
      <c r="EI65" s="906" t="str">
        <f>IF(OR($B65=0,$A65=0,$H65&lt;&gt;1),"",INDEX(Assumptions!EX:EX,$B65))</f>
        <v/>
      </c>
      <c r="EJ65" s="906" t="str">
        <f>IF(OR($B65=0,$A65=0,$H65&lt;&gt;1),"",INDEX(Assumptions!EY:EY,$B65))</f>
        <v/>
      </c>
      <c r="EK65" s="906" t="str">
        <f>IF(OR($B65=0,$A65=0,$H65&lt;&gt;1),"",INDEX(Assumptions!EZ:EZ,$B65))</f>
        <v/>
      </c>
      <c r="EL65" s="906" t="str">
        <f>IF(OR($B65=0,$A65=0,$H65&lt;&gt;1),"",INDEX(Assumptions!FA:FA,$B65))</f>
        <v/>
      </c>
      <c r="EM65" s="906" t="str">
        <f>IF(OR($B65=0,$A65=0,$H65&lt;&gt;1),"",INDEX(Assumptions!FB:FB,$B65))</f>
        <v/>
      </c>
      <c r="EN65" s="906" t="str">
        <f>IF(OR($B65=0,$A65=0,$H65&lt;&gt;1),"",INDEX(Assumptions!FC:FC,$B65))</f>
        <v/>
      </c>
      <c r="EO65" s="906" t="str">
        <f>IF(OR($B65=0,$A65=0,$H65&lt;&gt;1),"",INDEX(Assumptions!FD:FD,$B65))</f>
        <v/>
      </c>
      <c r="EP65" s="906" t="str">
        <f>IF(OR($B65=0,$A65=0,$H65&lt;&gt;1),"",INDEX(Assumptions!FE:FE,$B65))</f>
        <v/>
      </c>
      <c r="EQ65" s="906" t="str">
        <f>IF(OR($B65=0,$A65=0,$H65&lt;&gt;1),"",INDEX(Assumptions!FF:FF,$B65))</f>
        <v/>
      </c>
      <c r="ER65" s="906" t="str">
        <f>IF(OR($B65=0,$A65=0,$H65&lt;&gt;1),"",INDEX(Assumptions!FG:FG,$B65))</f>
        <v/>
      </c>
      <c r="ES65" s="906" t="str">
        <f>IF(OR($B65=0,$A65=0,$H65&lt;&gt;1),"",INDEX(Assumptions!FH:FH,$B65))</f>
        <v/>
      </c>
      <c r="ET65" s="906" t="str">
        <f>IF(OR($B65=0,$A65=0,$H65&lt;&gt;1),"",INDEX(Assumptions!FI:FI,$B65))</f>
        <v/>
      </c>
      <c r="EU65" s="906" t="str">
        <f>IF(OR($B65=0,$A65=0,$H65&lt;&gt;1),"",INDEX(Assumptions!FJ:FJ,$B65))</f>
        <v/>
      </c>
      <c r="EV65" s="906" t="str">
        <f>IF(OR($B65=0,$A65=0,$H65&lt;&gt;1),"",INDEX(Assumptions!FK:FK,$B65))</f>
        <v/>
      </c>
      <c r="EW65" s="906" t="str">
        <f>IF(OR($B65=0,$A65=0,$H65&lt;&gt;1),"",INDEX(Assumptions!FL:FL,$B65))</f>
        <v/>
      </c>
      <c r="EX65" s="906" t="str">
        <f>IF(OR($B65=0,$A65=0,$H65&lt;&gt;1),"",INDEX(Assumptions!FM:FM,$B65))</f>
        <v/>
      </c>
      <c r="EY65" s="906" t="str">
        <f>IF(OR($B65=0,$A65=0,$H65&lt;&gt;1),"",INDEX(Assumptions!FN:FN,$B65))</f>
        <v/>
      </c>
      <c r="EZ65" s="906" t="str">
        <f>IF(OR($B65=0,$A65=0,$H65&lt;&gt;1),"",INDEX(Assumptions!FO:FO,$B65))</f>
        <v/>
      </c>
      <c r="FB65" s="820" t="str">
        <f t="shared" si="18"/>
        <v/>
      </c>
      <c r="FC65" s="820" t="str">
        <f t="shared" si="19"/>
        <v/>
      </c>
      <c r="FD65" s="820" t="str">
        <f t="shared" si="20"/>
        <v/>
      </c>
      <c r="FE65" s="820" t="str">
        <f t="shared" si="21"/>
        <v/>
      </c>
      <c r="FF65" s="820" t="str">
        <f t="shared" si="22"/>
        <v/>
      </c>
    </row>
    <row r="66" spans="1:162">
      <c r="A66" s="440">
        <f>IFERROR(MATCH(C66,'Data Interface'!B:B,0),0)</f>
        <v>64</v>
      </c>
      <c r="B66" s="440">
        <f>IFERROR(MATCH(C66,Assumptions!$B:$B,0),0)</f>
        <v>27</v>
      </c>
      <c r="C66" s="441" t="s">
        <v>1285</v>
      </c>
      <c r="E66" s="441" t="s">
        <v>1219</v>
      </c>
      <c r="F66" s="440" t="s">
        <v>25</v>
      </c>
      <c r="G66" s="440" t="str">
        <f>IF(A66=0,"",INDEX('Data Interface'!$C:$C,$A66))</f>
        <v>FDIC Sweep Deposits - Non-Retail</v>
      </c>
      <c r="H66" s="440">
        <v>0</v>
      </c>
      <c r="I66" s="819">
        <f t="shared" ca="1" si="23"/>
        <v>5.9999999999999991E-2</v>
      </c>
      <c r="J66" s="819">
        <f t="shared" ca="1" si="24"/>
        <v>9.9999999999999992E-2</v>
      </c>
      <c r="K66" s="439" t="str">
        <f t="shared" ca="1" si="25"/>
        <v>6% of Current Balance</v>
      </c>
      <c r="L66" s="439" t="s">
        <v>1148</v>
      </c>
      <c r="M66" s="439" t="s">
        <v>1509</v>
      </c>
      <c r="O66" s="442">
        <f>IF(OR($A66="",$A66=0),0,INDEX('Data Interface'!D:D,$A66))</f>
        <v>0</v>
      </c>
      <c r="P66" s="442">
        <f ca="1">$O66-SUM($AS66:AS66)</f>
        <v>0</v>
      </c>
      <c r="Q66" s="442">
        <f ca="1">$O66-SUM($AS66:AT66)</f>
        <v>0</v>
      </c>
      <c r="R66" s="442">
        <f ca="1">$O66-SUM($AS66:AU66)</f>
        <v>0</v>
      </c>
      <c r="S66" s="442">
        <f ca="1">$O66-SUM($AS66:AV66)</f>
        <v>0</v>
      </c>
      <c r="T66" s="442">
        <f ca="1">$O66-SUM($AS66:AW66)</f>
        <v>0</v>
      </c>
      <c r="U66" s="442">
        <f ca="1">$O66-SUM($AS66:AX66)</f>
        <v>0</v>
      </c>
      <c r="V66" s="442">
        <f ca="1">$O66-SUM($AS66:AY66)</f>
        <v>0</v>
      </c>
      <c r="W66" s="442">
        <f ca="1">$O66-SUM($AS66:AZ66)</f>
        <v>0</v>
      </c>
      <c r="X66" s="442">
        <f ca="1">$O66-SUM($AS66:BA66)</f>
        <v>0</v>
      </c>
      <c r="Y66" s="442">
        <f ca="1">$O66-SUM($AS66:BB66)</f>
        <v>0</v>
      </c>
      <c r="Z66" s="442">
        <f ca="1">$O66-SUM($AS66:BC66)</f>
        <v>0</v>
      </c>
      <c r="AA66" s="442">
        <f ca="1">$O66-SUM($AS66:BD66)</f>
        <v>0</v>
      </c>
      <c r="AB66" s="442">
        <f ca="1">$O66-SUM($AS66:BE66)</f>
        <v>0</v>
      </c>
      <c r="AC66" s="442">
        <f ca="1">$O66-SUM($AS66:BF66)</f>
        <v>0</v>
      </c>
      <c r="AD66" s="442">
        <f ca="1">$O66-SUM($AS66:BG66)</f>
        <v>0</v>
      </c>
      <c r="AE66" s="442">
        <f ca="1">$O66-SUM($AS66:BH66)</f>
        <v>0</v>
      </c>
      <c r="AF66" s="442">
        <f ca="1">$O66-SUM($AS66:BI66)</f>
        <v>0</v>
      </c>
      <c r="AG66" s="442">
        <f ca="1">$O66-SUM($AS66:BJ66)</f>
        <v>0</v>
      </c>
      <c r="AH66" s="442">
        <f ca="1">$O66-SUM($AS66:BK66)</f>
        <v>0</v>
      </c>
      <c r="AI66" s="442">
        <f ca="1">$O66-SUM($AS66:BL66)</f>
        <v>0</v>
      </c>
      <c r="AJ66" s="442">
        <f ca="1">$O66-SUM($AS66:BM66)</f>
        <v>0</v>
      </c>
      <c r="AK66" s="442">
        <f ca="1">$O66-SUM($AS66:BN66)</f>
        <v>0</v>
      </c>
      <c r="AL66" s="442">
        <f ca="1">$O66-SUM($AS66:BO66)</f>
        <v>0</v>
      </c>
      <c r="AM66" s="442">
        <f ca="1">$O66-SUM($AS66:BP66)</f>
        <v>0</v>
      </c>
      <c r="AN66" s="442">
        <f ca="1">$O66-SUM($AS66:BQ66)</f>
        <v>0</v>
      </c>
      <c r="AO66" s="442">
        <f ca="1">$O66-SUM($AS66:BR66)</f>
        <v>0</v>
      </c>
      <c r="AP66" s="442">
        <f ca="1">$O66-SUM($AS66:BS66)</f>
        <v>0</v>
      </c>
      <c r="AR66" s="439" t="s">
        <v>1202</v>
      </c>
      <c r="AS66" s="442">
        <f ca="1">IF($H66="",0,IF($H66=1,IF('Para Adj'!$B$5 = 1,O66-($O66-SUMPRODUCT($CX66:CX66,$BU66:BU66))*(1-SUM($DZ66:DZ66)),BU66*CX66),$O66*BU66))</f>
        <v>0</v>
      </c>
      <c r="AT66" s="442">
        <f ca="1">IF($H66="",0,IF($H66=1,IF('Para Adj'!$B$5 = 1,P66-($O66-SUMPRODUCT($CX66:CY66,$BU66:BV66))*(1-SUM($DZ66:EA66)),BV66*CY66),$O66*BV66))</f>
        <v>0</v>
      </c>
      <c r="AU66" s="442">
        <f ca="1">IF($H66="",0,IF($H66=1,IF('Para Adj'!$B$5 = 1,Q66-($O66-SUMPRODUCT($CX66:CZ66,$BU66:BW66))*(1-SUM($DZ66:EB66)),BW66*CZ66),$O66*BW66))</f>
        <v>0</v>
      </c>
      <c r="AV66" s="442">
        <f ca="1">IF($H66="",0,IF($H66=1,IF('Para Adj'!$B$5 = 1,R66-($O66-SUMPRODUCT($CX66:DA66,$BU66:BX66))*(1-SUM($DZ66:EC66)),BX66*DA66),$O66*BX66))</f>
        <v>0</v>
      </c>
      <c r="AW66" s="442">
        <f ca="1">IF($H66="",0,IF($H66=1,IF('Para Adj'!$B$5 = 1,S66-($O66-SUMPRODUCT($CX66:DB66,$BU66:BY66))*(1-SUM($DZ66:ED66)),BY66*DB66),$O66*BY66))</f>
        <v>0</v>
      </c>
      <c r="AX66" s="442">
        <f ca="1">IF($H66="",0,IF($H66=1,IF('Para Adj'!$B$5 = 1,T66-($O66-SUMPRODUCT($CX66:DC66,$BU66:BZ66))*(1-SUM($DZ66:EE66)),BZ66*DC66),$O66*BZ66))</f>
        <v>0</v>
      </c>
      <c r="AY66" s="442">
        <f ca="1">IF($H66="",0,IF($H66=1,IF('Para Adj'!$B$5 = 1,U66-($O66-SUMPRODUCT($CX66:DD66,$BU66:CA66))*(1-SUM($DZ66:EF66)),CA66*DD66),$O66*CA66))</f>
        <v>0</v>
      </c>
      <c r="AZ66" s="442">
        <f ca="1">IF($H66="",0,IF($H66=1,IF('Para Adj'!$B$5 = 1,V66-($O66-SUMPRODUCT($CX66:DE66,$BU66:CB66))*(1-SUM($DZ66:EG66)),CB66*DE66),$O66*CB66))</f>
        <v>0</v>
      </c>
      <c r="BA66" s="442">
        <f ca="1">IF($H66="",0,IF($H66=1,IF('Para Adj'!$B$5 = 1,W66-($O66-SUMPRODUCT($CX66:DF66,$BU66:CC66))*(1-SUM($DZ66:EH66)),CC66*DF66),$O66*CC66))</f>
        <v>0</v>
      </c>
      <c r="BB66" s="442">
        <f ca="1">IF($H66="",0,IF($H66=1,IF('Para Adj'!$B$5 = 1,X66-($O66-SUMPRODUCT($CX66:DG66,$BU66:CD66))*(1-SUM($DZ66:EI66)),CD66*DG66),$O66*CD66))</f>
        <v>0</v>
      </c>
      <c r="BC66" s="442">
        <f ca="1">IF($H66="",0,IF($H66=1,IF('Para Adj'!$B$5 = 1,Y66-($O66-SUMPRODUCT($CX66:DH66,$BU66:CE66))*(1-SUM($DZ66:EJ66)),CE66*DH66),$O66*CE66))</f>
        <v>0</v>
      </c>
      <c r="BD66" s="442">
        <f ca="1">IF($H66="",0,IF($H66=1,IF('Para Adj'!$B$5 = 1,Z66-($O66-SUMPRODUCT($CX66:DI66,$BU66:CF66))*(1-SUM($DZ66:EK66)),CF66*DI66),$O66*CF66))</f>
        <v>0</v>
      </c>
      <c r="BE66" s="442">
        <f ca="1">IF($H66="",0,IF($H66=1,IF('Para Adj'!$B$5 = 1,AA66-($O66-SUMPRODUCT($CX66:DJ66,$BU66:CG66))*(1-SUM($DZ66:EL66)),CG66*DJ66),$O66*CG66))</f>
        <v>0</v>
      </c>
      <c r="BF66" s="442">
        <f ca="1">IF($H66="",0,IF($H66=1,IF('Para Adj'!$B$5 = 1,AB66-($O66-SUMPRODUCT($CX66:DK66,$BU66:CH66))*(1-SUM($DZ66:EM66)),CH66*DK66),$O66*CH66))</f>
        <v>0</v>
      </c>
      <c r="BG66" s="442">
        <f ca="1">IF($H66="",0,IF($H66=1,IF('Para Adj'!$B$5 = 1,AC66-($O66-SUMPRODUCT($CX66:DL66,$BU66:CI66))*(1-SUM($DZ66:EN66)),CI66*DL66),$O66*CI66))</f>
        <v>0</v>
      </c>
      <c r="BH66" s="442">
        <f ca="1">IF($H66="",0,IF($H66=1,IF('Para Adj'!$B$5 = 1,AD66-($O66-SUMPRODUCT($CX66:DM66,$BU66:CJ66))*(1-SUM($DZ66:EO66)),CJ66*DM66),$O66*CJ66))</f>
        <v>0</v>
      </c>
      <c r="BI66" s="442">
        <f ca="1">IF($H66="",0,IF($H66=1,IF('Para Adj'!$B$5 = 1,AE66-($O66-SUMPRODUCT($CX66:DN66,$BU66:CK66))*(1-SUM($DZ66:EP66)),CK66*DN66),$O66*CK66))</f>
        <v>0</v>
      </c>
      <c r="BJ66" s="442">
        <f ca="1">IF($H66="",0,IF($H66=1,IF('Para Adj'!$B$5 = 1,AF66-($O66-SUMPRODUCT($CX66:DO66,$BU66:CL66))*(1-SUM($DZ66:EQ66)),CL66*DO66),$O66*CL66))</f>
        <v>0</v>
      </c>
      <c r="BK66" s="442">
        <f ca="1">IF($H66="",0,IF($H66=1,IF('Para Adj'!$B$5 = 1,AG66-($O66-SUMPRODUCT($CX66:DP66,$BU66:CM66))*(1-SUM($DZ66:ER66)),CM66*DP66),$O66*CM66))</f>
        <v>0</v>
      </c>
      <c r="BL66" s="442">
        <f ca="1">IF($H66="",0,IF($H66=1,IF('Para Adj'!$B$5 = 1,AH66-($O66-SUMPRODUCT($CX66:DQ66,$BU66:CN66))*(1-SUM($DZ66:ES66)),CN66*DQ66),$O66*CN66))</f>
        <v>0</v>
      </c>
      <c r="BM66" s="442">
        <f ca="1">IF($H66="",0,IF($H66=1,IF('Para Adj'!$B$5 = 1,AI66-($O66-SUMPRODUCT($CX66:DR66,$BU66:CO66))*(1-SUM($DZ66:ET66)),CO66*DR66),$O66*CO66))</f>
        <v>0</v>
      </c>
      <c r="BN66" s="442">
        <f ca="1">IF($H66="",0,IF($H66=1,IF('Para Adj'!$B$5 = 1,AJ66-($O66-SUMPRODUCT($CX66:DS66,$BU66:CP66))*(1-SUM($DZ66:EU66)),CP66*DS66),$O66*CP66))</f>
        <v>0</v>
      </c>
      <c r="BO66" s="442">
        <f ca="1">IF($H66="",0,IF($H66=1,IF('Para Adj'!$B$5 = 1,AK66-($O66-SUMPRODUCT($CX66:DT66,$BU66:CQ66))*(1-SUM($DZ66:EV66)),CQ66*DT66),$O66*CQ66))</f>
        <v>0</v>
      </c>
      <c r="BP66" s="442">
        <f ca="1">IF($H66="",0,IF($H66=1,IF('Para Adj'!$B$5 = 1,AL66-($O66-SUMPRODUCT($CX66:DU66,$BU66:CR66))*(1-SUM($DZ66:EW66)),CR66*DU66),$O66*CR66))</f>
        <v>0</v>
      </c>
      <c r="BQ66" s="442">
        <f ca="1">IF($H66="",0,IF($H66=1,IF('Para Adj'!$B$5 = 1,AM66-($O66-SUMPRODUCT($CX66:DV66,$BU66:CS66))*(1-SUM($DZ66:EX66)),CS66*DV66),$O66*CS66))</f>
        <v>0</v>
      </c>
      <c r="BR66" s="442">
        <f ca="1">IF($H66="",0,IF($H66=1,IF('Para Adj'!$B$5 = 1,AN66-($O66-SUMPRODUCT($CX66:DW66,$BU66:CT66))*(1-SUM($DZ66:EY66)),CT66*DW66),$O66*CT66))</f>
        <v>0</v>
      </c>
      <c r="BS66" s="442">
        <f ca="1">IF($H66="",0,IF($H66=1,IF('Para Adj'!$B$5 = 1,AO66-($O66-SUMPRODUCT($CX66:DX66,$BU66:CU66))*(1-SUM($DZ66:EZ66)),CU66*DX66),$O66*CU66))</f>
        <v>0</v>
      </c>
      <c r="BU66" s="820">
        <f ca="1">IF($B66=0,"",INDEX(Assumptions!G:G,$B66))</f>
        <v>1.2E-2</v>
      </c>
      <c r="BV66" s="820">
        <f ca="1">IF($B66=0,"",INDEX(Assumptions!H:H,$B66))</f>
        <v>4.0000000000000001E-3</v>
      </c>
      <c r="BW66" s="820">
        <f ca="1">IF($B66=0,"",INDEX(Assumptions!I:I,$B66))</f>
        <v>4.0000000000000001E-3</v>
      </c>
      <c r="BX66" s="820">
        <f ca="1">IF($B66=0,"",INDEX(Assumptions!J:J,$B66))</f>
        <v>4.0000000000000001E-3</v>
      </c>
      <c r="BY66" s="820">
        <f ca="1">IF($B66=0,"",INDEX(Assumptions!K:K,$B66))</f>
        <v>4.0000000000000001E-3</v>
      </c>
      <c r="BZ66" s="820">
        <f ca="1">IF($B66=0,"",INDEX(Assumptions!L:L,$B66))</f>
        <v>4.0000000000000001E-3</v>
      </c>
      <c r="CA66" s="820">
        <f ca="1">IF($B66=0,"",INDEX(Assumptions!M:M,$B66))</f>
        <v>4.0000000000000001E-3</v>
      </c>
      <c r="CB66" s="820">
        <f ca="1">IF($B66=0,"",INDEX(Assumptions!N:N,$B66))</f>
        <v>3.4285714285714288E-3</v>
      </c>
      <c r="CC66" s="820">
        <f ca="1">IF($B66=0,"",INDEX(Assumptions!O:O,$B66))</f>
        <v>3.4285714285714288E-3</v>
      </c>
      <c r="CD66" s="820">
        <f ca="1">IF($B66=0,"",INDEX(Assumptions!P:P,$B66))</f>
        <v>3.4285714285714288E-3</v>
      </c>
      <c r="CE66" s="820">
        <f ca="1">IF($B66=0,"",INDEX(Assumptions!Q:Q,$B66))</f>
        <v>3.4285714285714288E-3</v>
      </c>
      <c r="CF66" s="820">
        <f ca="1">IF($B66=0,"",INDEX(Assumptions!R:R,$B66))</f>
        <v>3.4285714285714288E-3</v>
      </c>
      <c r="CG66" s="820">
        <f ca="1">IF($B66=0,"",INDEX(Assumptions!S:S,$B66))</f>
        <v>3.4285714285714288E-3</v>
      </c>
      <c r="CH66" s="820">
        <f ca="1">IF($B66=0,"",INDEX(Assumptions!T:T,$B66))</f>
        <v>3.4285714285714288E-3</v>
      </c>
      <c r="CI66" s="820">
        <f ca="1">IF($B66=0,"",INDEX(Assumptions!U:U,$B66))</f>
        <v>0.02</v>
      </c>
      <c r="CJ66" s="820">
        <f ca="1">IF($B66=0,"",INDEX(Assumptions!V:V,$B66))</f>
        <v>0.02</v>
      </c>
      <c r="CK66" s="820">
        <f ca="1">IF($B66=0,"",INDEX(Assumptions!W:W,$B66))</f>
        <v>0</v>
      </c>
      <c r="CL66" s="820">
        <f ca="1">IF($B66=0,"",INDEX(Assumptions!X:X,$B66))</f>
        <v>0</v>
      </c>
      <c r="CM66" s="820">
        <f ca="1">IF($B66=0,"",INDEX(Assumptions!Y:Y,$B66))</f>
        <v>0</v>
      </c>
      <c r="CN66" s="820">
        <f ca="1">IF($B66=0,"",INDEX(Assumptions!Z:Z,$B66))</f>
        <v>0</v>
      </c>
      <c r="CO66" s="820">
        <f ca="1">IF($B66=0,"",INDEX(Assumptions!AA:AA,$B66))</f>
        <v>0</v>
      </c>
      <c r="CP66" s="820">
        <f ca="1">IF($B66=0,"",INDEX(Assumptions!AB:AB,$B66))</f>
        <v>0</v>
      </c>
      <c r="CQ66" s="820">
        <f ca="1">IF($B66=0,"",INDEX(Assumptions!AC:AC,$B66))</f>
        <v>0</v>
      </c>
      <c r="CR66" s="820">
        <f ca="1">IF($B66=0,"",INDEX(Assumptions!AD:AD,$B66))</f>
        <v>0</v>
      </c>
      <c r="CS66" s="820">
        <f ca="1">IF($B66=0,"",INDEX(Assumptions!AE:AE,$B66))</f>
        <v>0</v>
      </c>
      <c r="CT66" s="820">
        <f ca="1">IF($B66=0,"",INDEX(Assumptions!AF:AF,$B66))</f>
        <v>0</v>
      </c>
      <c r="CU66" s="820">
        <f ca="1">IF($B66=0,"",INDEX(Assumptions!AG:AG,$B66))</f>
        <v>0</v>
      </c>
      <c r="CX66" s="442">
        <f>IF($A66="","",INDEX('Data Interface'!G:G,$A66))</f>
        <v>0</v>
      </c>
      <c r="CY66" s="442">
        <f>IF($A66="","",INDEX('Data Interface'!H:H,$A66))</f>
        <v>0</v>
      </c>
      <c r="CZ66" s="442">
        <f>IF($A66="","",INDEX('Data Interface'!I:I,$A66))</f>
        <v>0</v>
      </c>
      <c r="DA66" s="442">
        <f>IF($A66="","",INDEX('Data Interface'!J:J,$A66))</f>
        <v>0</v>
      </c>
      <c r="DB66" s="442">
        <f>IF($A66="","",INDEX('Data Interface'!K:K,$A66))</f>
        <v>0</v>
      </c>
      <c r="DC66" s="442">
        <f>IF($A66="","",INDEX('Data Interface'!L:L,$A66))</f>
        <v>0</v>
      </c>
      <c r="DD66" s="442">
        <f>IF($A66="","",INDEX('Data Interface'!M:M,$A66))</f>
        <v>0</v>
      </c>
      <c r="DE66" s="442">
        <f>IF($A66="","",INDEX('Data Interface'!N:N,$A66))</f>
        <v>0</v>
      </c>
      <c r="DF66" s="442">
        <f>IF($A66="","",INDEX('Data Interface'!O:O,$A66))</f>
        <v>0</v>
      </c>
      <c r="DG66" s="442">
        <f>IF($A66="","",INDEX('Data Interface'!P:P,$A66))</f>
        <v>0</v>
      </c>
      <c r="DH66" s="442">
        <f>IF($A66="","",INDEX('Data Interface'!Q:Q,$A66))</f>
        <v>0</v>
      </c>
      <c r="DI66" s="442">
        <f>IF($A66="","",INDEX('Data Interface'!R:R,$A66))</f>
        <v>0</v>
      </c>
      <c r="DJ66" s="442">
        <f>IF($A66="","",INDEX('Data Interface'!S:S,$A66))</f>
        <v>0</v>
      </c>
      <c r="DK66" s="442">
        <f>IF($A66="","",INDEX('Data Interface'!T:T,$A66))</f>
        <v>0</v>
      </c>
      <c r="DL66" s="442">
        <f>IF($A66="","",INDEX('Data Interface'!U:U,$A66))</f>
        <v>0</v>
      </c>
      <c r="DM66" s="442">
        <f>IF($A66="","",INDEX('Data Interface'!V:V,$A66))</f>
        <v>0</v>
      </c>
      <c r="DN66" s="442">
        <f>IF($A66="","",INDEX('Data Interface'!W:W,$A66))</f>
        <v>0</v>
      </c>
      <c r="DO66" s="442">
        <f>IF($A66="","",INDEX('Data Interface'!X:X,$A66))</f>
        <v>0</v>
      </c>
      <c r="DP66" s="442">
        <f>IF($A66="","",INDEX('Data Interface'!Y:Y,$A66))</f>
        <v>0</v>
      </c>
      <c r="DQ66" s="442">
        <f>IF($A66="","",INDEX('Data Interface'!Z:Z,$A66))</f>
        <v>0</v>
      </c>
      <c r="DR66" s="442">
        <f>IF($A66="","",INDEX('Data Interface'!AA:AA,$A66))</f>
        <v>0</v>
      </c>
      <c r="DS66" s="442">
        <f>IF($A66="","",INDEX('Data Interface'!AB:AB,$A66))</f>
        <v>0</v>
      </c>
      <c r="DT66" s="442">
        <f>IF($A66="","",INDEX('Data Interface'!AC:AC,$A66))</f>
        <v>0</v>
      </c>
      <c r="DU66" s="442">
        <f>IF($A66="","",INDEX('Data Interface'!AD:AD,$A66))</f>
        <v>0</v>
      </c>
      <c r="DV66" s="442">
        <f>IF($A66="","",INDEX('Data Interface'!AE:AE,$A66))</f>
        <v>0</v>
      </c>
      <c r="DW66" s="442">
        <f>IF($A66="","",INDEX('Data Interface'!AF:AF,$A66))</f>
        <v>0</v>
      </c>
      <c r="DX66" s="442">
        <f>IF($A66="","",INDEX('Data Interface'!AG:AG,$A66))</f>
        <v>0</v>
      </c>
      <c r="DZ66" s="906" t="str">
        <f>IF(OR($B66=0,$A66=0,$H66&lt;&gt;1),"",INDEX(Assumptions!EO:EO,$B66))</f>
        <v/>
      </c>
      <c r="EA66" s="906" t="str">
        <f>IF(OR($B66=0,$A66=0,$H66&lt;&gt;1),"",INDEX(Assumptions!EP:EP,$B66))</f>
        <v/>
      </c>
      <c r="EB66" s="906" t="str">
        <f>IF(OR($B66=0,$A66=0,$H66&lt;&gt;1),"",INDEX(Assumptions!EQ:EQ,$B66))</f>
        <v/>
      </c>
      <c r="EC66" s="906" t="str">
        <f>IF(OR($B66=0,$A66=0,$H66&lt;&gt;1),"",INDEX(Assumptions!ER:ER,$B66))</f>
        <v/>
      </c>
      <c r="ED66" s="906" t="str">
        <f>IF(OR($B66=0,$A66=0,$H66&lt;&gt;1),"",INDEX(Assumptions!ES:ES,$B66))</f>
        <v/>
      </c>
      <c r="EE66" s="906" t="str">
        <f>IF(OR($B66=0,$A66=0,$H66&lt;&gt;1),"",INDEX(Assumptions!ET:ET,$B66))</f>
        <v/>
      </c>
      <c r="EF66" s="906" t="str">
        <f>IF(OR($B66=0,$A66=0,$H66&lt;&gt;1),"",INDEX(Assumptions!EU:EU,$B66))</f>
        <v/>
      </c>
      <c r="EG66" s="906" t="str">
        <f>IF(OR($B66=0,$A66=0,$H66&lt;&gt;1),"",INDEX(Assumptions!EV:EV,$B66))</f>
        <v/>
      </c>
      <c r="EH66" s="906" t="str">
        <f>IF(OR($B66=0,$A66=0,$H66&lt;&gt;1),"",INDEX(Assumptions!EW:EW,$B66))</f>
        <v/>
      </c>
      <c r="EI66" s="906" t="str">
        <f>IF(OR($B66=0,$A66=0,$H66&lt;&gt;1),"",INDEX(Assumptions!EX:EX,$B66))</f>
        <v/>
      </c>
      <c r="EJ66" s="906" t="str">
        <f>IF(OR($B66=0,$A66=0,$H66&lt;&gt;1),"",INDEX(Assumptions!EY:EY,$B66))</f>
        <v/>
      </c>
      <c r="EK66" s="906" t="str">
        <f>IF(OR($B66=0,$A66=0,$H66&lt;&gt;1),"",INDEX(Assumptions!EZ:EZ,$B66))</f>
        <v/>
      </c>
      <c r="EL66" s="906" t="str">
        <f>IF(OR($B66=0,$A66=0,$H66&lt;&gt;1),"",INDEX(Assumptions!FA:FA,$B66))</f>
        <v/>
      </c>
      <c r="EM66" s="906" t="str">
        <f>IF(OR($B66=0,$A66=0,$H66&lt;&gt;1),"",INDEX(Assumptions!FB:FB,$B66))</f>
        <v/>
      </c>
      <c r="EN66" s="906" t="str">
        <f>IF(OR($B66=0,$A66=0,$H66&lt;&gt;1),"",INDEX(Assumptions!FC:FC,$B66))</f>
        <v/>
      </c>
      <c r="EO66" s="906" t="str">
        <f>IF(OR($B66=0,$A66=0,$H66&lt;&gt;1),"",INDEX(Assumptions!FD:FD,$B66))</f>
        <v/>
      </c>
      <c r="EP66" s="906" t="str">
        <f>IF(OR($B66=0,$A66=0,$H66&lt;&gt;1),"",INDEX(Assumptions!FE:FE,$B66))</f>
        <v/>
      </c>
      <c r="EQ66" s="906" t="str">
        <f>IF(OR($B66=0,$A66=0,$H66&lt;&gt;1),"",INDEX(Assumptions!FF:FF,$B66))</f>
        <v/>
      </c>
      <c r="ER66" s="906" t="str">
        <f>IF(OR($B66=0,$A66=0,$H66&lt;&gt;1),"",INDEX(Assumptions!FG:FG,$B66))</f>
        <v/>
      </c>
      <c r="ES66" s="906" t="str">
        <f>IF(OR($B66=0,$A66=0,$H66&lt;&gt;1),"",INDEX(Assumptions!FH:FH,$B66))</f>
        <v/>
      </c>
      <c r="ET66" s="906" t="str">
        <f>IF(OR($B66=0,$A66=0,$H66&lt;&gt;1),"",INDEX(Assumptions!FI:FI,$B66))</f>
        <v/>
      </c>
      <c r="EU66" s="906" t="str">
        <f>IF(OR($B66=0,$A66=0,$H66&lt;&gt;1),"",INDEX(Assumptions!FJ:FJ,$B66))</f>
        <v/>
      </c>
      <c r="EV66" s="906" t="str">
        <f>IF(OR($B66=0,$A66=0,$H66&lt;&gt;1),"",INDEX(Assumptions!FK:FK,$B66))</f>
        <v/>
      </c>
      <c r="EW66" s="906" t="str">
        <f>IF(OR($B66=0,$A66=0,$H66&lt;&gt;1),"",INDEX(Assumptions!FL:FL,$B66))</f>
        <v/>
      </c>
      <c r="EX66" s="906" t="str">
        <f>IF(OR($B66=0,$A66=0,$H66&lt;&gt;1),"",INDEX(Assumptions!FM:FM,$B66))</f>
        <v/>
      </c>
      <c r="EY66" s="906" t="str">
        <f>IF(OR($B66=0,$A66=0,$H66&lt;&gt;1),"",INDEX(Assumptions!FN:FN,$B66))</f>
        <v/>
      </c>
      <c r="EZ66" s="906" t="str">
        <f>IF(OR($B66=0,$A66=0,$H66&lt;&gt;1),"",INDEX(Assumptions!FO:FO,$B66))</f>
        <v/>
      </c>
      <c r="FB66" s="820" t="str">
        <f t="shared" si="18"/>
        <v/>
      </c>
      <c r="FC66" s="820" t="str">
        <f t="shared" si="19"/>
        <v/>
      </c>
      <c r="FD66" s="820" t="str">
        <f t="shared" si="20"/>
        <v/>
      </c>
      <c r="FE66" s="820" t="str">
        <f t="shared" si="21"/>
        <v/>
      </c>
      <c r="FF66" s="820" t="str">
        <f t="shared" si="22"/>
        <v/>
      </c>
    </row>
    <row r="67" spans="1:162">
      <c r="A67" s="440">
        <f>IFERROR(MATCH(C67,'Data Interface'!B:B,0),0)</f>
        <v>65</v>
      </c>
      <c r="B67" s="440">
        <f>IFERROR(MATCH(C67,Assumptions!$B:$B,0),0)</f>
        <v>28</v>
      </c>
      <c r="C67" s="441">
        <v>10.199999999999999</v>
      </c>
      <c r="E67" s="441" t="s">
        <v>1219</v>
      </c>
      <c r="F67" s="440" t="s">
        <v>25</v>
      </c>
      <c r="G67" s="440" t="str">
        <f>IF(A67=0,"",INDEX('Data Interface'!$C:$C,$A67))</f>
        <v>Brokered CDs</v>
      </c>
      <c r="H67" s="440">
        <v>1</v>
      </c>
      <c r="I67" s="819">
        <f t="shared" ca="1" si="23"/>
        <v>1</v>
      </c>
      <c r="J67" s="819">
        <f t="shared" ca="1" si="24"/>
        <v>1</v>
      </c>
      <c r="K67" s="439" t="str">
        <f t="shared" ca="1" si="25"/>
        <v>100% of Contractual Maturity</v>
      </c>
      <c r="L67" s="439" t="s">
        <v>1148</v>
      </c>
      <c r="M67" s="439" t="s">
        <v>1511</v>
      </c>
      <c r="O67" s="442">
        <f>IF(OR($A67="",$A67=0),0,INDEX('Data Interface'!D:D,$A67))</f>
        <v>9604.8459999999995</v>
      </c>
      <c r="P67" s="442">
        <f ca="1">$O67-SUM($AS67:AS67)</f>
        <v>9585.6363079999992</v>
      </c>
      <c r="Q67" s="442">
        <f ca="1">$O67-SUM($AS67:AT67)</f>
        <v>9579.2330773333324</v>
      </c>
      <c r="R67" s="442">
        <f ca="1">$O67-SUM($AS67:AU67)</f>
        <v>9572.8298466666674</v>
      </c>
      <c r="S67" s="442">
        <f ca="1">$O67-SUM($AS67:AV67)</f>
        <v>9566.4266159999988</v>
      </c>
      <c r="T67" s="442">
        <f ca="1">$O67-SUM($AS67:AW67)</f>
        <v>9560.023385333332</v>
      </c>
      <c r="U67" s="442">
        <f ca="1">$O67-SUM($AS67:AX67)</f>
        <v>9553.6201546666671</v>
      </c>
      <c r="V67" s="442">
        <f ca="1">$O67-SUM($AS67:AY67)</f>
        <v>9547.2169240000003</v>
      </c>
      <c r="W67" s="442">
        <f ca="1">$O67-SUM($AS67:AZ67)</f>
        <v>9541.728440571429</v>
      </c>
      <c r="X67" s="442">
        <f ca="1">$O67-SUM($AS67:BA67)</f>
        <v>9536.2399571428577</v>
      </c>
      <c r="Y67" s="442">
        <f ca="1">$O67-SUM($AS67:BB67)</f>
        <v>9530.7514737142865</v>
      </c>
      <c r="Z67" s="442">
        <f ca="1">$O67-SUM($AS67:BC67)</f>
        <v>9525.2629902857134</v>
      </c>
      <c r="AA67" s="442">
        <f ca="1">$O67-SUM($AS67:BD67)</f>
        <v>9519.7745068571421</v>
      </c>
      <c r="AB67" s="442">
        <f ca="1">$O67-SUM($AS67:BE67)</f>
        <v>9514.2860234285708</v>
      </c>
      <c r="AC67" s="442">
        <f ca="1">$O67-SUM($AS67:BF67)</f>
        <v>9508.7975399999996</v>
      </c>
      <c r="AD67" s="442">
        <f ca="1">$O67-SUM($AS67:BG67)</f>
        <v>7636.5184499999996</v>
      </c>
      <c r="AE67" s="442">
        <f ca="1">$O67-SUM($AS67:BH67)</f>
        <v>7109.9493299999995</v>
      </c>
      <c r="AF67" s="442">
        <f ca="1">$O67-SUM($AS67:BI67)</f>
        <v>5363.9100899999994</v>
      </c>
      <c r="AG67" s="442">
        <f ca="1">$O67-SUM($AS67:BJ67)</f>
        <v>4047.3377999999993</v>
      </c>
      <c r="AH67" s="442">
        <f ca="1">$O67-SUM($AS67:BK67)</f>
        <v>2976.9319799999994</v>
      </c>
      <c r="AI67" s="442">
        <f ca="1">$O67-SUM($AS67:BL67)</f>
        <v>2522.2596299999987</v>
      </c>
      <c r="AJ67" s="442">
        <f ca="1">$O67-SUM($AS67:BM67)</f>
        <v>1671.7506299999986</v>
      </c>
      <c r="AK67" s="442">
        <f ca="1">$O67-SUM($AS67:BN67)</f>
        <v>1429.2501299999985</v>
      </c>
      <c r="AL67" s="442">
        <f ca="1">$O67-SUM($AS67:BO67)</f>
        <v>1253.9349899999997</v>
      </c>
      <c r="AM67" s="442">
        <f ca="1">$O67-SUM($AS67:BP67)</f>
        <v>940.42178999999851</v>
      </c>
      <c r="AN67" s="442">
        <f ca="1">$O67-SUM($AS67:BQ67)</f>
        <v>820.78820999999698</v>
      </c>
      <c r="AO67" s="442">
        <f ca="1">$O67-SUM($AS67:BR67)</f>
        <v>488.91941999999835</v>
      </c>
      <c r="AP67" s="442">
        <f ca="1">$O67-SUM($AS67:BS67)</f>
        <v>0</v>
      </c>
      <c r="AR67" s="439" t="s">
        <v>1202</v>
      </c>
      <c r="AS67" s="442">
        <f ca="1">IF($H67="",0,IF($H67=1,IF('Para Adj'!$B$5 = 1,O67-($O67-SUMPRODUCT($CX67:CX67,$BU67:BU67))*(1-SUM($DZ67:DZ67)),BU67*CX67),$O67*BU67))</f>
        <v>19.209692000000359</v>
      </c>
      <c r="AT67" s="442">
        <f ca="1">IF($H67="",0,IF($H67=1,IF('Para Adj'!$B$5 = 1,P67-($O67-SUMPRODUCT($CX67:CY67,$BU67:BV67))*(1-SUM($DZ67:EA67)),BV67*CY67),$O67*BV67))</f>
        <v>6.4032306666667864</v>
      </c>
      <c r="AU67" s="442">
        <f ca="1">IF($H67="",0,IF($H67=1,IF('Para Adj'!$B$5 = 1,Q67-($O67-SUMPRODUCT($CX67:CZ67,$BU67:BW67))*(1-SUM($DZ67:EB67)),BW67*CZ67),$O67*BW67))</f>
        <v>6.4032306666649674</v>
      </c>
      <c r="AV67" s="442">
        <f ca="1">IF($H67="",0,IF($H67=1,IF('Para Adj'!$B$5 = 1,R67-($O67-SUMPRODUCT($CX67:DA67,$BU67:BX67))*(1-SUM($DZ67:EC67)),BX67*DA67),$O67*BX67))</f>
        <v>6.4032306666686054</v>
      </c>
      <c r="AW67" s="442">
        <f ca="1">IF($H67="",0,IF($H67=1,IF('Para Adj'!$B$5 = 1,S67-($O67-SUMPRODUCT($CX67:DB67,$BU67:BY67))*(1-SUM($DZ67:ED67)),BY67*DB67),$O67*BY67))</f>
        <v>6.4032306666667864</v>
      </c>
      <c r="AX67" s="442">
        <f ca="1">IF($H67="",0,IF($H67=1,IF('Para Adj'!$B$5 = 1,T67-($O67-SUMPRODUCT($CX67:DC67,$BU67:BZ67))*(1-SUM($DZ67:EE67)),BZ67*DC67),$O67*BZ67))</f>
        <v>6.4032306666649674</v>
      </c>
      <c r="AY67" s="442">
        <f ca="1">IF($H67="",0,IF($H67=1,IF('Para Adj'!$B$5 = 1,U67-($O67-SUMPRODUCT($CX67:DD67,$BU67:CA67))*(1-SUM($DZ67:EF67)),CA67*DD67),$O67*CA67))</f>
        <v>6.4032306666667864</v>
      </c>
      <c r="AZ67" s="442">
        <f ca="1">IF($H67="",0,IF($H67=1,IF('Para Adj'!$B$5 = 1,V67-($O67-SUMPRODUCT($CX67:DE67,$BU67:CB67))*(1-SUM($DZ67:EG67)),CB67*DE67),$O67*CB67))</f>
        <v>5.4884834285712714</v>
      </c>
      <c r="BA67" s="442">
        <f ca="1">IF($H67="",0,IF($H67=1,IF('Para Adj'!$B$5 = 1,W67-($O67-SUMPRODUCT($CX67:DF67,$BU67:CC67))*(1-SUM($DZ67:EH67)),CC67*DF67),$O67*CC67))</f>
        <v>5.4884834285712714</v>
      </c>
      <c r="BB67" s="442">
        <f ca="1">IF($H67="",0,IF($H67=1,IF('Para Adj'!$B$5 = 1,X67-($O67-SUMPRODUCT($CX67:DG67,$BU67:CD67))*(1-SUM($DZ67:EI67)),CD67*DG67),$O67*CD67))</f>
        <v>5.4884834285712714</v>
      </c>
      <c r="BC67" s="442">
        <f ca="1">IF($H67="",0,IF($H67=1,IF('Para Adj'!$B$5 = 1,Y67-($O67-SUMPRODUCT($CX67:DH67,$BU67:CE67))*(1-SUM($DZ67:EJ67)),CE67*DH67),$O67*CE67))</f>
        <v>5.4884834285730904</v>
      </c>
      <c r="BD67" s="442">
        <f ca="1">IF($H67="",0,IF($H67=1,IF('Para Adj'!$B$5 = 1,Z67-($O67-SUMPRODUCT($CX67:DI67,$BU67:CF67))*(1-SUM($DZ67:EK67)),CF67*DI67),$O67*CF67))</f>
        <v>5.4884834285712714</v>
      </c>
      <c r="BE67" s="442">
        <f ca="1">IF($H67="",0,IF($H67=1,IF('Para Adj'!$B$5 = 1,AA67-($O67-SUMPRODUCT($CX67:DJ67,$BU67:CG67))*(1-SUM($DZ67:EL67)),CG67*DJ67),$O67*CG67))</f>
        <v>5.4884834285712714</v>
      </c>
      <c r="BF67" s="442">
        <f ca="1">IF($H67="",0,IF($H67=1,IF('Para Adj'!$B$5 = 1,AB67-($O67-SUMPRODUCT($CX67:DK67,$BU67:CH67))*(1-SUM($DZ67:EM67)),CH67*DK67),$O67*CH67))</f>
        <v>5.4884834285712714</v>
      </c>
      <c r="BG67" s="442">
        <f ca="1">IF($H67="",0,IF($H67=1,IF('Para Adj'!$B$5 = 1,AC67-($O67-SUMPRODUCT($CX67:DL67,$BU67:CI67))*(1-SUM($DZ67:EN67)),CI67*DL67),$O67*CI67))</f>
        <v>1872.27909</v>
      </c>
      <c r="BH67" s="442">
        <f ca="1">IF($H67="",0,IF($H67=1,IF('Para Adj'!$B$5 = 1,AD67-($O67-SUMPRODUCT($CX67:DM67,$BU67:CJ67))*(1-SUM($DZ67:EO67)),CJ67*DM67),$O67*CJ67))</f>
        <v>526.56912000000011</v>
      </c>
      <c r="BI67" s="442">
        <f ca="1">IF($H67="",0,IF($H67=1,IF('Para Adj'!$B$5 = 1,AE67-($O67-SUMPRODUCT($CX67:DN67,$BU67:CK67))*(1-SUM($DZ67:EP67)),CK67*DN67),$O67*CK67))</f>
        <v>1746.0392400000001</v>
      </c>
      <c r="BJ67" s="442">
        <f ca="1">IF($H67="",0,IF($H67=1,IF('Para Adj'!$B$5 = 1,AF67-($O67-SUMPRODUCT($CX67:DO67,$BU67:CL67))*(1-SUM($DZ67:EQ67)),CL67*DO67),$O67*CL67))</f>
        <v>1316.5722900000001</v>
      </c>
      <c r="BK67" s="442">
        <f ca="1">IF($H67="",0,IF($H67=1,IF('Para Adj'!$B$5 = 1,AG67-($O67-SUMPRODUCT($CX67:DP67,$BU67:CM67))*(1-SUM($DZ67:ER67)),CM67*DP67),$O67*CM67))</f>
        <v>1070.4058199999999</v>
      </c>
      <c r="BL67" s="442">
        <f ca="1">IF($H67="",0,IF($H67=1,IF('Para Adj'!$B$5 = 1,AH67-($O67-SUMPRODUCT($CX67:DQ67,$BU67:CN67))*(1-SUM($DZ67:ES67)),CN67*DQ67),$O67*CN67))</f>
        <v>454.67235000000028</v>
      </c>
      <c r="BM67" s="442">
        <f ca="1">IF($H67="",0,IF($H67=1,IF('Para Adj'!$B$5 = 1,AI67-($O67-SUMPRODUCT($CX67:DR67,$BU67:CO67))*(1-SUM($DZ67:ET67)),CO67*DR67),$O67*CO67))</f>
        <v>850.50899999999979</v>
      </c>
      <c r="BN67" s="442">
        <f ca="1">IF($H67="",0,IF($H67=1,IF('Para Adj'!$B$5 = 1,AJ67-($O67-SUMPRODUCT($CX67:DS67,$BU67:CP67))*(1-SUM($DZ67:EU67)),CP67*DS67),$O67*CP67))</f>
        <v>242.50049999999965</v>
      </c>
      <c r="BO67" s="442">
        <f ca="1">IF($H67="",0,IF($H67=1,IF('Para Adj'!$B$5 = 1,AK67-($O67-SUMPRODUCT($CX67:DT67,$BU67:CQ67))*(1-SUM($DZ67:EV67)),CQ67*DT67),$O67*CQ67))</f>
        <v>175.3151399999997</v>
      </c>
      <c r="BP67" s="442">
        <f ca="1">IF($H67="",0,IF($H67=1,IF('Para Adj'!$B$5 = 1,AL67-($O67-SUMPRODUCT($CX67:DU67,$BU67:CR67))*(1-SUM($DZ67:EW67)),CR67*DU67),$O67*CR67))</f>
        <v>313.51320000000123</v>
      </c>
      <c r="BQ67" s="442">
        <f ca="1">IF($H67="",0,IF($H67=1,IF('Para Adj'!$B$5 = 1,AM67-($O67-SUMPRODUCT($CX67:DV67,$BU67:CS67))*(1-SUM($DZ67:EX67)),CS67*DV67),$O67*CS67))</f>
        <v>119.63358000000062</v>
      </c>
      <c r="BR67" s="442">
        <f ca="1">IF($H67="",0,IF($H67=1,IF('Para Adj'!$B$5 = 1,AN67-($O67-SUMPRODUCT($CX67:DW67,$BU67:CT67))*(1-SUM($DZ67:EY67)),CT67*DW67),$O67*CT67))</f>
        <v>331.86878999999863</v>
      </c>
      <c r="BS67" s="442">
        <f ca="1">IF($H67="",0,IF($H67=1,IF('Para Adj'!$B$5 = 1,AO67-($O67-SUMPRODUCT($CX67:DX67,$BU67:CU67))*(1-SUM($DZ67:EZ67)),CU67*DX67),$O67*CU67))</f>
        <v>488.91942000000017</v>
      </c>
      <c r="BU67" s="820">
        <f ca="1">IF($B67=0,"",INDEX(Assumptions!G:G,$B67))</f>
        <v>1</v>
      </c>
      <c r="BV67" s="820">
        <f ca="1">IF($B67=0,"",INDEX(Assumptions!H:H,$B67))</f>
        <v>1</v>
      </c>
      <c r="BW67" s="820">
        <f ca="1">IF($B67=0,"",INDEX(Assumptions!I:I,$B67))</f>
        <v>1</v>
      </c>
      <c r="BX67" s="820">
        <f ca="1">IF($B67=0,"",INDEX(Assumptions!J:J,$B67))</f>
        <v>1</v>
      </c>
      <c r="BY67" s="820">
        <f ca="1">IF($B67=0,"",INDEX(Assumptions!K:K,$B67))</f>
        <v>1</v>
      </c>
      <c r="BZ67" s="820">
        <f ca="1">IF($B67=0,"",INDEX(Assumptions!L:L,$B67))</f>
        <v>1</v>
      </c>
      <c r="CA67" s="820">
        <f ca="1">IF($B67=0,"",INDEX(Assumptions!M:M,$B67))</f>
        <v>1</v>
      </c>
      <c r="CB67" s="820">
        <f ca="1">IF($B67=0,"",INDEX(Assumptions!N:N,$B67))</f>
        <v>1</v>
      </c>
      <c r="CC67" s="820">
        <f ca="1">IF($B67=0,"",INDEX(Assumptions!O:O,$B67))</f>
        <v>1</v>
      </c>
      <c r="CD67" s="820">
        <f ca="1">IF($B67=0,"",INDEX(Assumptions!P:P,$B67))</f>
        <v>1</v>
      </c>
      <c r="CE67" s="820">
        <f ca="1">IF($B67=0,"",INDEX(Assumptions!Q:Q,$B67))</f>
        <v>1</v>
      </c>
      <c r="CF67" s="820">
        <f ca="1">IF($B67=0,"",INDEX(Assumptions!R:R,$B67))</f>
        <v>1</v>
      </c>
      <c r="CG67" s="820">
        <f ca="1">IF($B67=0,"",INDEX(Assumptions!S:S,$B67))</f>
        <v>1</v>
      </c>
      <c r="CH67" s="820">
        <f ca="1">IF($B67=0,"",INDEX(Assumptions!T:T,$B67))</f>
        <v>1</v>
      </c>
      <c r="CI67" s="820">
        <f ca="1">IF($B67=0,"",INDEX(Assumptions!U:U,$B67))</f>
        <v>1</v>
      </c>
      <c r="CJ67" s="820">
        <f ca="1">IF($B67=0,"",INDEX(Assumptions!V:V,$B67))</f>
        <v>1</v>
      </c>
      <c r="CK67" s="820">
        <f ca="1">IF($B67=0,"",INDEX(Assumptions!W:W,$B67))</f>
        <v>1</v>
      </c>
      <c r="CL67" s="820">
        <f ca="1">IF($B67=0,"",INDEX(Assumptions!X:X,$B67))</f>
        <v>1</v>
      </c>
      <c r="CM67" s="820">
        <f ca="1">IF($B67=0,"",INDEX(Assumptions!Y:Y,$B67))</f>
        <v>1</v>
      </c>
      <c r="CN67" s="820">
        <f ca="1">IF($B67=0,"",INDEX(Assumptions!Z:Z,$B67))</f>
        <v>1</v>
      </c>
      <c r="CO67" s="820">
        <f ca="1">IF($B67=0,"",INDEX(Assumptions!AA:AA,$B67))</f>
        <v>1</v>
      </c>
      <c r="CP67" s="820">
        <f ca="1">IF($B67=0,"",INDEX(Assumptions!AB:AB,$B67))</f>
        <v>1</v>
      </c>
      <c r="CQ67" s="820">
        <f ca="1">IF($B67=0,"",INDEX(Assumptions!AC:AC,$B67))</f>
        <v>1</v>
      </c>
      <c r="CR67" s="820">
        <f ca="1">IF($B67=0,"",INDEX(Assumptions!AD:AD,$B67))</f>
        <v>1</v>
      </c>
      <c r="CS67" s="820">
        <f ca="1">IF($B67=0,"",INDEX(Assumptions!AE:AE,$B67))</f>
        <v>1</v>
      </c>
      <c r="CT67" s="820">
        <f ca="1">IF($B67=0,"",INDEX(Assumptions!AF:AF,$B67))</f>
        <v>1</v>
      </c>
      <c r="CU67" s="820">
        <f ca="1">IF($B67=0,"",INDEX(Assumptions!AG:AG,$B67))</f>
        <v>1</v>
      </c>
      <c r="CX67" s="442">
        <f>IF($A67="","",INDEX('Data Interface'!G:G,$A67))</f>
        <v>0</v>
      </c>
      <c r="CY67" s="442">
        <f>IF($A67="","",INDEX('Data Interface'!H:H,$A67))</f>
        <v>0</v>
      </c>
      <c r="CZ67" s="442">
        <f>IF($A67="","",INDEX('Data Interface'!I:I,$A67))</f>
        <v>0</v>
      </c>
      <c r="DA67" s="442">
        <f>IF($A67="","",INDEX('Data Interface'!J:J,$A67))</f>
        <v>0</v>
      </c>
      <c r="DB67" s="442">
        <f>IF($A67="","",INDEX('Data Interface'!K:K,$A67))</f>
        <v>0</v>
      </c>
      <c r="DC67" s="442">
        <f>IF($A67="","",INDEX('Data Interface'!L:L,$A67))</f>
        <v>0</v>
      </c>
      <c r="DD67" s="442">
        <f>IF($A67="","",INDEX('Data Interface'!M:M,$A67))</f>
        <v>0</v>
      </c>
      <c r="DE67" s="442">
        <f>IF($A67="","",INDEX('Data Interface'!N:N,$A67))</f>
        <v>0</v>
      </c>
      <c r="DF67" s="442">
        <f>IF($A67="","",INDEX('Data Interface'!O:O,$A67))</f>
        <v>0</v>
      </c>
      <c r="DG67" s="442">
        <f>IF($A67="","",INDEX('Data Interface'!P:P,$A67))</f>
        <v>0</v>
      </c>
      <c r="DH67" s="442">
        <f>IF($A67="","",INDEX('Data Interface'!Q:Q,$A67))</f>
        <v>0</v>
      </c>
      <c r="DI67" s="442">
        <f>IF($A67="","",INDEX('Data Interface'!R:R,$A67))</f>
        <v>0</v>
      </c>
      <c r="DJ67" s="442">
        <f>IF($A67="","",INDEX('Data Interface'!S:S,$A67))</f>
        <v>0</v>
      </c>
      <c r="DK67" s="442">
        <f>IF($A67="","",INDEX('Data Interface'!T:T,$A67))</f>
        <v>0</v>
      </c>
      <c r="DL67" s="442">
        <f>IF($A67="","",INDEX('Data Interface'!U:U,$A67))</f>
        <v>1891.191</v>
      </c>
      <c r="DM67" s="442">
        <f>IF($A67="","",INDEX('Data Interface'!V:V,$A67))</f>
        <v>531.88800000000003</v>
      </c>
      <c r="DN67" s="442">
        <f>IF($A67="","",INDEX('Data Interface'!W:W,$A67))</f>
        <v>1763.6759999999999</v>
      </c>
      <c r="DO67" s="442">
        <f>IF($A67="","",INDEX('Data Interface'!X:X,$A67))</f>
        <v>1329.8710000000001</v>
      </c>
      <c r="DP67" s="442">
        <f>IF($A67="","",INDEX('Data Interface'!Y:Y,$A67))</f>
        <v>1081.2180000000001</v>
      </c>
      <c r="DQ67" s="442">
        <f>IF($A67="","",INDEX('Data Interface'!Z:Z,$A67))</f>
        <v>459.26499999999999</v>
      </c>
      <c r="DR67" s="442">
        <f>IF($A67="","",INDEX('Data Interface'!AA:AA,$A67))</f>
        <v>859.1</v>
      </c>
      <c r="DS67" s="442">
        <f>IF($A67="","",INDEX('Data Interface'!AB:AB,$A67))</f>
        <v>244.95</v>
      </c>
      <c r="DT67" s="442">
        <f>IF($A67="","",INDEX('Data Interface'!AC:AC,$A67))</f>
        <v>177.08600000000001</v>
      </c>
      <c r="DU67" s="442">
        <f>IF($A67="","",INDEX('Data Interface'!AD:AD,$A67))</f>
        <v>316.68</v>
      </c>
      <c r="DV67" s="442">
        <f>IF($A67="","",INDEX('Data Interface'!AE:AE,$A67))</f>
        <v>120.842</v>
      </c>
      <c r="DW67" s="442">
        <f>IF($A67="","",INDEX('Data Interface'!AF:AF,$A67))</f>
        <v>335.221</v>
      </c>
      <c r="DX67" s="442">
        <f>IF($A67="","",INDEX('Data Interface'!AG:AG,$A67))</f>
        <v>493.858</v>
      </c>
      <c r="DZ67" s="906">
        <f ca="1">IF(OR($B67=0,$A67=0,$H67&lt;&gt;1),"",INDEX(Assumptions!EO:EO,$B67))</f>
        <v>2.0000000000000005E-3</v>
      </c>
      <c r="EA67" s="906">
        <f ca="1">IF(OR($B67=0,$A67=0,$H67&lt;&gt;1),"",INDEX(Assumptions!EP:EP,$B67))</f>
        <v>6.6666666666666675E-4</v>
      </c>
      <c r="EB67" s="906">
        <f ca="1">IF(OR($B67=0,$A67=0,$H67&lt;&gt;1),"",INDEX(Assumptions!EQ:EQ,$B67))</f>
        <v>6.6666666666666675E-4</v>
      </c>
      <c r="EC67" s="906">
        <f ca="1">IF(OR($B67=0,$A67=0,$H67&lt;&gt;1),"",INDEX(Assumptions!ER:ER,$B67))</f>
        <v>6.6666666666666675E-4</v>
      </c>
      <c r="ED67" s="906">
        <f ca="1">IF(OR($B67=0,$A67=0,$H67&lt;&gt;1),"",INDEX(Assumptions!ES:ES,$B67))</f>
        <v>6.6666666666666675E-4</v>
      </c>
      <c r="EE67" s="906">
        <f ca="1">IF(OR($B67=0,$A67=0,$H67&lt;&gt;1),"",INDEX(Assumptions!ET:ET,$B67))</f>
        <v>6.6666666666666675E-4</v>
      </c>
      <c r="EF67" s="906">
        <f ca="1">IF(OR($B67=0,$A67=0,$H67&lt;&gt;1),"",INDEX(Assumptions!EU:EU,$B67))</f>
        <v>6.6666666666666675E-4</v>
      </c>
      <c r="EG67" s="906">
        <f ca="1">IF(OR($B67=0,$A67=0,$H67&lt;&gt;1),"",INDEX(Assumptions!EV:EV,$B67))</f>
        <v>5.7142857142857158E-4</v>
      </c>
      <c r="EH67" s="906">
        <f ca="1">IF(OR($B67=0,$A67=0,$H67&lt;&gt;1),"",INDEX(Assumptions!EW:EW,$B67))</f>
        <v>5.7142857142857158E-4</v>
      </c>
      <c r="EI67" s="906">
        <f ca="1">IF(OR($B67=0,$A67=0,$H67&lt;&gt;1),"",INDEX(Assumptions!EX:EX,$B67))</f>
        <v>5.7142857142857158E-4</v>
      </c>
      <c r="EJ67" s="906">
        <f ca="1">IF(OR($B67=0,$A67=0,$H67&lt;&gt;1),"",INDEX(Assumptions!EY:EY,$B67))</f>
        <v>5.7142857142857158E-4</v>
      </c>
      <c r="EK67" s="906">
        <f ca="1">IF(OR($B67=0,$A67=0,$H67&lt;&gt;1),"",INDEX(Assumptions!EZ:EZ,$B67))</f>
        <v>5.7142857142857158E-4</v>
      </c>
      <c r="EL67" s="906">
        <f ca="1">IF(OR($B67=0,$A67=0,$H67&lt;&gt;1),"",INDEX(Assumptions!FA:FA,$B67))</f>
        <v>5.7142857142857158E-4</v>
      </c>
      <c r="EM67" s="906">
        <f ca="1">IF(OR($B67=0,$A67=0,$H67&lt;&gt;1),"",INDEX(Assumptions!FB:FB,$B67))</f>
        <v>5.7142857142857158E-4</v>
      </c>
      <c r="EN67" s="906">
        <f ca="1">IF(OR($B67=0,$A67=0,$H67&lt;&gt;1),"",INDEX(Assumptions!FC:FC,$B67))</f>
        <v>0</v>
      </c>
      <c r="EO67" s="906">
        <f ca="1">IF(OR($B67=0,$A67=0,$H67&lt;&gt;1),"",INDEX(Assumptions!FD:FD,$B67))</f>
        <v>0</v>
      </c>
      <c r="EP67" s="906">
        <f ca="1">IF(OR($B67=0,$A67=0,$H67&lt;&gt;1),"",INDEX(Assumptions!FE:FE,$B67))</f>
        <v>0</v>
      </c>
      <c r="EQ67" s="906">
        <f ca="1">IF(OR($B67=0,$A67=0,$H67&lt;&gt;1),"",INDEX(Assumptions!FF:FF,$B67))</f>
        <v>0</v>
      </c>
      <c r="ER67" s="906">
        <f ca="1">IF(OR($B67=0,$A67=0,$H67&lt;&gt;1),"",INDEX(Assumptions!FG:FG,$B67))</f>
        <v>0</v>
      </c>
      <c r="ES67" s="906">
        <f ca="1">IF(OR($B67=0,$A67=0,$H67&lt;&gt;1),"",INDEX(Assumptions!FH:FH,$B67))</f>
        <v>0</v>
      </c>
      <c r="ET67" s="906">
        <f ca="1">IF(OR($B67=0,$A67=0,$H67&lt;&gt;1),"",INDEX(Assumptions!FI:FI,$B67))</f>
        <v>0</v>
      </c>
      <c r="EU67" s="906">
        <f ca="1">IF(OR($B67=0,$A67=0,$H67&lt;&gt;1),"",INDEX(Assumptions!FJ:FJ,$B67))</f>
        <v>0</v>
      </c>
      <c r="EV67" s="906">
        <f ca="1">IF(OR($B67=0,$A67=0,$H67&lt;&gt;1),"",INDEX(Assumptions!FK:FK,$B67))</f>
        <v>0</v>
      </c>
      <c r="EW67" s="906">
        <f ca="1">IF(OR($B67=0,$A67=0,$H67&lt;&gt;1),"",INDEX(Assumptions!FL:FL,$B67))</f>
        <v>0</v>
      </c>
      <c r="EX67" s="906">
        <f ca="1">IF(OR($B67=0,$A67=0,$H67&lt;&gt;1),"",INDEX(Assumptions!FM:FM,$B67))</f>
        <v>0</v>
      </c>
      <c r="EY67" s="906">
        <f ca="1">IF(OR($B67=0,$A67=0,$H67&lt;&gt;1),"",INDEX(Assumptions!FN:FN,$B67))</f>
        <v>0</v>
      </c>
      <c r="EZ67" s="906">
        <f ca="1">IF(OR($B67=0,$A67=0,$H67&lt;&gt;1),"",INDEX(Assumptions!FO:FO,$B67))</f>
        <v>0</v>
      </c>
      <c r="FB67" s="820">
        <f t="shared" ca="1" si="18"/>
        <v>96.048459999999977</v>
      </c>
      <c r="FC67" s="820">
        <f t="shared" ca="1" si="19"/>
        <v>1.0000000000000004E-2</v>
      </c>
      <c r="FD67" s="820">
        <f t="shared" ca="1" si="20"/>
        <v>96.048460000000034</v>
      </c>
      <c r="FE67" s="820">
        <f t="shared" ca="1" si="21"/>
        <v>0</v>
      </c>
      <c r="FF67" s="820">
        <f t="shared" ca="1" si="22"/>
        <v>-5.6843418860808015E-14</v>
      </c>
    </row>
    <row r="68" spans="1:162">
      <c r="A68" s="440">
        <f>IFERROR(MATCH(C68,'Data Interface'!B:B,0),0)</f>
        <v>66</v>
      </c>
      <c r="B68" s="440">
        <f>IFERROR(MATCH(C68,Assumptions!$B:$B,0),0)</f>
        <v>29</v>
      </c>
      <c r="C68" s="441">
        <v>10.3</v>
      </c>
      <c r="E68" s="441" t="s">
        <v>1219</v>
      </c>
      <c r="F68" s="440" t="s">
        <v>25</v>
      </c>
      <c r="G68" s="440" t="str">
        <f>IF(A68=0,"",INDEX('Data Interface'!$C:$C,$A68))</f>
        <v>Yankee CDs</v>
      </c>
      <c r="H68" s="440">
        <v>1</v>
      </c>
      <c r="I68" s="819">
        <f t="shared" ref="I68:I69" si="50">IF(H68=1,CH68,IF(H68=0,SUM(BU68:CH68),""))</f>
        <v>1</v>
      </c>
      <c r="J68" s="819">
        <f t="shared" ref="J68:J69" si="51">IF(H68=1,CJ68,IF(H68=0,SUM(BU68:CJ68),""))</f>
        <v>1</v>
      </c>
      <c r="K68" s="439" t="str">
        <f t="shared" ref="K68:K69" si="52">IF(H68=1,ROUND(I68*100,1)&amp;"% of Contractual Maturity",IF(H68="","No Run-off",ROUND(I68*100,1)&amp;"% of Current Balance"))</f>
        <v>100% of Contractual Maturity</v>
      </c>
      <c r="L68" s="439" t="s">
        <v>1148</v>
      </c>
      <c r="M68" s="439" t="s">
        <v>1511</v>
      </c>
      <c r="O68" s="442">
        <f>IF(OR($A68="",$A68=0),0,INDEX('Data Interface'!D:D,$A68))</f>
        <v>0</v>
      </c>
      <c r="P68" s="442">
        <f ca="1">$O68-SUM($AS68:AS68)</f>
        <v>0</v>
      </c>
      <c r="Q68" s="442">
        <f ca="1">$O68-SUM($AS68:AT68)</f>
        <v>0</v>
      </c>
      <c r="R68" s="442">
        <f ca="1">$O68-SUM($AS68:AU68)</f>
        <v>0</v>
      </c>
      <c r="S68" s="442">
        <f ca="1">$O68-SUM($AS68:AV68)</f>
        <v>0</v>
      </c>
      <c r="T68" s="442">
        <f ca="1">$O68-SUM($AS68:AW68)</f>
        <v>0</v>
      </c>
      <c r="U68" s="442">
        <f ca="1">$O68-SUM($AS68:AX68)</f>
        <v>0</v>
      </c>
      <c r="V68" s="442">
        <f ca="1">$O68-SUM($AS68:AY68)</f>
        <v>0</v>
      </c>
      <c r="W68" s="442">
        <f ca="1">$O68-SUM($AS68:AZ68)</f>
        <v>0</v>
      </c>
      <c r="X68" s="442">
        <f ca="1">$O68-SUM($AS68:BA68)</f>
        <v>0</v>
      </c>
      <c r="Y68" s="442">
        <f ca="1">$O68-SUM($AS68:BB68)</f>
        <v>0</v>
      </c>
      <c r="Z68" s="442">
        <f ca="1">$O68-SUM($AS68:BC68)</f>
        <v>0</v>
      </c>
      <c r="AA68" s="442">
        <f ca="1">$O68-SUM($AS68:BD68)</f>
        <v>0</v>
      </c>
      <c r="AB68" s="442">
        <f ca="1">$O68-SUM($AS68:BE68)</f>
        <v>0</v>
      </c>
      <c r="AC68" s="442">
        <f ca="1">$O68-SUM($AS68:BF68)</f>
        <v>0</v>
      </c>
      <c r="AD68" s="442">
        <f ca="1">$O68-SUM($AS68:BG68)</f>
        <v>0</v>
      </c>
      <c r="AE68" s="442">
        <f ca="1">$O68-SUM($AS68:BH68)</f>
        <v>0</v>
      </c>
      <c r="AF68" s="442">
        <f ca="1">$O68-SUM($AS68:BI68)</f>
        <v>0</v>
      </c>
      <c r="AG68" s="442">
        <f ca="1">$O68-SUM($AS68:BJ68)</f>
        <v>0</v>
      </c>
      <c r="AH68" s="442">
        <f ca="1">$O68-SUM($AS68:BK68)</f>
        <v>0</v>
      </c>
      <c r="AI68" s="442">
        <f ca="1">$O68-SUM($AS68:BL68)</f>
        <v>0</v>
      </c>
      <c r="AJ68" s="442">
        <f ca="1">$O68-SUM($AS68:BM68)</f>
        <v>0</v>
      </c>
      <c r="AK68" s="442">
        <f ca="1">$O68-SUM($AS68:BN68)</f>
        <v>0</v>
      </c>
      <c r="AL68" s="442">
        <f ca="1">$O68-SUM($AS68:BO68)</f>
        <v>0</v>
      </c>
      <c r="AM68" s="442">
        <f ca="1">$O68-SUM($AS68:BP68)</f>
        <v>0</v>
      </c>
      <c r="AN68" s="442">
        <f ca="1">$O68-SUM($AS68:BQ68)</f>
        <v>0</v>
      </c>
      <c r="AO68" s="442">
        <f ca="1">$O68-SUM($AS68:BR68)</f>
        <v>0</v>
      </c>
      <c r="AP68" s="442">
        <f ca="1">$O68-SUM($AS68:BS68)</f>
        <v>0</v>
      </c>
      <c r="AR68" s="439" t="s">
        <v>1202</v>
      </c>
      <c r="AS68" s="442">
        <f ca="1">IF($H68="",0,IF($H68=1,IF('Para Adj'!$B$5 = 1,O68-($O68-SUMPRODUCT($CX68:CX68,$BU68:BU68))*(1-SUM($DZ68:DZ68)),BU68*CX68),$O68*BU68))</f>
        <v>0</v>
      </c>
      <c r="AT68" s="442">
        <f ca="1">IF($H68="",0,IF($H68=1,IF('Para Adj'!$B$5 = 1,P68-($O68-SUMPRODUCT($CX68:CY68,$BU68:BV68))*(1-SUM($DZ68:EA68)),BV68*CY68),$O68*BV68))</f>
        <v>0</v>
      </c>
      <c r="AU68" s="442">
        <f ca="1">IF($H68="",0,IF($H68=1,IF('Para Adj'!$B$5 = 1,Q68-($O68-SUMPRODUCT($CX68:CZ68,$BU68:BW68))*(1-SUM($DZ68:EB68)),BW68*CZ68),$O68*BW68))</f>
        <v>0</v>
      </c>
      <c r="AV68" s="442">
        <f ca="1">IF($H68="",0,IF($H68=1,IF('Para Adj'!$B$5 = 1,R68-($O68-SUMPRODUCT($CX68:DA68,$BU68:BX68))*(1-SUM($DZ68:EC68)),BX68*DA68),$O68*BX68))</f>
        <v>0</v>
      </c>
      <c r="AW68" s="442">
        <f ca="1">IF($H68="",0,IF($H68=1,IF('Para Adj'!$B$5 = 1,S68-($O68-SUMPRODUCT($CX68:DB68,$BU68:BY68))*(1-SUM($DZ68:ED68)),BY68*DB68),$O68*BY68))</f>
        <v>0</v>
      </c>
      <c r="AX68" s="442">
        <f ca="1">IF($H68="",0,IF($H68=1,IF('Para Adj'!$B$5 = 1,T68-($O68-SUMPRODUCT($CX68:DC68,$BU68:BZ68))*(1-SUM($DZ68:EE68)),BZ68*DC68),$O68*BZ68))</f>
        <v>0</v>
      </c>
      <c r="AY68" s="442">
        <f ca="1">IF($H68="",0,IF($H68=1,IF('Para Adj'!$B$5 = 1,U68-($O68-SUMPRODUCT($CX68:DD68,$BU68:CA68))*(1-SUM($DZ68:EF68)),CA68*DD68),$O68*CA68))</f>
        <v>0</v>
      </c>
      <c r="AZ68" s="442">
        <f ca="1">IF($H68="",0,IF($H68=1,IF('Para Adj'!$B$5 = 1,V68-($O68-SUMPRODUCT($CX68:DE68,$BU68:CB68))*(1-SUM($DZ68:EG68)),CB68*DE68),$O68*CB68))</f>
        <v>0</v>
      </c>
      <c r="BA68" s="442">
        <f ca="1">IF($H68="",0,IF($H68=1,IF('Para Adj'!$B$5 = 1,W68-($O68-SUMPRODUCT($CX68:DF68,$BU68:CC68))*(1-SUM($DZ68:EH68)),CC68*DF68),$O68*CC68))</f>
        <v>0</v>
      </c>
      <c r="BB68" s="442">
        <f ca="1">IF($H68="",0,IF($H68=1,IF('Para Adj'!$B$5 = 1,X68-($O68-SUMPRODUCT($CX68:DG68,$BU68:CD68))*(1-SUM($DZ68:EI68)),CD68*DG68),$O68*CD68))</f>
        <v>0</v>
      </c>
      <c r="BC68" s="442">
        <f ca="1">IF($H68="",0,IF($H68=1,IF('Para Adj'!$B$5 = 1,Y68-($O68-SUMPRODUCT($CX68:DH68,$BU68:CE68))*(1-SUM($DZ68:EJ68)),CE68*DH68),$O68*CE68))</f>
        <v>0</v>
      </c>
      <c r="BD68" s="442">
        <f ca="1">IF($H68="",0,IF($H68=1,IF('Para Adj'!$B$5 = 1,Z68-($O68-SUMPRODUCT($CX68:DI68,$BU68:CF68))*(1-SUM($DZ68:EK68)),CF68*DI68),$O68*CF68))</f>
        <v>0</v>
      </c>
      <c r="BE68" s="442">
        <f ca="1">IF($H68="",0,IF($H68=1,IF('Para Adj'!$B$5 = 1,AA68-($O68-SUMPRODUCT($CX68:DJ68,$BU68:CG68))*(1-SUM($DZ68:EL68)),CG68*DJ68),$O68*CG68))</f>
        <v>0</v>
      </c>
      <c r="BF68" s="442">
        <f ca="1">IF($H68="",0,IF($H68=1,IF('Para Adj'!$B$5 = 1,AB68-($O68-SUMPRODUCT($CX68:DK68,$BU68:CH68))*(1-SUM($DZ68:EM68)),CH68*DK68),$O68*CH68))</f>
        <v>0</v>
      </c>
      <c r="BG68" s="442">
        <f ca="1">IF($H68="",0,IF($H68=1,IF('Para Adj'!$B$5 = 1,AC68-($O68-SUMPRODUCT($CX68:DL68,$BU68:CI68))*(1-SUM($DZ68:EN68)),CI68*DL68),$O68*CI68))</f>
        <v>0</v>
      </c>
      <c r="BH68" s="442">
        <f ca="1">IF($H68="",0,IF($H68=1,IF('Para Adj'!$B$5 = 1,AD68-($O68-SUMPRODUCT($CX68:DM68,$BU68:CJ68))*(1-SUM($DZ68:EO68)),CJ68*DM68),$O68*CJ68))</f>
        <v>0</v>
      </c>
      <c r="BI68" s="442">
        <f ca="1">IF($H68="",0,IF($H68=1,IF('Para Adj'!$B$5 = 1,AE68-($O68-SUMPRODUCT($CX68:DN68,$BU68:CK68))*(1-SUM($DZ68:EP68)),CK68*DN68),$O68*CK68))</f>
        <v>0</v>
      </c>
      <c r="BJ68" s="442">
        <f ca="1">IF($H68="",0,IF($H68=1,IF('Para Adj'!$B$5 = 1,AF68-($O68-SUMPRODUCT($CX68:DO68,$BU68:CL68))*(1-SUM($DZ68:EQ68)),CL68*DO68),$O68*CL68))</f>
        <v>0</v>
      </c>
      <c r="BK68" s="442">
        <f ca="1">IF($H68="",0,IF($H68=1,IF('Para Adj'!$B$5 = 1,AG68-($O68-SUMPRODUCT($CX68:DP68,$BU68:CM68))*(1-SUM($DZ68:ER68)),CM68*DP68),$O68*CM68))</f>
        <v>0</v>
      </c>
      <c r="BL68" s="442">
        <f ca="1">IF($H68="",0,IF($H68=1,IF('Para Adj'!$B$5 = 1,AH68-($O68-SUMPRODUCT($CX68:DQ68,$BU68:CN68))*(1-SUM($DZ68:ES68)),CN68*DQ68),$O68*CN68))</f>
        <v>0</v>
      </c>
      <c r="BM68" s="442">
        <f ca="1">IF($H68="",0,IF($H68=1,IF('Para Adj'!$B$5 = 1,AI68-($O68-SUMPRODUCT($CX68:DR68,$BU68:CO68))*(1-SUM($DZ68:ET68)),CO68*DR68),$O68*CO68))</f>
        <v>0</v>
      </c>
      <c r="BN68" s="442">
        <f ca="1">IF($H68="",0,IF($H68=1,IF('Para Adj'!$B$5 = 1,AJ68-($O68-SUMPRODUCT($CX68:DS68,$BU68:CP68))*(1-SUM($DZ68:EU68)),CP68*DS68),$O68*CP68))</f>
        <v>0</v>
      </c>
      <c r="BO68" s="442">
        <f ca="1">IF($H68="",0,IF($H68=1,IF('Para Adj'!$B$5 = 1,AK68-($O68-SUMPRODUCT($CX68:DT68,$BU68:CQ68))*(1-SUM($DZ68:EV68)),CQ68*DT68),$O68*CQ68))</f>
        <v>0</v>
      </c>
      <c r="BP68" s="442">
        <f ca="1">IF($H68="",0,IF($H68=1,IF('Para Adj'!$B$5 = 1,AL68-($O68-SUMPRODUCT($CX68:DU68,$BU68:CR68))*(1-SUM($DZ68:EW68)),CR68*DU68),$O68*CR68))</f>
        <v>0</v>
      </c>
      <c r="BQ68" s="442">
        <f ca="1">IF($H68="",0,IF($H68=1,IF('Para Adj'!$B$5 = 1,AM68-($O68-SUMPRODUCT($CX68:DV68,$BU68:CS68))*(1-SUM($DZ68:EX68)),CS68*DV68),$O68*CS68))</f>
        <v>0</v>
      </c>
      <c r="BR68" s="442">
        <f ca="1">IF($H68="",0,IF($H68=1,IF('Para Adj'!$B$5 = 1,AN68-($O68-SUMPRODUCT($CX68:DW68,$BU68:CT68))*(1-SUM($DZ68:EY68)),CT68*DW68),$O68*CT68))</f>
        <v>0</v>
      </c>
      <c r="BS68" s="442">
        <f ca="1">IF($H68="",0,IF($H68=1,IF('Para Adj'!$B$5 = 1,AO68-($O68-SUMPRODUCT($CX68:DX68,$BU68:CU68))*(1-SUM($DZ68:EZ68)),CU68*DX68),$O68*CU68))</f>
        <v>0</v>
      </c>
      <c r="BU68" s="820">
        <v>1</v>
      </c>
      <c r="BV68" s="820">
        <v>1</v>
      </c>
      <c r="BW68" s="820">
        <v>1</v>
      </c>
      <c r="BX68" s="820">
        <v>1</v>
      </c>
      <c r="BY68" s="820">
        <v>1</v>
      </c>
      <c r="BZ68" s="820">
        <v>1</v>
      </c>
      <c r="CA68" s="820">
        <v>1</v>
      </c>
      <c r="CB68" s="820">
        <v>1</v>
      </c>
      <c r="CC68" s="820">
        <v>1</v>
      </c>
      <c r="CD68" s="820">
        <v>1</v>
      </c>
      <c r="CE68" s="820">
        <v>1</v>
      </c>
      <c r="CF68" s="820">
        <v>1</v>
      </c>
      <c r="CG68" s="820">
        <v>1</v>
      </c>
      <c r="CH68" s="820">
        <v>1</v>
      </c>
      <c r="CI68" s="820">
        <v>1</v>
      </c>
      <c r="CJ68" s="820">
        <v>1</v>
      </c>
      <c r="CK68" s="820">
        <v>1</v>
      </c>
      <c r="CL68" s="820">
        <v>1</v>
      </c>
      <c r="CM68" s="820">
        <v>1</v>
      </c>
      <c r="CN68" s="820">
        <v>1</v>
      </c>
      <c r="CO68" s="820">
        <v>1</v>
      </c>
      <c r="CP68" s="820">
        <v>1</v>
      </c>
      <c r="CQ68" s="820">
        <v>1</v>
      </c>
      <c r="CR68" s="820">
        <v>1</v>
      </c>
      <c r="CS68" s="820">
        <v>1</v>
      </c>
      <c r="CT68" s="820">
        <v>1</v>
      </c>
      <c r="CU68" s="820">
        <v>1</v>
      </c>
      <c r="CX68" s="442">
        <f>IF($A68="","",INDEX('Data Interface'!G:G,$A68))</f>
        <v>0</v>
      </c>
      <c r="CY68" s="442">
        <f>IF($A68="","",INDEX('Data Interface'!H:H,$A68))</f>
        <v>0</v>
      </c>
      <c r="CZ68" s="442">
        <f>IF($A68="","",INDEX('Data Interface'!I:I,$A68))</f>
        <v>0</v>
      </c>
      <c r="DA68" s="442">
        <f>IF($A68="","",INDEX('Data Interface'!J:J,$A68))</f>
        <v>0</v>
      </c>
      <c r="DB68" s="442">
        <f>IF($A68="","",INDEX('Data Interface'!K:K,$A68))</f>
        <v>0</v>
      </c>
      <c r="DC68" s="442">
        <f>IF($A68="","",INDEX('Data Interface'!L:L,$A68))</f>
        <v>0</v>
      </c>
      <c r="DD68" s="442">
        <f>IF($A68="","",INDEX('Data Interface'!M:M,$A68))</f>
        <v>0</v>
      </c>
      <c r="DE68" s="442">
        <f>IF($A68="","",INDEX('Data Interface'!N:N,$A68))</f>
        <v>0</v>
      </c>
      <c r="DF68" s="442">
        <f>IF($A68="","",INDEX('Data Interface'!O:O,$A68))</f>
        <v>0</v>
      </c>
      <c r="DG68" s="442">
        <f>IF($A68="","",INDEX('Data Interface'!P:P,$A68))</f>
        <v>0</v>
      </c>
      <c r="DH68" s="442">
        <f>IF($A68="","",INDEX('Data Interface'!Q:Q,$A68))</f>
        <v>0</v>
      </c>
      <c r="DI68" s="442">
        <f>IF($A68="","",INDEX('Data Interface'!R:R,$A68))</f>
        <v>0</v>
      </c>
      <c r="DJ68" s="442">
        <f>IF($A68="","",INDEX('Data Interface'!S:S,$A68))</f>
        <v>0</v>
      </c>
      <c r="DK68" s="442">
        <f>IF($A68="","",INDEX('Data Interface'!T:T,$A68))</f>
        <v>0</v>
      </c>
      <c r="DL68" s="442">
        <f>IF($A68="","",INDEX('Data Interface'!U:U,$A68))</f>
        <v>0</v>
      </c>
      <c r="DM68" s="442">
        <f>IF($A68="","",INDEX('Data Interface'!V:V,$A68))</f>
        <v>0</v>
      </c>
      <c r="DN68" s="442">
        <f>IF($A68="","",INDEX('Data Interface'!W:W,$A68))</f>
        <v>0</v>
      </c>
      <c r="DO68" s="442">
        <f>IF($A68="","",INDEX('Data Interface'!X:X,$A68))</f>
        <v>0</v>
      </c>
      <c r="DP68" s="442">
        <f>IF($A68="","",INDEX('Data Interface'!Y:Y,$A68))</f>
        <v>0</v>
      </c>
      <c r="DQ68" s="442">
        <f>IF($A68="","",INDEX('Data Interface'!Z:Z,$A68))</f>
        <v>0</v>
      </c>
      <c r="DR68" s="442">
        <f>IF($A68="","",INDEX('Data Interface'!AA:AA,$A68))</f>
        <v>0</v>
      </c>
      <c r="DS68" s="442">
        <f>IF($A68="","",INDEX('Data Interface'!AB:AB,$A68))</f>
        <v>0</v>
      </c>
      <c r="DT68" s="442">
        <f>IF($A68="","",INDEX('Data Interface'!AC:AC,$A68))</f>
        <v>0</v>
      </c>
      <c r="DU68" s="442">
        <f>IF($A68="","",INDEX('Data Interface'!AD:AD,$A68))</f>
        <v>0</v>
      </c>
      <c r="DV68" s="442">
        <f>IF($A68="","",INDEX('Data Interface'!AE:AE,$A68))</f>
        <v>0</v>
      </c>
      <c r="DW68" s="442">
        <f>IF($A68="","",INDEX('Data Interface'!AF:AF,$A68))</f>
        <v>0</v>
      </c>
      <c r="DX68" s="442">
        <f>IF($A68="","",INDEX('Data Interface'!AG:AG,$A68))</f>
        <v>0</v>
      </c>
      <c r="DZ68" s="906">
        <f ca="1">IF(OR($B68=0,$A68=0,$H68&lt;&gt;1),"",INDEX(Assumptions!EO:EO,$B68))</f>
        <v>4.000000000000001E-3</v>
      </c>
      <c r="EA68" s="906">
        <f ca="1">IF(OR($B68=0,$A68=0,$H68&lt;&gt;1),"",INDEX(Assumptions!EP:EP,$B68))</f>
        <v>1.3333333333333335E-3</v>
      </c>
      <c r="EB68" s="906">
        <f ca="1">IF(OR($B68=0,$A68=0,$H68&lt;&gt;1),"",INDEX(Assumptions!EQ:EQ,$B68))</f>
        <v>1.3333333333333335E-3</v>
      </c>
      <c r="EC68" s="906">
        <f ca="1">IF(OR($B68=0,$A68=0,$H68&lt;&gt;1),"",INDEX(Assumptions!ER:ER,$B68))</f>
        <v>1.3333333333333335E-3</v>
      </c>
      <c r="ED68" s="906">
        <f ca="1">IF(OR($B68=0,$A68=0,$H68&lt;&gt;1),"",INDEX(Assumptions!ES:ES,$B68))</f>
        <v>1.3333333333333335E-3</v>
      </c>
      <c r="EE68" s="906">
        <f ca="1">IF(OR($B68=0,$A68=0,$H68&lt;&gt;1),"",INDEX(Assumptions!ET:ET,$B68))</f>
        <v>1.3333333333333335E-3</v>
      </c>
      <c r="EF68" s="906">
        <f ca="1">IF(OR($B68=0,$A68=0,$H68&lt;&gt;1),"",INDEX(Assumptions!EU:EU,$B68))</f>
        <v>1.3333333333333335E-3</v>
      </c>
      <c r="EG68" s="906">
        <f ca="1">IF(OR($B68=0,$A68=0,$H68&lt;&gt;1),"",INDEX(Assumptions!EV:EV,$B68))</f>
        <v>1.1428571428571432E-3</v>
      </c>
      <c r="EH68" s="906">
        <f ca="1">IF(OR($B68=0,$A68=0,$H68&lt;&gt;1),"",INDEX(Assumptions!EW:EW,$B68))</f>
        <v>1.1428571428571432E-3</v>
      </c>
      <c r="EI68" s="906">
        <f ca="1">IF(OR($B68=0,$A68=0,$H68&lt;&gt;1),"",INDEX(Assumptions!EX:EX,$B68))</f>
        <v>1.1428571428571432E-3</v>
      </c>
      <c r="EJ68" s="906">
        <f ca="1">IF(OR($B68=0,$A68=0,$H68&lt;&gt;1),"",INDEX(Assumptions!EY:EY,$B68))</f>
        <v>1.1428571428571432E-3</v>
      </c>
      <c r="EK68" s="906">
        <f ca="1">IF(OR($B68=0,$A68=0,$H68&lt;&gt;1),"",INDEX(Assumptions!EZ:EZ,$B68))</f>
        <v>1.1428571428571432E-3</v>
      </c>
      <c r="EL68" s="906">
        <f ca="1">IF(OR($B68=0,$A68=0,$H68&lt;&gt;1),"",INDEX(Assumptions!FA:FA,$B68))</f>
        <v>1.1428571428571432E-3</v>
      </c>
      <c r="EM68" s="906">
        <f ca="1">IF(OR($B68=0,$A68=0,$H68&lt;&gt;1),"",INDEX(Assumptions!FB:FB,$B68))</f>
        <v>1.1428571428571432E-3</v>
      </c>
      <c r="EN68" s="906">
        <f ca="1">IF(OR($B68=0,$A68=0,$H68&lt;&gt;1),"",INDEX(Assumptions!FC:FC,$B68))</f>
        <v>0</v>
      </c>
      <c r="EO68" s="906">
        <f ca="1">IF(OR($B68=0,$A68=0,$H68&lt;&gt;1),"",INDEX(Assumptions!FD:FD,$B68))</f>
        <v>0</v>
      </c>
      <c r="EP68" s="906">
        <f ca="1">IF(OR($B68=0,$A68=0,$H68&lt;&gt;1),"",INDEX(Assumptions!FE:FE,$B68))</f>
        <v>0</v>
      </c>
      <c r="EQ68" s="906">
        <f ca="1">IF(OR($B68=0,$A68=0,$H68&lt;&gt;1),"",INDEX(Assumptions!FF:FF,$B68))</f>
        <v>0</v>
      </c>
      <c r="ER68" s="906">
        <f ca="1">IF(OR($B68=0,$A68=0,$H68&lt;&gt;1),"",INDEX(Assumptions!FG:FG,$B68))</f>
        <v>0</v>
      </c>
      <c r="ES68" s="906">
        <f ca="1">IF(OR($B68=0,$A68=0,$H68&lt;&gt;1),"",INDEX(Assumptions!FH:FH,$B68))</f>
        <v>0</v>
      </c>
      <c r="ET68" s="906">
        <f ca="1">IF(OR($B68=0,$A68=0,$H68&lt;&gt;1),"",INDEX(Assumptions!FI:FI,$B68))</f>
        <v>0</v>
      </c>
      <c r="EU68" s="906">
        <f ca="1">IF(OR($B68=0,$A68=0,$H68&lt;&gt;1),"",INDEX(Assumptions!FJ:FJ,$B68))</f>
        <v>0</v>
      </c>
      <c r="EV68" s="906">
        <f ca="1">IF(OR($B68=0,$A68=0,$H68&lt;&gt;1),"",INDEX(Assumptions!FK:FK,$B68))</f>
        <v>0</v>
      </c>
      <c r="EW68" s="906">
        <f ca="1">IF(OR($B68=0,$A68=0,$H68&lt;&gt;1),"",INDEX(Assumptions!FL:FL,$B68))</f>
        <v>0</v>
      </c>
      <c r="EX68" s="906">
        <f ca="1">IF(OR($B68=0,$A68=0,$H68&lt;&gt;1),"",INDEX(Assumptions!FM:FM,$B68))</f>
        <v>0</v>
      </c>
      <c r="EY68" s="906">
        <f ca="1">IF(OR($B68=0,$A68=0,$H68&lt;&gt;1),"",INDEX(Assumptions!FN:FN,$B68))</f>
        <v>0</v>
      </c>
      <c r="EZ68" s="906">
        <f ca="1">IF(OR($B68=0,$A68=0,$H68&lt;&gt;1),"",INDEX(Assumptions!FO:FO,$B68))</f>
        <v>0</v>
      </c>
      <c r="FB68" s="820">
        <f t="shared" ca="1" si="18"/>
        <v>0</v>
      </c>
      <c r="FC68" s="820">
        <f t="shared" ca="1" si="19"/>
        <v>2.0000000000000007E-2</v>
      </c>
      <c r="FD68" s="820">
        <f t="shared" ca="1" si="20"/>
        <v>0</v>
      </c>
      <c r="FE68" s="820">
        <f t="shared" ca="1" si="21"/>
        <v>0</v>
      </c>
      <c r="FF68" s="820">
        <f t="shared" ca="1" si="22"/>
        <v>0</v>
      </c>
    </row>
    <row r="69" spans="1:162">
      <c r="A69" s="440">
        <f>IFERROR(MATCH(C69,'Data Interface'!B:B,0),0)</f>
        <v>67</v>
      </c>
      <c r="B69" s="440">
        <f>IFERROR(MATCH(C69,Assumptions!$B:$B,0),0)</f>
        <v>30</v>
      </c>
      <c r="C69" s="441">
        <v>11</v>
      </c>
      <c r="E69" s="441" t="s">
        <v>1219</v>
      </c>
      <c r="F69" s="440" t="s">
        <v>25</v>
      </c>
      <c r="G69" s="440" t="str">
        <f>IF(A69=0,"",INDEX('Data Interface'!$C:$C,$A69))</f>
        <v>Bond Issuance</v>
      </c>
      <c r="H69" s="440">
        <v>1</v>
      </c>
      <c r="I69" s="819">
        <f t="shared" si="50"/>
        <v>1</v>
      </c>
      <c r="J69" s="819">
        <f t="shared" si="51"/>
        <v>1</v>
      </c>
      <c r="K69" s="439" t="str">
        <f t="shared" si="52"/>
        <v>100% of Contractual Maturity</v>
      </c>
      <c r="L69" s="439" t="s">
        <v>1148</v>
      </c>
      <c r="M69" s="439" t="s">
        <v>1511</v>
      </c>
      <c r="O69" s="442">
        <f>IF(OR($A69="",$A69=0),0,INDEX('Data Interface'!D:D,$A69))</f>
        <v>0</v>
      </c>
      <c r="P69" s="442">
        <f ca="1">$O69-SUM($AS69:AS69)</f>
        <v>0</v>
      </c>
      <c r="Q69" s="442">
        <f ca="1">$O69-SUM($AS69:AT69)</f>
        <v>0</v>
      </c>
      <c r="R69" s="442">
        <f ca="1">$O69-SUM($AS69:AU69)</f>
        <v>0</v>
      </c>
      <c r="S69" s="442">
        <f ca="1">$O69-SUM($AS69:AV69)</f>
        <v>0</v>
      </c>
      <c r="T69" s="442">
        <f ca="1">$O69-SUM($AS69:AW69)</f>
        <v>0</v>
      </c>
      <c r="U69" s="442">
        <f ca="1">$O69-SUM($AS69:AX69)</f>
        <v>0</v>
      </c>
      <c r="V69" s="442">
        <f ca="1">$O69-SUM($AS69:AY69)</f>
        <v>0</v>
      </c>
      <c r="W69" s="442">
        <f ca="1">$O69-SUM($AS69:AZ69)</f>
        <v>0</v>
      </c>
      <c r="X69" s="442">
        <f ca="1">$O69-SUM($AS69:BA69)</f>
        <v>0</v>
      </c>
      <c r="Y69" s="442">
        <f ca="1">$O69-SUM($AS69:BB69)</f>
        <v>0</v>
      </c>
      <c r="Z69" s="442">
        <f ca="1">$O69-SUM($AS69:BC69)</f>
        <v>0</v>
      </c>
      <c r="AA69" s="442">
        <f ca="1">$O69-SUM($AS69:BD69)</f>
        <v>0</v>
      </c>
      <c r="AB69" s="442">
        <f ca="1">$O69-SUM($AS69:BE69)</f>
        <v>0</v>
      </c>
      <c r="AC69" s="442">
        <f ca="1">$O69-SUM($AS69:BF69)</f>
        <v>0</v>
      </c>
      <c r="AD69" s="442">
        <f ca="1">$O69-SUM($AS69:BG69)</f>
        <v>0</v>
      </c>
      <c r="AE69" s="442">
        <f ca="1">$O69-SUM($AS69:BH69)</f>
        <v>0</v>
      </c>
      <c r="AF69" s="442">
        <f ca="1">$O69-SUM($AS69:BI69)</f>
        <v>0</v>
      </c>
      <c r="AG69" s="442">
        <f ca="1">$O69-SUM($AS69:BJ69)</f>
        <v>0</v>
      </c>
      <c r="AH69" s="442">
        <f ca="1">$O69-SUM($AS69:BK69)</f>
        <v>0</v>
      </c>
      <c r="AI69" s="442">
        <f ca="1">$O69-SUM($AS69:BL69)</f>
        <v>0</v>
      </c>
      <c r="AJ69" s="442">
        <f ca="1">$O69-SUM($AS69:BM69)</f>
        <v>0</v>
      </c>
      <c r="AK69" s="442">
        <f ca="1">$O69-SUM($AS69:BN69)</f>
        <v>0</v>
      </c>
      <c r="AL69" s="442">
        <f ca="1">$O69-SUM($AS69:BO69)</f>
        <v>0</v>
      </c>
      <c r="AM69" s="442">
        <f ca="1">$O69-SUM($AS69:BP69)</f>
        <v>0</v>
      </c>
      <c r="AN69" s="442">
        <f ca="1">$O69-SUM($AS69:BQ69)</f>
        <v>0</v>
      </c>
      <c r="AO69" s="442">
        <f ca="1">$O69-SUM($AS69:BR69)</f>
        <v>0</v>
      </c>
      <c r="AP69" s="442">
        <f ca="1">$O69-SUM($AS69:BS69)</f>
        <v>0</v>
      </c>
      <c r="AR69" s="439" t="s">
        <v>1202</v>
      </c>
      <c r="AS69" s="442">
        <f ca="1">IF($H69="",0,IF($H69=1,IF('Para Adj'!$B$5 = 1,O69-($O69-SUMPRODUCT($CX69:CX69,$BU69:BU69))*(1-SUM($DZ69:DZ69)),BU69*CX69),$O69*BU69))</f>
        <v>0</v>
      </c>
      <c r="AT69" s="442">
        <f ca="1">IF($H69="",0,IF($H69=1,IF('Para Adj'!$B$5 = 1,P69-($O69-SUMPRODUCT($CX69:CY69,$BU69:BV69))*(1-SUM($DZ69:EA69)),BV69*CY69),$O69*BV69))</f>
        <v>0</v>
      </c>
      <c r="AU69" s="442">
        <f ca="1">IF($H69="",0,IF($H69=1,IF('Para Adj'!$B$5 = 1,Q69-($O69-SUMPRODUCT($CX69:CZ69,$BU69:BW69))*(1-SUM($DZ69:EB69)),BW69*CZ69),$O69*BW69))</f>
        <v>0</v>
      </c>
      <c r="AV69" s="442">
        <f ca="1">IF($H69="",0,IF($H69=1,IF('Para Adj'!$B$5 = 1,R69-($O69-SUMPRODUCT($CX69:DA69,$BU69:BX69))*(1-SUM($DZ69:EC69)),BX69*DA69),$O69*BX69))</f>
        <v>0</v>
      </c>
      <c r="AW69" s="442">
        <f ca="1">IF($H69="",0,IF($H69=1,IF('Para Adj'!$B$5 = 1,S69-($O69-SUMPRODUCT($CX69:DB69,$BU69:BY69))*(1-SUM($DZ69:ED69)),BY69*DB69),$O69*BY69))</f>
        <v>0</v>
      </c>
      <c r="AX69" s="442">
        <f ca="1">IF($H69="",0,IF($H69=1,IF('Para Adj'!$B$5 = 1,T69-($O69-SUMPRODUCT($CX69:DC69,$BU69:BZ69))*(1-SUM($DZ69:EE69)),BZ69*DC69),$O69*BZ69))</f>
        <v>0</v>
      </c>
      <c r="AY69" s="442">
        <f ca="1">IF($H69="",0,IF($H69=1,IF('Para Adj'!$B$5 = 1,U69-($O69-SUMPRODUCT($CX69:DD69,$BU69:CA69))*(1-SUM($DZ69:EF69)),CA69*DD69),$O69*CA69))</f>
        <v>0</v>
      </c>
      <c r="AZ69" s="442">
        <f ca="1">IF($H69="",0,IF($H69=1,IF('Para Adj'!$B$5 = 1,V69-($O69-SUMPRODUCT($CX69:DE69,$BU69:CB69))*(1-SUM($DZ69:EG69)),CB69*DE69),$O69*CB69))</f>
        <v>0</v>
      </c>
      <c r="BA69" s="442">
        <f ca="1">IF($H69="",0,IF($H69=1,IF('Para Adj'!$B$5 = 1,W69-($O69-SUMPRODUCT($CX69:DF69,$BU69:CC69))*(1-SUM($DZ69:EH69)),CC69*DF69),$O69*CC69))</f>
        <v>0</v>
      </c>
      <c r="BB69" s="442">
        <f ca="1">IF($H69="",0,IF($H69=1,IF('Para Adj'!$B$5 = 1,X69-($O69-SUMPRODUCT($CX69:DG69,$BU69:CD69))*(1-SUM($DZ69:EI69)),CD69*DG69),$O69*CD69))</f>
        <v>0</v>
      </c>
      <c r="BC69" s="442">
        <f ca="1">IF($H69="",0,IF($H69=1,IF('Para Adj'!$B$5 = 1,Y69-($O69-SUMPRODUCT($CX69:DH69,$BU69:CE69))*(1-SUM($DZ69:EJ69)),CE69*DH69),$O69*CE69))</f>
        <v>0</v>
      </c>
      <c r="BD69" s="442">
        <f ca="1">IF($H69="",0,IF($H69=1,IF('Para Adj'!$B$5 = 1,Z69-($O69-SUMPRODUCT($CX69:DI69,$BU69:CF69))*(1-SUM($DZ69:EK69)),CF69*DI69),$O69*CF69))</f>
        <v>0</v>
      </c>
      <c r="BE69" s="442">
        <f ca="1">IF($H69="",0,IF($H69=1,IF('Para Adj'!$B$5 = 1,AA69-($O69-SUMPRODUCT($CX69:DJ69,$BU69:CG69))*(1-SUM($DZ69:EL69)),CG69*DJ69),$O69*CG69))</f>
        <v>0</v>
      </c>
      <c r="BF69" s="442">
        <f ca="1">IF($H69="",0,IF($H69=1,IF('Para Adj'!$B$5 = 1,AB69-($O69-SUMPRODUCT($CX69:DK69,$BU69:CH69))*(1-SUM($DZ69:EM69)),CH69*DK69),$O69*CH69))</f>
        <v>0</v>
      </c>
      <c r="BG69" s="442">
        <f ca="1">IF($H69="",0,IF($H69=1,IF('Para Adj'!$B$5 = 1,AC69-($O69-SUMPRODUCT($CX69:DL69,$BU69:CI69))*(1-SUM($DZ69:EN69)),CI69*DL69),$O69*CI69))</f>
        <v>0</v>
      </c>
      <c r="BH69" s="442">
        <f ca="1">IF($H69="",0,IF($H69=1,IF('Para Adj'!$B$5 = 1,AD69-($O69-SUMPRODUCT($CX69:DM69,$BU69:CJ69))*(1-SUM($DZ69:EO69)),CJ69*DM69),$O69*CJ69))</f>
        <v>0</v>
      </c>
      <c r="BI69" s="442">
        <f ca="1">IF($H69="",0,IF($H69=1,IF('Para Adj'!$B$5 = 1,AE69-($O69-SUMPRODUCT($CX69:DN69,$BU69:CK69))*(1-SUM($DZ69:EP69)),CK69*DN69),$O69*CK69))</f>
        <v>0</v>
      </c>
      <c r="BJ69" s="442">
        <f ca="1">IF($H69="",0,IF($H69=1,IF('Para Adj'!$B$5 = 1,AF69-($O69-SUMPRODUCT($CX69:DO69,$BU69:CL69))*(1-SUM($DZ69:EQ69)),CL69*DO69),$O69*CL69))</f>
        <v>0</v>
      </c>
      <c r="BK69" s="442">
        <f ca="1">IF($H69="",0,IF($H69=1,IF('Para Adj'!$B$5 = 1,AG69-($O69-SUMPRODUCT($CX69:DP69,$BU69:CM69))*(1-SUM($DZ69:ER69)),CM69*DP69),$O69*CM69))</f>
        <v>0</v>
      </c>
      <c r="BL69" s="442">
        <f ca="1">IF($H69="",0,IF($H69=1,IF('Para Adj'!$B$5 = 1,AH69-($O69-SUMPRODUCT($CX69:DQ69,$BU69:CN69))*(1-SUM($DZ69:ES69)),CN69*DQ69),$O69*CN69))</f>
        <v>0</v>
      </c>
      <c r="BM69" s="442">
        <f ca="1">IF($H69="",0,IF($H69=1,IF('Para Adj'!$B$5 = 1,AI69-($O69-SUMPRODUCT($CX69:DR69,$BU69:CO69))*(1-SUM($DZ69:ET69)),CO69*DR69),$O69*CO69))</f>
        <v>0</v>
      </c>
      <c r="BN69" s="442">
        <f ca="1">IF($H69="",0,IF($H69=1,IF('Para Adj'!$B$5 = 1,AJ69-($O69-SUMPRODUCT($CX69:DS69,$BU69:CP69))*(1-SUM($DZ69:EU69)),CP69*DS69),$O69*CP69))</f>
        <v>0</v>
      </c>
      <c r="BO69" s="442">
        <f ca="1">IF($H69="",0,IF($H69=1,IF('Para Adj'!$B$5 = 1,AK69-($O69-SUMPRODUCT($CX69:DT69,$BU69:CQ69))*(1-SUM($DZ69:EV69)),CQ69*DT69),$O69*CQ69))</f>
        <v>0</v>
      </c>
      <c r="BP69" s="442">
        <f ca="1">IF($H69="",0,IF($H69=1,IF('Para Adj'!$B$5 = 1,AL69-($O69-SUMPRODUCT($CX69:DU69,$BU69:CR69))*(1-SUM($DZ69:EW69)),CR69*DU69),$O69*CR69))</f>
        <v>0</v>
      </c>
      <c r="BQ69" s="442">
        <f ca="1">IF($H69="",0,IF($H69=1,IF('Para Adj'!$B$5 = 1,AM69-($O69-SUMPRODUCT($CX69:DV69,$BU69:CS69))*(1-SUM($DZ69:EX69)),CS69*DV69),$O69*CS69))</f>
        <v>0</v>
      </c>
      <c r="BR69" s="442">
        <f ca="1">IF($H69="",0,IF($H69=1,IF('Para Adj'!$B$5 = 1,AN69-($O69-SUMPRODUCT($CX69:DW69,$BU69:CT69))*(1-SUM($DZ69:EY69)),CT69*DW69),$O69*CT69))</f>
        <v>0</v>
      </c>
      <c r="BS69" s="442">
        <f ca="1">IF($H69="",0,IF($H69=1,IF('Para Adj'!$B$5 = 1,AO69-($O69-SUMPRODUCT($CX69:DX69,$BU69:CU69))*(1-SUM($DZ69:EZ69)),CU69*DX69),$O69*CU69))</f>
        <v>0</v>
      </c>
      <c r="BU69" s="820">
        <v>1</v>
      </c>
      <c r="BV69" s="820">
        <v>1</v>
      </c>
      <c r="BW69" s="820">
        <v>1</v>
      </c>
      <c r="BX69" s="820">
        <v>1</v>
      </c>
      <c r="BY69" s="820">
        <v>1</v>
      </c>
      <c r="BZ69" s="820">
        <v>1</v>
      </c>
      <c r="CA69" s="820">
        <v>1</v>
      </c>
      <c r="CB69" s="820">
        <v>1</v>
      </c>
      <c r="CC69" s="820">
        <v>1</v>
      </c>
      <c r="CD69" s="820">
        <v>1</v>
      </c>
      <c r="CE69" s="820">
        <v>1</v>
      </c>
      <c r="CF69" s="820">
        <v>1</v>
      </c>
      <c r="CG69" s="820">
        <v>1</v>
      </c>
      <c r="CH69" s="820">
        <v>1</v>
      </c>
      <c r="CI69" s="820">
        <v>1</v>
      </c>
      <c r="CJ69" s="820">
        <v>1</v>
      </c>
      <c r="CK69" s="820">
        <v>1</v>
      </c>
      <c r="CL69" s="820">
        <v>1</v>
      </c>
      <c r="CM69" s="820">
        <v>1</v>
      </c>
      <c r="CN69" s="820">
        <v>1</v>
      </c>
      <c r="CO69" s="820">
        <v>1</v>
      </c>
      <c r="CP69" s="820">
        <v>1</v>
      </c>
      <c r="CQ69" s="820">
        <v>1</v>
      </c>
      <c r="CR69" s="820">
        <v>1</v>
      </c>
      <c r="CS69" s="820">
        <v>1</v>
      </c>
      <c r="CT69" s="820">
        <v>1</v>
      </c>
      <c r="CU69" s="820">
        <v>1</v>
      </c>
      <c r="CX69" s="442">
        <f>IF($A69="","",INDEX('Data Interface'!G:G,$A69))</f>
        <v>0</v>
      </c>
      <c r="CY69" s="442">
        <f>IF($A69="","",INDEX('Data Interface'!H:H,$A69))</f>
        <v>0</v>
      </c>
      <c r="CZ69" s="442">
        <f>IF($A69="","",INDEX('Data Interface'!I:I,$A69))</f>
        <v>0</v>
      </c>
      <c r="DA69" s="442">
        <f>IF($A69="","",INDEX('Data Interface'!J:J,$A69))</f>
        <v>0</v>
      </c>
      <c r="DB69" s="442">
        <f>IF($A69="","",INDEX('Data Interface'!K:K,$A69))</f>
        <v>0</v>
      </c>
      <c r="DC69" s="442">
        <f>IF($A69="","",INDEX('Data Interface'!L:L,$A69))</f>
        <v>0</v>
      </c>
      <c r="DD69" s="442">
        <f>IF($A69="","",INDEX('Data Interface'!M:M,$A69))</f>
        <v>0</v>
      </c>
      <c r="DE69" s="442">
        <f>IF($A69="","",INDEX('Data Interface'!N:N,$A69))</f>
        <v>0</v>
      </c>
      <c r="DF69" s="442">
        <f>IF($A69="","",INDEX('Data Interface'!O:O,$A69))</f>
        <v>0</v>
      </c>
      <c r="DG69" s="442">
        <f>IF($A69="","",INDEX('Data Interface'!P:P,$A69))</f>
        <v>0</v>
      </c>
      <c r="DH69" s="442">
        <f>IF($A69="","",INDEX('Data Interface'!Q:Q,$A69))</f>
        <v>0</v>
      </c>
      <c r="DI69" s="442">
        <f>IF($A69="","",INDEX('Data Interface'!R:R,$A69))</f>
        <v>0</v>
      </c>
      <c r="DJ69" s="442">
        <f>IF($A69="","",INDEX('Data Interface'!S:S,$A69))</f>
        <v>0</v>
      </c>
      <c r="DK69" s="442">
        <f>IF($A69="","",INDEX('Data Interface'!T:T,$A69))</f>
        <v>0</v>
      </c>
      <c r="DL69" s="442">
        <f>IF($A69="","",INDEX('Data Interface'!U:U,$A69))</f>
        <v>0</v>
      </c>
      <c r="DM69" s="442">
        <f>IF($A69="","",INDEX('Data Interface'!V:V,$A69))</f>
        <v>0</v>
      </c>
      <c r="DN69" s="442">
        <f>IF($A69="","",INDEX('Data Interface'!W:W,$A69))</f>
        <v>0</v>
      </c>
      <c r="DO69" s="442">
        <f>IF($A69="","",INDEX('Data Interface'!X:X,$A69))</f>
        <v>0</v>
      </c>
      <c r="DP69" s="442">
        <f>IF($A69="","",INDEX('Data Interface'!Y:Y,$A69))</f>
        <v>0</v>
      </c>
      <c r="DQ69" s="442">
        <f>IF($A69="","",INDEX('Data Interface'!Z:Z,$A69))</f>
        <v>0</v>
      </c>
      <c r="DR69" s="442">
        <f>IF($A69="","",INDEX('Data Interface'!AA:AA,$A69))</f>
        <v>0</v>
      </c>
      <c r="DS69" s="442">
        <f>IF($A69="","",INDEX('Data Interface'!AB:AB,$A69))</f>
        <v>0</v>
      </c>
      <c r="DT69" s="442">
        <f>IF($A69="","",INDEX('Data Interface'!AC:AC,$A69))</f>
        <v>0</v>
      </c>
      <c r="DU69" s="442">
        <f>IF($A69="","",INDEX('Data Interface'!AD:AD,$A69))</f>
        <v>0</v>
      </c>
      <c r="DV69" s="442">
        <f>IF($A69="","",INDEX('Data Interface'!AE:AE,$A69))</f>
        <v>0</v>
      </c>
      <c r="DW69" s="442">
        <f>IF($A69="","",INDEX('Data Interface'!AF:AF,$A69))</f>
        <v>0</v>
      </c>
      <c r="DX69" s="442">
        <f>IF($A69="","",INDEX('Data Interface'!AG:AG,$A69))</f>
        <v>0</v>
      </c>
      <c r="DZ69" s="906">
        <f ca="1">IF(OR($B69=0,$A69=0,$H69&lt;&gt;1),"",INDEX(Assumptions!EO:EO,$B69))</f>
        <v>5.9999999999999993E-3</v>
      </c>
      <c r="EA69" s="906">
        <f ca="1">IF(OR($B69=0,$A69=0,$H69&lt;&gt;1),"",INDEX(Assumptions!EP:EP,$B69))</f>
        <v>1.9999999999999996E-3</v>
      </c>
      <c r="EB69" s="906">
        <f ca="1">IF(OR($B69=0,$A69=0,$H69&lt;&gt;1),"",INDEX(Assumptions!EQ:EQ,$B69))</f>
        <v>1.9999999999999996E-3</v>
      </c>
      <c r="EC69" s="906">
        <f ca="1">IF(OR($B69=0,$A69=0,$H69&lt;&gt;1),"",INDEX(Assumptions!ER:ER,$B69))</f>
        <v>1.9999999999999996E-3</v>
      </c>
      <c r="ED69" s="906">
        <f ca="1">IF(OR($B69=0,$A69=0,$H69&lt;&gt;1),"",INDEX(Assumptions!ES:ES,$B69))</f>
        <v>1.9999999999999996E-3</v>
      </c>
      <c r="EE69" s="906">
        <f ca="1">IF(OR($B69=0,$A69=0,$H69&lt;&gt;1),"",INDEX(Assumptions!ET:ET,$B69))</f>
        <v>1.9999999999999996E-3</v>
      </c>
      <c r="EF69" s="906">
        <f ca="1">IF(OR($B69=0,$A69=0,$H69&lt;&gt;1),"",INDEX(Assumptions!EU:EU,$B69))</f>
        <v>1.9999999999999996E-3</v>
      </c>
      <c r="EG69" s="906">
        <f ca="1">IF(OR($B69=0,$A69=0,$H69&lt;&gt;1),"",INDEX(Assumptions!EV:EV,$B69))</f>
        <v>1.7142857142857142E-3</v>
      </c>
      <c r="EH69" s="906">
        <f ca="1">IF(OR($B69=0,$A69=0,$H69&lt;&gt;1),"",INDEX(Assumptions!EW:EW,$B69))</f>
        <v>1.7142857142857142E-3</v>
      </c>
      <c r="EI69" s="906">
        <f ca="1">IF(OR($B69=0,$A69=0,$H69&lt;&gt;1),"",INDEX(Assumptions!EX:EX,$B69))</f>
        <v>1.7142857142857142E-3</v>
      </c>
      <c r="EJ69" s="906">
        <f ca="1">IF(OR($B69=0,$A69=0,$H69&lt;&gt;1),"",INDEX(Assumptions!EY:EY,$B69))</f>
        <v>1.7142857142857142E-3</v>
      </c>
      <c r="EK69" s="906">
        <f ca="1">IF(OR($B69=0,$A69=0,$H69&lt;&gt;1),"",INDEX(Assumptions!EZ:EZ,$B69))</f>
        <v>1.7142857142857142E-3</v>
      </c>
      <c r="EL69" s="906">
        <f ca="1">IF(OR($B69=0,$A69=0,$H69&lt;&gt;1),"",INDEX(Assumptions!FA:FA,$B69))</f>
        <v>1.7142857142857142E-3</v>
      </c>
      <c r="EM69" s="906">
        <f ca="1">IF(OR($B69=0,$A69=0,$H69&lt;&gt;1),"",INDEX(Assumptions!FB:FB,$B69))</f>
        <v>1.7142857142857142E-3</v>
      </c>
      <c r="EN69" s="906">
        <f ca="1">IF(OR($B69=0,$A69=0,$H69&lt;&gt;1),"",INDEX(Assumptions!FC:FC,$B69))</f>
        <v>0</v>
      </c>
      <c r="EO69" s="906">
        <f ca="1">IF(OR($B69=0,$A69=0,$H69&lt;&gt;1),"",INDEX(Assumptions!FD:FD,$B69))</f>
        <v>0</v>
      </c>
      <c r="EP69" s="906">
        <f ca="1">IF(OR($B69=0,$A69=0,$H69&lt;&gt;1),"",INDEX(Assumptions!FE:FE,$B69))</f>
        <v>0</v>
      </c>
      <c r="EQ69" s="906">
        <f ca="1">IF(OR($B69=0,$A69=0,$H69&lt;&gt;1),"",INDEX(Assumptions!FF:FF,$B69))</f>
        <v>0</v>
      </c>
      <c r="ER69" s="906">
        <f ca="1">IF(OR($B69=0,$A69=0,$H69&lt;&gt;1),"",INDEX(Assumptions!FG:FG,$B69))</f>
        <v>0</v>
      </c>
      <c r="ES69" s="906">
        <f ca="1">IF(OR($B69=0,$A69=0,$H69&lt;&gt;1),"",INDEX(Assumptions!FH:FH,$B69))</f>
        <v>0</v>
      </c>
      <c r="ET69" s="906">
        <f ca="1">IF(OR($B69=0,$A69=0,$H69&lt;&gt;1),"",INDEX(Assumptions!FI:FI,$B69))</f>
        <v>0</v>
      </c>
      <c r="EU69" s="906">
        <f ca="1">IF(OR($B69=0,$A69=0,$H69&lt;&gt;1),"",INDEX(Assumptions!FJ:FJ,$B69))</f>
        <v>0</v>
      </c>
      <c r="EV69" s="906">
        <f ca="1">IF(OR($B69=0,$A69=0,$H69&lt;&gt;1),"",INDEX(Assumptions!FK:FK,$B69))</f>
        <v>0</v>
      </c>
      <c r="EW69" s="906">
        <f ca="1">IF(OR($B69=0,$A69=0,$H69&lt;&gt;1),"",INDEX(Assumptions!FL:FL,$B69))</f>
        <v>0</v>
      </c>
      <c r="EX69" s="906">
        <f ca="1">IF(OR($B69=0,$A69=0,$H69&lt;&gt;1),"",INDEX(Assumptions!FM:FM,$B69))</f>
        <v>0</v>
      </c>
      <c r="EY69" s="906">
        <f ca="1">IF(OR($B69=0,$A69=0,$H69&lt;&gt;1),"",INDEX(Assumptions!FN:FN,$B69))</f>
        <v>0</v>
      </c>
      <c r="EZ69" s="906">
        <f ca="1">IF(OR($B69=0,$A69=0,$H69&lt;&gt;1),"",INDEX(Assumptions!FO:FO,$B69))</f>
        <v>0</v>
      </c>
      <c r="FB69" s="820">
        <f t="shared" ca="1" si="18"/>
        <v>0</v>
      </c>
      <c r="FC69" s="820">
        <f t="shared" ca="1" si="19"/>
        <v>2.9999999999999988E-2</v>
      </c>
      <c r="FD69" s="820">
        <f t="shared" ca="1" si="20"/>
        <v>0</v>
      </c>
      <c r="FE69" s="820">
        <f t="shared" ca="1" si="21"/>
        <v>0</v>
      </c>
      <c r="FF69" s="820">
        <f t="shared" ca="1" si="22"/>
        <v>0</v>
      </c>
    </row>
    <row r="70" spans="1:162">
      <c r="A70" s="440">
        <f>IFERROR(MATCH(C70,'Data Interface'!B:B,0),0)</f>
        <v>71</v>
      </c>
      <c r="B70" s="440">
        <f>IFERROR(MATCH(C70,Assumptions!$B:$B,0),0)</f>
        <v>36</v>
      </c>
      <c r="C70" s="441">
        <v>99</v>
      </c>
      <c r="E70" s="441" t="s">
        <v>1219</v>
      </c>
      <c r="F70" s="440" t="s">
        <v>1137</v>
      </c>
      <c r="G70" s="440" t="str">
        <f>IF(A70=0,"",INDEX('Data Interface'!$C:$C,$A70))</f>
        <v>REPO Liabilities</v>
      </c>
      <c r="H70" s="440">
        <v>1</v>
      </c>
      <c r="I70" s="819">
        <f t="shared" ref="I70:I75" ca="1" si="53">IF(H70=1,CH70,IF(H70=0,SUM(BU70:CH70),""))</f>
        <v>1</v>
      </c>
      <c r="J70" s="819">
        <f t="shared" ref="J70:J75" ca="1" si="54">IF(H70=1,CJ70,IF(H70=0,SUM(BU70:CJ70),""))</f>
        <v>1</v>
      </c>
      <c r="K70" s="439" t="str">
        <f t="shared" ref="K70:K75" ca="1" si="55">IF(H70=1,ROUND(I70*100,1)&amp;"% of Contractual Maturity",IF(H70="","No Run-off",ROUND(I70*100,1)&amp;"% of Current Balance"))</f>
        <v>100% of Contractual Maturity</v>
      </c>
      <c r="L70" s="439" t="s">
        <v>1148</v>
      </c>
      <c r="M70" s="439" t="s">
        <v>1507</v>
      </c>
      <c r="O70" s="442">
        <f>IF(OR($A70="",$A70=0),0,INDEX('Data Interface'!D:D,$A70))</f>
        <v>0</v>
      </c>
      <c r="P70" s="442">
        <f ca="1">$O70-SUM($AS70:AS70)</f>
        <v>0</v>
      </c>
      <c r="Q70" s="442">
        <f ca="1">$O70-SUM($AS70:AT70)</f>
        <v>0</v>
      </c>
      <c r="R70" s="442">
        <f ca="1">$O70-SUM($AS70:AU70)</f>
        <v>0</v>
      </c>
      <c r="S70" s="442">
        <f ca="1">$O70-SUM($AS70:AV70)</f>
        <v>0</v>
      </c>
      <c r="T70" s="442">
        <f ca="1">$O70-SUM($AS70:AW70)</f>
        <v>0</v>
      </c>
      <c r="U70" s="442">
        <f ca="1">$O70-SUM($AS70:AX70)</f>
        <v>0</v>
      </c>
      <c r="V70" s="442">
        <f ca="1">$O70-SUM($AS70:AY70)</f>
        <v>0</v>
      </c>
      <c r="W70" s="442">
        <f ca="1">$O70-SUM($AS70:AZ70)</f>
        <v>0</v>
      </c>
      <c r="X70" s="442">
        <f ca="1">$O70-SUM($AS70:BA70)</f>
        <v>0</v>
      </c>
      <c r="Y70" s="442">
        <f ca="1">$O70-SUM($AS70:BB70)</f>
        <v>0</v>
      </c>
      <c r="Z70" s="442">
        <f ca="1">$O70-SUM($AS70:BC70)</f>
        <v>0</v>
      </c>
      <c r="AA70" s="442">
        <f ca="1">$O70-SUM($AS70:BD70)</f>
        <v>0</v>
      </c>
      <c r="AB70" s="442">
        <f ca="1">$O70-SUM($AS70:BE70)</f>
        <v>0</v>
      </c>
      <c r="AC70" s="442">
        <f ca="1">$O70-SUM($AS70:BF70)</f>
        <v>0</v>
      </c>
      <c r="AD70" s="442">
        <f ca="1">$O70-SUM($AS70:BG70)</f>
        <v>0</v>
      </c>
      <c r="AE70" s="442">
        <f ca="1">$O70-SUM($AS70:BH70)</f>
        <v>0</v>
      </c>
      <c r="AF70" s="442">
        <f ca="1">$O70-SUM($AS70:BI70)</f>
        <v>0</v>
      </c>
      <c r="AG70" s="442">
        <f ca="1">$O70-SUM($AS70:BJ70)</f>
        <v>0</v>
      </c>
      <c r="AH70" s="442">
        <f ca="1">$O70-SUM($AS70:BK70)</f>
        <v>0</v>
      </c>
      <c r="AI70" s="442">
        <f ca="1">$O70-SUM($AS70:BL70)</f>
        <v>0</v>
      </c>
      <c r="AJ70" s="442">
        <f ca="1">$O70-SUM($AS70:BM70)</f>
        <v>0</v>
      </c>
      <c r="AK70" s="442">
        <f ca="1">$O70-SUM($AS70:BN70)</f>
        <v>0</v>
      </c>
      <c r="AL70" s="442">
        <f ca="1">$O70-SUM($AS70:BO70)</f>
        <v>0</v>
      </c>
      <c r="AM70" s="442">
        <f ca="1">$O70-SUM($AS70:BP70)</f>
        <v>0</v>
      </c>
      <c r="AN70" s="442">
        <f ca="1">$O70-SUM($AS70:BQ70)</f>
        <v>0</v>
      </c>
      <c r="AO70" s="442">
        <f ca="1">$O70-SUM($AS70:BR70)</f>
        <v>0</v>
      </c>
      <c r="AP70" s="442">
        <f ca="1">$O70-SUM($AS70:BS70)</f>
        <v>0</v>
      </c>
      <c r="AR70" s="439" t="s">
        <v>1202</v>
      </c>
      <c r="AS70" s="442">
        <f ca="1">IF($H70="",0,IF($H70=1,IF('Para Adj'!$B$5 = 1,O70-($O70-SUMPRODUCT($CX70:CX70,$BU70:BU70))*(1-SUM($DZ70:DZ70)),BU70*CX70),$O70*BU70))</f>
        <v>0</v>
      </c>
      <c r="AT70" s="442">
        <f ca="1">IF($H70="",0,IF($H70=1,IF('Para Adj'!$B$5 = 1,P70-($O70-SUMPRODUCT($CX70:CY70,$BU70:BV70))*(1-SUM($DZ70:EA70)),BV70*CY70),$O70*BV70))</f>
        <v>0</v>
      </c>
      <c r="AU70" s="442">
        <f ca="1">IF($H70="",0,IF($H70=1,IF('Para Adj'!$B$5 = 1,Q70-($O70-SUMPRODUCT($CX70:CZ70,$BU70:BW70))*(1-SUM($DZ70:EB70)),BW70*CZ70),$O70*BW70))</f>
        <v>0</v>
      </c>
      <c r="AV70" s="442">
        <f ca="1">IF($H70="",0,IF($H70=1,IF('Para Adj'!$B$5 = 1,R70-($O70-SUMPRODUCT($CX70:DA70,$BU70:BX70))*(1-SUM($DZ70:EC70)),BX70*DA70),$O70*BX70))</f>
        <v>0</v>
      </c>
      <c r="AW70" s="442">
        <f ca="1">IF($H70="",0,IF($H70=1,IF('Para Adj'!$B$5 = 1,S70-($O70-SUMPRODUCT($CX70:DB70,$BU70:BY70))*(1-SUM($DZ70:ED70)),BY70*DB70),$O70*BY70))</f>
        <v>0</v>
      </c>
      <c r="AX70" s="442">
        <f ca="1">IF($H70="",0,IF($H70=1,IF('Para Adj'!$B$5 = 1,T70-($O70-SUMPRODUCT($CX70:DC70,$BU70:BZ70))*(1-SUM($DZ70:EE70)),BZ70*DC70),$O70*BZ70))</f>
        <v>0</v>
      </c>
      <c r="AY70" s="442">
        <f ca="1">IF($H70="",0,IF($H70=1,IF('Para Adj'!$B$5 = 1,U70-($O70-SUMPRODUCT($CX70:DD70,$BU70:CA70))*(1-SUM($DZ70:EF70)),CA70*DD70),$O70*CA70))</f>
        <v>0</v>
      </c>
      <c r="AZ70" s="442">
        <f ca="1">IF($H70="",0,IF($H70=1,IF('Para Adj'!$B$5 = 1,V70-($O70-SUMPRODUCT($CX70:DE70,$BU70:CB70))*(1-SUM($DZ70:EG70)),CB70*DE70),$O70*CB70))</f>
        <v>0</v>
      </c>
      <c r="BA70" s="442">
        <f ca="1">IF($H70="",0,IF($H70=1,IF('Para Adj'!$B$5 = 1,W70-($O70-SUMPRODUCT($CX70:DF70,$BU70:CC70))*(1-SUM($DZ70:EH70)),CC70*DF70),$O70*CC70))</f>
        <v>0</v>
      </c>
      <c r="BB70" s="442">
        <f ca="1">IF($H70="",0,IF($H70=1,IF('Para Adj'!$B$5 = 1,X70-($O70-SUMPRODUCT($CX70:DG70,$BU70:CD70))*(1-SUM($DZ70:EI70)),CD70*DG70),$O70*CD70))</f>
        <v>0</v>
      </c>
      <c r="BC70" s="442">
        <f ca="1">IF($H70="",0,IF($H70=1,IF('Para Adj'!$B$5 = 1,Y70-($O70-SUMPRODUCT($CX70:DH70,$BU70:CE70))*(1-SUM($DZ70:EJ70)),CE70*DH70),$O70*CE70))</f>
        <v>0</v>
      </c>
      <c r="BD70" s="442">
        <f ca="1">IF($H70="",0,IF($H70=1,IF('Para Adj'!$B$5 = 1,Z70-($O70-SUMPRODUCT($CX70:DI70,$BU70:CF70))*(1-SUM($DZ70:EK70)),CF70*DI70),$O70*CF70))</f>
        <v>0</v>
      </c>
      <c r="BE70" s="442">
        <f ca="1">IF($H70="",0,IF($H70=1,IF('Para Adj'!$B$5 = 1,AA70-($O70-SUMPRODUCT($CX70:DJ70,$BU70:CG70))*(1-SUM($DZ70:EL70)),CG70*DJ70),$O70*CG70))</f>
        <v>0</v>
      </c>
      <c r="BF70" s="442">
        <f ca="1">IF($H70="",0,IF($H70=1,IF('Para Adj'!$B$5 = 1,AB70-($O70-SUMPRODUCT($CX70:DK70,$BU70:CH70))*(1-SUM($DZ70:EM70)),CH70*DK70),$O70*CH70))</f>
        <v>0</v>
      </c>
      <c r="BG70" s="442">
        <f ca="1">IF($H70="",0,IF($H70=1,IF('Para Adj'!$B$5 = 1,AC70-($O70-SUMPRODUCT($CX70:DL70,$BU70:CI70))*(1-SUM($DZ70:EN70)),CI70*DL70),$O70*CI70))</f>
        <v>0</v>
      </c>
      <c r="BH70" s="442">
        <f ca="1">IF($H70="",0,IF($H70=1,IF('Para Adj'!$B$5 = 1,AD70-($O70-SUMPRODUCT($CX70:DM70,$BU70:CJ70))*(1-SUM($DZ70:EO70)),CJ70*DM70),$O70*CJ70))</f>
        <v>0</v>
      </c>
      <c r="BI70" s="442">
        <f ca="1">IF($H70="",0,IF($H70=1,IF('Para Adj'!$B$5 = 1,AE70-($O70-SUMPRODUCT($CX70:DN70,$BU70:CK70))*(1-SUM($DZ70:EP70)),CK70*DN70),$O70*CK70))</f>
        <v>0</v>
      </c>
      <c r="BJ70" s="442">
        <f ca="1">IF($H70="",0,IF($H70=1,IF('Para Adj'!$B$5 = 1,AF70-($O70-SUMPRODUCT($CX70:DO70,$BU70:CL70))*(1-SUM($DZ70:EQ70)),CL70*DO70),$O70*CL70))</f>
        <v>0</v>
      </c>
      <c r="BK70" s="442">
        <f ca="1">IF($H70="",0,IF($H70=1,IF('Para Adj'!$B$5 = 1,AG70-($O70-SUMPRODUCT($CX70:DP70,$BU70:CM70))*(1-SUM($DZ70:ER70)),CM70*DP70),$O70*CM70))</f>
        <v>0</v>
      </c>
      <c r="BL70" s="442">
        <f ca="1">IF($H70="",0,IF($H70=1,IF('Para Adj'!$B$5 = 1,AH70-($O70-SUMPRODUCT($CX70:DQ70,$BU70:CN70))*(1-SUM($DZ70:ES70)),CN70*DQ70),$O70*CN70))</f>
        <v>0</v>
      </c>
      <c r="BM70" s="442">
        <f ca="1">IF($H70="",0,IF($H70=1,IF('Para Adj'!$B$5 = 1,AI70-($O70-SUMPRODUCT($CX70:DR70,$BU70:CO70))*(1-SUM($DZ70:ET70)),CO70*DR70),$O70*CO70))</f>
        <v>0</v>
      </c>
      <c r="BN70" s="442">
        <f ca="1">IF($H70="",0,IF($H70=1,IF('Para Adj'!$B$5 = 1,AJ70-($O70-SUMPRODUCT($CX70:DS70,$BU70:CP70))*(1-SUM($DZ70:EU70)),CP70*DS70),$O70*CP70))</f>
        <v>0</v>
      </c>
      <c r="BO70" s="442">
        <f ca="1">IF($H70="",0,IF($H70=1,IF('Para Adj'!$B$5 = 1,AK70-($O70-SUMPRODUCT($CX70:DT70,$BU70:CQ70))*(1-SUM($DZ70:EV70)),CQ70*DT70),$O70*CQ70))</f>
        <v>0</v>
      </c>
      <c r="BP70" s="442">
        <f ca="1">IF($H70="",0,IF($H70=1,IF('Para Adj'!$B$5 = 1,AL70-($O70-SUMPRODUCT($CX70:DU70,$BU70:CR70))*(1-SUM($DZ70:EW70)),CR70*DU70),$O70*CR70))</f>
        <v>0</v>
      </c>
      <c r="BQ70" s="442">
        <f ca="1">IF($H70="",0,IF($H70=1,IF('Para Adj'!$B$5 = 1,AM70-($O70-SUMPRODUCT($CX70:DV70,$BU70:CS70))*(1-SUM($DZ70:EX70)),CS70*DV70),$O70*CS70))</f>
        <v>0</v>
      </c>
      <c r="BR70" s="442">
        <f ca="1">IF($H70="",0,IF($H70=1,IF('Para Adj'!$B$5 = 1,AN70-($O70-SUMPRODUCT($CX70:DW70,$BU70:CT70))*(1-SUM($DZ70:EY70)),CT70*DW70),$O70*CT70))</f>
        <v>0</v>
      </c>
      <c r="BS70" s="442">
        <f ca="1">IF($H70="",0,IF($H70=1,IF('Para Adj'!$B$5 = 1,AO70-($O70-SUMPRODUCT($CX70:DX70,$BU70:CU70))*(1-SUM($DZ70:EZ70)),CU70*DX70),$O70*CU70))</f>
        <v>0</v>
      </c>
      <c r="BU70" s="820">
        <f ca="1">IF($B70=0,"",INDEX(Assumptions!G:G,$B70))</f>
        <v>1</v>
      </c>
      <c r="BV70" s="820">
        <f ca="1">IF($B70=0,"",INDEX(Assumptions!H:H,$B70))</f>
        <v>1</v>
      </c>
      <c r="BW70" s="820">
        <f ca="1">IF($B70=0,"",INDEX(Assumptions!I:I,$B70))</f>
        <v>1</v>
      </c>
      <c r="BX70" s="820">
        <f ca="1">IF($B70=0,"",INDEX(Assumptions!J:J,$B70))</f>
        <v>1</v>
      </c>
      <c r="BY70" s="820">
        <f ca="1">IF($B70=0,"",INDEX(Assumptions!K:K,$B70))</f>
        <v>1</v>
      </c>
      <c r="BZ70" s="820">
        <f ca="1">IF($B70=0,"",INDEX(Assumptions!L:L,$B70))</f>
        <v>1</v>
      </c>
      <c r="CA70" s="820">
        <f ca="1">IF($B70=0,"",INDEX(Assumptions!M:M,$B70))</f>
        <v>1</v>
      </c>
      <c r="CB70" s="820">
        <f ca="1">IF($B70=0,"",INDEX(Assumptions!N:N,$B70))</f>
        <v>1</v>
      </c>
      <c r="CC70" s="820">
        <f ca="1">IF($B70=0,"",INDEX(Assumptions!O:O,$B70))</f>
        <v>1</v>
      </c>
      <c r="CD70" s="820">
        <f ca="1">IF($B70=0,"",INDEX(Assumptions!P:P,$B70))</f>
        <v>1</v>
      </c>
      <c r="CE70" s="820">
        <f ca="1">IF($B70=0,"",INDEX(Assumptions!Q:Q,$B70))</f>
        <v>1</v>
      </c>
      <c r="CF70" s="820">
        <f ca="1">IF($B70=0,"",INDEX(Assumptions!R:R,$B70))</f>
        <v>1</v>
      </c>
      <c r="CG70" s="820">
        <f ca="1">IF($B70=0,"",INDEX(Assumptions!S:S,$B70))</f>
        <v>1</v>
      </c>
      <c r="CH70" s="820">
        <f ca="1">IF($B70=0,"",INDEX(Assumptions!T:T,$B70))</f>
        <v>1</v>
      </c>
      <c r="CI70" s="820">
        <f ca="1">IF($B70=0,"",INDEX(Assumptions!U:U,$B70))</f>
        <v>1</v>
      </c>
      <c r="CJ70" s="820">
        <f ca="1">IF($B70=0,"",INDEX(Assumptions!V:V,$B70))</f>
        <v>1</v>
      </c>
      <c r="CK70" s="820">
        <f ca="1">IF($B70=0,"",INDEX(Assumptions!W:W,$B70))</f>
        <v>1</v>
      </c>
      <c r="CL70" s="820">
        <f ca="1">IF($B70=0,"",INDEX(Assumptions!X:X,$B70))</f>
        <v>1</v>
      </c>
      <c r="CM70" s="820">
        <f ca="1">IF($B70=0,"",INDEX(Assumptions!Y:Y,$B70))</f>
        <v>1</v>
      </c>
      <c r="CN70" s="820">
        <f ca="1">IF($B70=0,"",INDEX(Assumptions!Z:Z,$B70))</f>
        <v>1</v>
      </c>
      <c r="CO70" s="820">
        <f ca="1">IF($B70=0,"",INDEX(Assumptions!AA:AA,$B70))</f>
        <v>1</v>
      </c>
      <c r="CP70" s="820">
        <f ca="1">IF($B70=0,"",INDEX(Assumptions!AB:AB,$B70))</f>
        <v>1</v>
      </c>
      <c r="CQ70" s="820">
        <f ca="1">IF($B70=0,"",INDEX(Assumptions!AC:AC,$B70))</f>
        <v>1</v>
      </c>
      <c r="CR70" s="820">
        <f ca="1">IF($B70=0,"",INDEX(Assumptions!AD:AD,$B70))</f>
        <v>1</v>
      </c>
      <c r="CS70" s="820">
        <f ca="1">IF($B70=0,"",INDEX(Assumptions!AE:AE,$B70))</f>
        <v>1</v>
      </c>
      <c r="CT70" s="820">
        <f ca="1">IF($B70=0,"",INDEX(Assumptions!AF:AF,$B70))</f>
        <v>1</v>
      </c>
      <c r="CU70" s="820">
        <f ca="1">IF($B70=0,"",INDEX(Assumptions!AG:AG,$B70))</f>
        <v>1</v>
      </c>
      <c r="CX70" s="442">
        <f>IF($A70="","",INDEX('Data Interface'!G:G,$A70))</f>
        <v>0</v>
      </c>
      <c r="CY70" s="442">
        <f>IF($A70="","",INDEX('Data Interface'!H:H,$A70))</f>
        <v>0</v>
      </c>
      <c r="CZ70" s="442">
        <f>IF($A70="","",INDEX('Data Interface'!I:I,$A70))</f>
        <v>0</v>
      </c>
      <c r="DA70" s="442">
        <f>IF($A70="","",INDEX('Data Interface'!J:J,$A70))</f>
        <v>0</v>
      </c>
      <c r="DB70" s="442">
        <f>IF($A70="","",INDEX('Data Interface'!K:K,$A70))</f>
        <v>0</v>
      </c>
      <c r="DC70" s="442">
        <f>IF($A70="","",INDEX('Data Interface'!L:L,$A70))</f>
        <v>0</v>
      </c>
      <c r="DD70" s="442">
        <f>IF($A70="","",INDEX('Data Interface'!M:M,$A70))</f>
        <v>0</v>
      </c>
      <c r="DE70" s="442">
        <f>IF($A70="","",INDEX('Data Interface'!N:N,$A70))</f>
        <v>0</v>
      </c>
      <c r="DF70" s="442">
        <f>IF($A70="","",INDEX('Data Interface'!O:O,$A70))</f>
        <v>0</v>
      </c>
      <c r="DG70" s="442">
        <f>IF($A70="","",INDEX('Data Interface'!P:P,$A70))</f>
        <v>0</v>
      </c>
      <c r="DH70" s="442">
        <f>IF($A70="","",INDEX('Data Interface'!Q:Q,$A70))</f>
        <v>0</v>
      </c>
      <c r="DI70" s="442">
        <f>IF($A70="","",INDEX('Data Interface'!R:R,$A70))</f>
        <v>0</v>
      </c>
      <c r="DJ70" s="442">
        <f>IF($A70="","",INDEX('Data Interface'!S:S,$A70))</f>
        <v>0</v>
      </c>
      <c r="DK70" s="442">
        <f>IF($A70="","",INDEX('Data Interface'!T:T,$A70))</f>
        <v>0</v>
      </c>
      <c r="DL70" s="442">
        <f>IF($A70="","",INDEX('Data Interface'!U:U,$A70))</f>
        <v>0</v>
      </c>
      <c r="DM70" s="442">
        <f>IF($A70="","",INDEX('Data Interface'!V:V,$A70))</f>
        <v>0</v>
      </c>
      <c r="DN70" s="442">
        <f>IF($A70="","",INDEX('Data Interface'!W:W,$A70))</f>
        <v>0</v>
      </c>
      <c r="DO70" s="442">
        <f>IF($A70="","",INDEX('Data Interface'!X:X,$A70))</f>
        <v>0</v>
      </c>
      <c r="DP70" s="442">
        <f>IF($A70="","",INDEX('Data Interface'!Y:Y,$A70))</f>
        <v>0</v>
      </c>
      <c r="DQ70" s="442">
        <f>IF($A70="","",INDEX('Data Interface'!Z:Z,$A70))</f>
        <v>0</v>
      </c>
      <c r="DR70" s="442">
        <f>IF($A70="","",INDEX('Data Interface'!AA:AA,$A70))</f>
        <v>0</v>
      </c>
      <c r="DS70" s="442">
        <f>IF($A70="","",INDEX('Data Interface'!AB:AB,$A70))</f>
        <v>0</v>
      </c>
      <c r="DT70" s="442">
        <f>IF($A70="","",INDEX('Data Interface'!AC:AC,$A70))</f>
        <v>0</v>
      </c>
      <c r="DU70" s="442">
        <f>IF($A70="","",INDEX('Data Interface'!AD:AD,$A70))</f>
        <v>0</v>
      </c>
      <c r="DV70" s="442">
        <f>IF($A70="","",INDEX('Data Interface'!AE:AE,$A70))</f>
        <v>0</v>
      </c>
      <c r="DW70" s="442">
        <f>IF($A70="","",INDEX('Data Interface'!AF:AF,$A70))</f>
        <v>0</v>
      </c>
      <c r="DX70" s="442">
        <f>IF($A70="","",INDEX('Data Interface'!AG:AG,$A70))</f>
        <v>0</v>
      </c>
      <c r="DZ70" s="906">
        <f>IF(OR($B70=0,$A70=0,$H70&lt;&gt;1),"",INDEX(Assumptions!EO:EO,$B70))</f>
        <v>0</v>
      </c>
      <c r="EA70" s="906">
        <f>IF(OR($B70=0,$A70=0,$H70&lt;&gt;1),"",INDEX(Assumptions!EP:EP,$B70))</f>
        <v>0</v>
      </c>
      <c r="EB70" s="906">
        <f>IF(OR($B70=0,$A70=0,$H70&lt;&gt;1),"",INDEX(Assumptions!EQ:EQ,$B70))</f>
        <v>0</v>
      </c>
      <c r="EC70" s="906">
        <f>IF(OR($B70=0,$A70=0,$H70&lt;&gt;1),"",INDEX(Assumptions!ER:ER,$B70))</f>
        <v>0</v>
      </c>
      <c r="ED70" s="906">
        <f>IF(OR($B70=0,$A70=0,$H70&lt;&gt;1),"",INDEX(Assumptions!ES:ES,$B70))</f>
        <v>0</v>
      </c>
      <c r="EE70" s="906">
        <f>IF(OR($B70=0,$A70=0,$H70&lt;&gt;1),"",INDEX(Assumptions!ET:ET,$B70))</f>
        <v>0</v>
      </c>
      <c r="EF70" s="906">
        <f>IF(OR($B70=0,$A70=0,$H70&lt;&gt;1),"",INDEX(Assumptions!EU:EU,$B70))</f>
        <v>0</v>
      </c>
      <c r="EG70" s="906">
        <f>IF(OR($B70=0,$A70=0,$H70&lt;&gt;1),"",INDEX(Assumptions!EV:EV,$B70))</f>
        <v>0</v>
      </c>
      <c r="EH70" s="906">
        <f>IF(OR($B70=0,$A70=0,$H70&lt;&gt;1),"",INDEX(Assumptions!EW:EW,$B70))</f>
        <v>0</v>
      </c>
      <c r="EI70" s="906">
        <f>IF(OR($B70=0,$A70=0,$H70&lt;&gt;1),"",INDEX(Assumptions!EX:EX,$B70))</f>
        <v>0</v>
      </c>
      <c r="EJ70" s="906">
        <f>IF(OR($B70=0,$A70=0,$H70&lt;&gt;1),"",INDEX(Assumptions!EY:EY,$B70))</f>
        <v>0</v>
      </c>
      <c r="EK70" s="906">
        <f>IF(OR($B70=0,$A70=0,$H70&lt;&gt;1),"",INDEX(Assumptions!EZ:EZ,$B70))</f>
        <v>0</v>
      </c>
      <c r="EL70" s="906">
        <f>IF(OR($B70=0,$A70=0,$H70&lt;&gt;1),"",INDEX(Assumptions!FA:FA,$B70))</f>
        <v>0</v>
      </c>
      <c r="EM70" s="906">
        <f>IF(OR($B70=0,$A70=0,$H70&lt;&gt;1),"",INDEX(Assumptions!FB:FB,$B70))</f>
        <v>0</v>
      </c>
      <c r="EN70" s="906">
        <f>IF(OR($B70=0,$A70=0,$H70&lt;&gt;1),"",INDEX(Assumptions!FC:FC,$B70))</f>
        <v>0</v>
      </c>
      <c r="EO70" s="906">
        <f>IF(OR($B70=0,$A70=0,$H70&lt;&gt;1),"",INDEX(Assumptions!FD:FD,$B70))</f>
        <v>0</v>
      </c>
      <c r="EP70" s="906">
        <f>IF(OR($B70=0,$A70=0,$H70&lt;&gt;1),"",INDEX(Assumptions!FE:FE,$B70))</f>
        <v>0</v>
      </c>
      <c r="EQ70" s="906">
        <f>IF(OR($B70=0,$A70=0,$H70&lt;&gt;1),"",INDEX(Assumptions!FF:FF,$B70))</f>
        <v>0</v>
      </c>
      <c r="ER70" s="906">
        <f>IF(OR($B70=0,$A70=0,$H70&lt;&gt;1),"",INDEX(Assumptions!FG:FG,$B70))</f>
        <v>0</v>
      </c>
      <c r="ES70" s="906">
        <f>IF(OR($B70=0,$A70=0,$H70&lt;&gt;1),"",INDEX(Assumptions!FH:FH,$B70))</f>
        <v>0</v>
      </c>
      <c r="ET70" s="906">
        <f>IF(OR($B70=0,$A70=0,$H70&lt;&gt;1),"",INDEX(Assumptions!FI:FI,$B70))</f>
        <v>0</v>
      </c>
      <c r="EU70" s="906">
        <f>IF(OR($B70=0,$A70=0,$H70&lt;&gt;1),"",INDEX(Assumptions!FJ:FJ,$B70))</f>
        <v>0</v>
      </c>
      <c r="EV70" s="906">
        <f>IF(OR($B70=0,$A70=0,$H70&lt;&gt;1),"",INDEX(Assumptions!FK:FK,$B70))</f>
        <v>0</v>
      </c>
      <c r="EW70" s="906">
        <f>IF(OR($B70=0,$A70=0,$H70&lt;&gt;1),"",INDEX(Assumptions!FL:FL,$B70))</f>
        <v>0</v>
      </c>
      <c r="EX70" s="906">
        <f>IF(OR($B70=0,$A70=0,$H70&lt;&gt;1),"",INDEX(Assumptions!FM:FM,$B70))</f>
        <v>0</v>
      </c>
      <c r="EY70" s="906">
        <f>IF(OR($B70=0,$A70=0,$H70&lt;&gt;1),"",INDEX(Assumptions!FN:FN,$B70))</f>
        <v>0</v>
      </c>
      <c r="EZ70" s="906">
        <f>IF(OR($B70=0,$A70=0,$H70&lt;&gt;1),"",INDEX(Assumptions!FO:FO,$B70))</f>
        <v>0</v>
      </c>
      <c r="FB70" s="820" t="str">
        <f t="shared" si="18"/>
        <v/>
      </c>
      <c r="FC70" s="820" t="str">
        <f t="shared" si="19"/>
        <v/>
      </c>
      <c r="FD70" s="820" t="str">
        <f t="shared" si="20"/>
        <v/>
      </c>
      <c r="FE70" s="820" t="str">
        <f t="shared" si="21"/>
        <v/>
      </c>
      <c r="FF70" s="820" t="str">
        <f t="shared" si="22"/>
        <v/>
      </c>
    </row>
    <row r="71" spans="1:162">
      <c r="A71" s="440">
        <f>IFERROR(MATCH(C71,'Data Interface'!B:B,0),0)</f>
        <v>68</v>
      </c>
      <c r="B71" s="440">
        <f>IFERROR(MATCH(C71,Assumptions!$B:$B,0),0)</f>
        <v>0</v>
      </c>
      <c r="C71" s="441">
        <v>13</v>
      </c>
      <c r="E71" s="441" t="s">
        <v>1219</v>
      </c>
      <c r="F71" s="440" t="s">
        <v>27</v>
      </c>
      <c r="G71" s="440" t="str">
        <f>IF(A71=0,"",INDEX('Data Interface'!$C:$C,$A71))</f>
        <v>Other Liabilities</v>
      </c>
      <c r="H71" s="440" t="s">
        <v>1030</v>
      </c>
      <c r="I71" s="819" t="str">
        <f t="shared" si="53"/>
        <v/>
      </c>
      <c r="J71" s="819" t="str">
        <f t="shared" si="54"/>
        <v/>
      </c>
      <c r="K71" s="439" t="str">
        <f t="shared" si="55"/>
        <v>No Run-off</v>
      </c>
      <c r="L71" s="439" t="s">
        <v>1148</v>
      </c>
      <c r="M71" s="439"/>
      <c r="O71" s="442">
        <f>IF(OR($A71="",$A71=0),0,INDEX('Data Interface'!D:D,$A71))</f>
        <v>411.85919435999989</v>
      </c>
      <c r="P71" s="442">
        <f>$O71-SUM($AS71:AS71)</f>
        <v>411.85919435999989</v>
      </c>
      <c r="Q71" s="442">
        <f>$O71-SUM($AS71:AT71)</f>
        <v>411.85919435999989</v>
      </c>
      <c r="R71" s="442">
        <f>$O71-SUM($AS71:AU71)</f>
        <v>411.85919435999989</v>
      </c>
      <c r="S71" s="442">
        <f>$O71-SUM($AS71:AV71)</f>
        <v>411.85919435999989</v>
      </c>
      <c r="T71" s="442">
        <f>$O71-SUM($AS71:AW71)</f>
        <v>411.85919435999989</v>
      </c>
      <c r="U71" s="442">
        <f>$O71-SUM($AS71:AX71)</f>
        <v>411.85919435999989</v>
      </c>
      <c r="V71" s="442">
        <f>$O71-SUM($AS71:AY71)</f>
        <v>411.85919435999989</v>
      </c>
      <c r="W71" s="442">
        <f>$O71-SUM($AS71:AZ71)</f>
        <v>411.85919435999989</v>
      </c>
      <c r="X71" s="442">
        <f>$O71-SUM($AS71:BA71)</f>
        <v>411.85919435999989</v>
      </c>
      <c r="Y71" s="442">
        <f>$O71-SUM($AS71:BB71)</f>
        <v>411.85919435999989</v>
      </c>
      <c r="Z71" s="442">
        <f>$O71-SUM($AS71:BC71)</f>
        <v>411.85919435999989</v>
      </c>
      <c r="AA71" s="442">
        <f>$O71-SUM($AS71:BD71)</f>
        <v>411.85919435999989</v>
      </c>
      <c r="AB71" s="442">
        <f>$O71-SUM($AS71:BE71)</f>
        <v>411.85919435999989</v>
      </c>
      <c r="AC71" s="442">
        <f>$O71-SUM($AS71:BF71)</f>
        <v>411.85919435999989</v>
      </c>
      <c r="AD71" s="442">
        <f>$O71-SUM($AS71:BG71)</f>
        <v>411.85919435999989</v>
      </c>
      <c r="AE71" s="442">
        <f>$O71-SUM($AS71:BH71)</f>
        <v>411.85919435999989</v>
      </c>
      <c r="AF71" s="442">
        <f>$O71-SUM($AS71:BI71)</f>
        <v>411.85919435999989</v>
      </c>
      <c r="AG71" s="442">
        <f>$O71-SUM($AS71:BJ71)</f>
        <v>411.85919435999989</v>
      </c>
      <c r="AH71" s="442">
        <f>$O71-SUM($AS71:BK71)</f>
        <v>411.85919435999989</v>
      </c>
      <c r="AI71" s="442">
        <f>$O71-SUM($AS71:BL71)</f>
        <v>411.85919435999989</v>
      </c>
      <c r="AJ71" s="442">
        <f>$O71-SUM($AS71:BM71)</f>
        <v>411.85919435999989</v>
      </c>
      <c r="AK71" s="442">
        <f>$O71-SUM($AS71:BN71)</f>
        <v>411.85919435999989</v>
      </c>
      <c r="AL71" s="442">
        <f>$O71-SUM($AS71:BO71)</f>
        <v>411.85919435999989</v>
      </c>
      <c r="AM71" s="442">
        <f>$O71-SUM($AS71:BP71)</f>
        <v>411.85919435999989</v>
      </c>
      <c r="AN71" s="442">
        <f>$O71-SUM($AS71:BQ71)</f>
        <v>411.85919435999989</v>
      </c>
      <c r="AO71" s="442">
        <f>$O71-SUM($AS71:BR71)</f>
        <v>411.85919435999989</v>
      </c>
      <c r="AP71" s="442">
        <f>$O71-SUM($AS71:BS71)</f>
        <v>411.85919435999989</v>
      </c>
      <c r="AR71" s="439" t="s">
        <v>1202</v>
      </c>
      <c r="AS71" s="442">
        <f>IF($H71="",0,IF($H71=1,IF('Para Adj'!$B$5 = 1,O71-($O71-SUMPRODUCT($CX71:CX71,$BU71:BU71))*(1-SUM($DZ71:DZ71)),BU71*CX71),$O71*BU71))</f>
        <v>0</v>
      </c>
      <c r="AT71" s="442">
        <f>IF($H71="",0,IF($H71=1,IF('Para Adj'!$B$5 = 1,P71-($O71-SUMPRODUCT($CX71:CY71,$BU71:BV71))*(1-SUM($DZ71:EA71)),BV71*CY71),$O71*BV71))</f>
        <v>0</v>
      </c>
      <c r="AU71" s="442">
        <f>IF($H71="",0,IF($H71=1,IF('Para Adj'!$B$5 = 1,Q71-($O71-SUMPRODUCT($CX71:CZ71,$BU71:BW71))*(1-SUM($DZ71:EB71)),BW71*CZ71),$O71*BW71))</f>
        <v>0</v>
      </c>
      <c r="AV71" s="442">
        <f>IF($H71="",0,IF($H71=1,IF('Para Adj'!$B$5 = 1,R71-($O71-SUMPRODUCT($CX71:DA71,$BU71:BX71))*(1-SUM($DZ71:EC71)),BX71*DA71),$O71*BX71))</f>
        <v>0</v>
      </c>
      <c r="AW71" s="442">
        <f>IF($H71="",0,IF($H71=1,IF('Para Adj'!$B$5 = 1,S71-($O71-SUMPRODUCT($CX71:DB71,$BU71:BY71))*(1-SUM($DZ71:ED71)),BY71*DB71),$O71*BY71))</f>
        <v>0</v>
      </c>
      <c r="AX71" s="442">
        <f>IF($H71="",0,IF($H71=1,IF('Para Adj'!$B$5 = 1,T71-($O71-SUMPRODUCT($CX71:DC71,$BU71:BZ71))*(1-SUM($DZ71:EE71)),BZ71*DC71),$O71*BZ71))</f>
        <v>0</v>
      </c>
      <c r="AY71" s="442">
        <f>IF($H71="",0,IF($H71=1,IF('Para Adj'!$B$5 = 1,U71-($O71-SUMPRODUCT($CX71:DD71,$BU71:CA71))*(1-SUM($DZ71:EF71)),CA71*DD71),$O71*CA71))</f>
        <v>0</v>
      </c>
      <c r="AZ71" s="442">
        <f>IF($H71="",0,IF($H71=1,IF('Para Adj'!$B$5 = 1,V71-($O71-SUMPRODUCT($CX71:DE71,$BU71:CB71))*(1-SUM($DZ71:EG71)),CB71*DE71),$O71*CB71))</f>
        <v>0</v>
      </c>
      <c r="BA71" s="442">
        <f>IF($H71="",0,IF($H71=1,IF('Para Adj'!$B$5 = 1,W71-($O71-SUMPRODUCT($CX71:DF71,$BU71:CC71))*(1-SUM($DZ71:EH71)),CC71*DF71),$O71*CC71))</f>
        <v>0</v>
      </c>
      <c r="BB71" s="442">
        <f>IF($H71="",0,IF($H71=1,IF('Para Adj'!$B$5 = 1,X71-($O71-SUMPRODUCT($CX71:DG71,$BU71:CD71))*(1-SUM($DZ71:EI71)),CD71*DG71),$O71*CD71))</f>
        <v>0</v>
      </c>
      <c r="BC71" s="442">
        <f>IF($H71="",0,IF($H71=1,IF('Para Adj'!$B$5 = 1,Y71-($O71-SUMPRODUCT($CX71:DH71,$BU71:CE71))*(1-SUM($DZ71:EJ71)),CE71*DH71),$O71*CE71))</f>
        <v>0</v>
      </c>
      <c r="BD71" s="442">
        <f>IF($H71="",0,IF($H71=1,IF('Para Adj'!$B$5 = 1,Z71-($O71-SUMPRODUCT($CX71:DI71,$BU71:CF71))*(1-SUM($DZ71:EK71)),CF71*DI71),$O71*CF71))</f>
        <v>0</v>
      </c>
      <c r="BE71" s="442">
        <f>IF($H71="",0,IF($H71=1,IF('Para Adj'!$B$5 = 1,AA71-($O71-SUMPRODUCT($CX71:DJ71,$BU71:CG71))*(1-SUM($DZ71:EL71)),CG71*DJ71),$O71*CG71))</f>
        <v>0</v>
      </c>
      <c r="BF71" s="442">
        <f>IF($H71="",0,IF($H71=1,IF('Para Adj'!$B$5 = 1,AB71-($O71-SUMPRODUCT($CX71:DK71,$BU71:CH71))*(1-SUM($DZ71:EM71)),CH71*DK71),$O71*CH71))</f>
        <v>0</v>
      </c>
      <c r="BG71" s="442">
        <f>IF($H71="",0,IF($H71=1,IF('Para Adj'!$B$5 = 1,AC71-($O71-SUMPRODUCT($CX71:DL71,$BU71:CI71))*(1-SUM($DZ71:EN71)),CI71*DL71),$O71*CI71))</f>
        <v>0</v>
      </c>
      <c r="BH71" s="442">
        <f>IF($H71="",0,IF($H71=1,IF('Para Adj'!$B$5 = 1,AD71-($O71-SUMPRODUCT($CX71:DM71,$BU71:CJ71))*(1-SUM($DZ71:EO71)),CJ71*DM71),$O71*CJ71))</f>
        <v>0</v>
      </c>
      <c r="BI71" s="442">
        <f>IF($H71="",0,IF($H71=1,IF('Para Adj'!$B$5 = 1,AE71-($O71-SUMPRODUCT($CX71:DN71,$BU71:CK71))*(1-SUM($DZ71:EP71)),CK71*DN71),$O71*CK71))</f>
        <v>0</v>
      </c>
      <c r="BJ71" s="442">
        <f>IF($H71="",0,IF($H71=1,IF('Para Adj'!$B$5 = 1,AF71-($O71-SUMPRODUCT($CX71:DO71,$BU71:CL71))*(1-SUM($DZ71:EQ71)),CL71*DO71),$O71*CL71))</f>
        <v>0</v>
      </c>
      <c r="BK71" s="442">
        <f>IF($H71="",0,IF($H71=1,IF('Para Adj'!$B$5 = 1,AG71-($O71-SUMPRODUCT($CX71:DP71,$BU71:CM71))*(1-SUM($DZ71:ER71)),CM71*DP71),$O71*CM71))</f>
        <v>0</v>
      </c>
      <c r="BL71" s="442">
        <f>IF($H71="",0,IF($H71=1,IF('Para Adj'!$B$5 = 1,AH71-($O71-SUMPRODUCT($CX71:DQ71,$BU71:CN71))*(1-SUM($DZ71:ES71)),CN71*DQ71),$O71*CN71))</f>
        <v>0</v>
      </c>
      <c r="BM71" s="442">
        <f>IF($H71="",0,IF($H71=1,IF('Para Adj'!$B$5 = 1,AI71-($O71-SUMPRODUCT($CX71:DR71,$BU71:CO71))*(1-SUM($DZ71:ET71)),CO71*DR71),$O71*CO71))</f>
        <v>0</v>
      </c>
      <c r="BN71" s="442">
        <f>IF($H71="",0,IF($H71=1,IF('Para Adj'!$B$5 = 1,AJ71-($O71-SUMPRODUCT($CX71:DS71,$BU71:CP71))*(1-SUM($DZ71:EU71)),CP71*DS71),$O71*CP71))</f>
        <v>0</v>
      </c>
      <c r="BO71" s="442">
        <f>IF($H71="",0,IF($H71=1,IF('Para Adj'!$B$5 = 1,AK71-($O71-SUMPRODUCT($CX71:DT71,$BU71:CQ71))*(1-SUM($DZ71:EV71)),CQ71*DT71),$O71*CQ71))</f>
        <v>0</v>
      </c>
      <c r="BP71" s="442">
        <f>IF($H71="",0,IF($H71=1,IF('Para Adj'!$B$5 = 1,AL71-($O71-SUMPRODUCT($CX71:DU71,$BU71:CR71))*(1-SUM($DZ71:EW71)),CR71*DU71),$O71*CR71))</f>
        <v>0</v>
      </c>
      <c r="BQ71" s="442">
        <f>IF($H71="",0,IF($H71=1,IF('Para Adj'!$B$5 = 1,AM71-($O71-SUMPRODUCT($CX71:DV71,$BU71:CS71))*(1-SUM($DZ71:EX71)),CS71*DV71),$O71*CS71))</f>
        <v>0</v>
      </c>
      <c r="BR71" s="442">
        <f>IF($H71="",0,IF($H71=1,IF('Para Adj'!$B$5 = 1,AN71-($O71-SUMPRODUCT($CX71:DW71,$BU71:CT71))*(1-SUM($DZ71:EY71)),CT71*DW71),$O71*CT71))</f>
        <v>0</v>
      </c>
      <c r="BS71" s="442">
        <f>IF($H71="",0,IF($H71=1,IF('Para Adj'!$B$5 = 1,AO71-($O71-SUMPRODUCT($CX71:DX71,$BU71:CU71))*(1-SUM($DZ71:EZ71)),CU71*DX71),$O71*CU71))</f>
        <v>0</v>
      </c>
      <c r="BU71" s="820" t="str">
        <f>IF($B71=0,"",INDEX(Assumptions!G:G,$B71))</f>
        <v/>
      </c>
      <c r="BV71" s="820" t="str">
        <f>IF($B71=0,"",INDEX(Assumptions!H:H,$B71))</f>
        <v/>
      </c>
      <c r="BW71" s="820" t="str">
        <f>IF($B71=0,"",INDEX(Assumptions!I:I,$B71))</f>
        <v/>
      </c>
      <c r="BX71" s="820" t="str">
        <f>IF($B71=0,"",INDEX(Assumptions!J:J,$B71))</f>
        <v/>
      </c>
      <c r="BY71" s="820" t="str">
        <f>IF($B71=0,"",INDEX(Assumptions!K:K,$B71))</f>
        <v/>
      </c>
      <c r="BZ71" s="820" t="str">
        <f>IF($B71=0,"",INDEX(Assumptions!L:L,$B71))</f>
        <v/>
      </c>
      <c r="CA71" s="820" t="str">
        <f>IF($B71=0,"",INDEX(Assumptions!M:M,$B71))</f>
        <v/>
      </c>
      <c r="CB71" s="820" t="str">
        <f>IF($B71=0,"",INDEX(Assumptions!N:N,$B71))</f>
        <v/>
      </c>
      <c r="CC71" s="820" t="str">
        <f>IF($B71=0,"",INDEX(Assumptions!O:O,$B71))</f>
        <v/>
      </c>
      <c r="CD71" s="820" t="str">
        <f>IF($B71=0,"",INDEX(Assumptions!P:P,$B71))</f>
        <v/>
      </c>
      <c r="CE71" s="820" t="str">
        <f>IF($B71=0,"",INDEX(Assumptions!Q:Q,$B71))</f>
        <v/>
      </c>
      <c r="CF71" s="820" t="str">
        <f>IF($B71=0,"",INDEX(Assumptions!R:R,$B71))</f>
        <v/>
      </c>
      <c r="CG71" s="820" t="str">
        <f>IF($B71=0,"",INDEX(Assumptions!S:S,$B71))</f>
        <v/>
      </c>
      <c r="CH71" s="820" t="str">
        <f>IF($B71=0,"",INDEX(Assumptions!T:T,$B71))</f>
        <v/>
      </c>
      <c r="CI71" s="820" t="str">
        <f>IF($B71=0,"",INDEX(Assumptions!U:U,$B71))</f>
        <v/>
      </c>
      <c r="CJ71" s="820" t="str">
        <f>IF($B71=0,"",INDEX(Assumptions!V:V,$B71))</f>
        <v/>
      </c>
      <c r="CK71" s="820" t="str">
        <f>IF($B71=0,"",INDEX(Assumptions!W:W,$B71))</f>
        <v/>
      </c>
      <c r="CL71" s="820" t="str">
        <f>IF($B71=0,"",INDEX(Assumptions!X:X,$B71))</f>
        <v/>
      </c>
      <c r="CM71" s="820" t="str">
        <f>IF($B71=0,"",INDEX(Assumptions!Y:Y,$B71))</f>
        <v/>
      </c>
      <c r="CN71" s="820" t="str">
        <f>IF($B71=0,"",INDEX(Assumptions!Z:Z,$B71))</f>
        <v/>
      </c>
      <c r="CO71" s="820" t="str">
        <f>IF($B71=0,"",INDEX(Assumptions!AA:AA,$B71))</f>
        <v/>
      </c>
      <c r="CP71" s="820" t="str">
        <f>IF($B71=0,"",INDEX(Assumptions!AB:AB,$B71))</f>
        <v/>
      </c>
      <c r="CQ71" s="820" t="str">
        <f>IF($B71=0,"",INDEX(Assumptions!AC:AC,$B71))</f>
        <v/>
      </c>
      <c r="CR71" s="820" t="str">
        <f>IF($B71=0,"",INDEX(Assumptions!AD:AD,$B71))</f>
        <v/>
      </c>
      <c r="CS71" s="820" t="str">
        <f>IF($B71=0,"",INDEX(Assumptions!AE:AE,$B71))</f>
        <v/>
      </c>
      <c r="CT71" s="820" t="str">
        <f>IF($B71=0,"",INDEX(Assumptions!AF:AF,$B71))</f>
        <v/>
      </c>
      <c r="CU71" s="820" t="str">
        <f>IF($B71=0,"",INDEX(Assumptions!AG:AG,$B71))</f>
        <v/>
      </c>
      <c r="CX71" s="442">
        <f>IF($A71="","",INDEX('Data Interface'!G:G,$A71))</f>
        <v>409.1259800599999</v>
      </c>
      <c r="CY71" s="442">
        <f>IF($A71="","",INDEX('Data Interface'!H:H,$A71))</f>
        <v>0</v>
      </c>
      <c r="CZ71" s="442">
        <f>IF($A71="","",INDEX('Data Interface'!I:I,$A71))</f>
        <v>0</v>
      </c>
      <c r="DA71" s="442">
        <f>IF($A71="","",INDEX('Data Interface'!J:J,$A71))</f>
        <v>0</v>
      </c>
      <c r="DB71" s="442">
        <f>IF($A71="","",INDEX('Data Interface'!K:K,$A71))</f>
        <v>0</v>
      </c>
      <c r="DC71" s="442">
        <f>IF($A71="","",INDEX('Data Interface'!L:L,$A71))</f>
        <v>0</v>
      </c>
      <c r="DD71" s="442">
        <f>IF($A71="","",INDEX('Data Interface'!M:M,$A71))</f>
        <v>0</v>
      </c>
      <c r="DE71" s="442">
        <f>IF($A71="","",INDEX('Data Interface'!N:N,$A71))</f>
        <v>0</v>
      </c>
      <c r="DF71" s="442">
        <f>IF($A71="","",INDEX('Data Interface'!O:O,$A71))</f>
        <v>0</v>
      </c>
      <c r="DG71" s="442">
        <f>IF($A71="","",INDEX('Data Interface'!P:P,$A71))</f>
        <v>0</v>
      </c>
      <c r="DH71" s="442">
        <f>IF($A71="","",INDEX('Data Interface'!Q:Q,$A71))</f>
        <v>0</v>
      </c>
      <c r="DI71" s="442">
        <f>IF($A71="","",INDEX('Data Interface'!R:R,$A71))</f>
        <v>0</v>
      </c>
      <c r="DJ71" s="442">
        <f>IF($A71="","",INDEX('Data Interface'!S:S,$A71))</f>
        <v>0</v>
      </c>
      <c r="DK71" s="442">
        <f>IF($A71="","",INDEX('Data Interface'!T:T,$A71))</f>
        <v>0</v>
      </c>
      <c r="DL71" s="442">
        <f>IF($A71="","",INDEX('Data Interface'!U:U,$A71))</f>
        <v>0</v>
      </c>
      <c r="DM71" s="442">
        <f>IF($A71="","",INDEX('Data Interface'!V:V,$A71))</f>
        <v>0</v>
      </c>
      <c r="DN71" s="442">
        <f>IF($A71="","",INDEX('Data Interface'!W:W,$A71))</f>
        <v>0</v>
      </c>
      <c r="DO71" s="442">
        <f>IF($A71="","",INDEX('Data Interface'!X:X,$A71))</f>
        <v>0</v>
      </c>
      <c r="DP71" s="442">
        <f>IF($A71="","",INDEX('Data Interface'!Y:Y,$A71))</f>
        <v>0</v>
      </c>
      <c r="DQ71" s="442">
        <f>IF($A71="","",INDEX('Data Interface'!Z:Z,$A71))</f>
        <v>0</v>
      </c>
      <c r="DR71" s="442">
        <f>IF($A71="","",INDEX('Data Interface'!AA:AA,$A71))</f>
        <v>0</v>
      </c>
      <c r="DS71" s="442">
        <f>IF($A71="","",INDEX('Data Interface'!AB:AB,$A71))</f>
        <v>0</v>
      </c>
      <c r="DT71" s="442">
        <f>IF($A71="","",INDEX('Data Interface'!AC:AC,$A71))</f>
        <v>0</v>
      </c>
      <c r="DU71" s="442">
        <f>IF($A71="","",INDEX('Data Interface'!AD:AD,$A71))</f>
        <v>0</v>
      </c>
      <c r="DV71" s="442">
        <f>IF($A71="","",INDEX('Data Interface'!AE:AE,$A71))</f>
        <v>0</v>
      </c>
      <c r="DW71" s="442">
        <f>IF($A71="","",INDEX('Data Interface'!AF:AF,$A71))</f>
        <v>0</v>
      </c>
      <c r="DX71" s="442">
        <f>IF($A71="","",INDEX('Data Interface'!AG:AG,$A71))</f>
        <v>0</v>
      </c>
      <c r="DZ71" s="906" t="str">
        <f>IF(OR($B71=0,$A71=0,$H71&lt;&gt;1),"",INDEX(Assumptions!EO:EO,$B71))</f>
        <v/>
      </c>
      <c r="EA71" s="906" t="str">
        <f>IF(OR($B71=0,$A71=0,$H71&lt;&gt;1),"",INDEX(Assumptions!EP:EP,$B71))</f>
        <v/>
      </c>
      <c r="EB71" s="906" t="str">
        <f>IF(OR($B71=0,$A71=0,$H71&lt;&gt;1),"",INDEX(Assumptions!EQ:EQ,$B71))</f>
        <v/>
      </c>
      <c r="EC71" s="906" t="str">
        <f>IF(OR($B71=0,$A71=0,$H71&lt;&gt;1),"",INDEX(Assumptions!ER:ER,$B71))</f>
        <v/>
      </c>
      <c r="ED71" s="906" t="str">
        <f>IF(OR($B71=0,$A71=0,$H71&lt;&gt;1),"",INDEX(Assumptions!ES:ES,$B71))</f>
        <v/>
      </c>
      <c r="EE71" s="906" t="str">
        <f>IF(OR($B71=0,$A71=0,$H71&lt;&gt;1),"",INDEX(Assumptions!ET:ET,$B71))</f>
        <v/>
      </c>
      <c r="EF71" s="906" t="str">
        <f>IF(OR($B71=0,$A71=0,$H71&lt;&gt;1),"",INDEX(Assumptions!EU:EU,$B71))</f>
        <v/>
      </c>
      <c r="EG71" s="906" t="str">
        <f>IF(OR($B71=0,$A71=0,$H71&lt;&gt;1),"",INDEX(Assumptions!EV:EV,$B71))</f>
        <v/>
      </c>
      <c r="EH71" s="906" t="str">
        <f>IF(OR($B71=0,$A71=0,$H71&lt;&gt;1),"",INDEX(Assumptions!EW:EW,$B71))</f>
        <v/>
      </c>
      <c r="EI71" s="906" t="str">
        <f>IF(OR($B71=0,$A71=0,$H71&lt;&gt;1),"",INDEX(Assumptions!EX:EX,$B71))</f>
        <v/>
      </c>
      <c r="EJ71" s="906" t="str">
        <f>IF(OR($B71=0,$A71=0,$H71&lt;&gt;1),"",INDEX(Assumptions!EY:EY,$B71))</f>
        <v/>
      </c>
      <c r="EK71" s="906" t="str">
        <f>IF(OR($B71=0,$A71=0,$H71&lt;&gt;1),"",INDEX(Assumptions!EZ:EZ,$B71))</f>
        <v/>
      </c>
      <c r="EL71" s="906" t="str">
        <f>IF(OR($B71=0,$A71=0,$H71&lt;&gt;1),"",INDEX(Assumptions!FA:FA,$B71))</f>
        <v/>
      </c>
      <c r="EM71" s="906" t="str">
        <f>IF(OR($B71=0,$A71=0,$H71&lt;&gt;1),"",INDEX(Assumptions!FB:FB,$B71))</f>
        <v/>
      </c>
      <c r="EN71" s="906" t="str">
        <f>IF(OR($B71=0,$A71=0,$H71&lt;&gt;1),"",INDEX(Assumptions!FC:FC,$B71))</f>
        <v/>
      </c>
      <c r="EO71" s="906" t="str">
        <f>IF(OR($B71=0,$A71=0,$H71&lt;&gt;1),"",INDEX(Assumptions!FD:FD,$B71))</f>
        <v/>
      </c>
      <c r="EP71" s="906" t="str">
        <f>IF(OR($B71=0,$A71=0,$H71&lt;&gt;1),"",INDEX(Assumptions!FE:FE,$B71))</f>
        <v/>
      </c>
      <c r="EQ71" s="906" t="str">
        <f>IF(OR($B71=0,$A71=0,$H71&lt;&gt;1),"",INDEX(Assumptions!FF:FF,$B71))</f>
        <v/>
      </c>
      <c r="ER71" s="906" t="str">
        <f>IF(OR($B71=0,$A71=0,$H71&lt;&gt;1),"",INDEX(Assumptions!FG:FG,$B71))</f>
        <v/>
      </c>
      <c r="ES71" s="906" t="str">
        <f>IF(OR($B71=0,$A71=0,$H71&lt;&gt;1),"",INDEX(Assumptions!FH:FH,$B71))</f>
        <v/>
      </c>
      <c r="ET71" s="906" t="str">
        <f>IF(OR($B71=0,$A71=0,$H71&lt;&gt;1),"",INDEX(Assumptions!FI:FI,$B71))</f>
        <v/>
      </c>
      <c r="EU71" s="906" t="str">
        <f>IF(OR($B71=0,$A71=0,$H71&lt;&gt;1),"",INDEX(Assumptions!FJ:FJ,$B71))</f>
        <v/>
      </c>
      <c r="EV71" s="906" t="str">
        <f>IF(OR($B71=0,$A71=0,$H71&lt;&gt;1),"",INDEX(Assumptions!FK:FK,$B71))</f>
        <v/>
      </c>
      <c r="EW71" s="906" t="str">
        <f>IF(OR($B71=0,$A71=0,$H71&lt;&gt;1),"",INDEX(Assumptions!FL:FL,$B71))</f>
        <v/>
      </c>
      <c r="EX71" s="906" t="str">
        <f>IF(OR($B71=0,$A71=0,$H71&lt;&gt;1),"",INDEX(Assumptions!FM:FM,$B71))</f>
        <v/>
      </c>
      <c r="EY71" s="906" t="str">
        <f>IF(OR($B71=0,$A71=0,$H71&lt;&gt;1),"",INDEX(Assumptions!FN:FN,$B71))</f>
        <v/>
      </c>
      <c r="EZ71" s="906" t="str">
        <f>IF(OR($B71=0,$A71=0,$H71&lt;&gt;1),"",INDEX(Assumptions!FO:FO,$B71))</f>
        <v/>
      </c>
      <c r="FB71" s="820" t="str">
        <f t="shared" si="18"/>
        <v/>
      </c>
      <c r="FC71" s="820" t="str">
        <f t="shared" si="19"/>
        <v/>
      </c>
      <c r="FD71" s="820" t="str">
        <f t="shared" si="20"/>
        <v/>
      </c>
      <c r="FE71" s="820" t="str">
        <f t="shared" si="21"/>
        <v/>
      </c>
      <c r="FF71" s="820" t="str">
        <f t="shared" si="22"/>
        <v/>
      </c>
    </row>
    <row r="72" spans="1:162">
      <c r="A72" s="440">
        <f>IFERROR(MATCH(C72,'Data Interface'!B:B,0),0)</f>
        <v>69</v>
      </c>
      <c r="B72" s="440">
        <f>IFERROR(MATCH(C72,Assumptions!$B:$B,0),0)</f>
        <v>0</v>
      </c>
      <c r="C72" s="441">
        <v>14</v>
      </c>
      <c r="E72" s="441" t="s">
        <v>1219</v>
      </c>
      <c r="F72" s="440" t="s">
        <v>26</v>
      </c>
      <c r="G72" s="440" t="str">
        <f>IF(A72=0,"",INDEX('Data Interface'!$C:$C,$A72))</f>
        <v>Equity</v>
      </c>
      <c r="H72" s="440" t="s">
        <v>1030</v>
      </c>
      <c r="I72" s="819" t="str">
        <f t="shared" si="53"/>
        <v/>
      </c>
      <c r="J72" s="819" t="str">
        <f t="shared" si="54"/>
        <v/>
      </c>
      <c r="K72" s="439" t="str">
        <f t="shared" si="55"/>
        <v>No Run-off</v>
      </c>
      <c r="L72" s="439" t="s">
        <v>1148</v>
      </c>
      <c r="M72" s="439"/>
      <c r="O72" s="442">
        <f>IF(OR($A72="",$A72=0),0,INDEX('Data Interface'!D:D,$A72))</f>
        <v>626.0229084099991</v>
      </c>
      <c r="P72" s="442">
        <f>$O72-SUM($AS72:AS72)</f>
        <v>626.0229084099991</v>
      </c>
      <c r="Q72" s="442">
        <f>$O72-SUM($AS72:AT72)</f>
        <v>626.0229084099991</v>
      </c>
      <c r="R72" s="442">
        <f>$O72-SUM($AS72:AU72)</f>
        <v>626.0229084099991</v>
      </c>
      <c r="S72" s="442">
        <f>$O72-SUM($AS72:AV72)</f>
        <v>626.0229084099991</v>
      </c>
      <c r="T72" s="442">
        <f>$O72-SUM($AS72:AW72)</f>
        <v>626.0229084099991</v>
      </c>
      <c r="U72" s="442">
        <f>$O72-SUM($AS72:AX72)</f>
        <v>626.0229084099991</v>
      </c>
      <c r="V72" s="442">
        <f>$O72-SUM($AS72:AY72)</f>
        <v>626.0229084099991</v>
      </c>
      <c r="W72" s="442">
        <f>$O72-SUM($AS72:AZ72)</f>
        <v>626.0229084099991</v>
      </c>
      <c r="X72" s="442">
        <f>$O72-SUM($AS72:BA72)</f>
        <v>626.0229084099991</v>
      </c>
      <c r="Y72" s="442">
        <f>$O72-SUM($AS72:BB72)</f>
        <v>626.0229084099991</v>
      </c>
      <c r="Z72" s="442">
        <f>$O72-SUM($AS72:BC72)</f>
        <v>626.0229084099991</v>
      </c>
      <c r="AA72" s="442">
        <f>$O72-SUM($AS72:BD72)</f>
        <v>626.0229084099991</v>
      </c>
      <c r="AB72" s="442">
        <f>$O72-SUM($AS72:BE72)</f>
        <v>626.0229084099991</v>
      </c>
      <c r="AC72" s="442">
        <f>$O72-SUM($AS72:BF72)</f>
        <v>626.0229084099991</v>
      </c>
      <c r="AD72" s="442">
        <f>$O72-SUM($AS72:BG72)</f>
        <v>626.0229084099991</v>
      </c>
      <c r="AE72" s="442">
        <f>$O72-SUM($AS72:BH72)</f>
        <v>626.0229084099991</v>
      </c>
      <c r="AF72" s="442">
        <f>$O72-SUM($AS72:BI72)</f>
        <v>626.0229084099991</v>
      </c>
      <c r="AG72" s="442">
        <f>$O72-SUM($AS72:BJ72)</f>
        <v>626.0229084099991</v>
      </c>
      <c r="AH72" s="442">
        <f>$O72-SUM($AS72:BK72)</f>
        <v>626.0229084099991</v>
      </c>
      <c r="AI72" s="442">
        <f>$O72-SUM($AS72:BL72)</f>
        <v>626.0229084099991</v>
      </c>
      <c r="AJ72" s="442">
        <f>$O72-SUM($AS72:BM72)</f>
        <v>626.0229084099991</v>
      </c>
      <c r="AK72" s="442">
        <f>$O72-SUM($AS72:BN72)</f>
        <v>626.0229084099991</v>
      </c>
      <c r="AL72" s="442">
        <f>$O72-SUM($AS72:BO72)</f>
        <v>626.0229084099991</v>
      </c>
      <c r="AM72" s="442">
        <f>$O72-SUM($AS72:BP72)</f>
        <v>626.0229084099991</v>
      </c>
      <c r="AN72" s="442">
        <f>$O72-SUM($AS72:BQ72)</f>
        <v>626.0229084099991</v>
      </c>
      <c r="AO72" s="442">
        <f>$O72-SUM($AS72:BR72)</f>
        <v>626.0229084099991</v>
      </c>
      <c r="AP72" s="442">
        <f>$O72-SUM($AS72:BS72)</f>
        <v>626.0229084099991</v>
      </c>
      <c r="AR72" s="439" t="s">
        <v>1202</v>
      </c>
      <c r="AS72" s="442">
        <f>IF($H72="",0,IF($H72=1,IF('Para Adj'!$B$5 = 1,O72-($O72-SUMPRODUCT($CX72:CX72,$BU72:BU72))*(1-SUM($DZ72:DZ72)),BU72*CX72),$O72*BU72))</f>
        <v>0</v>
      </c>
      <c r="AT72" s="442">
        <f>IF($H72="",0,IF($H72=1,IF('Para Adj'!$B$5 = 1,P72-($O72-SUMPRODUCT($CX72:CY72,$BU72:BV72))*(1-SUM($DZ72:EA72)),BV72*CY72),$O72*BV72))</f>
        <v>0</v>
      </c>
      <c r="AU72" s="442">
        <f>IF($H72="",0,IF($H72=1,IF('Para Adj'!$B$5 = 1,Q72-($O72-SUMPRODUCT($CX72:CZ72,$BU72:BW72))*(1-SUM($DZ72:EB72)),BW72*CZ72),$O72*BW72))</f>
        <v>0</v>
      </c>
      <c r="AV72" s="442">
        <f>IF($H72="",0,IF($H72=1,IF('Para Adj'!$B$5 = 1,R72-($O72-SUMPRODUCT($CX72:DA72,$BU72:BX72))*(1-SUM($DZ72:EC72)),BX72*DA72),$O72*BX72))</f>
        <v>0</v>
      </c>
      <c r="AW72" s="442">
        <f>IF($H72="",0,IF($H72=1,IF('Para Adj'!$B$5 = 1,S72-($O72-SUMPRODUCT($CX72:DB72,$BU72:BY72))*(1-SUM($DZ72:ED72)),BY72*DB72),$O72*BY72))</f>
        <v>0</v>
      </c>
      <c r="AX72" s="442">
        <f>IF($H72="",0,IF($H72=1,IF('Para Adj'!$B$5 = 1,T72-($O72-SUMPRODUCT($CX72:DC72,$BU72:BZ72))*(1-SUM($DZ72:EE72)),BZ72*DC72),$O72*BZ72))</f>
        <v>0</v>
      </c>
      <c r="AY72" s="442">
        <f>IF($H72="",0,IF($H72=1,IF('Para Adj'!$B$5 = 1,U72-($O72-SUMPRODUCT($CX72:DD72,$BU72:CA72))*(1-SUM($DZ72:EF72)),CA72*DD72),$O72*CA72))</f>
        <v>0</v>
      </c>
      <c r="AZ72" s="442">
        <f>IF($H72="",0,IF($H72=1,IF('Para Adj'!$B$5 = 1,V72-($O72-SUMPRODUCT($CX72:DE72,$BU72:CB72))*(1-SUM($DZ72:EG72)),CB72*DE72),$O72*CB72))</f>
        <v>0</v>
      </c>
      <c r="BA72" s="442">
        <f>IF($H72="",0,IF($H72=1,IF('Para Adj'!$B$5 = 1,W72-($O72-SUMPRODUCT($CX72:DF72,$BU72:CC72))*(1-SUM($DZ72:EH72)),CC72*DF72),$O72*CC72))</f>
        <v>0</v>
      </c>
      <c r="BB72" s="442">
        <f>IF($H72="",0,IF($H72=1,IF('Para Adj'!$B$5 = 1,X72-($O72-SUMPRODUCT($CX72:DG72,$BU72:CD72))*(1-SUM($DZ72:EI72)),CD72*DG72),$O72*CD72))</f>
        <v>0</v>
      </c>
      <c r="BC72" s="442">
        <f>IF($H72="",0,IF($H72=1,IF('Para Adj'!$B$5 = 1,Y72-($O72-SUMPRODUCT($CX72:DH72,$BU72:CE72))*(1-SUM($DZ72:EJ72)),CE72*DH72),$O72*CE72))</f>
        <v>0</v>
      </c>
      <c r="BD72" s="442">
        <f>IF($H72="",0,IF($H72=1,IF('Para Adj'!$B$5 = 1,Z72-($O72-SUMPRODUCT($CX72:DI72,$BU72:CF72))*(1-SUM($DZ72:EK72)),CF72*DI72),$O72*CF72))</f>
        <v>0</v>
      </c>
      <c r="BE72" s="442">
        <f>IF($H72="",0,IF($H72=1,IF('Para Adj'!$B$5 = 1,AA72-($O72-SUMPRODUCT($CX72:DJ72,$BU72:CG72))*(1-SUM($DZ72:EL72)),CG72*DJ72),$O72*CG72))</f>
        <v>0</v>
      </c>
      <c r="BF72" s="442">
        <f>IF($H72="",0,IF($H72=1,IF('Para Adj'!$B$5 = 1,AB72-($O72-SUMPRODUCT($CX72:DK72,$BU72:CH72))*(1-SUM($DZ72:EM72)),CH72*DK72),$O72*CH72))</f>
        <v>0</v>
      </c>
      <c r="BG72" s="442">
        <f>IF($H72="",0,IF($H72=1,IF('Para Adj'!$B$5 = 1,AC72-($O72-SUMPRODUCT($CX72:DL72,$BU72:CI72))*(1-SUM($DZ72:EN72)),CI72*DL72),$O72*CI72))</f>
        <v>0</v>
      </c>
      <c r="BH72" s="442">
        <f>IF($H72="",0,IF($H72=1,IF('Para Adj'!$B$5 = 1,AD72-($O72-SUMPRODUCT($CX72:DM72,$BU72:CJ72))*(1-SUM($DZ72:EO72)),CJ72*DM72),$O72*CJ72))</f>
        <v>0</v>
      </c>
      <c r="BI72" s="442">
        <f>IF($H72="",0,IF($H72=1,IF('Para Adj'!$B$5 = 1,AE72-($O72-SUMPRODUCT($CX72:DN72,$BU72:CK72))*(1-SUM($DZ72:EP72)),CK72*DN72),$O72*CK72))</f>
        <v>0</v>
      </c>
      <c r="BJ72" s="442">
        <f>IF($H72="",0,IF($H72=1,IF('Para Adj'!$B$5 = 1,AF72-($O72-SUMPRODUCT($CX72:DO72,$BU72:CL72))*(1-SUM($DZ72:EQ72)),CL72*DO72),$O72*CL72))</f>
        <v>0</v>
      </c>
      <c r="BK72" s="442">
        <f>IF($H72="",0,IF($H72=1,IF('Para Adj'!$B$5 = 1,AG72-($O72-SUMPRODUCT($CX72:DP72,$BU72:CM72))*(1-SUM($DZ72:ER72)),CM72*DP72),$O72*CM72))</f>
        <v>0</v>
      </c>
      <c r="BL72" s="442">
        <f>IF($H72="",0,IF($H72=1,IF('Para Adj'!$B$5 = 1,AH72-($O72-SUMPRODUCT($CX72:DQ72,$BU72:CN72))*(1-SUM($DZ72:ES72)),CN72*DQ72),$O72*CN72))</f>
        <v>0</v>
      </c>
      <c r="BM72" s="442">
        <f>IF($H72="",0,IF($H72=1,IF('Para Adj'!$B$5 = 1,AI72-($O72-SUMPRODUCT($CX72:DR72,$BU72:CO72))*(1-SUM($DZ72:ET72)),CO72*DR72),$O72*CO72))</f>
        <v>0</v>
      </c>
      <c r="BN72" s="442">
        <f>IF($H72="",0,IF($H72=1,IF('Para Adj'!$B$5 = 1,AJ72-($O72-SUMPRODUCT($CX72:DS72,$BU72:CP72))*(1-SUM($DZ72:EU72)),CP72*DS72),$O72*CP72))</f>
        <v>0</v>
      </c>
      <c r="BO72" s="442">
        <f>IF($H72="",0,IF($H72=1,IF('Para Adj'!$B$5 = 1,AK72-($O72-SUMPRODUCT($CX72:DT72,$BU72:CQ72))*(1-SUM($DZ72:EV72)),CQ72*DT72),$O72*CQ72))</f>
        <v>0</v>
      </c>
      <c r="BP72" s="442">
        <f>IF($H72="",0,IF($H72=1,IF('Para Adj'!$B$5 = 1,AL72-($O72-SUMPRODUCT($CX72:DU72,$BU72:CR72))*(1-SUM($DZ72:EW72)),CR72*DU72),$O72*CR72))</f>
        <v>0</v>
      </c>
      <c r="BQ72" s="442">
        <f>IF($H72="",0,IF($H72=1,IF('Para Adj'!$B$5 = 1,AM72-($O72-SUMPRODUCT($CX72:DV72,$BU72:CS72))*(1-SUM($DZ72:EX72)),CS72*DV72),$O72*CS72))</f>
        <v>0</v>
      </c>
      <c r="BR72" s="442">
        <f>IF($H72="",0,IF($H72=1,IF('Para Adj'!$B$5 = 1,AN72-($O72-SUMPRODUCT($CX72:DW72,$BU72:CT72))*(1-SUM($DZ72:EY72)),CT72*DW72),$O72*CT72))</f>
        <v>0</v>
      </c>
      <c r="BS72" s="442">
        <f>IF($H72="",0,IF($H72=1,IF('Para Adj'!$B$5 = 1,AO72-($O72-SUMPRODUCT($CX72:DX72,$BU72:CU72))*(1-SUM($DZ72:EZ72)),CU72*DX72),$O72*CU72))</f>
        <v>0</v>
      </c>
      <c r="BU72" s="820" t="str">
        <f>IF($B72=0,"",INDEX(Assumptions!G:G,$B72))</f>
        <v/>
      </c>
      <c r="BV72" s="820" t="str">
        <f>IF($B72=0,"",INDEX(Assumptions!H:H,$B72))</f>
        <v/>
      </c>
      <c r="BW72" s="820" t="str">
        <f>IF($B72=0,"",INDEX(Assumptions!I:I,$B72))</f>
        <v/>
      </c>
      <c r="BX72" s="820" t="str">
        <f>IF($B72=0,"",INDEX(Assumptions!J:J,$B72))</f>
        <v/>
      </c>
      <c r="BY72" s="820" t="str">
        <f>IF($B72=0,"",INDEX(Assumptions!K:K,$B72))</f>
        <v/>
      </c>
      <c r="BZ72" s="820" t="str">
        <f>IF($B72=0,"",INDEX(Assumptions!L:L,$B72))</f>
        <v/>
      </c>
      <c r="CA72" s="820" t="str">
        <f>IF($B72=0,"",INDEX(Assumptions!M:M,$B72))</f>
        <v/>
      </c>
      <c r="CB72" s="820" t="str">
        <f>IF($B72=0,"",INDEX(Assumptions!N:N,$B72))</f>
        <v/>
      </c>
      <c r="CC72" s="820" t="str">
        <f>IF($B72=0,"",INDEX(Assumptions!O:O,$B72))</f>
        <v/>
      </c>
      <c r="CD72" s="820" t="str">
        <f>IF($B72=0,"",INDEX(Assumptions!P:P,$B72))</f>
        <v/>
      </c>
      <c r="CE72" s="820" t="str">
        <f>IF($B72=0,"",INDEX(Assumptions!Q:Q,$B72))</f>
        <v/>
      </c>
      <c r="CF72" s="820" t="str">
        <f>IF($B72=0,"",INDEX(Assumptions!R:R,$B72))</f>
        <v/>
      </c>
      <c r="CG72" s="820" t="str">
        <f>IF($B72=0,"",INDEX(Assumptions!S:S,$B72))</f>
        <v/>
      </c>
      <c r="CH72" s="820" t="str">
        <f>IF($B72=0,"",INDEX(Assumptions!T:T,$B72))</f>
        <v/>
      </c>
      <c r="CI72" s="820" t="str">
        <f>IF($B72=0,"",INDEX(Assumptions!U:U,$B72))</f>
        <v/>
      </c>
      <c r="CJ72" s="820" t="str">
        <f>IF($B72=0,"",INDEX(Assumptions!V:V,$B72))</f>
        <v/>
      </c>
      <c r="CK72" s="820" t="str">
        <f>IF($B72=0,"",INDEX(Assumptions!W:W,$B72))</f>
        <v/>
      </c>
      <c r="CL72" s="820" t="str">
        <f>IF($B72=0,"",INDEX(Assumptions!X:X,$B72))</f>
        <v/>
      </c>
      <c r="CM72" s="820" t="str">
        <f>IF($B72=0,"",INDEX(Assumptions!Y:Y,$B72))</f>
        <v/>
      </c>
      <c r="CN72" s="820" t="str">
        <f>IF($B72=0,"",INDEX(Assumptions!Z:Z,$B72))</f>
        <v/>
      </c>
      <c r="CO72" s="820" t="str">
        <f>IF($B72=0,"",INDEX(Assumptions!AA:AA,$B72))</f>
        <v/>
      </c>
      <c r="CP72" s="820" t="str">
        <f>IF($B72=0,"",INDEX(Assumptions!AB:AB,$B72))</f>
        <v/>
      </c>
      <c r="CQ72" s="820" t="str">
        <f>IF($B72=0,"",INDEX(Assumptions!AC:AC,$B72))</f>
        <v/>
      </c>
      <c r="CR72" s="820" t="str">
        <f>IF($B72=0,"",INDEX(Assumptions!AD:AD,$B72))</f>
        <v/>
      </c>
      <c r="CS72" s="820" t="str">
        <f>IF($B72=0,"",INDEX(Assumptions!AE:AE,$B72))</f>
        <v/>
      </c>
      <c r="CT72" s="820" t="str">
        <f>IF($B72=0,"",INDEX(Assumptions!AF:AF,$B72))</f>
        <v/>
      </c>
      <c r="CU72" s="820" t="str">
        <f>IF($B72=0,"",INDEX(Assumptions!AG:AG,$B72))</f>
        <v/>
      </c>
      <c r="CX72" s="442">
        <f>IF($A72="","",INDEX('Data Interface'!G:G,$A72))</f>
        <v>626.0229084099991</v>
      </c>
      <c r="CY72" s="442">
        <f>IF($A72="","",INDEX('Data Interface'!H:H,$A72))</f>
        <v>0</v>
      </c>
      <c r="CZ72" s="442">
        <f>IF($A72="","",INDEX('Data Interface'!I:I,$A72))</f>
        <v>0</v>
      </c>
      <c r="DA72" s="442">
        <f>IF($A72="","",INDEX('Data Interface'!J:J,$A72))</f>
        <v>0</v>
      </c>
      <c r="DB72" s="442">
        <f>IF($A72="","",INDEX('Data Interface'!K:K,$A72))</f>
        <v>0</v>
      </c>
      <c r="DC72" s="442">
        <f>IF($A72="","",INDEX('Data Interface'!L:L,$A72))</f>
        <v>0</v>
      </c>
      <c r="DD72" s="442">
        <f>IF($A72="","",INDEX('Data Interface'!M:M,$A72))</f>
        <v>0</v>
      </c>
      <c r="DE72" s="442">
        <f>IF($A72="","",INDEX('Data Interface'!N:N,$A72))</f>
        <v>0</v>
      </c>
      <c r="DF72" s="442">
        <f>IF($A72="","",INDEX('Data Interface'!O:O,$A72))</f>
        <v>0</v>
      </c>
      <c r="DG72" s="442">
        <f>IF($A72="","",INDEX('Data Interface'!P:P,$A72))</f>
        <v>0</v>
      </c>
      <c r="DH72" s="442">
        <f>IF($A72="","",INDEX('Data Interface'!Q:Q,$A72))</f>
        <v>0</v>
      </c>
      <c r="DI72" s="442">
        <f>IF($A72="","",INDEX('Data Interface'!R:R,$A72))</f>
        <v>0</v>
      </c>
      <c r="DJ72" s="442">
        <f>IF($A72="","",INDEX('Data Interface'!S:S,$A72))</f>
        <v>0</v>
      </c>
      <c r="DK72" s="442">
        <f>IF($A72="","",INDEX('Data Interface'!T:T,$A72))</f>
        <v>0</v>
      </c>
      <c r="DL72" s="442">
        <f>IF($A72="","",INDEX('Data Interface'!U:U,$A72))</f>
        <v>0</v>
      </c>
      <c r="DM72" s="442">
        <f>IF($A72="","",INDEX('Data Interface'!V:V,$A72))</f>
        <v>0</v>
      </c>
      <c r="DN72" s="442">
        <f>IF($A72="","",INDEX('Data Interface'!W:W,$A72))</f>
        <v>0</v>
      </c>
      <c r="DO72" s="442">
        <f>IF($A72="","",INDEX('Data Interface'!X:X,$A72))</f>
        <v>0</v>
      </c>
      <c r="DP72" s="442">
        <f>IF($A72="","",INDEX('Data Interface'!Y:Y,$A72))</f>
        <v>0</v>
      </c>
      <c r="DQ72" s="442">
        <f>IF($A72="","",INDEX('Data Interface'!Z:Z,$A72))</f>
        <v>0</v>
      </c>
      <c r="DR72" s="442">
        <f>IF($A72="","",INDEX('Data Interface'!AA:AA,$A72))</f>
        <v>0</v>
      </c>
      <c r="DS72" s="442">
        <f>IF($A72="","",INDEX('Data Interface'!AB:AB,$A72))</f>
        <v>0</v>
      </c>
      <c r="DT72" s="442">
        <f>IF($A72="","",INDEX('Data Interface'!AC:AC,$A72))</f>
        <v>0</v>
      </c>
      <c r="DU72" s="442">
        <f>IF($A72="","",INDEX('Data Interface'!AD:AD,$A72))</f>
        <v>0</v>
      </c>
      <c r="DV72" s="442">
        <f>IF($A72="","",INDEX('Data Interface'!AE:AE,$A72))</f>
        <v>0</v>
      </c>
      <c r="DW72" s="442">
        <f>IF($A72="","",INDEX('Data Interface'!AF:AF,$A72))</f>
        <v>0</v>
      </c>
      <c r="DX72" s="442">
        <f>IF($A72="","",INDEX('Data Interface'!AG:AG,$A72))</f>
        <v>0</v>
      </c>
      <c r="DZ72" s="906" t="str">
        <f>IF(OR($B72=0,$A72=0,$H72&lt;&gt;1),"",INDEX(Assumptions!EO:EO,$B72))</f>
        <v/>
      </c>
      <c r="EA72" s="906" t="str">
        <f>IF(OR($B72=0,$A72=0,$H72&lt;&gt;1),"",INDEX(Assumptions!EP:EP,$B72))</f>
        <v/>
      </c>
      <c r="EB72" s="906" t="str">
        <f>IF(OR($B72=0,$A72=0,$H72&lt;&gt;1),"",INDEX(Assumptions!EQ:EQ,$B72))</f>
        <v/>
      </c>
      <c r="EC72" s="906" t="str">
        <f>IF(OR($B72=0,$A72=0,$H72&lt;&gt;1),"",INDEX(Assumptions!ER:ER,$B72))</f>
        <v/>
      </c>
      <c r="ED72" s="906" t="str">
        <f>IF(OR($B72=0,$A72=0,$H72&lt;&gt;1),"",INDEX(Assumptions!ES:ES,$B72))</f>
        <v/>
      </c>
      <c r="EE72" s="906" t="str">
        <f>IF(OR($B72=0,$A72=0,$H72&lt;&gt;1),"",INDEX(Assumptions!ET:ET,$B72))</f>
        <v/>
      </c>
      <c r="EF72" s="906" t="str">
        <f>IF(OR($B72=0,$A72=0,$H72&lt;&gt;1),"",INDEX(Assumptions!EU:EU,$B72))</f>
        <v/>
      </c>
      <c r="EG72" s="906" t="str">
        <f>IF(OR($B72=0,$A72=0,$H72&lt;&gt;1),"",INDEX(Assumptions!EV:EV,$B72))</f>
        <v/>
      </c>
      <c r="EH72" s="906" t="str">
        <f>IF(OR($B72=0,$A72=0,$H72&lt;&gt;1),"",INDEX(Assumptions!EW:EW,$B72))</f>
        <v/>
      </c>
      <c r="EI72" s="906" t="str">
        <f>IF(OR($B72=0,$A72=0,$H72&lt;&gt;1),"",INDEX(Assumptions!EX:EX,$B72))</f>
        <v/>
      </c>
      <c r="EJ72" s="906" t="str">
        <f>IF(OR($B72=0,$A72=0,$H72&lt;&gt;1),"",INDEX(Assumptions!EY:EY,$B72))</f>
        <v/>
      </c>
      <c r="EK72" s="906" t="str">
        <f>IF(OR($B72=0,$A72=0,$H72&lt;&gt;1),"",INDEX(Assumptions!EZ:EZ,$B72))</f>
        <v/>
      </c>
      <c r="EL72" s="906" t="str">
        <f>IF(OR($B72=0,$A72=0,$H72&lt;&gt;1),"",INDEX(Assumptions!FA:FA,$B72))</f>
        <v/>
      </c>
      <c r="EM72" s="906" t="str">
        <f>IF(OR($B72=0,$A72=0,$H72&lt;&gt;1),"",INDEX(Assumptions!FB:FB,$B72))</f>
        <v/>
      </c>
      <c r="EN72" s="906" t="str">
        <f>IF(OR($B72=0,$A72=0,$H72&lt;&gt;1),"",INDEX(Assumptions!FC:FC,$B72))</f>
        <v/>
      </c>
      <c r="EO72" s="906" t="str">
        <f>IF(OR($B72=0,$A72=0,$H72&lt;&gt;1),"",INDEX(Assumptions!FD:FD,$B72))</f>
        <v/>
      </c>
      <c r="EP72" s="906" t="str">
        <f>IF(OR($B72=0,$A72=0,$H72&lt;&gt;1),"",INDEX(Assumptions!FE:FE,$B72))</f>
        <v/>
      </c>
      <c r="EQ72" s="906" t="str">
        <f>IF(OR($B72=0,$A72=0,$H72&lt;&gt;1),"",INDEX(Assumptions!FF:FF,$B72))</f>
        <v/>
      </c>
      <c r="ER72" s="906" t="str">
        <f>IF(OR($B72=0,$A72=0,$H72&lt;&gt;1),"",INDEX(Assumptions!FG:FG,$B72))</f>
        <v/>
      </c>
      <c r="ES72" s="906" t="str">
        <f>IF(OR($B72=0,$A72=0,$H72&lt;&gt;1),"",INDEX(Assumptions!FH:FH,$B72))</f>
        <v/>
      </c>
      <c r="ET72" s="906" t="str">
        <f>IF(OR($B72=0,$A72=0,$H72&lt;&gt;1),"",INDEX(Assumptions!FI:FI,$B72))</f>
        <v/>
      </c>
      <c r="EU72" s="906" t="str">
        <f>IF(OR($B72=0,$A72=0,$H72&lt;&gt;1),"",INDEX(Assumptions!FJ:FJ,$B72))</f>
        <v/>
      </c>
      <c r="EV72" s="906" t="str">
        <f>IF(OR($B72=0,$A72=0,$H72&lt;&gt;1),"",INDEX(Assumptions!FK:FK,$B72))</f>
        <v/>
      </c>
      <c r="EW72" s="906" t="str">
        <f>IF(OR($B72=0,$A72=0,$H72&lt;&gt;1),"",INDEX(Assumptions!FL:FL,$B72))</f>
        <v/>
      </c>
      <c r="EX72" s="906" t="str">
        <f>IF(OR($B72=0,$A72=0,$H72&lt;&gt;1),"",INDEX(Assumptions!FM:FM,$B72))</f>
        <v/>
      </c>
      <c r="EY72" s="906" t="str">
        <f>IF(OR($B72=0,$A72=0,$H72&lt;&gt;1),"",INDEX(Assumptions!FN:FN,$B72))</f>
        <v/>
      </c>
      <c r="EZ72" s="906" t="str">
        <f>IF(OR($B72=0,$A72=0,$H72&lt;&gt;1),"",INDEX(Assumptions!FO:FO,$B72))</f>
        <v/>
      </c>
      <c r="FB72" s="820" t="str">
        <f t="shared" si="18"/>
        <v/>
      </c>
      <c r="FC72" s="820" t="str">
        <f t="shared" si="19"/>
        <v/>
      </c>
      <c r="FD72" s="820" t="str">
        <f t="shared" si="20"/>
        <v/>
      </c>
      <c r="FE72" s="820" t="str">
        <f t="shared" si="21"/>
        <v/>
      </c>
      <c r="FF72" s="820" t="str">
        <f t="shared" si="22"/>
        <v/>
      </c>
    </row>
    <row r="73" spans="1:162">
      <c r="A73" s="440">
        <f>IFERROR(MATCH(C73,'Data Interface'!B:B,0),0)</f>
        <v>72</v>
      </c>
      <c r="B73" s="440">
        <f>IFERROR(MATCH(C73,Assumptions!$B:$B,0),0)</f>
        <v>31</v>
      </c>
      <c r="C73" s="441">
        <v>15</v>
      </c>
      <c r="E73" s="441" t="s">
        <v>1220</v>
      </c>
      <c r="F73" s="440" t="s">
        <v>1197</v>
      </c>
      <c r="G73" s="440" t="str">
        <f>IF(A73=0,"",INDEX('Data Interface'!$C:$C,$A73))</f>
        <v>Loan Commitments</v>
      </c>
      <c r="H73" s="440">
        <v>0</v>
      </c>
      <c r="I73" s="819">
        <f t="shared" ca="1" si="53"/>
        <v>8.6999999999999994E-2</v>
      </c>
      <c r="J73" s="819">
        <f t="shared" ca="1" si="54"/>
        <v>0.14499999999999999</v>
      </c>
      <c r="K73" s="439" t="str">
        <f t="shared" ca="1" si="55"/>
        <v>8.7% of Current Balance</v>
      </c>
      <c r="L73" s="439" t="s">
        <v>1148</v>
      </c>
      <c r="M73" s="439" t="s">
        <v>1514</v>
      </c>
      <c r="O73" s="442">
        <f>IF(OR($A73="",$A73=0),0,INDEX('Data Interface'!D:D,$A73))</f>
        <v>17243.170592639999</v>
      </c>
      <c r="P73" s="442">
        <f ca="1">$O73-SUM($AS73:AS73)</f>
        <v>16943.139424328063</v>
      </c>
      <c r="Q73" s="442">
        <f ca="1">$O73-SUM($AS73:AT73)</f>
        <v>16843.12903489075</v>
      </c>
      <c r="R73" s="442">
        <f ca="1">$O73-SUM($AS73:AU73)</f>
        <v>16743.11864545344</v>
      </c>
      <c r="S73" s="442">
        <f ca="1">$O73-SUM($AS73:AV73)</f>
        <v>16643.108256016127</v>
      </c>
      <c r="T73" s="442">
        <f ca="1">$O73-SUM($AS73:AW73)</f>
        <v>16543.097866578813</v>
      </c>
      <c r="U73" s="442">
        <f ca="1">$O73-SUM($AS73:AX73)</f>
        <v>16443.087477141504</v>
      </c>
      <c r="V73" s="442">
        <f ca="1">$O73-SUM($AS73:AY73)</f>
        <v>16343.07708770419</v>
      </c>
      <c r="W73" s="442">
        <f ca="1">$O73-SUM($AS73:AZ73)</f>
        <v>16257.353896757924</v>
      </c>
      <c r="X73" s="442">
        <f ca="1">$O73-SUM($AS73:BA73)</f>
        <v>16171.630705811656</v>
      </c>
      <c r="Y73" s="442">
        <f ca="1">$O73-SUM($AS73:BB73)</f>
        <v>16085.907514865388</v>
      </c>
      <c r="Z73" s="442">
        <f ca="1">$O73-SUM($AS73:BC73)</f>
        <v>16000.184323919122</v>
      </c>
      <c r="AA73" s="442">
        <f ca="1">$O73-SUM($AS73:BD73)</f>
        <v>15914.461132972854</v>
      </c>
      <c r="AB73" s="442">
        <f ca="1">$O73-SUM($AS73:BE73)</f>
        <v>15828.737942026586</v>
      </c>
      <c r="AC73" s="442">
        <f ca="1">$O73-SUM($AS73:BF73)</f>
        <v>15743.014751080318</v>
      </c>
      <c r="AD73" s="442">
        <f ca="1">$O73-SUM($AS73:BG73)</f>
        <v>15242.962803893759</v>
      </c>
      <c r="AE73" s="442">
        <f ca="1">$O73-SUM($AS73:BH73)</f>
        <v>14742.910856707198</v>
      </c>
      <c r="AF73" s="442">
        <f ca="1">$O73-SUM($AS73:BI73)</f>
        <v>13018.593797443198</v>
      </c>
      <c r="AG73" s="442">
        <f ca="1">$O73-SUM($AS73:BJ73)</f>
        <v>11294.276738179198</v>
      </c>
      <c r="AH73" s="442">
        <f ca="1">$O73-SUM($AS73:BK73)</f>
        <v>11294.276738179198</v>
      </c>
      <c r="AI73" s="442">
        <f ca="1">$O73-SUM($AS73:BL73)</f>
        <v>11294.276738179198</v>
      </c>
      <c r="AJ73" s="442">
        <f ca="1">$O73-SUM($AS73:BM73)</f>
        <v>11294.276738179198</v>
      </c>
      <c r="AK73" s="442">
        <f ca="1">$O73-SUM($AS73:BN73)</f>
        <v>11294.276738179198</v>
      </c>
      <c r="AL73" s="442">
        <f ca="1">$O73-SUM($AS73:BO73)</f>
        <v>11294.276738179198</v>
      </c>
      <c r="AM73" s="442">
        <f ca="1">$O73-SUM($AS73:BP73)</f>
        <v>11294.276738179198</v>
      </c>
      <c r="AN73" s="442">
        <f ca="1">$O73-SUM($AS73:BQ73)</f>
        <v>11294.276738179198</v>
      </c>
      <c r="AO73" s="442">
        <f ca="1">$O73-SUM($AS73:BR73)</f>
        <v>11294.276738179198</v>
      </c>
      <c r="AP73" s="442">
        <f ca="1">$O73-SUM($AS73:BS73)</f>
        <v>11294.276738179198</v>
      </c>
      <c r="AR73" s="439" t="s">
        <v>1241</v>
      </c>
      <c r="AS73" s="442">
        <f ca="1">IF($H73="",0,IF($H73=1,IF('Para Adj'!$B$5 = 1,O73-($O73-SUMPRODUCT($CX73:CX73,$BU73:BU73))*(1-SUM($DZ73:DZ73)),BU73*CX73),$O73*BU73))</f>
        <v>300.03116831193597</v>
      </c>
      <c r="AT73" s="442">
        <f ca="1">IF($H73="",0,IF($H73=1,IF('Para Adj'!$B$5 = 1,P73-($O73-SUMPRODUCT($CX73:CY73,$BU73:BV73))*(1-SUM($DZ73:EA73)),BV73*CY73),$O73*BV73))</f>
        <v>100.01038943731199</v>
      </c>
      <c r="AU73" s="442">
        <f ca="1">IF($H73="",0,IF($H73=1,IF('Para Adj'!$B$5 = 1,Q73-($O73-SUMPRODUCT($CX73:CZ73,$BU73:BW73))*(1-SUM($DZ73:EB73)),BW73*CZ73),$O73*BW73))</f>
        <v>100.01038943731199</v>
      </c>
      <c r="AV73" s="442">
        <f ca="1">IF($H73="",0,IF($H73=1,IF('Para Adj'!$B$5 = 1,R73-($O73-SUMPRODUCT($CX73:DA73,$BU73:BX73))*(1-SUM($DZ73:EC73)),BX73*DA73),$O73*BX73))</f>
        <v>100.01038943731199</v>
      </c>
      <c r="AW73" s="442">
        <f ca="1">IF($H73="",0,IF($H73=1,IF('Para Adj'!$B$5 = 1,S73-($O73-SUMPRODUCT($CX73:DB73,$BU73:BY73))*(1-SUM($DZ73:ED73)),BY73*DB73),$O73*BY73))</f>
        <v>100.01038943731199</v>
      </c>
      <c r="AX73" s="442">
        <f ca="1">IF($H73="",0,IF($H73=1,IF('Para Adj'!$B$5 = 1,T73-($O73-SUMPRODUCT($CX73:DC73,$BU73:BZ73))*(1-SUM($DZ73:EE73)),BZ73*DC73),$O73*BZ73))</f>
        <v>100.01038943731199</v>
      </c>
      <c r="AY73" s="442">
        <f ca="1">IF($H73="",0,IF($H73=1,IF('Para Adj'!$B$5 = 1,U73-($O73-SUMPRODUCT($CX73:DD73,$BU73:CA73))*(1-SUM($DZ73:EF73)),CA73*DD73),$O73*CA73))</f>
        <v>100.01038943731199</v>
      </c>
      <c r="AZ73" s="442">
        <f ca="1">IF($H73="",0,IF($H73=1,IF('Para Adj'!$B$5 = 1,V73-($O73-SUMPRODUCT($CX73:DE73,$BU73:CB73))*(1-SUM($DZ73:EG73)),CB73*DE73),$O73*CB73))</f>
        <v>85.723190946267437</v>
      </c>
      <c r="BA73" s="442">
        <f ca="1">IF($H73="",0,IF($H73=1,IF('Para Adj'!$B$5 = 1,W73-($O73-SUMPRODUCT($CX73:DF73,$BU73:CC73))*(1-SUM($DZ73:EH73)),CC73*DF73),$O73*CC73))</f>
        <v>85.723190946267437</v>
      </c>
      <c r="BB73" s="442">
        <f ca="1">IF($H73="",0,IF($H73=1,IF('Para Adj'!$B$5 = 1,X73-($O73-SUMPRODUCT($CX73:DG73,$BU73:CD73))*(1-SUM($DZ73:EI73)),CD73*DG73),$O73*CD73))</f>
        <v>85.723190946267437</v>
      </c>
      <c r="BC73" s="442">
        <f ca="1">IF($H73="",0,IF($H73=1,IF('Para Adj'!$B$5 = 1,Y73-($O73-SUMPRODUCT($CX73:DH73,$BU73:CE73))*(1-SUM($DZ73:EJ73)),CE73*DH73),$O73*CE73))</f>
        <v>85.723190946267437</v>
      </c>
      <c r="BD73" s="442">
        <f ca="1">IF($H73="",0,IF($H73=1,IF('Para Adj'!$B$5 = 1,Z73-($O73-SUMPRODUCT($CX73:DI73,$BU73:CF73))*(1-SUM($DZ73:EK73)),CF73*DI73),$O73*CF73))</f>
        <v>85.723190946267437</v>
      </c>
      <c r="BE73" s="442">
        <f ca="1">IF($H73="",0,IF($H73=1,IF('Para Adj'!$B$5 = 1,AA73-($O73-SUMPRODUCT($CX73:DJ73,$BU73:CG73))*(1-SUM($DZ73:EL73)),CG73*DJ73),$O73*CG73))</f>
        <v>85.723190946267437</v>
      </c>
      <c r="BF73" s="442">
        <f ca="1">IF($H73="",0,IF($H73=1,IF('Para Adj'!$B$5 = 1,AB73-($O73-SUMPRODUCT($CX73:DK73,$BU73:CH73))*(1-SUM($DZ73:EM73)),CH73*DK73),$O73*CH73))</f>
        <v>85.723190946267437</v>
      </c>
      <c r="BG73" s="442">
        <f ca="1">IF($H73="",0,IF($H73=1,IF('Para Adj'!$B$5 = 1,AC73-($O73-SUMPRODUCT($CX73:DL73,$BU73:CI73))*(1-SUM($DZ73:EN73)),CI73*DL73),$O73*CI73))</f>
        <v>500.05194718655991</v>
      </c>
      <c r="BH73" s="442">
        <f ca="1">IF($H73="",0,IF($H73=1,IF('Para Adj'!$B$5 = 1,AD73-($O73-SUMPRODUCT($CX73:DM73,$BU73:CJ73))*(1-SUM($DZ73:EO73)),CJ73*DM73),$O73*CJ73))</f>
        <v>500.05194718655991</v>
      </c>
      <c r="BI73" s="442">
        <f ca="1">IF($H73="",0,IF($H73=1,IF('Para Adj'!$B$5 = 1,AE73-($O73-SUMPRODUCT($CX73:DN73,$BU73:CK73))*(1-SUM($DZ73:EP73)),CK73*DN73),$O73*CK73))</f>
        <v>1724.3170592639999</v>
      </c>
      <c r="BJ73" s="442">
        <f ca="1">IF($H73="",0,IF($H73=1,IF('Para Adj'!$B$5 = 1,AF73-($O73-SUMPRODUCT($CX73:DO73,$BU73:CL73))*(1-SUM($DZ73:EQ73)),CL73*DO73),$O73*CL73))</f>
        <v>1724.3170592639999</v>
      </c>
      <c r="BK73" s="442">
        <f ca="1">IF($H73="",0,IF($H73=1,IF('Para Adj'!$B$5 = 1,AG73-($O73-SUMPRODUCT($CX73:DP73,$BU73:CM73))*(1-SUM($DZ73:ER73)),CM73*DP73),$O73*CM73))</f>
        <v>0</v>
      </c>
      <c r="BL73" s="442">
        <f ca="1">IF($H73="",0,IF($H73=1,IF('Para Adj'!$B$5 = 1,AH73-($O73-SUMPRODUCT($CX73:DQ73,$BU73:CN73))*(1-SUM($DZ73:ES73)),CN73*DQ73),$O73*CN73))</f>
        <v>0</v>
      </c>
      <c r="BM73" s="442">
        <f ca="1">IF($H73="",0,IF($H73=1,IF('Para Adj'!$B$5 = 1,AI73-($O73-SUMPRODUCT($CX73:DR73,$BU73:CO73))*(1-SUM($DZ73:ET73)),CO73*DR73),$O73*CO73))</f>
        <v>0</v>
      </c>
      <c r="BN73" s="442">
        <f ca="1">IF($H73="",0,IF($H73=1,IF('Para Adj'!$B$5 = 1,AJ73-($O73-SUMPRODUCT($CX73:DS73,$BU73:CP73))*(1-SUM($DZ73:EU73)),CP73*DS73),$O73*CP73))</f>
        <v>0</v>
      </c>
      <c r="BO73" s="442">
        <f ca="1">IF($H73="",0,IF($H73=1,IF('Para Adj'!$B$5 = 1,AK73-($O73-SUMPRODUCT($CX73:DT73,$BU73:CQ73))*(1-SUM($DZ73:EV73)),CQ73*DT73),$O73*CQ73))</f>
        <v>0</v>
      </c>
      <c r="BP73" s="442">
        <f ca="1">IF($H73="",0,IF($H73=1,IF('Para Adj'!$B$5 = 1,AL73-($O73-SUMPRODUCT($CX73:DU73,$BU73:CR73))*(1-SUM($DZ73:EW73)),CR73*DU73),$O73*CR73))</f>
        <v>0</v>
      </c>
      <c r="BQ73" s="442">
        <f ca="1">IF($H73="",0,IF($H73=1,IF('Para Adj'!$B$5 = 1,AM73-($O73-SUMPRODUCT($CX73:DV73,$BU73:CS73))*(1-SUM($DZ73:EX73)),CS73*DV73),$O73*CS73))</f>
        <v>0</v>
      </c>
      <c r="BR73" s="442">
        <f ca="1">IF($H73="",0,IF($H73=1,IF('Para Adj'!$B$5 = 1,AN73-($O73-SUMPRODUCT($CX73:DW73,$BU73:CT73))*(1-SUM($DZ73:EY73)),CT73*DW73),$O73*CT73))</f>
        <v>0</v>
      </c>
      <c r="BS73" s="442">
        <f ca="1">IF($H73="",0,IF($H73=1,IF('Para Adj'!$B$5 = 1,AO73-($O73-SUMPRODUCT($CX73:DX73,$BU73:CU73))*(1-SUM($DZ73:EZ73)),CU73*DX73),$O73*CU73))</f>
        <v>0</v>
      </c>
      <c r="BU73" s="820">
        <f ca="1">IF($B73=0,"",INDEX(Assumptions!G:G,$B73))</f>
        <v>1.7399999999999999E-2</v>
      </c>
      <c r="BV73" s="820">
        <f ca="1">IF($B73=0,"",INDEX(Assumptions!H:H,$B73))</f>
        <v>5.7999999999999996E-3</v>
      </c>
      <c r="BW73" s="820">
        <f ca="1">IF($B73=0,"",INDEX(Assumptions!I:I,$B73))</f>
        <v>5.7999999999999996E-3</v>
      </c>
      <c r="BX73" s="820">
        <f ca="1">IF($B73=0,"",INDEX(Assumptions!J:J,$B73))</f>
        <v>5.7999999999999996E-3</v>
      </c>
      <c r="BY73" s="820">
        <f ca="1">IF($B73=0,"",INDEX(Assumptions!K:K,$B73))</f>
        <v>5.7999999999999996E-3</v>
      </c>
      <c r="BZ73" s="820">
        <f ca="1">IF($B73=0,"",INDEX(Assumptions!L:L,$B73))</f>
        <v>5.7999999999999996E-3</v>
      </c>
      <c r="CA73" s="820">
        <f ca="1">IF($B73=0,"",INDEX(Assumptions!M:M,$B73))</f>
        <v>5.7999999999999996E-3</v>
      </c>
      <c r="CB73" s="820">
        <f ca="1">IF($B73=0,"",INDEX(Assumptions!N:N,$B73))</f>
        <v>4.971428571428572E-3</v>
      </c>
      <c r="CC73" s="820">
        <f ca="1">IF($B73=0,"",INDEX(Assumptions!O:O,$B73))</f>
        <v>4.971428571428572E-3</v>
      </c>
      <c r="CD73" s="820">
        <f ca="1">IF($B73=0,"",INDEX(Assumptions!P:P,$B73))</f>
        <v>4.971428571428572E-3</v>
      </c>
      <c r="CE73" s="820">
        <f ca="1">IF($B73=0,"",INDEX(Assumptions!Q:Q,$B73))</f>
        <v>4.971428571428572E-3</v>
      </c>
      <c r="CF73" s="820">
        <f ca="1">IF($B73=0,"",INDEX(Assumptions!R:R,$B73))</f>
        <v>4.971428571428572E-3</v>
      </c>
      <c r="CG73" s="820">
        <f ca="1">IF($B73=0,"",INDEX(Assumptions!S:S,$B73))</f>
        <v>4.971428571428572E-3</v>
      </c>
      <c r="CH73" s="820">
        <f ca="1">IF($B73=0,"",INDEX(Assumptions!T:T,$B73))</f>
        <v>4.971428571428572E-3</v>
      </c>
      <c r="CI73" s="820">
        <f ca="1">IF($B73=0,"",INDEX(Assumptions!U:U,$B73))</f>
        <v>2.8999999999999998E-2</v>
      </c>
      <c r="CJ73" s="820">
        <f ca="1">IF($B73=0,"",INDEX(Assumptions!V:V,$B73))</f>
        <v>2.8999999999999998E-2</v>
      </c>
      <c r="CK73" s="820">
        <f ca="1">IF($B73=0,"",INDEX(Assumptions!W:W,$B73))</f>
        <v>0.1</v>
      </c>
      <c r="CL73" s="820">
        <f ca="1">IF($B73=0,"",INDEX(Assumptions!X:X,$B73))</f>
        <v>0.1</v>
      </c>
      <c r="CM73" s="820">
        <f ca="1">IF($B73=0,"",INDEX(Assumptions!Y:Y,$B73))</f>
        <v>0</v>
      </c>
      <c r="CN73" s="820">
        <f ca="1">IF($B73=0,"",INDEX(Assumptions!Z:Z,$B73))</f>
        <v>0</v>
      </c>
      <c r="CO73" s="820">
        <f ca="1">IF($B73=0,"",INDEX(Assumptions!AA:AA,$B73))</f>
        <v>0</v>
      </c>
      <c r="CP73" s="820">
        <f ca="1">IF($B73=0,"",INDEX(Assumptions!AB:AB,$B73))</f>
        <v>0</v>
      </c>
      <c r="CQ73" s="820">
        <f ca="1">IF($B73=0,"",INDEX(Assumptions!AC:AC,$B73))</f>
        <v>0</v>
      </c>
      <c r="CR73" s="820">
        <f ca="1">IF($B73=0,"",INDEX(Assumptions!AD:AD,$B73))</f>
        <v>0</v>
      </c>
      <c r="CS73" s="820">
        <f ca="1">IF($B73=0,"",INDEX(Assumptions!AE:AE,$B73))</f>
        <v>0</v>
      </c>
      <c r="CT73" s="820">
        <f ca="1">IF($B73=0,"",INDEX(Assumptions!AF:AF,$B73))</f>
        <v>0</v>
      </c>
      <c r="CU73" s="820">
        <f ca="1">IF($B73=0,"",INDEX(Assumptions!AG:AG,$B73))</f>
        <v>0</v>
      </c>
      <c r="CX73" s="442">
        <f>IF($A73="","",INDEX('Data Interface'!G:G,$A73))</f>
        <v>17243.170592639999</v>
      </c>
      <c r="CY73" s="442">
        <f>IF($A73="","",INDEX('Data Interface'!H:H,$A73))</f>
        <v>0</v>
      </c>
      <c r="CZ73" s="442">
        <f>IF($A73="","",INDEX('Data Interface'!I:I,$A73))</f>
        <v>0</v>
      </c>
      <c r="DA73" s="442">
        <f>IF($A73="","",INDEX('Data Interface'!J:J,$A73))</f>
        <v>0</v>
      </c>
      <c r="DB73" s="442">
        <f>IF($A73="","",INDEX('Data Interface'!K:K,$A73))</f>
        <v>0</v>
      </c>
      <c r="DC73" s="442">
        <f>IF($A73="","",INDEX('Data Interface'!L:L,$A73))</f>
        <v>0</v>
      </c>
      <c r="DD73" s="442">
        <f>IF($A73="","",INDEX('Data Interface'!M:M,$A73))</f>
        <v>0</v>
      </c>
      <c r="DE73" s="442">
        <f>IF($A73="","",INDEX('Data Interface'!N:N,$A73))</f>
        <v>0</v>
      </c>
      <c r="DF73" s="442">
        <f>IF($A73="","",INDEX('Data Interface'!O:O,$A73))</f>
        <v>0</v>
      </c>
      <c r="DG73" s="442">
        <f>IF($A73="","",INDEX('Data Interface'!P:P,$A73))</f>
        <v>0</v>
      </c>
      <c r="DH73" s="442">
        <f>IF($A73="","",INDEX('Data Interface'!Q:Q,$A73))</f>
        <v>0</v>
      </c>
      <c r="DI73" s="442">
        <f>IF($A73="","",INDEX('Data Interface'!R:R,$A73))</f>
        <v>0</v>
      </c>
      <c r="DJ73" s="442">
        <f>IF($A73="","",INDEX('Data Interface'!S:S,$A73))</f>
        <v>0</v>
      </c>
      <c r="DK73" s="442">
        <f>IF($A73="","",INDEX('Data Interface'!T:T,$A73))</f>
        <v>0</v>
      </c>
      <c r="DL73" s="442">
        <f>IF($A73="","",INDEX('Data Interface'!U:U,$A73))</f>
        <v>0</v>
      </c>
      <c r="DM73" s="442">
        <f>IF($A73="","",INDEX('Data Interface'!V:V,$A73))</f>
        <v>0</v>
      </c>
      <c r="DN73" s="442">
        <f>IF($A73="","",INDEX('Data Interface'!W:W,$A73))</f>
        <v>0</v>
      </c>
      <c r="DO73" s="442">
        <f>IF($A73="","",INDEX('Data Interface'!X:X,$A73))</f>
        <v>0</v>
      </c>
      <c r="DP73" s="442">
        <f>IF($A73="","",INDEX('Data Interface'!Y:Y,$A73))</f>
        <v>0</v>
      </c>
      <c r="DQ73" s="442">
        <f>IF($A73="","",INDEX('Data Interface'!Z:Z,$A73))</f>
        <v>0</v>
      </c>
      <c r="DR73" s="442">
        <f>IF($A73="","",INDEX('Data Interface'!AA:AA,$A73))</f>
        <v>0</v>
      </c>
      <c r="DS73" s="442">
        <f>IF($A73="","",INDEX('Data Interface'!AB:AB,$A73))</f>
        <v>0</v>
      </c>
      <c r="DT73" s="442">
        <f>IF($A73="","",INDEX('Data Interface'!AC:AC,$A73))</f>
        <v>0</v>
      </c>
      <c r="DU73" s="442">
        <f>IF($A73="","",INDEX('Data Interface'!AD:AD,$A73))</f>
        <v>0</v>
      </c>
      <c r="DV73" s="442">
        <f>IF($A73="","",INDEX('Data Interface'!AE:AE,$A73))</f>
        <v>0</v>
      </c>
      <c r="DW73" s="442">
        <f>IF($A73="","",INDEX('Data Interface'!AF:AF,$A73))</f>
        <v>0</v>
      </c>
      <c r="DX73" s="442">
        <f>IF($A73="","",INDEX('Data Interface'!AG:AG,$A73))</f>
        <v>0</v>
      </c>
      <c r="DZ73" s="906" t="str">
        <f>IF(OR($B73=0,$A73=0,$H73&lt;&gt;1),"",INDEX(Assumptions!EO:EO,$B73))</f>
        <v/>
      </c>
      <c r="EA73" s="906" t="str">
        <f>IF(OR($B73=0,$A73=0,$H73&lt;&gt;1),"",INDEX(Assumptions!EP:EP,$B73))</f>
        <v/>
      </c>
      <c r="EB73" s="906" t="str">
        <f>IF(OR($B73=0,$A73=0,$H73&lt;&gt;1),"",INDEX(Assumptions!EQ:EQ,$B73))</f>
        <v/>
      </c>
      <c r="EC73" s="906" t="str">
        <f>IF(OR($B73=0,$A73=0,$H73&lt;&gt;1),"",INDEX(Assumptions!ER:ER,$B73))</f>
        <v/>
      </c>
      <c r="ED73" s="906" t="str">
        <f>IF(OR($B73=0,$A73=0,$H73&lt;&gt;1),"",INDEX(Assumptions!ES:ES,$B73))</f>
        <v/>
      </c>
      <c r="EE73" s="906" t="str">
        <f>IF(OR($B73=0,$A73=0,$H73&lt;&gt;1),"",INDEX(Assumptions!ET:ET,$B73))</f>
        <v/>
      </c>
      <c r="EF73" s="906" t="str">
        <f>IF(OR($B73=0,$A73=0,$H73&lt;&gt;1),"",INDEX(Assumptions!EU:EU,$B73))</f>
        <v/>
      </c>
      <c r="EG73" s="906" t="str">
        <f>IF(OR($B73=0,$A73=0,$H73&lt;&gt;1),"",INDEX(Assumptions!EV:EV,$B73))</f>
        <v/>
      </c>
      <c r="EH73" s="906" t="str">
        <f>IF(OR($B73=0,$A73=0,$H73&lt;&gt;1),"",INDEX(Assumptions!EW:EW,$B73))</f>
        <v/>
      </c>
      <c r="EI73" s="906" t="str">
        <f>IF(OR($B73=0,$A73=0,$H73&lt;&gt;1),"",INDEX(Assumptions!EX:EX,$B73))</f>
        <v/>
      </c>
      <c r="EJ73" s="906" t="str">
        <f>IF(OR($B73=0,$A73=0,$H73&lt;&gt;1),"",INDEX(Assumptions!EY:EY,$B73))</f>
        <v/>
      </c>
      <c r="EK73" s="906" t="str">
        <f>IF(OR($B73=0,$A73=0,$H73&lt;&gt;1),"",INDEX(Assumptions!EZ:EZ,$B73))</f>
        <v/>
      </c>
      <c r="EL73" s="906" t="str">
        <f>IF(OR($B73=0,$A73=0,$H73&lt;&gt;1),"",INDEX(Assumptions!FA:FA,$B73))</f>
        <v/>
      </c>
      <c r="EM73" s="906" t="str">
        <f>IF(OR($B73=0,$A73=0,$H73&lt;&gt;1),"",INDEX(Assumptions!FB:FB,$B73))</f>
        <v/>
      </c>
      <c r="EN73" s="906" t="str">
        <f>IF(OR($B73=0,$A73=0,$H73&lt;&gt;1),"",INDEX(Assumptions!FC:FC,$B73))</f>
        <v/>
      </c>
      <c r="EO73" s="906" t="str">
        <f>IF(OR($B73=0,$A73=0,$H73&lt;&gt;1),"",INDEX(Assumptions!FD:FD,$B73))</f>
        <v/>
      </c>
      <c r="EP73" s="906" t="str">
        <f>IF(OR($B73=0,$A73=0,$H73&lt;&gt;1),"",INDEX(Assumptions!FE:FE,$B73))</f>
        <v/>
      </c>
      <c r="EQ73" s="906" t="str">
        <f>IF(OR($B73=0,$A73=0,$H73&lt;&gt;1),"",INDEX(Assumptions!FF:FF,$B73))</f>
        <v/>
      </c>
      <c r="ER73" s="906" t="str">
        <f>IF(OR($B73=0,$A73=0,$H73&lt;&gt;1),"",INDEX(Assumptions!FG:FG,$B73))</f>
        <v/>
      </c>
      <c r="ES73" s="906" t="str">
        <f>IF(OR($B73=0,$A73=0,$H73&lt;&gt;1),"",INDEX(Assumptions!FH:FH,$B73))</f>
        <v/>
      </c>
      <c r="ET73" s="906" t="str">
        <f>IF(OR($B73=0,$A73=0,$H73&lt;&gt;1),"",INDEX(Assumptions!FI:FI,$B73))</f>
        <v/>
      </c>
      <c r="EU73" s="906" t="str">
        <f>IF(OR($B73=0,$A73=0,$H73&lt;&gt;1),"",INDEX(Assumptions!FJ:FJ,$B73))</f>
        <v/>
      </c>
      <c r="EV73" s="906" t="str">
        <f>IF(OR($B73=0,$A73=0,$H73&lt;&gt;1),"",INDEX(Assumptions!FK:FK,$B73))</f>
        <v/>
      </c>
      <c r="EW73" s="906" t="str">
        <f>IF(OR($B73=0,$A73=0,$H73&lt;&gt;1),"",INDEX(Assumptions!FL:FL,$B73))</f>
        <v/>
      </c>
      <c r="EX73" s="906" t="str">
        <f>IF(OR($B73=0,$A73=0,$H73&lt;&gt;1),"",INDEX(Assumptions!FM:FM,$B73))</f>
        <v/>
      </c>
      <c r="EY73" s="906" t="str">
        <f>IF(OR($B73=0,$A73=0,$H73&lt;&gt;1),"",INDEX(Assumptions!FN:FN,$B73))</f>
        <v/>
      </c>
      <c r="EZ73" s="906" t="str">
        <f>IF(OR($B73=0,$A73=0,$H73&lt;&gt;1),"",INDEX(Assumptions!FO:FO,$B73))</f>
        <v/>
      </c>
      <c r="FB73" s="820" t="str">
        <f t="shared" si="18"/>
        <v/>
      </c>
      <c r="FC73" s="820" t="str">
        <f t="shared" si="19"/>
        <v/>
      </c>
      <c r="FD73" s="820" t="str">
        <f t="shared" si="20"/>
        <v/>
      </c>
      <c r="FE73" s="820" t="str">
        <f t="shared" si="21"/>
        <v/>
      </c>
      <c r="FF73" s="820" t="str">
        <f t="shared" si="22"/>
        <v/>
      </c>
    </row>
    <row r="74" spans="1:162">
      <c r="A74" s="440">
        <f>IFERROR(MATCH(C74,'Data Interface'!B:B,0),0)</f>
        <v>73</v>
      </c>
      <c r="B74" s="440">
        <f>IFERROR(MATCH(C74,Assumptions!$B:$B,0),0)</f>
        <v>32</v>
      </c>
      <c r="C74" s="441">
        <v>16</v>
      </c>
      <c r="E74" s="441" t="s">
        <v>1220</v>
      </c>
      <c r="F74" s="440" t="s">
        <v>1197</v>
      </c>
      <c r="G74" s="440" t="str">
        <f>IF(A74=0,"",INDEX('Data Interface'!$C:$C,$A74))</f>
        <v>Credit Enhancement Facility - CPDP</v>
      </c>
      <c r="H74" s="440">
        <v>0</v>
      </c>
      <c r="I74" s="819">
        <f t="shared" ca="1" si="53"/>
        <v>0.40399999999999991</v>
      </c>
      <c r="J74" s="819">
        <f t="shared" ca="1" si="54"/>
        <v>0.42699999999999982</v>
      </c>
      <c r="K74" s="439" t="str">
        <f t="shared" ca="1" si="55"/>
        <v>40.4% of Current Balance</v>
      </c>
      <c r="L74" s="439" t="s">
        <v>1148</v>
      </c>
      <c r="M74" s="439" t="s">
        <v>1514</v>
      </c>
      <c r="O74" s="442">
        <f>IF(OR($A74="",$A74=0),0,INDEX('Data Interface'!D:D,$A74))</f>
        <v>560</v>
      </c>
      <c r="P74" s="442">
        <f ca="1">$O74-SUM($AS74:AS74)</f>
        <v>514.75199999999995</v>
      </c>
      <c r="Q74" s="442">
        <f ca="1">$O74-SUM($AS74:AT74)</f>
        <v>499.66933333333333</v>
      </c>
      <c r="R74" s="442">
        <f ca="1">$O74-SUM($AS74:AU74)</f>
        <v>484.58666666666664</v>
      </c>
      <c r="S74" s="442">
        <f ca="1">$O74-SUM($AS74:AV74)</f>
        <v>469.50400000000002</v>
      </c>
      <c r="T74" s="442">
        <f ca="1">$O74-SUM($AS74:AW74)</f>
        <v>454.42133333333334</v>
      </c>
      <c r="U74" s="442">
        <f ca="1">$O74-SUM($AS74:AX74)</f>
        <v>439.33866666666665</v>
      </c>
      <c r="V74" s="442">
        <f ca="1">$O74-SUM($AS74:AY74)</f>
        <v>424.25599999999997</v>
      </c>
      <c r="W74" s="442">
        <f ca="1">$O74-SUM($AS74:AZ74)</f>
        <v>411.32799999999997</v>
      </c>
      <c r="X74" s="442">
        <f ca="1">$O74-SUM($AS74:BA74)</f>
        <v>398.4</v>
      </c>
      <c r="Y74" s="442">
        <f ca="1">$O74-SUM($AS74:BB74)</f>
        <v>385.47199999999998</v>
      </c>
      <c r="Z74" s="442">
        <f ca="1">$O74-SUM($AS74:BC74)</f>
        <v>372.54399999999998</v>
      </c>
      <c r="AA74" s="442">
        <f ca="1">$O74-SUM($AS74:BD74)</f>
        <v>359.61599999999999</v>
      </c>
      <c r="AB74" s="442">
        <f ca="1">$O74-SUM($AS74:BE74)</f>
        <v>346.68799999999999</v>
      </c>
      <c r="AC74" s="442">
        <f ca="1">$O74-SUM($AS74:BF74)</f>
        <v>333.76</v>
      </c>
      <c r="AD74" s="442">
        <f ca="1">$O74-SUM($AS74:BG74)</f>
        <v>327.32000000000005</v>
      </c>
      <c r="AE74" s="442">
        <f ca="1">$O74-SUM($AS74:BH74)</f>
        <v>320.88</v>
      </c>
      <c r="AF74" s="442">
        <f ca="1">$O74-SUM($AS74:BI74)</f>
        <v>264.88</v>
      </c>
      <c r="AG74" s="442">
        <f ca="1">$O74-SUM($AS74:BJ74)</f>
        <v>208.88</v>
      </c>
      <c r="AH74" s="442">
        <f ca="1">$O74-SUM($AS74:BK74)</f>
        <v>208.88</v>
      </c>
      <c r="AI74" s="442">
        <f ca="1">$O74-SUM($AS74:BL74)</f>
        <v>208.88</v>
      </c>
      <c r="AJ74" s="442">
        <f ca="1">$O74-SUM($AS74:BM74)</f>
        <v>208.88</v>
      </c>
      <c r="AK74" s="442">
        <f ca="1">$O74-SUM($AS74:BN74)</f>
        <v>208.88</v>
      </c>
      <c r="AL74" s="442">
        <f ca="1">$O74-SUM($AS74:BO74)</f>
        <v>208.88</v>
      </c>
      <c r="AM74" s="442">
        <f ca="1">$O74-SUM($AS74:BP74)</f>
        <v>208.88</v>
      </c>
      <c r="AN74" s="442">
        <f ca="1">$O74-SUM($AS74:BQ74)</f>
        <v>208.88</v>
      </c>
      <c r="AO74" s="442">
        <f ca="1">$O74-SUM($AS74:BR74)</f>
        <v>208.88</v>
      </c>
      <c r="AP74" s="442">
        <f ca="1">$O74-SUM($AS74:BS74)</f>
        <v>208.88</v>
      </c>
      <c r="AR74" s="439" t="s">
        <v>1241</v>
      </c>
      <c r="AS74" s="442">
        <f ca="1">IF($H74="",0,IF($H74=1,IF('Para Adj'!$B$5 = 1,O74-($O74-SUMPRODUCT($CX74:CX74,$BU74:BU74))*(1-SUM($DZ74:DZ74)),BU74*CX74),$O74*BU74))</f>
        <v>45.248000000000005</v>
      </c>
      <c r="AT74" s="442">
        <f ca="1">IF($H74="",0,IF($H74=1,IF('Para Adj'!$B$5 = 1,P74-($O74-SUMPRODUCT($CX74:CY74,$BU74:BV74))*(1-SUM($DZ74:EA74)),BV74*CY74),$O74*BV74))</f>
        <v>15.082666666666666</v>
      </c>
      <c r="AU74" s="442">
        <f ca="1">IF($H74="",0,IF($H74=1,IF('Para Adj'!$B$5 = 1,Q74-($O74-SUMPRODUCT($CX74:CZ74,$BU74:BW74))*(1-SUM($DZ74:EB74)),BW74*CZ74),$O74*BW74))</f>
        <v>15.082666666666666</v>
      </c>
      <c r="AV74" s="442">
        <f ca="1">IF($H74="",0,IF($H74=1,IF('Para Adj'!$B$5 = 1,R74-($O74-SUMPRODUCT($CX74:DA74,$BU74:BX74))*(1-SUM($DZ74:EC74)),BX74*DA74),$O74*BX74))</f>
        <v>15.082666666666666</v>
      </c>
      <c r="AW74" s="442">
        <f ca="1">IF($H74="",0,IF($H74=1,IF('Para Adj'!$B$5 = 1,S74-($O74-SUMPRODUCT($CX74:DB74,$BU74:BY74))*(1-SUM($DZ74:ED74)),BY74*DB74),$O74*BY74))</f>
        <v>15.082666666666666</v>
      </c>
      <c r="AX74" s="442">
        <f ca="1">IF($H74="",0,IF($H74=1,IF('Para Adj'!$B$5 = 1,T74-($O74-SUMPRODUCT($CX74:DC74,$BU74:BZ74))*(1-SUM($DZ74:EE74)),BZ74*DC74),$O74*BZ74))</f>
        <v>15.082666666666666</v>
      </c>
      <c r="AY74" s="442">
        <f ca="1">IF($H74="",0,IF($H74=1,IF('Para Adj'!$B$5 = 1,U74-($O74-SUMPRODUCT($CX74:DD74,$BU74:CA74))*(1-SUM($DZ74:EF74)),CA74*DD74),$O74*CA74))</f>
        <v>15.082666666666666</v>
      </c>
      <c r="AZ74" s="442">
        <f ca="1">IF($H74="",0,IF($H74=1,IF('Para Adj'!$B$5 = 1,V74-($O74-SUMPRODUCT($CX74:DE74,$BU74:CB74))*(1-SUM($DZ74:EG74)),CB74*DE74),$O74*CB74))</f>
        <v>12.928000000000003</v>
      </c>
      <c r="BA74" s="442">
        <f ca="1">IF($H74="",0,IF($H74=1,IF('Para Adj'!$B$5 = 1,W74-($O74-SUMPRODUCT($CX74:DF74,$BU74:CC74))*(1-SUM($DZ74:EH74)),CC74*DF74),$O74*CC74))</f>
        <v>12.928000000000003</v>
      </c>
      <c r="BB74" s="442">
        <f ca="1">IF($H74="",0,IF($H74=1,IF('Para Adj'!$B$5 = 1,X74-($O74-SUMPRODUCT($CX74:DG74,$BU74:CD74))*(1-SUM($DZ74:EI74)),CD74*DG74),$O74*CD74))</f>
        <v>12.928000000000003</v>
      </c>
      <c r="BC74" s="442">
        <f ca="1">IF($H74="",0,IF($H74=1,IF('Para Adj'!$B$5 = 1,Y74-($O74-SUMPRODUCT($CX74:DH74,$BU74:CE74))*(1-SUM($DZ74:EJ74)),CE74*DH74),$O74*CE74))</f>
        <v>12.928000000000003</v>
      </c>
      <c r="BD74" s="442">
        <f ca="1">IF($H74="",0,IF($H74=1,IF('Para Adj'!$B$5 = 1,Z74-($O74-SUMPRODUCT($CX74:DI74,$BU74:CF74))*(1-SUM($DZ74:EK74)),CF74*DI74),$O74*CF74))</f>
        <v>12.928000000000003</v>
      </c>
      <c r="BE74" s="442">
        <f ca="1">IF($H74="",0,IF($H74=1,IF('Para Adj'!$B$5 = 1,AA74-($O74-SUMPRODUCT($CX74:DJ74,$BU74:CG74))*(1-SUM($DZ74:EL74)),CG74*DJ74),$O74*CG74))</f>
        <v>12.928000000000003</v>
      </c>
      <c r="BF74" s="442">
        <f ca="1">IF($H74="",0,IF($H74=1,IF('Para Adj'!$B$5 = 1,AB74-($O74-SUMPRODUCT($CX74:DK74,$BU74:CH74))*(1-SUM($DZ74:EM74)),CH74*DK74),$O74*CH74))</f>
        <v>12.928000000000003</v>
      </c>
      <c r="BG74" s="442">
        <f ca="1">IF($H74="",0,IF($H74=1,IF('Para Adj'!$B$5 = 1,AC74-($O74-SUMPRODUCT($CX74:DL74,$BU74:CI74))*(1-SUM($DZ74:EN74)),CI74*DL74),$O74*CI74))</f>
        <v>6.4399999999999906</v>
      </c>
      <c r="BH74" s="442">
        <f ca="1">IF($H74="",0,IF($H74=1,IF('Para Adj'!$B$5 = 1,AD74-($O74-SUMPRODUCT($CX74:DM74,$BU74:CJ74))*(1-SUM($DZ74:EO74)),CJ74*DM74),$O74*CJ74))</f>
        <v>6.4399999999999906</v>
      </c>
      <c r="BI74" s="442">
        <f ca="1">IF($H74="",0,IF($H74=1,IF('Para Adj'!$B$5 = 1,AE74-($O74-SUMPRODUCT($CX74:DN74,$BU74:CK74))*(1-SUM($DZ74:EP74)),CK74*DN74),$O74*CK74))</f>
        <v>56</v>
      </c>
      <c r="BJ74" s="442">
        <f ca="1">IF($H74="",0,IF($H74=1,IF('Para Adj'!$B$5 = 1,AF74-($O74-SUMPRODUCT($CX74:DO74,$BU74:CL74))*(1-SUM($DZ74:EQ74)),CL74*DO74),$O74*CL74))</f>
        <v>56</v>
      </c>
      <c r="BK74" s="442">
        <f ca="1">IF($H74="",0,IF($H74=1,IF('Para Adj'!$B$5 = 1,AG74-($O74-SUMPRODUCT($CX74:DP74,$BU74:CM74))*(1-SUM($DZ74:ER74)),CM74*DP74),$O74*CM74))</f>
        <v>0</v>
      </c>
      <c r="BL74" s="442">
        <f ca="1">IF($H74="",0,IF($H74=1,IF('Para Adj'!$B$5 = 1,AH74-($O74-SUMPRODUCT($CX74:DQ74,$BU74:CN74))*(1-SUM($DZ74:ES74)),CN74*DQ74),$O74*CN74))</f>
        <v>0</v>
      </c>
      <c r="BM74" s="442">
        <f ca="1">IF($H74="",0,IF($H74=1,IF('Para Adj'!$B$5 = 1,AI74-($O74-SUMPRODUCT($CX74:DR74,$BU74:CO74))*(1-SUM($DZ74:ET74)),CO74*DR74),$O74*CO74))</f>
        <v>0</v>
      </c>
      <c r="BN74" s="442">
        <f ca="1">IF($H74="",0,IF($H74=1,IF('Para Adj'!$B$5 = 1,AJ74-($O74-SUMPRODUCT($CX74:DS74,$BU74:CP74))*(1-SUM($DZ74:EU74)),CP74*DS74),$O74*CP74))</f>
        <v>0</v>
      </c>
      <c r="BO74" s="442">
        <f ca="1">IF($H74="",0,IF($H74=1,IF('Para Adj'!$B$5 = 1,AK74-($O74-SUMPRODUCT($CX74:DT74,$BU74:CQ74))*(1-SUM($DZ74:EV74)),CQ74*DT74),$O74*CQ74))</f>
        <v>0</v>
      </c>
      <c r="BP74" s="442">
        <f ca="1">IF($H74="",0,IF($H74=1,IF('Para Adj'!$B$5 = 1,AL74-($O74-SUMPRODUCT($CX74:DU74,$BU74:CR74))*(1-SUM($DZ74:EW74)),CR74*DU74),$O74*CR74))</f>
        <v>0</v>
      </c>
      <c r="BQ74" s="442">
        <f ca="1">IF($H74="",0,IF($H74=1,IF('Para Adj'!$B$5 = 1,AM74-($O74-SUMPRODUCT($CX74:DV74,$BU74:CS74))*(1-SUM($DZ74:EX74)),CS74*DV74),$O74*CS74))</f>
        <v>0</v>
      </c>
      <c r="BR74" s="442">
        <f ca="1">IF($H74="",0,IF($H74=1,IF('Para Adj'!$B$5 = 1,AN74-($O74-SUMPRODUCT($CX74:DW74,$BU74:CT74))*(1-SUM($DZ74:EY74)),CT74*DW74),$O74*CT74))</f>
        <v>0</v>
      </c>
      <c r="BS74" s="442">
        <f ca="1">IF($H74="",0,IF($H74=1,IF('Para Adj'!$B$5 = 1,AO74-($O74-SUMPRODUCT($CX74:DX74,$BU74:CU74))*(1-SUM($DZ74:EZ74)),CU74*DX74),$O74*CU74))</f>
        <v>0</v>
      </c>
      <c r="BU74" s="820">
        <f ca="1">IF($B74=0,"",INDEX(Assumptions!G:G,$B74))</f>
        <v>8.0800000000000011E-2</v>
      </c>
      <c r="BV74" s="820">
        <f ca="1">IF($B74=0,"",INDEX(Assumptions!H:H,$B74))</f>
        <v>2.6933333333333333E-2</v>
      </c>
      <c r="BW74" s="820">
        <f ca="1">IF($B74=0,"",INDEX(Assumptions!I:I,$B74))</f>
        <v>2.6933333333333333E-2</v>
      </c>
      <c r="BX74" s="820">
        <f ca="1">IF($B74=0,"",INDEX(Assumptions!J:J,$B74))</f>
        <v>2.6933333333333333E-2</v>
      </c>
      <c r="BY74" s="820">
        <f ca="1">IF($B74=0,"",INDEX(Assumptions!K:K,$B74))</f>
        <v>2.6933333333333333E-2</v>
      </c>
      <c r="BZ74" s="820">
        <f ca="1">IF($B74=0,"",INDEX(Assumptions!L:L,$B74))</f>
        <v>2.6933333333333333E-2</v>
      </c>
      <c r="CA74" s="820">
        <f ca="1">IF($B74=0,"",INDEX(Assumptions!M:M,$B74))</f>
        <v>2.6933333333333333E-2</v>
      </c>
      <c r="CB74" s="820">
        <f ca="1">IF($B74=0,"",INDEX(Assumptions!N:N,$B74))</f>
        <v>2.3085714285714289E-2</v>
      </c>
      <c r="CC74" s="820">
        <f ca="1">IF($B74=0,"",INDEX(Assumptions!O:O,$B74))</f>
        <v>2.3085714285714289E-2</v>
      </c>
      <c r="CD74" s="820">
        <f ca="1">IF($B74=0,"",INDEX(Assumptions!P:P,$B74))</f>
        <v>2.3085714285714289E-2</v>
      </c>
      <c r="CE74" s="820">
        <f ca="1">IF($B74=0,"",INDEX(Assumptions!Q:Q,$B74))</f>
        <v>2.3085714285714289E-2</v>
      </c>
      <c r="CF74" s="820">
        <f ca="1">IF($B74=0,"",INDEX(Assumptions!R:R,$B74))</f>
        <v>2.3085714285714289E-2</v>
      </c>
      <c r="CG74" s="820">
        <f ca="1">IF($B74=0,"",INDEX(Assumptions!S:S,$B74))</f>
        <v>2.3085714285714289E-2</v>
      </c>
      <c r="CH74" s="820">
        <f ca="1">IF($B74=0,"",INDEX(Assumptions!T:T,$B74))</f>
        <v>2.3085714285714289E-2</v>
      </c>
      <c r="CI74" s="820">
        <f ca="1">IF($B74=0,"",INDEX(Assumptions!U:U,$B74))</f>
        <v>1.1499999999999982E-2</v>
      </c>
      <c r="CJ74" s="820">
        <f ca="1">IF($B74=0,"",INDEX(Assumptions!V:V,$B74))</f>
        <v>1.1499999999999982E-2</v>
      </c>
      <c r="CK74" s="820">
        <f ca="1">IF($B74=0,"",INDEX(Assumptions!W:W,$B74))</f>
        <v>0.1</v>
      </c>
      <c r="CL74" s="820">
        <f ca="1">IF($B74=0,"",INDEX(Assumptions!X:X,$B74))</f>
        <v>0.1</v>
      </c>
      <c r="CM74" s="820">
        <f ca="1">IF($B74=0,"",INDEX(Assumptions!Y:Y,$B74))</f>
        <v>0</v>
      </c>
      <c r="CN74" s="820">
        <f ca="1">IF($B74=0,"",INDEX(Assumptions!Z:Z,$B74))</f>
        <v>0</v>
      </c>
      <c r="CO74" s="820">
        <f ca="1">IF($B74=0,"",INDEX(Assumptions!AA:AA,$B74))</f>
        <v>0</v>
      </c>
      <c r="CP74" s="820">
        <f ca="1">IF($B74=0,"",INDEX(Assumptions!AB:AB,$B74))</f>
        <v>0</v>
      </c>
      <c r="CQ74" s="820">
        <f ca="1">IF($B74=0,"",INDEX(Assumptions!AC:AC,$B74))</f>
        <v>0</v>
      </c>
      <c r="CR74" s="820">
        <f ca="1">IF($B74=0,"",INDEX(Assumptions!AD:AD,$B74))</f>
        <v>0</v>
      </c>
      <c r="CS74" s="820">
        <f ca="1">IF($B74=0,"",INDEX(Assumptions!AE:AE,$B74))</f>
        <v>0</v>
      </c>
      <c r="CT74" s="820">
        <f ca="1">IF($B74=0,"",INDEX(Assumptions!AF:AF,$B74))</f>
        <v>0</v>
      </c>
      <c r="CU74" s="820">
        <f ca="1">IF($B74=0,"",INDEX(Assumptions!AG:AG,$B74))</f>
        <v>0</v>
      </c>
      <c r="CX74" s="442">
        <f>IF($A74="","",INDEX('Data Interface'!G:G,$A74))</f>
        <v>0</v>
      </c>
      <c r="CY74" s="442">
        <f>IF($A74="","",INDEX('Data Interface'!H:H,$A74))</f>
        <v>0</v>
      </c>
      <c r="CZ74" s="442">
        <f>IF($A74="","",INDEX('Data Interface'!I:I,$A74))</f>
        <v>0</v>
      </c>
      <c r="DA74" s="442">
        <f>IF($A74="","",INDEX('Data Interface'!J:J,$A74))</f>
        <v>0</v>
      </c>
      <c r="DB74" s="442">
        <f>IF($A74="","",INDEX('Data Interface'!K:K,$A74))</f>
        <v>0</v>
      </c>
      <c r="DC74" s="442">
        <f>IF($A74="","",INDEX('Data Interface'!L:L,$A74))</f>
        <v>0</v>
      </c>
      <c r="DD74" s="442">
        <f>IF($A74="","",INDEX('Data Interface'!M:M,$A74))</f>
        <v>0</v>
      </c>
      <c r="DE74" s="442">
        <f>IF($A74="","",INDEX('Data Interface'!N:N,$A74))</f>
        <v>0</v>
      </c>
      <c r="DF74" s="442">
        <f>IF($A74="","",INDEX('Data Interface'!O:O,$A74))</f>
        <v>0</v>
      </c>
      <c r="DG74" s="442">
        <f>IF($A74="","",INDEX('Data Interface'!P:P,$A74))</f>
        <v>0</v>
      </c>
      <c r="DH74" s="442">
        <f>IF($A74="","",INDEX('Data Interface'!Q:Q,$A74))</f>
        <v>0</v>
      </c>
      <c r="DI74" s="442">
        <f>IF($A74="","",INDEX('Data Interface'!R:R,$A74))</f>
        <v>0</v>
      </c>
      <c r="DJ74" s="442">
        <f>IF($A74="","",INDEX('Data Interface'!S:S,$A74))</f>
        <v>0</v>
      </c>
      <c r="DK74" s="442">
        <f>IF($A74="","",INDEX('Data Interface'!T:T,$A74))</f>
        <v>0</v>
      </c>
      <c r="DL74" s="442">
        <f>IF($A74="","",INDEX('Data Interface'!U:U,$A74))</f>
        <v>0</v>
      </c>
      <c r="DM74" s="442">
        <f>IF($A74="","",INDEX('Data Interface'!V:V,$A74))</f>
        <v>0</v>
      </c>
      <c r="DN74" s="442">
        <f>IF($A74="","",INDEX('Data Interface'!W:W,$A74))</f>
        <v>0</v>
      </c>
      <c r="DO74" s="442">
        <f>IF($A74="","",INDEX('Data Interface'!X:X,$A74))</f>
        <v>0</v>
      </c>
      <c r="DP74" s="442">
        <f>IF($A74="","",INDEX('Data Interface'!Y:Y,$A74))</f>
        <v>0</v>
      </c>
      <c r="DQ74" s="442">
        <f>IF($A74="","",INDEX('Data Interface'!Z:Z,$A74))</f>
        <v>300</v>
      </c>
      <c r="DR74" s="442">
        <f>IF($A74="","",INDEX('Data Interface'!AA:AA,$A74))</f>
        <v>0</v>
      </c>
      <c r="DS74" s="442">
        <f>IF($A74="","",INDEX('Data Interface'!AB:AB,$A74))</f>
        <v>0</v>
      </c>
      <c r="DT74" s="442">
        <f>IF($A74="","",INDEX('Data Interface'!AC:AC,$A74))</f>
        <v>0</v>
      </c>
      <c r="DU74" s="442">
        <f>IF($A74="","",INDEX('Data Interface'!AD:AD,$A74))</f>
        <v>120</v>
      </c>
      <c r="DV74" s="442">
        <f>IF($A74="","",INDEX('Data Interface'!AE:AE,$A74))</f>
        <v>0</v>
      </c>
      <c r="DW74" s="442">
        <f>IF($A74="","",INDEX('Data Interface'!AF:AF,$A74))</f>
        <v>0</v>
      </c>
      <c r="DX74" s="442">
        <f>IF($A74="","",INDEX('Data Interface'!AG:AG,$A74))</f>
        <v>0</v>
      </c>
      <c r="DZ74" s="906" t="str">
        <f>IF(OR($B74=0,$A74=0,$H74&lt;&gt;1),"",INDEX(Assumptions!EO:EO,$B74))</f>
        <v/>
      </c>
      <c r="EA74" s="906" t="str">
        <f>IF(OR($B74=0,$A74=0,$H74&lt;&gt;1),"",INDEX(Assumptions!EP:EP,$B74))</f>
        <v/>
      </c>
      <c r="EB74" s="906" t="str">
        <f>IF(OR($B74=0,$A74=0,$H74&lt;&gt;1),"",INDEX(Assumptions!EQ:EQ,$B74))</f>
        <v/>
      </c>
      <c r="EC74" s="906" t="str">
        <f>IF(OR($B74=0,$A74=0,$H74&lt;&gt;1),"",INDEX(Assumptions!ER:ER,$B74))</f>
        <v/>
      </c>
      <c r="ED74" s="906" t="str">
        <f>IF(OR($B74=0,$A74=0,$H74&lt;&gt;1),"",INDEX(Assumptions!ES:ES,$B74))</f>
        <v/>
      </c>
      <c r="EE74" s="906" t="str">
        <f>IF(OR($B74=0,$A74=0,$H74&lt;&gt;1),"",INDEX(Assumptions!ET:ET,$B74))</f>
        <v/>
      </c>
      <c r="EF74" s="906" t="str">
        <f>IF(OR($B74=0,$A74=0,$H74&lt;&gt;1),"",INDEX(Assumptions!EU:EU,$B74))</f>
        <v/>
      </c>
      <c r="EG74" s="906" t="str">
        <f>IF(OR($B74=0,$A74=0,$H74&lt;&gt;1),"",INDEX(Assumptions!EV:EV,$B74))</f>
        <v/>
      </c>
      <c r="EH74" s="906" t="str">
        <f>IF(OR($B74=0,$A74=0,$H74&lt;&gt;1),"",INDEX(Assumptions!EW:EW,$B74))</f>
        <v/>
      </c>
      <c r="EI74" s="906" t="str">
        <f>IF(OR($B74=0,$A74=0,$H74&lt;&gt;1),"",INDEX(Assumptions!EX:EX,$B74))</f>
        <v/>
      </c>
      <c r="EJ74" s="906" t="str">
        <f>IF(OR($B74=0,$A74=0,$H74&lt;&gt;1),"",INDEX(Assumptions!EY:EY,$B74))</f>
        <v/>
      </c>
      <c r="EK74" s="906" t="str">
        <f>IF(OR($B74=0,$A74=0,$H74&lt;&gt;1),"",INDEX(Assumptions!EZ:EZ,$B74))</f>
        <v/>
      </c>
      <c r="EL74" s="906" t="str">
        <f>IF(OR($B74=0,$A74=0,$H74&lt;&gt;1),"",INDEX(Assumptions!FA:FA,$B74))</f>
        <v/>
      </c>
      <c r="EM74" s="906" t="str">
        <f>IF(OR($B74=0,$A74=0,$H74&lt;&gt;1),"",INDEX(Assumptions!FB:FB,$B74))</f>
        <v/>
      </c>
      <c r="EN74" s="906" t="str">
        <f>IF(OR($B74=0,$A74=0,$H74&lt;&gt;1),"",INDEX(Assumptions!FC:FC,$B74))</f>
        <v/>
      </c>
      <c r="EO74" s="906" t="str">
        <f>IF(OR($B74=0,$A74=0,$H74&lt;&gt;1),"",INDEX(Assumptions!FD:FD,$B74))</f>
        <v/>
      </c>
      <c r="EP74" s="906" t="str">
        <f>IF(OR($B74=0,$A74=0,$H74&lt;&gt;1),"",INDEX(Assumptions!FE:FE,$B74))</f>
        <v/>
      </c>
      <c r="EQ74" s="906" t="str">
        <f>IF(OR($B74=0,$A74=0,$H74&lt;&gt;1),"",INDEX(Assumptions!FF:FF,$B74))</f>
        <v/>
      </c>
      <c r="ER74" s="906" t="str">
        <f>IF(OR($B74=0,$A74=0,$H74&lt;&gt;1),"",INDEX(Assumptions!FG:FG,$B74))</f>
        <v/>
      </c>
      <c r="ES74" s="906" t="str">
        <f>IF(OR($B74=0,$A74=0,$H74&lt;&gt;1),"",INDEX(Assumptions!FH:FH,$B74))</f>
        <v/>
      </c>
      <c r="ET74" s="906" t="str">
        <f>IF(OR($B74=0,$A74=0,$H74&lt;&gt;1),"",INDEX(Assumptions!FI:FI,$B74))</f>
        <v/>
      </c>
      <c r="EU74" s="906" t="str">
        <f>IF(OR($B74=0,$A74=0,$H74&lt;&gt;1),"",INDEX(Assumptions!FJ:FJ,$B74))</f>
        <v/>
      </c>
      <c r="EV74" s="906" t="str">
        <f>IF(OR($B74=0,$A74=0,$H74&lt;&gt;1),"",INDEX(Assumptions!FK:FK,$B74))</f>
        <v/>
      </c>
      <c r="EW74" s="906" t="str">
        <f>IF(OR($B74=0,$A74=0,$H74&lt;&gt;1),"",INDEX(Assumptions!FL:FL,$B74))</f>
        <v/>
      </c>
      <c r="EX74" s="906" t="str">
        <f>IF(OR($B74=0,$A74=0,$H74&lt;&gt;1),"",INDEX(Assumptions!FM:FM,$B74))</f>
        <v/>
      </c>
      <c r="EY74" s="906" t="str">
        <f>IF(OR($B74=0,$A74=0,$H74&lt;&gt;1),"",INDEX(Assumptions!FN:FN,$B74))</f>
        <v/>
      </c>
      <c r="EZ74" s="906" t="str">
        <f>IF(OR($B74=0,$A74=0,$H74&lt;&gt;1),"",INDEX(Assumptions!FO:FO,$B74))</f>
        <v/>
      </c>
      <c r="FB74" s="820" t="str">
        <f t="shared" si="18"/>
        <v/>
      </c>
      <c r="FC74" s="820" t="str">
        <f t="shared" si="19"/>
        <v/>
      </c>
      <c r="FD74" s="820" t="str">
        <f t="shared" si="20"/>
        <v/>
      </c>
      <c r="FE74" s="820" t="str">
        <f t="shared" si="21"/>
        <v/>
      </c>
      <c r="FF74" s="820" t="str">
        <f t="shared" si="22"/>
        <v/>
      </c>
    </row>
    <row r="75" spans="1:162">
      <c r="A75" s="440">
        <f>IFERROR(MATCH(C75,'Data Interface'!B:B,0),0)</f>
        <v>74</v>
      </c>
      <c r="B75" s="440">
        <f>IFERROR(MATCH(C75,Assumptions!$B:$B,0),0)</f>
        <v>33</v>
      </c>
      <c r="C75" s="441">
        <v>16.100000000000001</v>
      </c>
      <c r="E75" s="441" t="s">
        <v>1220</v>
      </c>
      <c r="F75" s="440" t="s">
        <v>1197</v>
      </c>
      <c r="G75" s="440" t="str">
        <f>IF(A75=0,"",INDEX('Data Interface'!$C:$C,$A75))</f>
        <v>Credit Enhancement Facility - 80/20</v>
      </c>
      <c r="H75" s="440">
        <v>0</v>
      </c>
      <c r="I75" s="819">
        <f t="shared" ca="1" si="53"/>
        <v>3.261E-2</v>
      </c>
      <c r="J75" s="819">
        <f t="shared" ca="1" si="54"/>
        <v>5.4350000000000009E-2</v>
      </c>
      <c r="K75" s="439" t="str">
        <f t="shared" ca="1" si="55"/>
        <v>3.3% of Current Balance</v>
      </c>
      <c r="L75" s="439" t="s">
        <v>1148</v>
      </c>
      <c r="M75" s="439" t="s">
        <v>1514</v>
      </c>
      <c r="O75" s="442">
        <f>IF(OR($A75="",$A75=0),0,INDEX('Data Interface'!D:D,$A75))</f>
        <v>1122.824177</v>
      </c>
      <c r="P75" s="442">
        <f ca="1">$O75-SUM($AS75:AS75)</f>
        <v>1115.5011177176059</v>
      </c>
      <c r="Q75" s="442">
        <f ca="1">$O75-SUM($AS75:AT75)</f>
        <v>1113.060097956808</v>
      </c>
      <c r="R75" s="442">
        <f ca="1">$O75-SUM($AS75:AU75)</f>
        <v>1110.6190781960099</v>
      </c>
      <c r="S75" s="442">
        <f ca="1">$O75-SUM($AS75:AV75)</f>
        <v>1108.1780584352121</v>
      </c>
      <c r="T75" s="442">
        <f ca="1">$O75-SUM($AS75:AW75)</f>
        <v>1105.737038674414</v>
      </c>
      <c r="U75" s="442">
        <f ca="1">$O75-SUM($AS75:AX75)</f>
        <v>1103.2960189136159</v>
      </c>
      <c r="V75" s="442">
        <f ca="1">$O75-SUM($AS75:AY75)</f>
        <v>1100.854999152818</v>
      </c>
      <c r="W75" s="442">
        <f ca="1">$O75-SUM($AS75:AZ75)</f>
        <v>1098.7626965007055</v>
      </c>
      <c r="X75" s="442">
        <f ca="1">$O75-SUM($AS75:BA75)</f>
        <v>1096.6703938485928</v>
      </c>
      <c r="Y75" s="442">
        <f ca="1">$O75-SUM($AS75:BB75)</f>
        <v>1094.5780911964803</v>
      </c>
      <c r="Z75" s="442">
        <f ca="1">$O75-SUM($AS75:BC75)</f>
        <v>1092.4857885443678</v>
      </c>
      <c r="AA75" s="442">
        <f ca="1">$O75-SUM($AS75:BD75)</f>
        <v>1090.3934858922551</v>
      </c>
      <c r="AB75" s="442">
        <f ca="1">$O75-SUM($AS75:BE75)</f>
        <v>1088.3011832401426</v>
      </c>
      <c r="AC75" s="442">
        <f ca="1">$O75-SUM($AS75:BF75)</f>
        <v>1086.2088805880301</v>
      </c>
      <c r="AD75" s="442">
        <f ca="1">$O75-SUM($AS75:BG75)</f>
        <v>1074.00378178404</v>
      </c>
      <c r="AE75" s="442">
        <f ca="1">$O75-SUM($AS75:BH75)</f>
        <v>1061.79868298005</v>
      </c>
      <c r="AF75" s="442">
        <f ca="1">$O75-SUM($AS75:BI75)</f>
        <v>1061.79868298005</v>
      </c>
      <c r="AG75" s="442">
        <f ca="1">$O75-SUM($AS75:BJ75)</f>
        <v>1061.79868298005</v>
      </c>
      <c r="AH75" s="442">
        <f ca="1">$O75-SUM($AS75:BK75)</f>
        <v>1061.79868298005</v>
      </c>
      <c r="AI75" s="442">
        <f ca="1">$O75-SUM($AS75:BL75)</f>
        <v>1061.79868298005</v>
      </c>
      <c r="AJ75" s="442">
        <f ca="1">$O75-SUM($AS75:BM75)</f>
        <v>1061.79868298005</v>
      </c>
      <c r="AK75" s="442">
        <f ca="1">$O75-SUM($AS75:BN75)</f>
        <v>1061.79868298005</v>
      </c>
      <c r="AL75" s="442">
        <f ca="1">$O75-SUM($AS75:BO75)</f>
        <v>1061.79868298005</v>
      </c>
      <c r="AM75" s="442">
        <f ca="1">$O75-SUM($AS75:BP75)</f>
        <v>1061.79868298005</v>
      </c>
      <c r="AN75" s="442">
        <f ca="1">$O75-SUM($AS75:BQ75)</f>
        <v>1061.79868298005</v>
      </c>
      <c r="AO75" s="442">
        <f ca="1">$O75-SUM($AS75:BR75)</f>
        <v>1061.79868298005</v>
      </c>
      <c r="AP75" s="442">
        <f ca="1">$O75-SUM($AS75:BS75)</f>
        <v>1061.79868298005</v>
      </c>
      <c r="AR75" s="439" t="s">
        <v>1241</v>
      </c>
      <c r="AS75" s="442">
        <f ca="1">IF($H75="",0,IF($H75=1,IF('Para Adj'!$B$5 = 1,O75-($O75-SUMPRODUCT($CX75:CX75,$BU75:BU75))*(1-SUM($DZ75:DZ75)),BU75*CX75),$O75*BU75))</f>
        <v>7.3230592823939995</v>
      </c>
      <c r="AT75" s="442">
        <f ca="1">IF($H75="",0,IF($H75=1,IF('Para Adj'!$B$5 = 1,P75-($O75-SUMPRODUCT($CX75:CY75,$BU75:BV75))*(1-SUM($DZ75:EA75)),BV75*CY75),$O75*BV75))</f>
        <v>2.441019760798</v>
      </c>
      <c r="AU75" s="442">
        <f ca="1">IF($H75="",0,IF($H75=1,IF('Para Adj'!$B$5 = 1,Q75-($O75-SUMPRODUCT($CX75:CZ75,$BU75:BW75))*(1-SUM($DZ75:EB75)),BW75*CZ75),$O75*BW75))</f>
        <v>2.441019760798</v>
      </c>
      <c r="AV75" s="442">
        <f ca="1">IF($H75="",0,IF($H75=1,IF('Para Adj'!$B$5 = 1,R75-($O75-SUMPRODUCT($CX75:DA75,$BU75:BX75))*(1-SUM($DZ75:EC75)),BX75*DA75),$O75*BX75))</f>
        <v>2.441019760798</v>
      </c>
      <c r="AW75" s="442">
        <f ca="1">IF($H75="",0,IF($H75=1,IF('Para Adj'!$B$5 = 1,S75-($O75-SUMPRODUCT($CX75:DB75,$BU75:BY75))*(1-SUM($DZ75:ED75)),BY75*DB75),$O75*BY75))</f>
        <v>2.441019760798</v>
      </c>
      <c r="AX75" s="442">
        <f ca="1">IF($H75="",0,IF($H75=1,IF('Para Adj'!$B$5 = 1,T75-($O75-SUMPRODUCT($CX75:DC75,$BU75:BZ75))*(1-SUM($DZ75:EE75)),BZ75*DC75),$O75*BZ75))</f>
        <v>2.441019760798</v>
      </c>
      <c r="AY75" s="442">
        <f ca="1">IF($H75="",0,IF($H75=1,IF('Para Adj'!$B$5 = 1,U75-($O75-SUMPRODUCT($CX75:DD75,$BU75:CA75))*(1-SUM($DZ75:EF75)),CA75*DD75),$O75*CA75))</f>
        <v>2.441019760798</v>
      </c>
      <c r="AZ75" s="442">
        <f ca="1">IF($H75="",0,IF($H75=1,IF('Para Adj'!$B$5 = 1,V75-($O75-SUMPRODUCT($CX75:DE75,$BU75:CB75))*(1-SUM($DZ75:EG75)),CB75*DE75),$O75*CB75))</f>
        <v>2.0923026521125716</v>
      </c>
      <c r="BA75" s="442">
        <f ca="1">IF($H75="",0,IF($H75=1,IF('Para Adj'!$B$5 = 1,W75-($O75-SUMPRODUCT($CX75:DF75,$BU75:CC75))*(1-SUM($DZ75:EH75)),CC75*DF75),$O75*CC75))</f>
        <v>2.0923026521125716</v>
      </c>
      <c r="BB75" s="442">
        <f ca="1">IF($H75="",0,IF($H75=1,IF('Para Adj'!$B$5 = 1,X75-($O75-SUMPRODUCT($CX75:DG75,$BU75:CD75))*(1-SUM($DZ75:EI75)),CD75*DG75),$O75*CD75))</f>
        <v>2.0923026521125716</v>
      </c>
      <c r="BC75" s="442">
        <f ca="1">IF($H75="",0,IF($H75=1,IF('Para Adj'!$B$5 = 1,Y75-($O75-SUMPRODUCT($CX75:DH75,$BU75:CE75))*(1-SUM($DZ75:EJ75)),CE75*DH75),$O75*CE75))</f>
        <v>2.0923026521125716</v>
      </c>
      <c r="BD75" s="442">
        <f ca="1">IF($H75="",0,IF($H75=1,IF('Para Adj'!$B$5 = 1,Z75-($O75-SUMPRODUCT($CX75:DI75,$BU75:CF75))*(1-SUM($DZ75:EK75)),CF75*DI75),$O75*CF75))</f>
        <v>2.0923026521125716</v>
      </c>
      <c r="BE75" s="442">
        <f ca="1">IF($H75="",0,IF($H75=1,IF('Para Adj'!$B$5 = 1,AA75-($O75-SUMPRODUCT($CX75:DJ75,$BU75:CG75))*(1-SUM($DZ75:EL75)),CG75*DJ75),$O75*CG75))</f>
        <v>2.0923026521125716</v>
      </c>
      <c r="BF75" s="442">
        <f ca="1">IF($H75="",0,IF($H75=1,IF('Para Adj'!$B$5 = 1,AB75-($O75-SUMPRODUCT($CX75:DK75,$BU75:CH75))*(1-SUM($DZ75:EM75)),CH75*DK75),$O75*CH75))</f>
        <v>2.0923026521125716</v>
      </c>
      <c r="BG75" s="442">
        <f ca="1">IF($H75="",0,IF($H75=1,IF('Para Adj'!$B$5 = 1,AC75-($O75-SUMPRODUCT($CX75:DL75,$BU75:CI75))*(1-SUM($DZ75:EN75)),CI75*DL75),$O75*CI75))</f>
        <v>12.205098803990001</v>
      </c>
      <c r="BH75" s="442">
        <f ca="1">IF($H75="",0,IF($H75=1,IF('Para Adj'!$B$5 = 1,AD75-($O75-SUMPRODUCT($CX75:DM75,$BU75:CJ75))*(1-SUM($DZ75:EO75)),CJ75*DM75),$O75*CJ75))</f>
        <v>12.205098803990001</v>
      </c>
      <c r="BI75" s="442">
        <f ca="1">IF($H75="",0,IF($H75=1,IF('Para Adj'!$B$5 = 1,AE75-($O75-SUMPRODUCT($CX75:DN75,$BU75:CK75))*(1-SUM($DZ75:EP75)),CK75*DN75),$O75*CK75))</f>
        <v>0</v>
      </c>
      <c r="BJ75" s="442">
        <f ca="1">IF($H75="",0,IF($H75=1,IF('Para Adj'!$B$5 = 1,AF75-($O75-SUMPRODUCT($CX75:DO75,$BU75:CL75))*(1-SUM($DZ75:EQ75)),CL75*DO75),$O75*CL75))</f>
        <v>0</v>
      </c>
      <c r="BK75" s="442">
        <f ca="1">IF($H75="",0,IF($H75=1,IF('Para Adj'!$B$5 = 1,AG75-($O75-SUMPRODUCT($CX75:DP75,$BU75:CM75))*(1-SUM($DZ75:ER75)),CM75*DP75),$O75*CM75))</f>
        <v>0</v>
      </c>
      <c r="BL75" s="442">
        <f ca="1">IF($H75="",0,IF($H75=1,IF('Para Adj'!$B$5 = 1,AH75-($O75-SUMPRODUCT($CX75:DQ75,$BU75:CN75))*(1-SUM($DZ75:ES75)),CN75*DQ75),$O75*CN75))</f>
        <v>0</v>
      </c>
      <c r="BM75" s="442">
        <f ca="1">IF($H75="",0,IF($H75=1,IF('Para Adj'!$B$5 = 1,AI75-($O75-SUMPRODUCT($CX75:DR75,$BU75:CO75))*(1-SUM($DZ75:ET75)),CO75*DR75),$O75*CO75))</f>
        <v>0</v>
      </c>
      <c r="BN75" s="442">
        <f ca="1">IF($H75="",0,IF($H75=1,IF('Para Adj'!$B$5 = 1,AJ75-($O75-SUMPRODUCT($CX75:DS75,$BU75:CP75))*(1-SUM($DZ75:EU75)),CP75*DS75),$O75*CP75))</f>
        <v>0</v>
      </c>
      <c r="BO75" s="442">
        <f ca="1">IF($H75="",0,IF($H75=1,IF('Para Adj'!$B$5 = 1,AK75-($O75-SUMPRODUCT($CX75:DT75,$BU75:CQ75))*(1-SUM($DZ75:EV75)),CQ75*DT75),$O75*CQ75))</f>
        <v>0</v>
      </c>
      <c r="BP75" s="442">
        <f ca="1">IF($H75="",0,IF($H75=1,IF('Para Adj'!$B$5 = 1,AL75-($O75-SUMPRODUCT($CX75:DU75,$BU75:CR75))*(1-SUM($DZ75:EW75)),CR75*DU75),$O75*CR75))</f>
        <v>0</v>
      </c>
      <c r="BQ75" s="442">
        <f ca="1">IF($H75="",0,IF($H75=1,IF('Para Adj'!$B$5 = 1,AM75-($O75-SUMPRODUCT($CX75:DV75,$BU75:CS75))*(1-SUM($DZ75:EX75)),CS75*DV75),$O75*CS75))</f>
        <v>0</v>
      </c>
      <c r="BR75" s="442">
        <f ca="1">IF($H75="",0,IF($H75=1,IF('Para Adj'!$B$5 = 1,AN75-($O75-SUMPRODUCT($CX75:DW75,$BU75:CT75))*(1-SUM($DZ75:EY75)),CT75*DW75),$O75*CT75))</f>
        <v>0</v>
      </c>
      <c r="BS75" s="442">
        <f ca="1">IF($H75="",0,IF($H75=1,IF('Para Adj'!$B$5 = 1,AO75-($O75-SUMPRODUCT($CX75:DX75,$BU75:CU75))*(1-SUM($DZ75:EZ75)),CU75*DX75),$O75*CU75))</f>
        <v>0</v>
      </c>
      <c r="BU75" s="820">
        <f ca="1">IF($B75=0,"",INDEX(Assumptions!G:G,$B75))</f>
        <v>6.522E-3</v>
      </c>
      <c r="BV75" s="820">
        <f ca="1">IF($B75=0,"",INDEX(Assumptions!H:H,$B75))</f>
        <v>2.1740000000000002E-3</v>
      </c>
      <c r="BW75" s="820">
        <f ca="1">IF($B75=0,"",INDEX(Assumptions!I:I,$B75))</f>
        <v>2.1740000000000002E-3</v>
      </c>
      <c r="BX75" s="820">
        <f ca="1">IF($B75=0,"",INDEX(Assumptions!J:J,$B75))</f>
        <v>2.1740000000000002E-3</v>
      </c>
      <c r="BY75" s="820">
        <f ca="1">IF($B75=0,"",INDEX(Assumptions!K:K,$B75))</f>
        <v>2.1740000000000002E-3</v>
      </c>
      <c r="BZ75" s="820">
        <f ca="1">IF($B75=0,"",INDEX(Assumptions!L:L,$B75))</f>
        <v>2.1740000000000002E-3</v>
      </c>
      <c r="CA75" s="820">
        <f ca="1">IF($B75=0,"",INDEX(Assumptions!M:M,$B75))</f>
        <v>2.1740000000000002E-3</v>
      </c>
      <c r="CB75" s="820">
        <f ca="1">IF($B75=0,"",INDEX(Assumptions!N:N,$B75))</f>
        <v>1.8634285714285717E-3</v>
      </c>
      <c r="CC75" s="820">
        <f ca="1">IF($B75=0,"",INDEX(Assumptions!O:O,$B75))</f>
        <v>1.8634285714285717E-3</v>
      </c>
      <c r="CD75" s="820">
        <f ca="1">IF($B75=0,"",INDEX(Assumptions!P:P,$B75))</f>
        <v>1.8634285714285717E-3</v>
      </c>
      <c r="CE75" s="820">
        <f ca="1">IF($B75=0,"",INDEX(Assumptions!Q:Q,$B75))</f>
        <v>1.8634285714285717E-3</v>
      </c>
      <c r="CF75" s="820">
        <f ca="1">IF($B75=0,"",INDEX(Assumptions!R:R,$B75))</f>
        <v>1.8634285714285717E-3</v>
      </c>
      <c r="CG75" s="820">
        <f ca="1">IF($B75=0,"",INDEX(Assumptions!S:S,$B75))</f>
        <v>1.8634285714285717E-3</v>
      </c>
      <c r="CH75" s="820">
        <f ca="1">IF($B75=0,"",INDEX(Assumptions!T:T,$B75))</f>
        <v>1.8634285714285717E-3</v>
      </c>
      <c r="CI75" s="820">
        <f ca="1">IF($B75=0,"",INDEX(Assumptions!U:U,$B75))</f>
        <v>1.0870000000000001E-2</v>
      </c>
      <c r="CJ75" s="820">
        <f ca="1">IF($B75=0,"",INDEX(Assumptions!V:V,$B75))</f>
        <v>1.0870000000000001E-2</v>
      </c>
      <c r="CK75" s="820">
        <f ca="1">IF($B75=0,"",INDEX(Assumptions!W:W,$B75))</f>
        <v>0</v>
      </c>
      <c r="CL75" s="820">
        <f ca="1">IF($B75=0,"",INDEX(Assumptions!X:X,$B75))</f>
        <v>0</v>
      </c>
      <c r="CM75" s="820">
        <f ca="1">IF($B75=0,"",INDEX(Assumptions!Y:Y,$B75))</f>
        <v>0</v>
      </c>
      <c r="CN75" s="820">
        <f ca="1">IF($B75=0,"",INDEX(Assumptions!Z:Z,$B75))</f>
        <v>0</v>
      </c>
      <c r="CO75" s="820">
        <f ca="1">IF($B75=0,"",INDEX(Assumptions!AA:AA,$B75))</f>
        <v>0</v>
      </c>
      <c r="CP75" s="820">
        <f ca="1">IF($B75=0,"",INDEX(Assumptions!AB:AB,$B75))</f>
        <v>0</v>
      </c>
      <c r="CQ75" s="820">
        <f ca="1">IF($B75=0,"",INDEX(Assumptions!AC:AC,$B75))</f>
        <v>0</v>
      </c>
      <c r="CR75" s="820">
        <f ca="1">IF($B75=0,"",INDEX(Assumptions!AD:AD,$B75))</f>
        <v>0</v>
      </c>
      <c r="CS75" s="820">
        <f ca="1">IF($B75=0,"",INDEX(Assumptions!AE:AE,$B75))</f>
        <v>0</v>
      </c>
      <c r="CT75" s="820">
        <f ca="1">IF($B75=0,"",INDEX(Assumptions!AF:AF,$B75))</f>
        <v>0</v>
      </c>
      <c r="CU75" s="820">
        <f ca="1">IF($B75=0,"",INDEX(Assumptions!AG:AG,$B75))</f>
        <v>0</v>
      </c>
      <c r="CX75" s="442">
        <f>IF($A75="","",INDEX('Data Interface'!G:G,$A75))</f>
        <v>0</v>
      </c>
      <c r="CY75" s="442">
        <f>IF($A75="","",INDEX('Data Interface'!H:H,$A75))</f>
        <v>0</v>
      </c>
      <c r="CZ75" s="442">
        <f>IF($A75="","",INDEX('Data Interface'!I:I,$A75))</f>
        <v>0</v>
      </c>
      <c r="DA75" s="442">
        <f>IF($A75="","",INDEX('Data Interface'!J:J,$A75))</f>
        <v>0</v>
      </c>
      <c r="DB75" s="442">
        <f>IF($A75="","",INDEX('Data Interface'!K:K,$A75))</f>
        <v>0</v>
      </c>
      <c r="DC75" s="442">
        <f>IF($A75="","",INDEX('Data Interface'!L:L,$A75))</f>
        <v>0</v>
      </c>
      <c r="DD75" s="442">
        <f>IF($A75="","",INDEX('Data Interface'!M:M,$A75))</f>
        <v>0</v>
      </c>
      <c r="DE75" s="442">
        <f>IF($A75="","",INDEX('Data Interface'!N:N,$A75))</f>
        <v>0</v>
      </c>
      <c r="DF75" s="442">
        <f>IF($A75="","",INDEX('Data Interface'!O:O,$A75))</f>
        <v>0</v>
      </c>
      <c r="DG75" s="442">
        <f>IF($A75="","",INDEX('Data Interface'!P:P,$A75))</f>
        <v>0</v>
      </c>
      <c r="DH75" s="442">
        <f>IF($A75="","",INDEX('Data Interface'!Q:Q,$A75))</f>
        <v>0</v>
      </c>
      <c r="DI75" s="442">
        <f>IF($A75="","",INDEX('Data Interface'!R:R,$A75))</f>
        <v>0</v>
      </c>
      <c r="DJ75" s="442">
        <f>IF($A75="","",INDEX('Data Interface'!S:S,$A75))</f>
        <v>0</v>
      </c>
      <c r="DK75" s="442">
        <f>IF($A75="","",INDEX('Data Interface'!T:T,$A75))</f>
        <v>0</v>
      </c>
      <c r="DL75" s="442">
        <f>IF($A75="","",INDEX('Data Interface'!U:U,$A75))</f>
        <v>0</v>
      </c>
      <c r="DM75" s="442">
        <f>IF($A75="","",INDEX('Data Interface'!V:V,$A75))</f>
        <v>0</v>
      </c>
      <c r="DN75" s="442">
        <f>IF($A75="","",INDEX('Data Interface'!W:W,$A75))</f>
        <v>0</v>
      </c>
      <c r="DO75" s="442">
        <f>IF($A75="","",INDEX('Data Interface'!X:X,$A75))</f>
        <v>0</v>
      </c>
      <c r="DP75" s="442">
        <f>IF($A75="","",INDEX('Data Interface'!Y:Y,$A75))</f>
        <v>0</v>
      </c>
      <c r="DQ75" s="442">
        <f>IF($A75="","",INDEX('Data Interface'!Z:Z,$A75))</f>
        <v>0</v>
      </c>
      <c r="DR75" s="442">
        <f>IF($A75="","",INDEX('Data Interface'!AA:AA,$A75))</f>
        <v>254.04750000000001</v>
      </c>
      <c r="DS75" s="442">
        <f>IF($A75="","",INDEX('Data Interface'!AB:AB,$A75))</f>
        <v>0</v>
      </c>
      <c r="DT75" s="442">
        <f>IF($A75="","",INDEX('Data Interface'!AC:AC,$A75))</f>
        <v>0</v>
      </c>
      <c r="DU75" s="442">
        <f>IF($A75="","",INDEX('Data Interface'!AD:AD,$A75))</f>
        <v>0</v>
      </c>
      <c r="DV75" s="442">
        <f>IF($A75="","",INDEX('Data Interface'!AE:AE,$A75))</f>
        <v>0</v>
      </c>
      <c r="DW75" s="442">
        <f>IF($A75="","",INDEX('Data Interface'!AF:AF,$A75))</f>
        <v>0</v>
      </c>
      <c r="DX75" s="442">
        <f>IF($A75="","",INDEX('Data Interface'!AG:AG,$A75))</f>
        <v>484.42866400000003</v>
      </c>
      <c r="DZ75" s="906" t="str">
        <f>IF(OR($B75=0,$A75=0,$H75&lt;&gt;1),"",INDEX(Assumptions!EO:EO,$B75))</f>
        <v/>
      </c>
      <c r="EA75" s="906" t="str">
        <f>IF(OR($B75=0,$A75=0,$H75&lt;&gt;1),"",INDEX(Assumptions!EP:EP,$B75))</f>
        <v/>
      </c>
      <c r="EB75" s="906" t="str">
        <f>IF(OR($B75=0,$A75=0,$H75&lt;&gt;1),"",INDEX(Assumptions!EQ:EQ,$B75))</f>
        <v/>
      </c>
      <c r="EC75" s="906" t="str">
        <f>IF(OR($B75=0,$A75=0,$H75&lt;&gt;1),"",INDEX(Assumptions!ER:ER,$B75))</f>
        <v/>
      </c>
      <c r="ED75" s="906" t="str">
        <f>IF(OR($B75=0,$A75=0,$H75&lt;&gt;1),"",INDEX(Assumptions!ES:ES,$B75))</f>
        <v/>
      </c>
      <c r="EE75" s="906" t="str">
        <f>IF(OR($B75=0,$A75=0,$H75&lt;&gt;1),"",INDEX(Assumptions!ET:ET,$B75))</f>
        <v/>
      </c>
      <c r="EF75" s="906" t="str">
        <f>IF(OR($B75=0,$A75=0,$H75&lt;&gt;1),"",INDEX(Assumptions!EU:EU,$B75))</f>
        <v/>
      </c>
      <c r="EG75" s="906" t="str">
        <f>IF(OR($B75=0,$A75=0,$H75&lt;&gt;1),"",INDEX(Assumptions!EV:EV,$B75))</f>
        <v/>
      </c>
      <c r="EH75" s="906" t="str">
        <f>IF(OR($B75=0,$A75=0,$H75&lt;&gt;1),"",INDEX(Assumptions!EW:EW,$B75))</f>
        <v/>
      </c>
      <c r="EI75" s="906" t="str">
        <f>IF(OR($B75=0,$A75=0,$H75&lt;&gt;1),"",INDEX(Assumptions!EX:EX,$B75))</f>
        <v/>
      </c>
      <c r="EJ75" s="906" t="str">
        <f>IF(OR($B75=0,$A75=0,$H75&lt;&gt;1),"",INDEX(Assumptions!EY:EY,$B75))</f>
        <v/>
      </c>
      <c r="EK75" s="906" t="str">
        <f>IF(OR($B75=0,$A75=0,$H75&lt;&gt;1),"",INDEX(Assumptions!EZ:EZ,$B75))</f>
        <v/>
      </c>
      <c r="EL75" s="906" t="str">
        <f>IF(OR($B75=0,$A75=0,$H75&lt;&gt;1),"",INDEX(Assumptions!FA:FA,$B75))</f>
        <v/>
      </c>
      <c r="EM75" s="906" t="str">
        <f>IF(OR($B75=0,$A75=0,$H75&lt;&gt;1),"",INDEX(Assumptions!FB:FB,$B75))</f>
        <v/>
      </c>
      <c r="EN75" s="906" t="str">
        <f>IF(OR($B75=0,$A75=0,$H75&lt;&gt;1),"",INDEX(Assumptions!FC:FC,$B75))</f>
        <v/>
      </c>
      <c r="EO75" s="906" t="str">
        <f>IF(OR($B75=0,$A75=0,$H75&lt;&gt;1),"",INDEX(Assumptions!FD:FD,$B75))</f>
        <v/>
      </c>
      <c r="EP75" s="906" t="str">
        <f>IF(OR($B75=0,$A75=0,$H75&lt;&gt;1),"",INDEX(Assumptions!FE:FE,$B75))</f>
        <v/>
      </c>
      <c r="EQ75" s="906" t="str">
        <f>IF(OR($B75=0,$A75=0,$H75&lt;&gt;1),"",INDEX(Assumptions!FF:FF,$B75))</f>
        <v/>
      </c>
      <c r="ER75" s="906" t="str">
        <f>IF(OR($B75=0,$A75=0,$H75&lt;&gt;1),"",INDEX(Assumptions!FG:FG,$B75))</f>
        <v/>
      </c>
      <c r="ES75" s="906" t="str">
        <f>IF(OR($B75=0,$A75=0,$H75&lt;&gt;1),"",INDEX(Assumptions!FH:FH,$B75))</f>
        <v/>
      </c>
      <c r="ET75" s="906" t="str">
        <f>IF(OR($B75=0,$A75=0,$H75&lt;&gt;1),"",INDEX(Assumptions!FI:FI,$B75))</f>
        <v/>
      </c>
      <c r="EU75" s="906" t="str">
        <f>IF(OR($B75=0,$A75=0,$H75&lt;&gt;1),"",INDEX(Assumptions!FJ:FJ,$B75))</f>
        <v/>
      </c>
      <c r="EV75" s="906" t="str">
        <f>IF(OR($B75=0,$A75=0,$H75&lt;&gt;1),"",INDEX(Assumptions!FK:FK,$B75))</f>
        <v/>
      </c>
      <c r="EW75" s="906" t="str">
        <f>IF(OR($B75=0,$A75=0,$H75&lt;&gt;1),"",INDEX(Assumptions!FL:FL,$B75))</f>
        <v/>
      </c>
      <c r="EX75" s="906" t="str">
        <f>IF(OR($B75=0,$A75=0,$H75&lt;&gt;1),"",INDEX(Assumptions!FM:FM,$B75))</f>
        <v/>
      </c>
      <c r="EY75" s="906" t="str">
        <f>IF(OR($B75=0,$A75=0,$H75&lt;&gt;1),"",INDEX(Assumptions!FN:FN,$B75))</f>
        <v/>
      </c>
      <c r="EZ75" s="906" t="str">
        <f>IF(OR($B75=0,$A75=0,$H75&lt;&gt;1),"",INDEX(Assumptions!FO:FO,$B75))</f>
        <v/>
      </c>
      <c r="FB75" s="820" t="str">
        <f t="shared" si="18"/>
        <v/>
      </c>
      <c r="FC75" s="820" t="str">
        <f t="shared" si="19"/>
        <v/>
      </c>
      <c r="FD75" s="820" t="str">
        <f t="shared" si="20"/>
        <v/>
      </c>
      <c r="FE75" s="820" t="str">
        <f t="shared" si="21"/>
        <v/>
      </c>
      <c r="FF75" s="820" t="str">
        <f t="shared" si="22"/>
        <v/>
      </c>
    </row>
    <row r="76" spans="1:162">
      <c r="A76" s="440">
        <f>IFERROR(MATCH(C76,'Data Interface'!B:B,0),0)</f>
        <v>75</v>
      </c>
      <c r="B76" s="440">
        <f>IFERROR(MATCH(C76,Assumptions!$B:$B,0),0)</f>
        <v>34</v>
      </c>
      <c r="C76" s="441">
        <v>17</v>
      </c>
      <c r="E76" s="441" t="s">
        <v>1220</v>
      </c>
      <c r="F76" s="440" t="s">
        <v>1197</v>
      </c>
      <c r="G76" s="440" t="str">
        <f>IF(A76=0,"",INDEX('Data Interface'!$C:$C,$A76))</f>
        <v>Stand By LC</v>
      </c>
      <c r="H76" s="440">
        <v>0</v>
      </c>
      <c r="I76" s="819">
        <f t="shared" ref="I76" ca="1" si="56">IF(H76=1,CH76,IF(H76=0,SUM(BU76:CH76),""))</f>
        <v>0</v>
      </c>
      <c r="J76" s="819">
        <f t="shared" ref="J76" ca="1" si="57">IF(H76=1,CJ76,IF(H76=0,SUM(BU76:CJ76),""))</f>
        <v>0</v>
      </c>
      <c r="K76" s="439" t="str">
        <f t="shared" ref="K76" ca="1" si="58">IF(H76=1,ROUND(I76*100,1)&amp;"% of Contractual Maturity",IF(H76="","No Run-off",ROUND(I76*100,1)&amp;"% of Current Balance"))</f>
        <v>0% of Current Balance</v>
      </c>
      <c r="L76" s="439" t="s">
        <v>1148</v>
      </c>
      <c r="M76" s="439" t="s">
        <v>1514</v>
      </c>
      <c r="O76" s="442">
        <f>IF(OR($A76="",$A76=0),0,INDEX('Data Interface'!D:D,$A76))</f>
        <v>1276.1819958300009</v>
      </c>
      <c r="P76" s="442">
        <f ca="1">$O76-SUM($AS76:AS76)</f>
        <v>1276.1819958300009</v>
      </c>
      <c r="Q76" s="442">
        <f ca="1">$O76-SUM($AS76:AT76)</f>
        <v>1276.1819958300009</v>
      </c>
      <c r="R76" s="442">
        <f ca="1">$O76-SUM($AS76:AU76)</f>
        <v>1276.1819958300009</v>
      </c>
      <c r="S76" s="442">
        <f ca="1">$O76-SUM($AS76:AV76)</f>
        <v>1276.1819958300009</v>
      </c>
      <c r="T76" s="442">
        <f ca="1">$O76-SUM($AS76:AW76)</f>
        <v>1276.1819958300009</v>
      </c>
      <c r="U76" s="442">
        <f ca="1">$O76-SUM($AS76:AX76)</f>
        <v>1276.1819958300009</v>
      </c>
      <c r="V76" s="442">
        <f ca="1">$O76-SUM($AS76:AY76)</f>
        <v>1276.1819958300009</v>
      </c>
      <c r="W76" s="442">
        <f ca="1">$O76-SUM($AS76:AZ76)</f>
        <v>1276.1819958300009</v>
      </c>
      <c r="X76" s="442">
        <f ca="1">$O76-SUM($AS76:BA76)</f>
        <v>1276.1819958300009</v>
      </c>
      <c r="Y76" s="442">
        <f ca="1">$O76-SUM($AS76:BB76)</f>
        <v>1276.1819958300009</v>
      </c>
      <c r="Z76" s="442">
        <f ca="1">$O76-SUM($AS76:BC76)</f>
        <v>1276.1819958300009</v>
      </c>
      <c r="AA76" s="442">
        <f ca="1">$O76-SUM($AS76:BD76)</f>
        <v>1276.1819958300009</v>
      </c>
      <c r="AB76" s="442">
        <f ca="1">$O76-SUM($AS76:BE76)</f>
        <v>1276.1819958300009</v>
      </c>
      <c r="AC76" s="442">
        <f ca="1">$O76-SUM($AS76:BF76)</f>
        <v>1276.1819958300009</v>
      </c>
      <c r="AD76" s="442">
        <f ca="1">$O76-SUM($AS76:BG76)</f>
        <v>1276.1819958300009</v>
      </c>
      <c r="AE76" s="442">
        <f ca="1">$O76-SUM($AS76:BH76)</f>
        <v>1276.1819958300009</v>
      </c>
      <c r="AF76" s="442">
        <f ca="1">$O76-SUM($AS76:BI76)</f>
        <v>1276.1819958300009</v>
      </c>
      <c r="AG76" s="442">
        <f ca="1">$O76-SUM($AS76:BJ76)</f>
        <v>1276.1819958300009</v>
      </c>
      <c r="AH76" s="442">
        <f ca="1">$O76-SUM($AS76:BK76)</f>
        <v>1276.1819958300009</v>
      </c>
      <c r="AI76" s="442">
        <f ca="1">$O76-SUM($AS76:BL76)</f>
        <v>1276.1819958300009</v>
      </c>
      <c r="AJ76" s="442">
        <f ca="1">$O76-SUM($AS76:BM76)</f>
        <v>1276.1819958300009</v>
      </c>
      <c r="AK76" s="442">
        <f ca="1">$O76-SUM($AS76:BN76)</f>
        <v>1276.1819958300009</v>
      </c>
      <c r="AL76" s="442">
        <f ca="1">$O76-SUM($AS76:BO76)</f>
        <v>1276.1819958300009</v>
      </c>
      <c r="AM76" s="442">
        <f ca="1">$O76-SUM($AS76:BP76)</f>
        <v>1276.1819958300009</v>
      </c>
      <c r="AN76" s="442">
        <f ca="1">$O76-SUM($AS76:BQ76)</f>
        <v>1276.1819958300009</v>
      </c>
      <c r="AO76" s="442">
        <f ca="1">$O76-SUM($AS76:BR76)</f>
        <v>1276.1819958300009</v>
      </c>
      <c r="AP76" s="442">
        <f ca="1">$O76-SUM($AS76:BS76)</f>
        <v>1276.1819958300009</v>
      </c>
      <c r="AR76" s="439" t="s">
        <v>1241</v>
      </c>
      <c r="AS76" s="442">
        <f ca="1">IF($H76="",0,IF($H76=1,IF('Para Adj'!$B$5 = 1,O76-($O76-SUMPRODUCT($CX76:CX76,$BU76:BU76))*(1-SUM($DZ76:DZ76)),BU76*CX76),$O76*BU76))</f>
        <v>0</v>
      </c>
      <c r="AT76" s="442">
        <f ca="1">IF($H76="",0,IF($H76=1,IF('Para Adj'!$B$5 = 1,P76-($O76-SUMPRODUCT($CX76:CY76,$BU76:BV76))*(1-SUM($DZ76:EA76)),BV76*CY76),$O76*BV76))</f>
        <v>0</v>
      </c>
      <c r="AU76" s="442">
        <f ca="1">IF($H76="",0,IF($H76=1,IF('Para Adj'!$B$5 = 1,Q76-($O76-SUMPRODUCT($CX76:CZ76,$BU76:BW76))*(1-SUM($DZ76:EB76)),BW76*CZ76),$O76*BW76))</f>
        <v>0</v>
      </c>
      <c r="AV76" s="442">
        <f ca="1">IF($H76="",0,IF($H76=1,IF('Para Adj'!$B$5 = 1,R76-($O76-SUMPRODUCT($CX76:DA76,$BU76:BX76))*(1-SUM($DZ76:EC76)),BX76*DA76),$O76*BX76))</f>
        <v>0</v>
      </c>
      <c r="AW76" s="442">
        <f ca="1">IF($H76="",0,IF($H76=1,IF('Para Adj'!$B$5 = 1,S76-($O76-SUMPRODUCT($CX76:DB76,$BU76:BY76))*(1-SUM($DZ76:ED76)),BY76*DB76),$O76*BY76))</f>
        <v>0</v>
      </c>
      <c r="AX76" s="442">
        <f ca="1">IF($H76="",0,IF($H76=1,IF('Para Adj'!$B$5 = 1,T76-($O76-SUMPRODUCT($CX76:DC76,$BU76:BZ76))*(1-SUM($DZ76:EE76)),BZ76*DC76),$O76*BZ76))</f>
        <v>0</v>
      </c>
      <c r="AY76" s="442">
        <f ca="1">IF($H76="",0,IF($H76=1,IF('Para Adj'!$B$5 = 1,U76-($O76-SUMPRODUCT($CX76:DD76,$BU76:CA76))*(1-SUM($DZ76:EF76)),CA76*DD76),$O76*CA76))</f>
        <v>0</v>
      </c>
      <c r="AZ76" s="442">
        <f ca="1">IF($H76="",0,IF($H76=1,IF('Para Adj'!$B$5 = 1,V76-($O76-SUMPRODUCT($CX76:DE76,$BU76:CB76))*(1-SUM($DZ76:EG76)),CB76*DE76),$O76*CB76))</f>
        <v>0</v>
      </c>
      <c r="BA76" s="442">
        <f ca="1">IF($H76="",0,IF($H76=1,IF('Para Adj'!$B$5 = 1,W76-($O76-SUMPRODUCT($CX76:DF76,$BU76:CC76))*(1-SUM($DZ76:EH76)),CC76*DF76),$O76*CC76))</f>
        <v>0</v>
      </c>
      <c r="BB76" s="442">
        <f ca="1">IF($H76="",0,IF($H76=1,IF('Para Adj'!$B$5 = 1,X76-($O76-SUMPRODUCT($CX76:DG76,$BU76:CD76))*(1-SUM($DZ76:EI76)),CD76*DG76),$O76*CD76))</f>
        <v>0</v>
      </c>
      <c r="BC76" s="442">
        <f ca="1">IF($H76="",0,IF($H76=1,IF('Para Adj'!$B$5 = 1,Y76-($O76-SUMPRODUCT($CX76:DH76,$BU76:CE76))*(1-SUM($DZ76:EJ76)),CE76*DH76),$O76*CE76))</f>
        <v>0</v>
      </c>
      <c r="BD76" s="442">
        <f ca="1">IF($H76="",0,IF($H76=1,IF('Para Adj'!$B$5 = 1,Z76-($O76-SUMPRODUCT($CX76:DI76,$BU76:CF76))*(1-SUM($DZ76:EK76)),CF76*DI76),$O76*CF76))</f>
        <v>0</v>
      </c>
      <c r="BE76" s="442">
        <f ca="1">IF($H76="",0,IF($H76=1,IF('Para Adj'!$B$5 = 1,AA76-($O76-SUMPRODUCT($CX76:DJ76,$BU76:CG76))*(1-SUM($DZ76:EL76)),CG76*DJ76),$O76*CG76))</f>
        <v>0</v>
      </c>
      <c r="BF76" s="442">
        <f ca="1">IF($H76="",0,IF($H76=1,IF('Para Adj'!$B$5 = 1,AB76-($O76-SUMPRODUCT($CX76:DK76,$BU76:CH76))*(1-SUM($DZ76:EM76)),CH76*DK76),$O76*CH76))</f>
        <v>0</v>
      </c>
      <c r="BG76" s="442">
        <f ca="1">IF($H76="",0,IF($H76=1,IF('Para Adj'!$B$5 = 1,AC76-($O76-SUMPRODUCT($CX76:DL76,$BU76:CI76))*(1-SUM($DZ76:EN76)),CI76*DL76),$O76*CI76))</f>
        <v>0</v>
      </c>
      <c r="BH76" s="442">
        <f ca="1">IF($H76="",0,IF($H76=1,IF('Para Adj'!$B$5 = 1,AD76-($O76-SUMPRODUCT($CX76:DM76,$BU76:CJ76))*(1-SUM($DZ76:EO76)),CJ76*DM76),$O76*CJ76))</f>
        <v>0</v>
      </c>
      <c r="BI76" s="442">
        <f ca="1">IF($H76="",0,IF($H76=1,IF('Para Adj'!$B$5 = 1,AE76-($O76-SUMPRODUCT($CX76:DN76,$BU76:CK76))*(1-SUM($DZ76:EP76)),CK76*DN76),$O76*CK76))</f>
        <v>0</v>
      </c>
      <c r="BJ76" s="442">
        <f ca="1">IF($H76="",0,IF($H76=1,IF('Para Adj'!$B$5 = 1,AF76-($O76-SUMPRODUCT($CX76:DO76,$BU76:CL76))*(1-SUM($DZ76:EQ76)),CL76*DO76),$O76*CL76))</f>
        <v>0</v>
      </c>
      <c r="BK76" s="442">
        <f ca="1">IF($H76="",0,IF($H76=1,IF('Para Adj'!$B$5 = 1,AG76-($O76-SUMPRODUCT($CX76:DP76,$BU76:CM76))*(1-SUM($DZ76:ER76)),CM76*DP76),$O76*CM76))</f>
        <v>0</v>
      </c>
      <c r="BL76" s="442">
        <f ca="1">IF($H76="",0,IF($H76=1,IF('Para Adj'!$B$5 = 1,AH76-($O76-SUMPRODUCT($CX76:DQ76,$BU76:CN76))*(1-SUM($DZ76:ES76)),CN76*DQ76),$O76*CN76))</f>
        <v>0</v>
      </c>
      <c r="BM76" s="442">
        <f ca="1">IF($H76="",0,IF($H76=1,IF('Para Adj'!$B$5 = 1,AI76-($O76-SUMPRODUCT($CX76:DR76,$BU76:CO76))*(1-SUM($DZ76:ET76)),CO76*DR76),$O76*CO76))</f>
        <v>0</v>
      </c>
      <c r="BN76" s="442">
        <f ca="1">IF($H76="",0,IF($H76=1,IF('Para Adj'!$B$5 = 1,AJ76-($O76-SUMPRODUCT($CX76:DS76,$BU76:CP76))*(1-SUM($DZ76:EU76)),CP76*DS76),$O76*CP76))</f>
        <v>0</v>
      </c>
      <c r="BO76" s="442">
        <f ca="1">IF($H76="",0,IF($H76=1,IF('Para Adj'!$B$5 = 1,AK76-($O76-SUMPRODUCT($CX76:DT76,$BU76:CQ76))*(1-SUM($DZ76:EV76)),CQ76*DT76),$O76*CQ76))</f>
        <v>0</v>
      </c>
      <c r="BP76" s="442">
        <f ca="1">IF($H76="",0,IF($H76=1,IF('Para Adj'!$B$5 = 1,AL76-($O76-SUMPRODUCT($CX76:DU76,$BU76:CR76))*(1-SUM($DZ76:EW76)),CR76*DU76),$O76*CR76))</f>
        <v>0</v>
      </c>
      <c r="BQ76" s="442">
        <f ca="1">IF($H76="",0,IF($H76=1,IF('Para Adj'!$B$5 = 1,AM76-($O76-SUMPRODUCT($CX76:DV76,$BU76:CS76))*(1-SUM($DZ76:EX76)),CS76*DV76),$O76*CS76))</f>
        <v>0</v>
      </c>
      <c r="BR76" s="442">
        <f ca="1">IF($H76="",0,IF($H76=1,IF('Para Adj'!$B$5 = 1,AN76-($O76-SUMPRODUCT($CX76:DW76,$BU76:CT76))*(1-SUM($DZ76:EY76)),CT76*DW76),$O76*CT76))</f>
        <v>0</v>
      </c>
      <c r="BS76" s="442">
        <f ca="1">IF($H76="",0,IF($H76=1,IF('Para Adj'!$B$5 = 1,AO76-($O76-SUMPRODUCT($CX76:DX76,$BU76:CU76))*(1-SUM($DZ76:EZ76)),CU76*DX76),$O76*CU76))</f>
        <v>0</v>
      </c>
      <c r="BU76" s="820">
        <f ca="1">IF($B76=0,"",INDEX(Assumptions!G:G,$B76))</f>
        <v>0</v>
      </c>
      <c r="BV76" s="820">
        <f ca="1">IF($B76=0,"",INDEX(Assumptions!H:H,$B76))</f>
        <v>0</v>
      </c>
      <c r="BW76" s="820">
        <f ca="1">IF($B76=0,"",INDEX(Assumptions!I:I,$B76))</f>
        <v>0</v>
      </c>
      <c r="BX76" s="820">
        <f ca="1">IF($B76=0,"",INDEX(Assumptions!J:J,$B76))</f>
        <v>0</v>
      </c>
      <c r="BY76" s="820">
        <f ca="1">IF($B76=0,"",INDEX(Assumptions!K:K,$B76))</f>
        <v>0</v>
      </c>
      <c r="BZ76" s="820">
        <f ca="1">IF($B76=0,"",INDEX(Assumptions!L:L,$B76))</f>
        <v>0</v>
      </c>
      <c r="CA76" s="820">
        <f ca="1">IF($B76=0,"",INDEX(Assumptions!M:M,$B76))</f>
        <v>0</v>
      </c>
      <c r="CB76" s="820">
        <f ca="1">IF($B76=0,"",INDEX(Assumptions!N:N,$B76))</f>
        <v>0</v>
      </c>
      <c r="CC76" s="820">
        <f ca="1">IF($B76=0,"",INDEX(Assumptions!O:O,$B76))</f>
        <v>0</v>
      </c>
      <c r="CD76" s="820">
        <f ca="1">IF($B76=0,"",INDEX(Assumptions!P:P,$B76))</f>
        <v>0</v>
      </c>
      <c r="CE76" s="820">
        <f ca="1">IF($B76=0,"",INDEX(Assumptions!Q:Q,$B76))</f>
        <v>0</v>
      </c>
      <c r="CF76" s="820">
        <f ca="1">IF($B76=0,"",INDEX(Assumptions!R:R,$B76))</f>
        <v>0</v>
      </c>
      <c r="CG76" s="820">
        <f ca="1">IF($B76=0,"",INDEX(Assumptions!S:S,$B76))</f>
        <v>0</v>
      </c>
      <c r="CH76" s="820">
        <f ca="1">IF($B76=0,"",INDEX(Assumptions!T:T,$B76))</f>
        <v>0</v>
      </c>
      <c r="CI76" s="820">
        <f ca="1">IF($B76=0,"",INDEX(Assumptions!U:U,$B76))</f>
        <v>0</v>
      </c>
      <c r="CJ76" s="820">
        <f ca="1">IF($B76=0,"",INDEX(Assumptions!V:V,$B76))</f>
        <v>0</v>
      </c>
      <c r="CK76" s="820">
        <f ca="1">IF($B76=0,"",INDEX(Assumptions!W:W,$B76))</f>
        <v>0</v>
      </c>
      <c r="CL76" s="820">
        <f ca="1">IF($B76=0,"",INDEX(Assumptions!X:X,$B76))</f>
        <v>0</v>
      </c>
      <c r="CM76" s="820">
        <f ca="1">IF($B76=0,"",INDEX(Assumptions!Y:Y,$B76))</f>
        <v>0</v>
      </c>
      <c r="CN76" s="820">
        <f ca="1">IF($B76=0,"",INDEX(Assumptions!Z:Z,$B76))</f>
        <v>0</v>
      </c>
      <c r="CO76" s="820">
        <f ca="1">IF($B76=0,"",INDEX(Assumptions!AA:AA,$B76))</f>
        <v>0</v>
      </c>
      <c r="CP76" s="820">
        <f ca="1">IF($B76=0,"",INDEX(Assumptions!AB:AB,$B76))</f>
        <v>0</v>
      </c>
      <c r="CQ76" s="820">
        <f ca="1">IF($B76=0,"",INDEX(Assumptions!AC:AC,$B76))</f>
        <v>0</v>
      </c>
      <c r="CR76" s="820">
        <f ca="1">IF($B76=0,"",INDEX(Assumptions!AD:AD,$B76))</f>
        <v>0</v>
      </c>
      <c r="CS76" s="820">
        <f ca="1">IF($B76=0,"",INDEX(Assumptions!AE:AE,$B76))</f>
        <v>0</v>
      </c>
      <c r="CT76" s="820">
        <f ca="1">IF($B76=0,"",INDEX(Assumptions!AF:AF,$B76))</f>
        <v>0</v>
      </c>
      <c r="CU76" s="820">
        <f ca="1">IF($B76=0,"",INDEX(Assumptions!AG:AG,$B76))</f>
        <v>0</v>
      </c>
      <c r="CX76" s="442">
        <f>IF($A76="","",INDEX('Data Interface'!G:G,$A76))</f>
        <v>0</v>
      </c>
      <c r="CY76" s="442">
        <f>IF($A76="","",INDEX('Data Interface'!H:H,$A76))</f>
        <v>0</v>
      </c>
      <c r="CZ76" s="442">
        <f>IF($A76="","",INDEX('Data Interface'!I:I,$A76))</f>
        <v>0</v>
      </c>
      <c r="DA76" s="442">
        <f>IF($A76="","",INDEX('Data Interface'!J:J,$A76))</f>
        <v>0</v>
      </c>
      <c r="DB76" s="442">
        <f>IF($A76="","",INDEX('Data Interface'!K:K,$A76))</f>
        <v>0</v>
      </c>
      <c r="DC76" s="442">
        <f>IF($A76="","",INDEX('Data Interface'!L:L,$A76))</f>
        <v>0</v>
      </c>
      <c r="DD76" s="442">
        <f>IF($A76="","",INDEX('Data Interface'!M:M,$A76))</f>
        <v>0</v>
      </c>
      <c r="DE76" s="442">
        <f>IF($A76="","",INDEX('Data Interface'!N:N,$A76))</f>
        <v>0</v>
      </c>
      <c r="DF76" s="442">
        <f>IF($A76="","",INDEX('Data Interface'!O:O,$A76))</f>
        <v>0</v>
      </c>
      <c r="DG76" s="442">
        <f>IF($A76="","",INDEX('Data Interface'!P:P,$A76))</f>
        <v>0</v>
      </c>
      <c r="DH76" s="442">
        <f>IF($A76="","",INDEX('Data Interface'!Q:Q,$A76))</f>
        <v>7.1717199999999995E-2</v>
      </c>
      <c r="DI76" s="442">
        <f>IF($A76="","",INDEX('Data Interface'!R:R,$A76))</f>
        <v>0</v>
      </c>
      <c r="DJ76" s="442">
        <f>IF($A76="","",INDEX('Data Interface'!S:S,$A76))</f>
        <v>0.43686245000000001</v>
      </c>
      <c r="DK76" s="442">
        <f>IF($A76="","",INDEX('Data Interface'!T:T,$A76))</f>
        <v>0</v>
      </c>
      <c r="DL76" s="442">
        <f>IF($A76="","",INDEX('Data Interface'!U:U,$A76))</f>
        <v>0</v>
      </c>
      <c r="DM76" s="442">
        <f>IF($A76="","",INDEX('Data Interface'!V:V,$A76))</f>
        <v>2.0120624999999999</v>
      </c>
      <c r="DN76" s="442">
        <f>IF($A76="","",INDEX('Data Interface'!W:W,$A76))</f>
        <v>17.471515699999998</v>
      </c>
      <c r="DO76" s="442">
        <f>IF($A76="","",INDEX('Data Interface'!X:X,$A76))</f>
        <v>35.207786720000001</v>
      </c>
      <c r="DP76" s="442">
        <f>IF($A76="","",INDEX('Data Interface'!Y:Y,$A76))</f>
        <v>10.743929190000001</v>
      </c>
      <c r="DQ76" s="442">
        <f>IF($A76="","",INDEX('Data Interface'!Z:Z,$A76))</f>
        <v>7.4656581800000001</v>
      </c>
      <c r="DR76" s="442">
        <f>IF($A76="","",INDEX('Data Interface'!AA:AA,$A76))</f>
        <v>33.473916199999998</v>
      </c>
      <c r="DS76" s="442">
        <f>IF($A76="","",INDEX('Data Interface'!AB:AB,$A76))</f>
        <v>50.608225240000003</v>
      </c>
      <c r="DT76" s="442">
        <f>IF($A76="","",INDEX('Data Interface'!AC:AC,$A76))</f>
        <v>142.03765763999999</v>
      </c>
      <c r="DU76" s="442">
        <f>IF($A76="","",INDEX('Data Interface'!AD:AD,$A76))</f>
        <v>73.799043249999997</v>
      </c>
      <c r="DV76" s="442">
        <f>IF($A76="","",INDEX('Data Interface'!AE:AE,$A76))</f>
        <v>17.358414420000003</v>
      </c>
      <c r="DW76" s="442">
        <f>IF($A76="","",INDEX('Data Interface'!AF:AF,$A76))</f>
        <v>5.8256706999999999</v>
      </c>
      <c r="DX76" s="442">
        <f>IF($A76="","",INDEX('Data Interface'!AG:AG,$A76))</f>
        <v>329.70233880000001</v>
      </c>
      <c r="DZ76" s="906" t="str">
        <f>IF(OR($B76=0,$A76=0,$H76&lt;&gt;1),"",INDEX(Assumptions!EO:EO,$B76))</f>
        <v/>
      </c>
      <c r="EA76" s="906" t="str">
        <f>IF(OR($B76=0,$A76=0,$H76&lt;&gt;1),"",INDEX(Assumptions!EP:EP,$B76))</f>
        <v/>
      </c>
      <c r="EB76" s="906" t="str">
        <f>IF(OR($B76=0,$A76=0,$H76&lt;&gt;1),"",INDEX(Assumptions!EQ:EQ,$B76))</f>
        <v/>
      </c>
      <c r="EC76" s="906" t="str">
        <f>IF(OR($B76=0,$A76=0,$H76&lt;&gt;1),"",INDEX(Assumptions!ER:ER,$B76))</f>
        <v/>
      </c>
      <c r="ED76" s="906" t="str">
        <f>IF(OR($B76=0,$A76=0,$H76&lt;&gt;1),"",INDEX(Assumptions!ES:ES,$B76))</f>
        <v/>
      </c>
      <c r="EE76" s="906" t="str">
        <f>IF(OR($B76=0,$A76=0,$H76&lt;&gt;1),"",INDEX(Assumptions!ET:ET,$B76))</f>
        <v/>
      </c>
      <c r="EF76" s="906" t="str">
        <f>IF(OR($B76=0,$A76=0,$H76&lt;&gt;1),"",INDEX(Assumptions!EU:EU,$B76))</f>
        <v/>
      </c>
      <c r="EG76" s="906" t="str">
        <f>IF(OR($B76=0,$A76=0,$H76&lt;&gt;1),"",INDEX(Assumptions!EV:EV,$B76))</f>
        <v/>
      </c>
      <c r="EH76" s="906" t="str">
        <f>IF(OR($B76=0,$A76=0,$H76&lt;&gt;1),"",INDEX(Assumptions!EW:EW,$B76))</f>
        <v/>
      </c>
      <c r="EI76" s="906" t="str">
        <f>IF(OR($B76=0,$A76=0,$H76&lt;&gt;1),"",INDEX(Assumptions!EX:EX,$B76))</f>
        <v/>
      </c>
      <c r="EJ76" s="906" t="str">
        <f>IF(OR($B76=0,$A76=0,$H76&lt;&gt;1),"",INDEX(Assumptions!EY:EY,$B76))</f>
        <v/>
      </c>
      <c r="EK76" s="906" t="str">
        <f>IF(OR($B76=0,$A76=0,$H76&lt;&gt;1),"",INDEX(Assumptions!EZ:EZ,$B76))</f>
        <v/>
      </c>
      <c r="EL76" s="906" t="str">
        <f>IF(OR($B76=0,$A76=0,$H76&lt;&gt;1),"",INDEX(Assumptions!FA:FA,$B76))</f>
        <v/>
      </c>
      <c r="EM76" s="906" t="str">
        <f>IF(OR($B76=0,$A76=0,$H76&lt;&gt;1),"",INDEX(Assumptions!FB:FB,$B76))</f>
        <v/>
      </c>
      <c r="EN76" s="906" t="str">
        <f>IF(OR($B76=0,$A76=0,$H76&lt;&gt;1),"",INDEX(Assumptions!FC:FC,$B76))</f>
        <v/>
      </c>
      <c r="EO76" s="906" t="str">
        <f>IF(OR($B76=0,$A76=0,$H76&lt;&gt;1),"",INDEX(Assumptions!FD:FD,$B76))</f>
        <v/>
      </c>
      <c r="EP76" s="906" t="str">
        <f>IF(OR($B76=0,$A76=0,$H76&lt;&gt;1),"",INDEX(Assumptions!FE:FE,$B76))</f>
        <v/>
      </c>
      <c r="EQ76" s="906" t="str">
        <f>IF(OR($B76=0,$A76=0,$H76&lt;&gt;1),"",INDEX(Assumptions!FF:FF,$B76))</f>
        <v/>
      </c>
      <c r="ER76" s="906" t="str">
        <f>IF(OR($B76=0,$A76=0,$H76&lt;&gt;1),"",INDEX(Assumptions!FG:FG,$B76))</f>
        <v/>
      </c>
      <c r="ES76" s="906" t="str">
        <f>IF(OR($B76=0,$A76=0,$H76&lt;&gt;1),"",INDEX(Assumptions!FH:FH,$B76))</f>
        <v/>
      </c>
      <c r="ET76" s="906" t="str">
        <f>IF(OR($B76=0,$A76=0,$H76&lt;&gt;1),"",INDEX(Assumptions!FI:FI,$B76))</f>
        <v/>
      </c>
      <c r="EU76" s="906" t="str">
        <f>IF(OR($B76=0,$A76=0,$H76&lt;&gt;1),"",INDEX(Assumptions!FJ:FJ,$B76))</f>
        <v/>
      </c>
      <c r="EV76" s="906" t="str">
        <f>IF(OR($B76=0,$A76=0,$H76&lt;&gt;1),"",INDEX(Assumptions!FK:FK,$B76))</f>
        <v/>
      </c>
      <c r="EW76" s="906" t="str">
        <f>IF(OR($B76=0,$A76=0,$H76&lt;&gt;1),"",INDEX(Assumptions!FL:FL,$B76))</f>
        <v/>
      </c>
      <c r="EX76" s="906" t="str">
        <f>IF(OR($B76=0,$A76=0,$H76&lt;&gt;1),"",INDEX(Assumptions!FM:FM,$B76))</f>
        <v/>
      </c>
      <c r="EY76" s="906" t="str">
        <f>IF(OR($B76=0,$A76=0,$H76&lt;&gt;1),"",INDEX(Assumptions!FN:FN,$B76))</f>
        <v/>
      </c>
      <c r="EZ76" s="906" t="str">
        <f>IF(OR($B76=0,$A76=0,$H76&lt;&gt;1),"",INDEX(Assumptions!FO:FO,$B76))</f>
        <v/>
      </c>
      <c r="FB76" s="820" t="str">
        <f t="shared" ref="FB76" si="59">IF(AND(DZ76&lt;&gt;0,DZ76&lt;&gt;""),SUM(AS76:BF76),"")</f>
        <v/>
      </c>
      <c r="FC76" s="820" t="str">
        <f t="shared" ref="FC76" si="60">IF(AND($DZ76&lt;&gt;0,$DZ76&lt;&gt;""),SUM(DZ76:EM76),"")</f>
        <v/>
      </c>
      <c r="FD76" s="820" t="str">
        <f t="shared" ref="FD76" si="61">IF(AND($DZ76&lt;&gt;"",$DZ76&lt;&gt;0),SUM(DZ76:EM76)*O76,"")</f>
        <v/>
      </c>
      <c r="FE76" s="820" t="str">
        <f t="shared" ref="FE76" si="62">IF(AND($DZ76&lt;&gt;0,$DZ76&lt;&gt;""),SUMPRODUCT(CX76:DK76,BU76:CH76)*(1-SUM(DZ76:EM76)),"")</f>
        <v/>
      </c>
      <c r="FF76" s="820" t="str">
        <f t="shared" ref="FF76" si="63">IF(AND($DZ76&lt;&gt;"",$DZ76&lt;&gt;0),FB76-FD76-FE76,"")</f>
        <v/>
      </c>
    </row>
    <row r="77" spans="1:162">
      <c r="I77" s="819"/>
      <c r="J77" s="819"/>
      <c r="K77" s="439"/>
      <c r="L77" s="439"/>
      <c r="M77" s="439"/>
      <c r="N77" s="439"/>
      <c r="P77" s="442"/>
      <c r="Q77" s="442"/>
      <c r="R77" s="442"/>
      <c r="S77" s="442"/>
      <c r="T77" s="442"/>
      <c r="U77" s="442"/>
      <c r="V77" s="442"/>
      <c r="W77" s="442"/>
      <c r="X77" s="442"/>
      <c r="Y77" s="442"/>
      <c r="Z77" s="442"/>
      <c r="AA77" s="442"/>
      <c r="AB77" s="442"/>
      <c r="AC77" s="442"/>
      <c r="AD77" s="442"/>
      <c r="AE77" s="442"/>
      <c r="AF77" s="442"/>
      <c r="AG77" s="442"/>
      <c r="AH77" s="442"/>
      <c r="AI77" s="442"/>
      <c r="AJ77" s="442"/>
      <c r="AK77" s="442"/>
      <c r="AL77" s="442"/>
      <c r="AM77" s="442"/>
      <c r="AN77" s="442"/>
      <c r="AO77" s="442"/>
      <c r="AP77" s="442"/>
      <c r="AR77" s="439"/>
      <c r="AS77" s="442"/>
      <c r="AT77" s="442"/>
      <c r="AU77" s="442"/>
      <c r="AV77" s="442"/>
      <c r="AW77" s="442"/>
      <c r="AX77" s="442"/>
      <c r="AY77" s="442"/>
      <c r="AZ77" s="442"/>
      <c r="BA77" s="442"/>
      <c r="BB77" s="442"/>
      <c r="BC77" s="442"/>
      <c r="BD77" s="442"/>
      <c r="BE77" s="442"/>
      <c r="BF77" s="442"/>
      <c r="BG77" s="442"/>
      <c r="BH77" s="442"/>
      <c r="BI77" s="442"/>
      <c r="BJ77" s="442"/>
      <c r="BK77" s="442"/>
      <c r="BL77" s="442"/>
      <c r="BM77" s="442"/>
      <c r="BN77" s="442"/>
      <c r="BO77" s="442"/>
      <c r="BP77" s="442"/>
      <c r="BQ77" s="442"/>
      <c r="BR77" s="442"/>
      <c r="BS77" s="442"/>
      <c r="BU77" s="820"/>
      <c r="BV77" s="820"/>
      <c r="BW77" s="820"/>
      <c r="BX77" s="820"/>
      <c r="BY77" s="820"/>
      <c r="BZ77" s="820"/>
      <c r="CA77" s="820"/>
      <c r="CB77" s="820"/>
      <c r="CC77" s="820"/>
      <c r="CD77" s="820"/>
      <c r="CE77" s="820"/>
      <c r="CF77" s="820"/>
      <c r="CG77" s="820"/>
      <c r="CH77" s="820"/>
      <c r="CI77" s="820"/>
      <c r="CJ77" s="820"/>
      <c r="CK77" s="442"/>
      <c r="CL77" s="442"/>
      <c r="CM77" s="442"/>
      <c r="CN77" s="442"/>
      <c r="CO77" s="442"/>
      <c r="CP77" s="442"/>
      <c r="CQ77" s="442"/>
      <c r="CR77" s="442"/>
      <c r="CS77" s="442"/>
      <c r="CT77" s="442"/>
      <c r="CU77" s="442"/>
      <c r="CX77" s="442"/>
      <c r="CY77" s="442"/>
      <c r="CZ77" s="442"/>
      <c r="DA77" s="442"/>
      <c r="DB77" s="442"/>
      <c r="DC77" s="442"/>
      <c r="DD77" s="442"/>
      <c r="DE77" s="442"/>
      <c r="DF77" s="442"/>
      <c r="DG77" s="442"/>
      <c r="DH77" s="442"/>
      <c r="DI77" s="442"/>
      <c r="DJ77" s="442"/>
      <c r="DK77" s="442"/>
      <c r="DL77" s="442"/>
      <c r="DM77" s="442"/>
    </row>
    <row r="78" spans="1:162">
      <c r="B78" s="440">
        <f>IFERROR(MATCH(C78,Assumptions!$B$1:$B$32,0),0)</f>
        <v>0</v>
      </c>
      <c r="C78" s="441">
        <v>90</v>
      </c>
      <c r="E78" s="441" t="s">
        <v>1221</v>
      </c>
      <c r="F78" s="440" t="s">
        <v>1208</v>
      </c>
      <c r="G78" s="440" t="s">
        <v>1683</v>
      </c>
      <c r="K78" s="440" t="s">
        <v>1209</v>
      </c>
      <c r="M78" s="439" t="s">
        <v>1531</v>
      </c>
      <c r="O78" s="442">
        <v>150</v>
      </c>
      <c r="P78" s="442">
        <f>$O78-SUM($AS78:AS78)</f>
        <v>0</v>
      </c>
      <c r="Q78" s="442">
        <f>$O78-SUM($AS78:AT78)</f>
        <v>0</v>
      </c>
      <c r="R78" s="442">
        <f>$O78-SUM($AS78:AU78)</f>
        <v>0</v>
      </c>
      <c r="S78" s="442">
        <f>$O78-SUM($AS78:AV78)</f>
        <v>0</v>
      </c>
      <c r="T78" s="442">
        <f>$O78-SUM($AS78:AW78)</f>
        <v>0</v>
      </c>
      <c r="U78" s="442">
        <f>$O78-SUM($AS78:AX78)</f>
        <v>0</v>
      </c>
      <c r="V78" s="442">
        <f>$O78-SUM($AS78:AY78)</f>
        <v>0</v>
      </c>
      <c r="W78" s="442">
        <f>$O78-SUM($AS78:AZ78)</f>
        <v>0</v>
      </c>
      <c r="X78" s="442">
        <f>$O78-SUM($AS78:BA78)</f>
        <v>0</v>
      </c>
      <c r="Y78" s="442">
        <f>$O78-SUM($AS78:BB78)</f>
        <v>0</v>
      </c>
      <c r="Z78" s="442">
        <f>$O78-SUM($AS78:BC78)</f>
        <v>0</v>
      </c>
      <c r="AA78" s="442">
        <f>$O78-SUM($AS78:BD78)</f>
        <v>0</v>
      </c>
      <c r="AB78" s="442">
        <f>$O78-SUM($AS78:BE78)</f>
        <v>0</v>
      </c>
      <c r="AC78" s="442">
        <f>$O78-SUM($AS78:BF78)</f>
        <v>0</v>
      </c>
      <c r="AD78" s="442">
        <f>$O78-SUM($AS78:BG78)</f>
        <v>0</v>
      </c>
      <c r="AE78" s="442">
        <f>$O78-SUM($AS78:BH78)</f>
        <v>0</v>
      </c>
      <c r="AF78" s="442"/>
      <c r="AG78" s="442"/>
      <c r="AH78" s="442"/>
      <c r="AI78" s="442"/>
      <c r="AJ78" s="442"/>
      <c r="AK78" s="442"/>
      <c r="AL78" s="442"/>
      <c r="AM78" s="442"/>
      <c r="AN78" s="442"/>
      <c r="AO78" s="442"/>
      <c r="AP78" s="442"/>
      <c r="AR78" s="439" t="s">
        <v>1241</v>
      </c>
      <c r="AS78" s="442">
        <v>150</v>
      </c>
      <c r="AT78" s="442"/>
      <c r="AU78" s="442"/>
      <c r="AV78" s="442"/>
      <c r="AW78" s="442"/>
      <c r="AX78" s="442"/>
      <c r="AY78" s="442"/>
      <c r="AZ78" s="442"/>
      <c r="BA78" s="442"/>
      <c r="BB78" s="442"/>
      <c r="BC78" s="442"/>
      <c r="BD78" s="442"/>
      <c r="BE78" s="442"/>
      <c r="BF78" s="442"/>
      <c r="BG78" s="442"/>
      <c r="BH78" s="442"/>
      <c r="BI78" s="442"/>
      <c r="BJ78" s="442"/>
      <c r="BK78" s="442"/>
      <c r="BL78" s="442"/>
      <c r="BM78" s="442"/>
      <c r="BN78" s="442"/>
      <c r="BO78" s="442"/>
      <c r="BP78" s="442"/>
      <c r="BQ78" s="442"/>
      <c r="BR78" s="442"/>
      <c r="BS78" s="442"/>
      <c r="CK78" s="442"/>
      <c r="CL78" s="442"/>
      <c r="CM78" s="442"/>
      <c r="CN78" s="442"/>
      <c r="CO78" s="442"/>
      <c r="CP78" s="442"/>
      <c r="CQ78" s="442"/>
      <c r="CR78" s="442"/>
      <c r="CS78" s="442"/>
      <c r="CT78" s="442"/>
      <c r="CU78" s="442"/>
    </row>
    <row r="80" spans="1:162">
      <c r="P80" s="442"/>
      <c r="Q80" s="442"/>
      <c r="R80" s="442"/>
      <c r="S80" s="442"/>
      <c r="T80" s="442"/>
      <c r="U80" s="442"/>
      <c r="V80" s="442"/>
      <c r="W80" s="442"/>
      <c r="X80" s="442"/>
      <c r="Y80" s="442"/>
      <c r="Z80" s="442"/>
      <c r="AA80" s="442"/>
      <c r="AB80" s="442"/>
      <c r="AC80" s="442"/>
      <c r="AD80" s="442"/>
      <c r="AE80" s="442"/>
      <c r="AF80" s="442"/>
      <c r="AG80" s="442"/>
      <c r="AH80" s="442"/>
      <c r="AI80" s="442"/>
      <c r="AJ80" s="442"/>
      <c r="AK80" s="442"/>
      <c r="AL80" s="442"/>
      <c r="AM80" s="442"/>
      <c r="AN80" s="442"/>
      <c r="AO80" s="442"/>
      <c r="AP80" s="442"/>
      <c r="BI80" s="442"/>
      <c r="BJ80" s="442"/>
      <c r="BK80" s="442"/>
      <c r="BL80" s="442"/>
      <c r="BM80" s="442"/>
      <c r="BN80" s="442"/>
      <c r="BO80" s="442"/>
      <c r="BP80" s="442"/>
      <c r="BQ80" s="442"/>
      <c r="BR80" s="442"/>
      <c r="BS80" s="442"/>
      <c r="CK80" s="442"/>
      <c r="CL80" s="442"/>
      <c r="CM80" s="442"/>
      <c r="CN80" s="442"/>
      <c r="CO80" s="442"/>
      <c r="CP80" s="442"/>
      <c r="CQ80" s="442"/>
      <c r="CR80" s="442"/>
      <c r="CS80" s="442"/>
      <c r="CT80" s="442"/>
      <c r="CU80" s="442"/>
    </row>
    <row r="84" spans="8:99">
      <c r="O84" s="876"/>
      <c r="P84" s="442"/>
      <c r="Q84" s="442"/>
      <c r="R84" s="442"/>
      <c r="S84" s="442"/>
      <c r="T84" s="442"/>
      <c r="U84" s="442"/>
      <c r="V84" s="442"/>
      <c r="W84" s="442"/>
      <c r="X84" s="442"/>
      <c r="Y84" s="442"/>
      <c r="Z84" s="442"/>
      <c r="AA84" s="442"/>
      <c r="AB84" s="442"/>
      <c r="AC84" s="442"/>
      <c r="AD84" s="442"/>
      <c r="AE84" s="442"/>
      <c r="AF84" s="876"/>
      <c r="AG84" s="876"/>
      <c r="AH84" s="876"/>
      <c r="AI84" s="876"/>
      <c r="AJ84" s="876"/>
      <c r="AK84" s="876"/>
      <c r="AL84" s="876"/>
      <c r="AM84" s="876"/>
      <c r="AN84" s="876"/>
      <c r="AO84" s="876"/>
      <c r="AP84" s="876"/>
      <c r="BI84" s="876"/>
      <c r="BJ84" s="876"/>
      <c r="BK84" s="876"/>
      <c r="BL84" s="876"/>
      <c r="BM84" s="876"/>
      <c r="BN84" s="876"/>
      <c r="BO84" s="876"/>
      <c r="BP84" s="876"/>
      <c r="BQ84" s="876"/>
      <c r="BR84" s="876"/>
      <c r="BS84" s="876"/>
      <c r="CK84" s="876"/>
      <c r="CL84" s="876"/>
      <c r="CM84" s="876"/>
      <c r="CN84" s="876"/>
      <c r="CO84" s="876"/>
      <c r="CP84" s="876"/>
      <c r="CQ84" s="876"/>
      <c r="CR84" s="876"/>
      <c r="CS84" s="876"/>
      <c r="CT84" s="876"/>
      <c r="CU84" s="876"/>
    </row>
    <row r="85" spans="8:99">
      <c r="O85" s="820"/>
      <c r="P85" s="820"/>
      <c r="Q85" s="820"/>
    </row>
    <row r="86" spans="8:99">
      <c r="O86" s="820"/>
      <c r="P86" s="820"/>
      <c r="Q86" s="820"/>
      <c r="R86" s="442"/>
      <c r="S86" s="442"/>
      <c r="T86" s="442"/>
      <c r="U86" s="442"/>
      <c r="V86" s="442"/>
      <c r="W86" s="442"/>
      <c r="X86" s="442"/>
      <c r="Y86" s="442"/>
      <c r="Z86" s="442"/>
      <c r="AA86" s="442"/>
      <c r="AB86" s="442"/>
      <c r="AC86" s="442"/>
      <c r="AD86" s="442"/>
      <c r="AE86" s="442"/>
      <c r="AF86" s="442"/>
      <c r="AG86" s="442"/>
      <c r="AH86" s="442"/>
      <c r="AI86" s="442"/>
      <c r="AJ86" s="442"/>
      <c r="AK86" s="442"/>
      <c r="AL86" s="442"/>
      <c r="AM86" s="442"/>
      <c r="AN86" s="442"/>
      <c r="AO86" s="442"/>
      <c r="AP86" s="442"/>
    </row>
    <row r="87" spans="8:99">
      <c r="O87" s="820"/>
      <c r="P87" s="820"/>
      <c r="Q87" s="820"/>
    </row>
    <row r="88" spans="8:99">
      <c r="O88" s="820"/>
      <c r="P88" s="820"/>
      <c r="Q88" s="820"/>
    </row>
    <row r="89" spans="8:99">
      <c r="O89" s="820"/>
      <c r="P89" s="820"/>
      <c r="Q89" s="820"/>
    </row>
    <row r="90" spans="8:99">
      <c r="H90" s="907"/>
      <c r="O90" s="820"/>
      <c r="P90" s="820"/>
      <c r="Q90" s="820"/>
    </row>
    <row r="91" spans="8:99">
      <c r="H91" s="907"/>
      <c r="O91" s="820"/>
      <c r="P91" s="820"/>
      <c r="Q91" s="820"/>
    </row>
    <row r="92" spans="8:99">
      <c r="H92" s="907"/>
      <c r="O92" s="820"/>
      <c r="P92" s="820"/>
      <c r="Q92" s="820"/>
    </row>
    <row r="93" spans="8:99">
      <c r="H93" s="907"/>
      <c r="O93" s="820"/>
      <c r="P93" s="820"/>
      <c r="Q93" s="820"/>
    </row>
    <row r="94" spans="8:99">
      <c r="H94" s="907"/>
    </row>
    <row r="95" spans="8:99">
      <c r="H95" s="907"/>
    </row>
    <row r="96" spans="8:99">
      <c r="N96" s="820"/>
      <c r="P96" s="442"/>
    </row>
    <row r="97" spans="6:16">
      <c r="O97" s="908"/>
      <c r="P97" s="908"/>
    </row>
    <row r="98" spans="6:16">
      <c r="F98" s="820"/>
      <c r="G98" s="908"/>
      <c r="P98" s="442"/>
    </row>
    <row r="99" spans="6:16">
      <c r="G99" s="908"/>
      <c r="P99" s="909"/>
    </row>
    <row r="100" spans="6:16">
      <c r="G100" s="908"/>
    </row>
    <row r="101" spans="6:16">
      <c r="O101" s="910"/>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00"/>
  </sheetPr>
  <dimension ref="A1:I12"/>
  <sheetViews>
    <sheetView workbookViewId="0">
      <selection activeCell="F7" sqref="F7"/>
    </sheetView>
  </sheetViews>
  <sheetFormatPr defaultRowHeight="14.25"/>
  <cols>
    <col min="1" max="1" width="27.25" customWidth="1"/>
    <col min="2" max="2" width="9.875" bestFit="1" customWidth="1"/>
    <col min="3" max="3" width="31.375" customWidth="1"/>
    <col min="5" max="5" width="14.5" bestFit="1" customWidth="1"/>
    <col min="6" max="6" width="11.875" bestFit="1" customWidth="1"/>
    <col min="7" max="7" width="10.875" bestFit="1" customWidth="1"/>
    <col min="8" max="8" width="16.25" bestFit="1" customWidth="1"/>
  </cols>
  <sheetData>
    <row r="1" spans="1:9">
      <c r="A1" t="s">
        <v>1546</v>
      </c>
      <c r="B1" t="s">
        <v>1579</v>
      </c>
      <c r="C1" t="s">
        <v>1578</v>
      </c>
      <c r="E1" t="s">
        <v>1242</v>
      </c>
      <c r="F1" t="s">
        <v>1400</v>
      </c>
      <c r="G1" t="s">
        <v>1620</v>
      </c>
    </row>
    <row r="2" spans="1:9" ht="28.5">
      <c r="A2" t="s">
        <v>1577</v>
      </c>
      <c r="B2" s="883">
        <v>1</v>
      </c>
      <c r="C2" s="2" t="s">
        <v>1585</v>
      </c>
      <c r="E2" t="s">
        <v>1344</v>
      </c>
      <c r="F2">
        <v>2463.5423980722394</v>
      </c>
      <c r="I2" s="888"/>
    </row>
    <row r="3" spans="1:9" ht="50.25" customHeight="1">
      <c r="A3" s="2" t="s">
        <v>2785</v>
      </c>
      <c r="B3" s="883">
        <v>2</v>
      </c>
      <c r="C3" s="2" t="s">
        <v>2792</v>
      </c>
      <c r="E3" t="s">
        <v>1345</v>
      </c>
      <c r="F3">
        <v>2463.5423980722394</v>
      </c>
      <c r="I3" s="26"/>
    </row>
    <row r="4" spans="1:9" ht="42.75">
      <c r="A4" t="s">
        <v>2786</v>
      </c>
      <c r="B4" s="883">
        <v>1</v>
      </c>
      <c r="C4" s="2" t="s">
        <v>2787</v>
      </c>
      <c r="E4" t="s">
        <v>1346</v>
      </c>
      <c r="F4">
        <v>2463.5423980722394</v>
      </c>
    </row>
    <row r="5" spans="1:9" ht="42.75">
      <c r="A5" t="s">
        <v>1583</v>
      </c>
      <c r="B5" s="883">
        <v>1</v>
      </c>
      <c r="C5" s="2" t="s">
        <v>1584</v>
      </c>
      <c r="E5" t="s">
        <v>1112</v>
      </c>
      <c r="F5" s="885">
        <v>2392.1670538331068</v>
      </c>
      <c r="G5" s="965">
        <v>2463.5423980722394</v>
      </c>
    </row>
    <row r="6" spans="1:9">
      <c r="A6" t="s">
        <v>1586</v>
      </c>
      <c r="B6" s="884">
        <f>'Monthly Run-off Change'!A2</f>
        <v>43434</v>
      </c>
      <c r="E6" t="s">
        <v>1113</v>
      </c>
      <c r="F6" s="885">
        <v>2409.4840382637876</v>
      </c>
      <c r="G6" s="966">
        <v>2463.5423980722394</v>
      </c>
      <c r="H6" s="438"/>
    </row>
    <row r="7" spans="1:9">
      <c r="E7" t="s">
        <v>1111</v>
      </c>
      <c r="F7" s="885">
        <v>2421.8561039038536</v>
      </c>
      <c r="G7" s="966">
        <v>2463.5423980722394</v>
      </c>
      <c r="H7" s="438"/>
    </row>
    <row r="8" spans="1:9">
      <c r="A8" t="s">
        <v>2775</v>
      </c>
      <c r="B8">
        <v>1</v>
      </c>
    </row>
    <row r="9" spans="1:9">
      <c r="A9" t="s">
        <v>2774</v>
      </c>
      <c r="B9">
        <v>0</v>
      </c>
    </row>
    <row r="12" spans="1:9">
      <c r="F12" s="78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N87"/>
  <sheetViews>
    <sheetView workbookViewId="0">
      <selection sqref="A1:XFD1048576"/>
    </sheetView>
  </sheetViews>
  <sheetFormatPr defaultRowHeight="14.25"/>
  <cols>
    <col min="1" max="1" width="8.75" bestFit="1" customWidth="1"/>
    <col min="2" max="2" width="9" style="427"/>
    <col min="3" max="3" width="52.625" bestFit="1" customWidth="1"/>
    <col min="4" max="4" width="11.75" style="834" bestFit="1" customWidth="1"/>
    <col min="5" max="5" width="12.125" style="743" customWidth="1"/>
    <col min="6" max="6" width="17.375" style="743" bestFit="1" customWidth="1"/>
    <col min="7" max="7" width="9.875" style="743" customWidth="1"/>
    <col min="8" max="8" width="9.375" style="743" customWidth="1"/>
    <col min="9" max="9" width="8.375" style="743" customWidth="1"/>
    <col min="10" max="10" width="9.75" style="743" customWidth="1"/>
    <col min="11" max="11" width="9.375" style="743" customWidth="1"/>
    <col min="12" max="12" width="8.75" style="743" customWidth="1"/>
    <col min="13" max="13" width="9.375" style="743" customWidth="1"/>
    <col min="14" max="14" width="8.75" style="743" customWidth="1"/>
    <col min="15" max="15" width="8.375" style="743" customWidth="1"/>
    <col min="16" max="16" width="8.75" style="743" customWidth="1"/>
    <col min="17" max="28" width="8.375" style="743" customWidth="1"/>
    <col min="29" max="29" width="8.75" style="743" customWidth="1"/>
    <col min="30" max="30" width="8.375" style="743" customWidth="1"/>
    <col min="31" max="32" width="8.75" style="743" customWidth="1"/>
    <col min="33" max="33" width="9.75" style="743" customWidth="1"/>
    <col min="34" max="34" width="13" style="743" customWidth="1"/>
    <col min="35" max="35" width="13.125" bestFit="1" customWidth="1"/>
    <col min="36" max="36" width="10.75" bestFit="1" customWidth="1"/>
    <col min="38" max="38" width="9.875" bestFit="1" customWidth="1"/>
  </cols>
  <sheetData>
    <row r="1" spans="1:40">
      <c r="A1" t="s">
        <v>1104</v>
      </c>
      <c r="B1" s="427" t="s">
        <v>1105</v>
      </c>
      <c r="C1" t="s">
        <v>1106</v>
      </c>
      <c r="D1" s="834" t="s">
        <v>1107</v>
      </c>
      <c r="E1" s="743" t="s">
        <v>1108</v>
      </c>
      <c r="F1" s="743" t="s">
        <v>1036</v>
      </c>
      <c r="G1" s="743" t="s">
        <v>1451</v>
      </c>
      <c r="H1" s="743" t="s">
        <v>1452</v>
      </c>
      <c r="I1" s="743" t="s">
        <v>1453</v>
      </c>
      <c r="J1" s="743" t="s">
        <v>1454</v>
      </c>
      <c r="K1" s="743" t="s">
        <v>1455</v>
      </c>
      <c r="L1" s="743" t="s">
        <v>1456</v>
      </c>
      <c r="M1" s="743" t="s">
        <v>1457</v>
      </c>
      <c r="N1" s="743" t="s">
        <v>1458</v>
      </c>
      <c r="O1" s="743" t="s">
        <v>1459</v>
      </c>
      <c r="P1" s="743" t="s">
        <v>1460</v>
      </c>
      <c r="Q1" s="743" t="s">
        <v>1461</v>
      </c>
      <c r="R1" s="743" t="s">
        <v>1462</v>
      </c>
      <c r="S1" s="743" t="s">
        <v>1463</v>
      </c>
      <c r="T1" s="743" t="s">
        <v>1464</v>
      </c>
      <c r="U1" s="743" t="s">
        <v>4</v>
      </c>
      <c r="V1" s="743" t="s">
        <v>5</v>
      </c>
      <c r="W1" s="743" t="s">
        <v>6</v>
      </c>
      <c r="X1" s="743" t="s">
        <v>7</v>
      </c>
      <c r="Y1" s="743" t="s">
        <v>8</v>
      </c>
      <c r="Z1" s="743" t="s">
        <v>9</v>
      </c>
      <c r="AA1" s="743" t="s">
        <v>10</v>
      </c>
      <c r="AB1" s="743" t="s">
        <v>11</v>
      </c>
      <c r="AC1" s="743" t="s">
        <v>12</v>
      </c>
      <c r="AD1" s="743" t="s">
        <v>13</v>
      </c>
      <c r="AE1" s="743" t="s">
        <v>14</v>
      </c>
      <c r="AF1" s="743" t="s">
        <v>15</v>
      </c>
      <c r="AG1" s="743" t="s">
        <v>16</v>
      </c>
      <c r="AH1" s="743" t="s">
        <v>1466</v>
      </c>
      <c r="AJ1" t="s">
        <v>1547</v>
      </c>
    </row>
    <row r="2" spans="1:40">
      <c r="A2">
        <v>0</v>
      </c>
      <c r="B2" s="427">
        <v>2</v>
      </c>
      <c r="C2" t="s">
        <v>1026</v>
      </c>
      <c r="D2" s="836">
        <v>-31027.243794049999</v>
      </c>
      <c r="E2" s="743">
        <v>-31027.243794049999</v>
      </c>
      <c r="F2" s="743">
        <v>0</v>
      </c>
      <c r="G2" s="743">
        <v>-31027.243794049999</v>
      </c>
      <c r="H2" s="743">
        <v>0</v>
      </c>
      <c r="I2" s="743">
        <v>0</v>
      </c>
      <c r="J2" s="743">
        <v>0</v>
      </c>
      <c r="K2" s="743">
        <v>0</v>
      </c>
      <c r="L2" s="743">
        <v>0</v>
      </c>
      <c r="M2" s="743">
        <v>0</v>
      </c>
      <c r="N2" s="743">
        <v>0</v>
      </c>
      <c r="O2" s="743">
        <v>0</v>
      </c>
      <c r="P2" s="743">
        <v>0</v>
      </c>
      <c r="Q2" s="743">
        <v>0</v>
      </c>
      <c r="R2" s="743">
        <v>0</v>
      </c>
      <c r="S2" s="743">
        <v>0</v>
      </c>
      <c r="T2" s="743">
        <v>0</v>
      </c>
      <c r="U2" s="743">
        <v>0</v>
      </c>
      <c r="V2" s="743">
        <v>0</v>
      </c>
      <c r="W2" s="743">
        <v>0</v>
      </c>
      <c r="X2" s="743">
        <v>0</v>
      </c>
      <c r="Y2" s="743">
        <v>0</v>
      </c>
      <c r="Z2" s="743">
        <v>0</v>
      </c>
      <c r="AA2" s="743">
        <v>0</v>
      </c>
      <c r="AB2" s="743">
        <v>0</v>
      </c>
      <c r="AC2" s="743">
        <v>0</v>
      </c>
      <c r="AD2" s="743">
        <v>0</v>
      </c>
      <c r="AE2" s="743">
        <v>0</v>
      </c>
      <c r="AF2" s="743">
        <v>0</v>
      </c>
      <c r="AG2" s="743">
        <v>0</v>
      </c>
      <c r="AH2" s="743">
        <v>0</v>
      </c>
      <c r="AI2" s="747"/>
      <c r="AJ2" s="747">
        <v>0</v>
      </c>
      <c r="AL2" s="26"/>
      <c r="AN2" s="26"/>
    </row>
    <row r="3" spans="1:40">
      <c r="A3">
        <v>0</v>
      </c>
      <c r="B3" s="833">
        <v>2.1</v>
      </c>
      <c r="C3" t="s">
        <v>1229</v>
      </c>
      <c r="D3" s="834">
        <v>-424.33800000000002</v>
      </c>
      <c r="F3" s="743">
        <v>0</v>
      </c>
      <c r="G3" s="743">
        <v>-424.33800000000002</v>
      </c>
      <c r="H3" s="743">
        <v>0</v>
      </c>
      <c r="I3" s="743">
        <v>0</v>
      </c>
      <c r="J3" s="743">
        <v>0</v>
      </c>
      <c r="K3" s="743">
        <v>0</v>
      </c>
      <c r="L3" s="743">
        <v>0</v>
      </c>
      <c r="M3" s="743">
        <v>0</v>
      </c>
      <c r="N3" s="743">
        <v>0</v>
      </c>
      <c r="O3" s="743">
        <v>0</v>
      </c>
      <c r="P3" s="743">
        <v>0</v>
      </c>
      <c r="Q3" s="743">
        <v>0</v>
      </c>
      <c r="R3" s="743">
        <v>0</v>
      </c>
      <c r="S3" s="743">
        <v>0</v>
      </c>
      <c r="T3" s="743">
        <v>0</v>
      </c>
      <c r="U3" s="743">
        <v>0</v>
      </c>
      <c r="V3" s="743">
        <v>0</v>
      </c>
      <c r="W3" s="743">
        <v>0</v>
      </c>
      <c r="X3" s="743">
        <v>0</v>
      </c>
      <c r="Y3" s="743">
        <v>0</v>
      </c>
      <c r="Z3" s="743">
        <v>0</v>
      </c>
      <c r="AA3" s="743">
        <v>0</v>
      </c>
      <c r="AB3" s="743">
        <v>0</v>
      </c>
      <c r="AC3" s="743">
        <v>0</v>
      </c>
      <c r="AD3" s="743">
        <v>0</v>
      </c>
      <c r="AE3" s="743">
        <v>0</v>
      </c>
      <c r="AF3" s="743">
        <v>0</v>
      </c>
      <c r="AG3" s="743">
        <v>0</v>
      </c>
      <c r="AH3" s="743">
        <v>0</v>
      </c>
      <c r="AI3" s="747"/>
      <c r="AJ3" s="747">
        <v>0</v>
      </c>
      <c r="AN3" s="26"/>
    </row>
    <row r="4" spans="1:40">
      <c r="A4">
        <v>1</v>
      </c>
      <c r="B4" s="427">
        <v>3.1</v>
      </c>
      <c r="C4" t="s">
        <v>17</v>
      </c>
      <c r="D4" s="834">
        <v>-1476.8092643599998</v>
      </c>
      <c r="E4" s="743">
        <v>-53.428101340000005</v>
      </c>
      <c r="F4" s="743">
        <v>-500</v>
      </c>
      <c r="G4" s="743">
        <v>-53.428101340000005</v>
      </c>
      <c r="H4" s="743">
        <v>-276.38116301999997</v>
      </c>
      <c r="I4" s="743">
        <v>0</v>
      </c>
      <c r="J4" s="743">
        <v>0</v>
      </c>
      <c r="K4" s="743">
        <v>0</v>
      </c>
      <c r="L4" s="743">
        <v>0</v>
      </c>
      <c r="M4" s="743">
        <v>0</v>
      </c>
      <c r="N4" s="743">
        <v>0</v>
      </c>
      <c r="O4" s="743">
        <v>0</v>
      </c>
      <c r="P4" s="743">
        <v>0</v>
      </c>
      <c r="Q4" s="743">
        <v>0</v>
      </c>
      <c r="R4" s="743">
        <v>0</v>
      </c>
      <c r="S4" s="743">
        <v>0</v>
      </c>
      <c r="T4" s="743">
        <v>0</v>
      </c>
      <c r="U4" s="743">
        <v>0</v>
      </c>
      <c r="V4" s="743">
        <v>-50</v>
      </c>
      <c r="W4" s="743">
        <v>-300</v>
      </c>
      <c r="X4" s="743">
        <v>-297</v>
      </c>
      <c r="Y4" s="743">
        <v>0</v>
      </c>
      <c r="Z4" s="743">
        <v>0</v>
      </c>
      <c r="AA4" s="743">
        <v>0</v>
      </c>
      <c r="AB4" s="743">
        <v>0</v>
      </c>
      <c r="AC4" s="743">
        <v>0</v>
      </c>
      <c r="AD4" s="743">
        <v>0</v>
      </c>
      <c r="AE4" s="743">
        <v>0</v>
      </c>
      <c r="AF4" s="743">
        <v>0</v>
      </c>
      <c r="AG4" s="743">
        <v>0</v>
      </c>
      <c r="AH4" s="743">
        <v>0</v>
      </c>
      <c r="AJ4" s="747">
        <v>0</v>
      </c>
      <c r="AN4" s="26"/>
    </row>
    <row r="5" spans="1:40">
      <c r="A5">
        <v>1</v>
      </c>
      <c r="B5" s="427">
        <v>3.2</v>
      </c>
      <c r="C5" t="s">
        <v>37</v>
      </c>
      <c r="D5" s="834">
        <v>-2.440110439999847</v>
      </c>
      <c r="E5" s="743">
        <v>-2.440110439999847</v>
      </c>
      <c r="F5" s="743">
        <v>0</v>
      </c>
      <c r="G5" s="743">
        <v>-2.440110439999847</v>
      </c>
      <c r="H5" s="743">
        <v>0</v>
      </c>
      <c r="I5" s="743">
        <v>0</v>
      </c>
      <c r="J5" s="743">
        <v>0</v>
      </c>
      <c r="K5" s="743">
        <v>0</v>
      </c>
      <c r="L5" s="743">
        <v>0</v>
      </c>
      <c r="M5" s="743">
        <v>0</v>
      </c>
      <c r="N5" s="743">
        <v>0</v>
      </c>
      <c r="O5" s="743">
        <v>0</v>
      </c>
      <c r="P5" s="743">
        <v>0</v>
      </c>
      <c r="Q5" s="743">
        <v>0</v>
      </c>
      <c r="R5" s="743">
        <v>0</v>
      </c>
      <c r="S5" s="743">
        <v>0</v>
      </c>
      <c r="T5" s="743">
        <v>0</v>
      </c>
      <c r="U5" s="743">
        <v>0</v>
      </c>
      <c r="V5" s="743">
        <v>0</v>
      </c>
      <c r="W5" s="743">
        <v>0</v>
      </c>
      <c r="X5" s="743">
        <v>0</v>
      </c>
      <c r="Y5" s="743">
        <v>0</v>
      </c>
      <c r="Z5" s="743">
        <v>0</v>
      </c>
      <c r="AA5" s="743">
        <v>0</v>
      </c>
      <c r="AB5" s="743">
        <v>0</v>
      </c>
      <c r="AC5" s="743">
        <v>0</v>
      </c>
      <c r="AD5" s="743">
        <v>0</v>
      </c>
      <c r="AE5" s="743">
        <v>0</v>
      </c>
      <c r="AF5" s="743">
        <v>0</v>
      </c>
      <c r="AG5" s="743">
        <v>0</v>
      </c>
      <c r="AH5" s="743">
        <v>0</v>
      </c>
      <c r="AJ5" s="747">
        <v>0</v>
      </c>
      <c r="AN5" s="26"/>
    </row>
    <row r="6" spans="1:40">
      <c r="A6">
        <v>1</v>
      </c>
      <c r="B6" s="427">
        <v>4</v>
      </c>
      <c r="C6" t="s">
        <v>1468</v>
      </c>
      <c r="D6" s="834">
        <v>-3561.1634352277601</v>
      </c>
      <c r="E6" s="743">
        <v>0</v>
      </c>
      <c r="F6" s="743">
        <v>-2115.1402905291097</v>
      </c>
      <c r="G6" s="743">
        <v>0</v>
      </c>
      <c r="H6" s="743">
        <v>0</v>
      </c>
      <c r="I6" s="743">
        <v>0</v>
      </c>
      <c r="J6" s="743">
        <v>0</v>
      </c>
      <c r="K6" s="743">
        <v>0</v>
      </c>
      <c r="L6" s="743">
        <v>0</v>
      </c>
      <c r="M6" s="743">
        <v>0</v>
      </c>
      <c r="N6" s="743">
        <v>0</v>
      </c>
      <c r="O6" s="743">
        <v>0</v>
      </c>
      <c r="P6" s="743">
        <v>0</v>
      </c>
      <c r="Q6" s="743">
        <v>0</v>
      </c>
      <c r="R6" s="743">
        <v>0</v>
      </c>
      <c r="S6" s="743">
        <v>0</v>
      </c>
      <c r="T6" s="743">
        <v>-45.44109927135284</v>
      </c>
      <c r="U6" s="743">
        <v>0</v>
      </c>
      <c r="V6" s="743">
        <v>-79.521923724867477</v>
      </c>
      <c r="W6" s="743">
        <v>-170.40412226757317</v>
      </c>
      <c r="X6" s="743">
        <v>-227.20549635676423</v>
      </c>
      <c r="Y6" s="743">
        <v>-142.00343522297763</v>
      </c>
      <c r="Z6" s="743">
        <v>-170.40412226757317</v>
      </c>
      <c r="AA6" s="743">
        <v>-142.8890070541492</v>
      </c>
      <c r="AB6" s="743">
        <v>0</v>
      </c>
      <c r="AC6" s="743">
        <v>-152.30871699446692</v>
      </c>
      <c r="AD6" s="743">
        <v>0</v>
      </c>
      <c r="AE6" s="743">
        <v>-213.60274817838209</v>
      </c>
      <c r="AF6" s="743">
        <v>-56.801374089191057</v>
      </c>
      <c r="AG6" s="743">
        <v>-45.44109927135284</v>
      </c>
      <c r="AH6" s="743">
        <v>0</v>
      </c>
      <c r="AJ6" s="747">
        <v>0</v>
      </c>
      <c r="AN6" s="26"/>
    </row>
    <row r="7" spans="1:40">
      <c r="A7">
        <v>1</v>
      </c>
      <c r="B7" s="427">
        <v>4.0999999999999996</v>
      </c>
      <c r="C7" t="s">
        <v>2776</v>
      </c>
      <c r="D7" s="836">
        <v>-2463.5423980722398</v>
      </c>
      <c r="E7" s="743">
        <v>0</v>
      </c>
      <c r="F7" s="743">
        <v>-1509.5655427708905</v>
      </c>
      <c r="G7" s="743">
        <v>0</v>
      </c>
      <c r="H7" s="743">
        <v>0</v>
      </c>
      <c r="I7" s="743">
        <v>0</v>
      </c>
      <c r="J7" s="743">
        <v>0</v>
      </c>
      <c r="K7" s="743">
        <v>0</v>
      </c>
      <c r="L7" s="743">
        <v>0</v>
      </c>
      <c r="M7" s="743">
        <v>0</v>
      </c>
      <c r="N7" s="743">
        <v>0</v>
      </c>
      <c r="O7" s="743">
        <v>0</v>
      </c>
      <c r="P7" s="743">
        <v>0</v>
      </c>
      <c r="Q7" s="743">
        <v>0</v>
      </c>
      <c r="R7" s="743">
        <v>0</v>
      </c>
      <c r="S7" s="743">
        <v>0</v>
      </c>
      <c r="T7" s="743">
        <v>-34.55890072864716</v>
      </c>
      <c r="U7" s="743">
        <v>0</v>
      </c>
      <c r="V7" s="743">
        <v>-60.478076275132523</v>
      </c>
      <c r="W7" s="743">
        <v>-129.59587773242683</v>
      </c>
      <c r="X7" s="743">
        <v>-172.79450364323577</v>
      </c>
      <c r="Y7" s="743">
        <v>-107.99656477702236</v>
      </c>
      <c r="Z7" s="743">
        <v>-129.59587773242683</v>
      </c>
      <c r="AA7" s="743">
        <v>-107.11099294585077</v>
      </c>
      <c r="AB7" s="743">
        <v>0</v>
      </c>
      <c r="AC7" s="743">
        <v>-47.69128300553308</v>
      </c>
      <c r="AD7" s="743">
        <v>0</v>
      </c>
      <c r="AE7" s="743">
        <v>-86.397251821617886</v>
      </c>
      <c r="AF7" s="743">
        <v>-43.198625910808943</v>
      </c>
      <c r="AG7" s="743">
        <v>-34.55890072864716</v>
      </c>
      <c r="AH7" s="743">
        <v>0</v>
      </c>
      <c r="AJ7" s="747">
        <v>0</v>
      </c>
      <c r="AN7" s="26"/>
    </row>
    <row r="8" spans="1:40">
      <c r="A8">
        <v>1</v>
      </c>
      <c r="B8" s="427">
        <v>4.2</v>
      </c>
      <c r="C8" t="s">
        <v>1469</v>
      </c>
      <c r="D8" s="834">
        <v>0</v>
      </c>
      <c r="E8" s="743">
        <v>0</v>
      </c>
      <c r="F8" s="743">
        <v>0</v>
      </c>
      <c r="G8" s="743">
        <v>0</v>
      </c>
      <c r="H8" s="743">
        <v>0</v>
      </c>
      <c r="I8" s="743">
        <v>0</v>
      </c>
      <c r="J8" s="743">
        <v>0</v>
      </c>
      <c r="K8" s="743">
        <v>0</v>
      </c>
      <c r="L8" s="743">
        <v>0</v>
      </c>
      <c r="M8" s="743">
        <v>0</v>
      </c>
      <c r="N8" s="743">
        <v>0</v>
      </c>
      <c r="O8" s="743">
        <v>0</v>
      </c>
      <c r="P8" s="743">
        <v>0</v>
      </c>
      <c r="Q8" s="743">
        <v>0</v>
      </c>
      <c r="R8" s="743">
        <v>0</v>
      </c>
      <c r="S8" s="743">
        <v>0</v>
      </c>
      <c r="T8" s="743">
        <v>0</v>
      </c>
      <c r="U8" s="743">
        <v>0</v>
      </c>
      <c r="V8" s="743">
        <v>0</v>
      </c>
      <c r="W8" s="743">
        <v>0</v>
      </c>
      <c r="X8" s="743">
        <v>0</v>
      </c>
      <c r="Y8" s="743">
        <v>0</v>
      </c>
      <c r="Z8" s="743">
        <v>0</v>
      </c>
      <c r="AA8" s="743">
        <v>0</v>
      </c>
      <c r="AB8" s="743">
        <v>0</v>
      </c>
      <c r="AC8" s="743">
        <v>0</v>
      </c>
      <c r="AD8" s="743">
        <v>0</v>
      </c>
      <c r="AE8" s="743">
        <v>0</v>
      </c>
      <c r="AF8" s="743">
        <v>0</v>
      </c>
      <c r="AG8" s="743">
        <v>0</v>
      </c>
      <c r="AH8" s="743">
        <v>0</v>
      </c>
      <c r="AJ8" s="747">
        <v>0</v>
      </c>
      <c r="AN8" s="26"/>
    </row>
    <row r="9" spans="1:40">
      <c r="A9">
        <v>1</v>
      </c>
      <c r="B9" s="427" t="s">
        <v>1059</v>
      </c>
      <c r="C9" t="s">
        <v>1043</v>
      </c>
      <c r="D9" s="834">
        <v>-5631.5663244500001</v>
      </c>
      <c r="E9" s="743">
        <v>-1E-8</v>
      </c>
      <c r="F9" s="743">
        <v>-4609.9488892500012</v>
      </c>
      <c r="G9" s="743">
        <v>-1E-8</v>
      </c>
      <c r="H9" s="743">
        <v>0</v>
      </c>
      <c r="I9" s="743">
        <v>0</v>
      </c>
      <c r="J9" s="743">
        <v>0</v>
      </c>
      <c r="K9" s="743">
        <v>0</v>
      </c>
      <c r="L9" s="743">
        <v>0</v>
      </c>
      <c r="M9" s="743">
        <v>0</v>
      </c>
      <c r="N9" s="743">
        <v>0</v>
      </c>
      <c r="O9" s="743">
        <v>-60</v>
      </c>
      <c r="P9" s="743">
        <v>0</v>
      </c>
      <c r="Q9" s="743">
        <v>0</v>
      </c>
      <c r="R9" s="743">
        <v>0</v>
      </c>
      <c r="S9" s="743">
        <v>0</v>
      </c>
      <c r="T9" s="743">
        <v>0</v>
      </c>
      <c r="U9" s="743">
        <v>0</v>
      </c>
      <c r="V9" s="743">
        <v>0</v>
      </c>
      <c r="W9" s="743">
        <v>0</v>
      </c>
      <c r="X9" s="743">
        <v>-134.86298077000001</v>
      </c>
      <c r="Y9" s="743">
        <v>-40</v>
      </c>
      <c r="Z9" s="743">
        <v>-35.632403590000003</v>
      </c>
      <c r="AA9" s="743">
        <v>-18</v>
      </c>
      <c r="AB9" s="743">
        <v>-30.08153124</v>
      </c>
      <c r="AC9" s="743">
        <v>-35.93215387</v>
      </c>
      <c r="AD9" s="743">
        <v>-3.75</v>
      </c>
      <c r="AE9" s="743">
        <v>-33.174426359999998</v>
      </c>
      <c r="AF9" s="743">
        <v>-137.88309990000002</v>
      </c>
      <c r="AG9" s="743">
        <v>-492.30083945999996</v>
      </c>
      <c r="AH9" s="743">
        <v>0</v>
      </c>
      <c r="AJ9" s="747">
        <v>0</v>
      </c>
      <c r="AN9" s="26"/>
    </row>
    <row r="10" spans="1:40">
      <c r="A10">
        <v>1</v>
      </c>
      <c r="B10" s="427" t="s">
        <v>1060</v>
      </c>
      <c r="C10" t="s">
        <v>1044</v>
      </c>
      <c r="D10" s="834">
        <v>-1355.7736293799999</v>
      </c>
      <c r="E10" s="743">
        <v>0</v>
      </c>
      <c r="F10" s="743">
        <v>-1299.3936293899999</v>
      </c>
      <c r="G10" s="743">
        <v>0</v>
      </c>
      <c r="H10" s="743">
        <v>0</v>
      </c>
      <c r="I10" s="743">
        <v>0</v>
      </c>
      <c r="J10" s="743">
        <v>0</v>
      </c>
      <c r="K10" s="743">
        <v>0</v>
      </c>
      <c r="L10" s="743">
        <v>0</v>
      </c>
      <c r="M10" s="743">
        <v>0</v>
      </c>
      <c r="N10" s="743">
        <v>0</v>
      </c>
      <c r="O10" s="743">
        <v>0</v>
      </c>
      <c r="P10" s="743">
        <v>0</v>
      </c>
      <c r="Q10" s="743">
        <v>0</v>
      </c>
      <c r="R10" s="743">
        <v>0</v>
      </c>
      <c r="S10" s="743">
        <v>0</v>
      </c>
      <c r="T10" s="743">
        <v>0</v>
      </c>
      <c r="U10" s="743">
        <v>0</v>
      </c>
      <c r="V10" s="743">
        <v>0</v>
      </c>
      <c r="W10" s="743">
        <v>-25</v>
      </c>
      <c r="X10" s="743">
        <v>0</v>
      </c>
      <c r="Y10" s="743">
        <v>0</v>
      </c>
      <c r="Z10" s="743">
        <v>0</v>
      </c>
      <c r="AA10" s="743">
        <v>0</v>
      </c>
      <c r="AB10" s="743">
        <v>-14.999999990000001</v>
      </c>
      <c r="AC10" s="743">
        <v>0</v>
      </c>
      <c r="AD10" s="743">
        <v>-16.38</v>
      </c>
      <c r="AE10" s="743">
        <v>0</v>
      </c>
      <c r="AF10" s="743">
        <v>0</v>
      </c>
      <c r="AG10" s="743">
        <v>0</v>
      </c>
      <c r="AH10" s="743">
        <v>0</v>
      </c>
      <c r="AJ10" s="747">
        <v>0</v>
      </c>
      <c r="AN10" s="26"/>
    </row>
    <row r="11" spans="1:40">
      <c r="A11">
        <v>1</v>
      </c>
      <c r="B11" s="427">
        <v>5.2</v>
      </c>
      <c r="C11" t="s">
        <v>29</v>
      </c>
      <c r="D11" s="834">
        <v>0</v>
      </c>
      <c r="E11" s="743">
        <v>0</v>
      </c>
      <c r="F11" s="743">
        <v>0</v>
      </c>
      <c r="G11" s="743">
        <v>0</v>
      </c>
      <c r="H11" s="743">
        <v>0</v>
      </c>
      <c r="I11" s="743">
        <v>0</v>
      </c>
      <c r="J11" s="743">
        <v>0</v>
      </c>
      <c r="K11" s="743">
        <v>0</v>
      </c>
      <c r="L11" s="743">
        <v>0</v>
      </c>
      <c r="M11" s="743">
        <v>0</v>
      </c>
      <c r="N11" s="743">
        <v>0</v>
      </c>
      <c r="O11" s="743">
        <v>0</v>
      </c>
      <c r="P11" s="743">
        <v>0</v>
      </c>
      <c r="Q11" s="743">
        <v>0</v>
      </c>
      <c r="R11" s="743">
        <v>0</v>
      </c>
      <c r="S11" s="743">
        <v>0</v>
      </c>
      <c r="T11" s="743">
        <v>0</v>
      </c>
      <c r="U11" s="743">
        <v>0</v>
      </c>
      <c r="V11" s="743">
        <v>0</v>
      </c>
      <c r="W11" s="743">
        <v>0</v>
      </c>
      <c r="X11" s="743">
        <v>0</v>
      </c>
      <c r="Y11" s="743">
        <v>0</v>
      </c>
      <c r="Z11" s="743">
        <v>0</v>
      </c>
      <c r="AA11" s="743">
        <v>0</v>
      </c>
      <c r="AB11" s="743">
        <v>0</v>
      </c>
      <c r="AC11" s="743">
        <v>0</v>
      </c>
      <c r="AD11" s="743">
        <v>0</v>
      </c>
      <c r="AE11" s="743">
        <v>0</v>
      </c>
      <c r="AF11" s="743">
        <v>0</v>
      </c>
      <c r="AG11" s="743">
        <v>0</v>
      </c>
      <c r="AH11" s="743">
        <v>0</v>
      </c>
      <c r="AJ11" s="747">
        <v>0</v>
      </c>
      <c r="AN11" s="26"/>
    </row>
    <row r="12" spans="1:40">
      <c r="A12">
        <v>1</v>
      </c>
      <c r="B12" s="427" t="s">
        <v>1061</v>
      </c>
      <c r="C12" t="s">
        <v>1055</v>
      </c>
      <c r="D12" s="834">
        <v>-2136.7882296600001</v>
      </c>
      <c r="E12" s="743">
        <v>0</v>
      </c>
      <c r="F12" s="743">
        <v>-1942.38822966</v>
      </c>
      <c r="G12" s="743">
        <v>0</v>
      </c>
      <c r="H12" s="743">
        <v>0</v>
      </c>
      <c r="I12" s="743">
        <v>0</v>
      </c>
      <c r="J12" s="743">
        <v>0</v>
      </c>
      <c r="K12" s="743">
        <v>0</v>
      </c>
      <c r="L12" s="743">
        <v>0</v>
      </c>
      <c r="M12" s="743">
        <v>0</v>
      </c>
      <c r="N12" s="743">
        <v>0</v>
      </c>
      <c r="O12" s="743">
        <v>0</v>
      </c>
      <c r="P12" s="743">
        <v>-60</v>
      </c>
      <c r="Q12" s="743">
        <v>0</v>
      </c>
      <c r="R12" s="743">
        <v>0</v>
      </c>
      <c r="S12" s="743">
        <v>0</v>
      </c>
      <c r="T12" s="743">
        <v>0</v>
      </c>
      <c r="U12" s="743">
        <v>0</v>
      </c>
      <c r="V12" s="743">
        <v>0</v>
      </c>
      <c r="W12" s="743">
        <v>0</v>
      </c>
      <c r="X12" s="743">
        <v>0</v>
      </c>
      <c r="Y12" s="743">
        <v>0</v>
      </c>
      <c r="Z12" s="743">
        <v>0</v>
      </c>
      <c r="AA12" s="743">
        <v>0</v>
      </c>
      <c r="AB12" s="743">
        <v>-105</v>
      </c>
      <c r="AC12" s="743">
        <v>-29.4</v>
      </c>
      <c r="AD12" s="743">
        <v>0</v>
      </c>
      <c r="AE12" s="743">
        <v>0</v>
      </c>
      <c r="AF12" s="743">
        <v>0</v>
      </c>
      <c r="AG12" s="743">
        <v>0</v>
      </c>
      <c r="AH12" s="743">
        <v>0</v>
      </c>
      <c r="AJ12" s="747">
        <v>0</v>
      </c>
      <c r="AN12" s="26"/>
    </row>
    <row r="13" spans="1:40">
      <c r="A13">
        <v>1</v>
      </c>
      <c r="B13" s="427" t="s">
        <v>1063</v>
      </c>
      <c r="C13" t="s">
        <v>1057</v>
      </c>
      <c r="D13" s="834">
        <v>-929.72933477999993</v>
      </c>
      <c r="E13" s="743">
        <v>-6.1805999999999992E-4</v>
      </c>
      <c r="F13" s="743">
        <v>-750</v>
      </c>
      <c r="G13" s="743">
        <v>-6.1805999999999992E-4</v>
      </c>
      <c r="H13" s="743">
        <v>0</v>
      </c>
      <c r="I13" s="743">
        <v>0</v>
      </c>
      <c r="J13" s="743">
        <v>0</v>
      </c>
      <c r="K13" s="743">
        <v>0</v>
      </c>
      <c r="L13" s="743">
        <v>0</v>
      </c>
      <c r="M13" s="743">
        <v>0</v>
      </c>
      <c r="N13" s="743">
        <v>0</v>
      </c>
      <c r="O13" s="743">
        <v>0</v>
      </c>
      <c r="P13" s="743">
        <v>0</v>
      </c>
      <c r="Q13" s="743">
        <v>0</v>
      </c>
      <c r="R13" s="743">
        <v>0</v>
      </c>
      <c r="S13" s="743">
        <v>0</v>
      </c>
      <c r="T13" s="743">
        <v>0</v>
      </c>
      <c r="U13" s="743">
        <v>0</v>
      </c>
      <c r="V13" s="743">
        <v>0</v>
      </c>
      <c r="W13" s="743">
        <v>0</v>
      </c>
      <c r="X13" s="743">
        <v>0</v>
      </c>
      <c r="Y13" s="743">
        <v>0</v>
      </c>
      <c r="Z13" s="743">
        <v>0</v>
      </c>
      <c r="AA13" s="743">
        <v>0</v>
      </c>
      <c r="AB13" s="743">
        <v>0</v>
      </c>
      <c r="AC13" s="743">
        <v>-2.38</v>
      </c>
      <c r="AD13" s="743">
        <v>-137.36871672000001</v>
      </c>
      <c r="AE13" s="743">
        <v>-9.98</v>
      </c>
      <c r="AF13" s="743">
        <v>-30</v>
      </c>
      <c r="AG13" s="743">
        <v>0</v>
      </c>
      <c r="AH13" s="743">
        <v>0</v>
      </c>
      <c r="AJ13" s="747">
        <v>0</v>
      </c>
      <c r="AN13" s="26"/>
    </row>
    <row r="14" spans="1:40">
      <c r="A14">
        <v>1</v>
      </c>
      <c r="B14" s="427" t="s">
        <v>1064</v>
      </c>
      <c r="C14" t="s">
        <v>1056</v>
      </c>
      <c r="D14" s="834">
        <v>-1872.3040158399999</v>
      </c>
      <c r="E14" s="743">
        <v>0</v>
      </c>
      <c r="F14" s="743">
        <v>-909.84327824999991</v>
      </c>
      <c r="G14" s="743">
        <v>0</v>
      </c>
      <c r="H14" s="743">
        <v>0</v>
      </c>
      <c r="I14" s="743">
        <v>0</v>
      </c>
      <c r="J14" s="743">
        <v>0</v>
      </c>
      <c r="K14" s="743">
        <v>0</v>
      </c>
      <c r="L14" s="743">
        <v>0</v>
      </c>
      <c r="M14" s="743">
        <v>0</v>
      </c>
      <c r="N14" s="743">
        <v>0</v>
      </c>
      <c r="O14" s="743">
        <v>0</v>
      </c>
      <c r="P14" s="743">
        <v>0</v>
      </c>
      <c r="Q14" s="743">
        <v>0</v>
      </c>
      <c r="R14" s="743">
        <v>0</v>
      </c>
      <c r="S14" s="743">
        <v>0</v>
      </c>
      <c r="T14" s="743">
        <v>0</v>
      </c>
      <c r="U14" s="743">
        <v>-553.64</v>
      </c>
      <c r="V14" s="743">
        <v>0</v>
      </c>
      <c r="W14" s="743">
        <v>-89.5</v>
      </c>
      <c r="X14" s="743">
        <v>0</v>
      </c>
      <c r="Y14" s="743">
        <v>-91.75</v>
      </c>
      <c r="Z14" s="743">
        <v>-89.013237589999989</v>
      </c>
      <c r="AA14" s="743">
        <v>0</v>
      </c>
      <c r="AB14" s="743">
        <v>-52.657499999999999</v>
      </c>
      <c r="AC14" s="743">
        <v>-52</v>
      </c>
      <c r="AD14" s="743">
        <v>0</v>
      </c>
      <c r="AE14" s="743">
        <v>-10</v>
      </c>
      <c r="AF14" s="743">
        <v>0</v>
      </c>
      <c r="AG14" s="743">
        <v>-23.9</v>
      </c>
      <c r="AH14" s="743">
        <v>0</v>
      </c>
      <c r="AJ14" s="747">
        <v>0</v>
      </c>
      <c r="AN14" s="26"/>
    </row>
    <row r="15" spans="1:40">
      <c r="A15">
        <v>1</v>
      </c>
      <c r="B15" s="427">
        <v>5.3</v>
      </c>
      <c r="C15" t="s">
        <v>1017</v>
      </c>
      <c r="D15" s="834">
        <v>-6249.8529878100026</v>
      </c>
      <c r="E15" s="743">
        <v>-14.389395460000001</v>
      </c>
      <c r="F15" s="743">
        <v>-4665.1524767200008</v>
      </c>
      <c r="G15" s="743">
        <v>-14.393389300000001</v>
      </c>
      <c r="H15" s="743">
        <v>0</v>
      </c>
      <c r="I15" s="743">
        <v>0</v>
      </c>
      <c r="J15" s="743">
        <v>0</v>
      </c>
      <c r="K15" s="743">
        <v>0</v>
      </c>
      <c r="L15" s="743">
        <v>0</v>
      </c>
      <c r="M15" s="743">
        <v>0</v>
      </c>
      <c r="N15" s="743">
        <v>0</v>
      </c>
      <c r="O15" s="743">
        <v>0</v>
      </c>
      <c r="P15" s="743">
        <v>0</v>
      </c>
      <c r="Q15" s="743">
        <v>0</v>
      </c>
      <c r="R15" s="743">
        <v>0</v>
      </c>
      <c r="S15" s="743">
        <v>0</v>
      </c>
      <c r="T15" s="743">
        <v>0</v>
      </c>
      <c r="U15" s="743">
        <v>-404.6894355</v>
      </c>
      <c r="V15" s="743">
        <v>0</v>
      </c>
      <c r="W15" s="743">
        <v>-79.236327599999996</v>
      </c>
      <c r="X15" s="743">
        <v>-38</v>
      </c>
      <c r="Y15" s="743">
        <v>-240</v>
      </c>
      <c r="Z15" s="743">
        <v>-188.53984112999999</v>
      </c>
      <c r="AA15" s="743">
        <v>0</v>
      </c>
      <c r="AB15" s="743">
        <v>0</v>
      </c>
      <c r="AC15" s="743">
        <v>-16.241995119999999</v>
      </c>
      <c r="AD15" s="743">
        <v>-600</v>
      </c>
      <c r="AE15" s="743">
        <v>-3.5995224399999999</v>
      </c>
      <c r="AF15" s="743">
        <v>0</v>
      </c>
      <c r="AG15" s="743">
        <v>0</v>
      </c>
      <c r="AH15" s="743">
        <v>0</v>
      </c>
      <c r="AJ15" s="747">
        <v>0</v>
      </c>
      <c r="AN15" s="26"/>
    </row>
    <row r="16" spans="1:40">
      <c r="A16">
        <v>1</v>
      </c>
      <c r="B16" s="427" t="s">
        <v>1066</v>
      </c>
      <c r="C16" t="s">
        <v>990</v>
      </c>
      <c r="D16" s="834">
        <v>-191.75120747000003</v>
      </c>
      <c r="E16" s="743">
        <v>-1E-8</v>
      </c>
      <c r="F16" s="743">
        <v>0</v>
      </c>
      <c r="G16" s="743">
        <v>-1E-8</v>
      </c>
      <c r="H16" s="743">
        <v>0</v>
      </c>
      <c r="I16" s="743">
        <v>0</v>
      </c>
      <c r="J16" s="743">
        <v>-0.4203443</v>
      </c>
      <c r="K16" s="743">
        <v>0</v>
      </c>
      <c r="L16" s="743">
        <v>0</v>
      </c>
      <c r="M16" s="743">
        <v>-2.3642120000000002</v>
      </c>
      <c r="N16" s="743">
        <v>-14.178428569999999</v>
      </c>
      <c r="O16" s="743">
        <v>-11.5</v>
      </c>
      <c r="P16" s="743">
        <v>0</v>
      </c>
      <c r="Q16" s="743">
        <v>0</v>
      </c>
      <c r="R16" s="743">
        <v>0</v>
      </c>
      <c r="S16" s="743">
        <v>0</v>
      </c>
      <c r="T16" s="743">
        <v>-31.344663409999999</v>
      </c>
      <c r="U16" s="743">
        <v>-2.2218134700000003</v>
      </c>
      <c r="V16" s="743">
        <v>-27.201090710000006</v>
      </c>
      <c r="W16" s="743">
        <v>-3.5968005600000006</v>
      </c>
      <c r="X16" s="743">
        <v>-41.021197299999997</v>
      </c>
      <c r="Y16" s="743">
        <v>-4.4911244299999993</v>
      </c>
      <c r="Z16" s="743">
        <v>0</v>
      </c>
      <c r="AA16" s="743">
        <v>-53.411532710000003</v>
      </c>
      <c r="AB16" s="743">
        <v>0</v>
      </c>
      <c r="AC16" s="743">
        <v>0</v>
      </c>
      <c r="AD16" s="743">
        <v>0</v>
      </c>
      <c r="AE16" s="743">
        <v>0</v>
      </c>
      <c r="AF16" s="743">
        <v>0</v>
      </c>
      <c r="AG16" s="743">
        <v>0</v>
      </c>
      <c r="AH16" s="743">
        <v>0</v>
      </c>
      <c r="AJ16" s="747">
        <v>0</v>
      </c>
      <c r="AN16" s="26"/>
    </row>
    <row r="17" spans="1:40">
      <c r="A17">
        <v>1</v>
      </c>
      <c r="B17" s="427" t="s">
        <v>1067</v>
      </c>
      <c r="C17" t="s">
        <v>991</v>
      </c>
      <c r="D17" s="834">
        <v>-2643.1710078999999</v>
      </c>
      <c r="E17" s="743">
        <v>0</v>
      </c>
      <c r="F17" s="743">
        <v>0</v>
      </c>
      <c r="G17" s="743">
        <v>0</v>
      </c>
      <c r="H17" s="743">
        <v>0</v>
      </c>
      <c r="I17" s="743">
        <v>-0.35335664</v>
      </c>
      <c r="J17" s="743">
        <v>-0.38226156</v>
      </c>
      <c r="K17" s="743">
        <v>0</v>
      </c>
      <c r="L17" s="743">
        <v>0</v>
      </c>
      <c r="M17" s="743">
        <v>-64.267303659999996</v>
      </c>
      <c r="N17" s="743">
        <v>0</v>
      </c>
      <c r="O17" s="743">
        <v>-70.625566300000003</v>
      </c>
      <c r="P17" s="743">
        <v>-0.38907497999999996</v>
      </c>
      <c r="Q17" s="743">
        <v>-4.9169249999999998E-2</v>
      </c>
      <c r="R17" s="743">
        <v>0</v>
      </c>
      <c r="S17" s="743">
        <v>0</v>
      </c>
      <c r="T17" s="743">
        <v>-1.6422106400000001</v>
      </c>
      <c r="U17" s="743">
        <v>-102.98637729000001</v>
      </c>
      <c r="V17" s="743">
        <v>-34.107753589999994</v>
      </c>
      <c r="W17" s="743">
        <v>-74.633311309999996</v>
      </c>
      <c r="X17" s="743">
        <v>-227.50604539999998</v>
      </c>
      <c r="Y17" s="743">
        <v>-139.03238193000001</v>
      </c>
      <c r="Z17" s="743">
        <v>-128.67233762000001</v>
      </c>
      <c r="AA17" s="743">
        <v>-323.39230560999994</v>
      </c>
      <c r="AB17" s="743">
        <v>-291.71801137999995</v>
      </c>
      <c r="AC17" s="743">
        <v>-217.80016496000002</v>
      </c>
      <c r="AD17" s="743">
        <v>-539.79878598000005</v>
      </c>
      <c r="AE17" s="743">
        <v>-85.600090559999998</v>
      </c>
      <c r="AF17" s="743">
        <v>-297.51035325999999</v>
      </c>
      <c r="AG17" s="743">
        <v>-42.70414598</v>
      </c>
      <c r="AH17" s="743">
        <v>0</v>
      </c>
      <c r="AJ17" s="747">
        <v>0</v>
      </c>
      <c r="AN17" s="26"/>
    </row>
    <row r="18" spans="1:40">
      <c r="A18">
        <v>1</v>
      </c>
      <c r="B18" s="427" t="s">
        <v>1156</v>
      </c>
      <c r="C18" t="s">
        <v>1065</v>
      </c>
      <c r="D18" s="834">
        <v>-1550.08623592</v>
      </c>
      <c r="E18" s="743">
        <v>0</v>
      </c>
      <c r="F18" s="743">
        <v>-15.765750000000001</v>
      </c>
      <c r="G18" s="743">
        <v>0</v>
      </c>
      <c r="H18" s="743">
        <v>-2.3610762599999999</v>
      </c>
      <c r="I18" s="743">
        <v>-1.437416</v>
      </c>
      <c r="J18" s="743">
        <v>-0.87560314000000006</v>
      </c>
      <c r="K18" s="743">
        <v>0</v>
      </c>
      <c r="L18" s="743">
        <v>0</v>
      </c>
      <c r="M18" s="743">
        <v>-6.7739874999999996</v>
      </c>
      <c r="N18" s="743">
        <v>0</v>
      </c>
      <c r="O18" s="743">
        <v>0</v>
      </c>
      <c r="P18" s="743">
        <v>0</v>
      </c>
      <c r="Q18" s="743">
        <v>-12.235592109999999</v>
      </c>
      <c r="R18" s="743">
        <v>0</v>
      </c>
      <c r="S18" s="743">
        <v>0</v>
      </c>
      <c r="T18" s="743">
        <v>-15.35954252</v>
      </c>
      <c r="U18" s="743">
        <v>-19.09459391</v>
      </c>
      <c r="V18" s="743">
        <v>-40.914074250000006</v>
      </c>
      <c r="W18" s="743">
        <v>-383.5314654</v>
      </c>
      <c r="X18" s="743">
        <v>-442.04518037000003</v>
      </c>
      <c r="Y18" s="743">
        <v>-182.03025702000005</v>
      </c>
      <c r="Z18" s="743">
        <v>-174.52806913000003</v>
      </c>
      <c r="AA18" s="743">
        <v>-27.499134290000001</v>
      </c>
      <c r="AB18" s="743">
        <v>-74.87090194999999</v>
      </c>
      <c r="AC18" s="743">
        <v>-28.772616429999999</v>
      </c>
      <c r="AD18" s="743">
        <v>-5.0008598300000004</v>
      </c>
      <c r="AE18" s="743">
        <v>-77.675229799999997</v>
      </c>
      <c r="AF18" s="743">
        <v>-5.1335486299999999</v>
      </c>
      <c r="AG18" s="743">
        <v>-34.181337380000002</v>
      </c>
      <c r="AH18" s="743">
        <v>0</v>
      </c>
      <c r="AJ18" s="747">
        <v>0</v>
      </c>
      <c r="AN18" s="26"/>
    </row>
    <row r="19" spans="1:40">
      <c r="A19">
        <v>0</v>
      </c>
      <c r="B19" s="427">
        <v>6</v>
      </c>
      <c r="C19" t="s">
        <v>20</v>
      </c>
      <c r="D19" s="834">
        <v>-177.33069579000002</v>
      </c>
      <c r="E19" s="743">
        <v>-16.731604560000001</v>
      </c>
      <c r="F19" s="743">
        <v>-160.59909123000003</v>
      </c>
      <c r="G19" s="743">
        <v>-16.731604560000001</v>
      </c>
      <c r="H19" s="743">
        <v>0</v>
      </c>
      <c r="I19" s="743">
        <v>0</v>
      </c>
      <c r="J19" s="743">
        <v>0</v>
      </c>
      <c r="K19" s="743">
        <v>0</v>
      </c>
      <c r="L19" s="743">
        <v>0</v>
      </c>
      <c r="M19" s="743">
        <v>0</v>
      </c>
      <c r="N19" s="743">
        <v>0</v>
      </c>
      <c r="O19" s="743">
        <v>0</v>
      </c>
      <c r="P19" s="743">
        <v>0</v>
      </c>
      <c r="Q19" s="743">
        <v>0</v>
      </c>
      <c r="R19" s="743">
        <v>0</v>
      </c>
      <c r="S19" s="743">
        <v>0</v>
      </c>
      <c r="T19" s="743">
        <v>0</v>
      </c>
      <c r="U19" s="743">
        <v>0</v>
      </c>
      <c r="V19" s="743">
        <v>0</v>
      </c>
      <c r="W19" s="743">
        <v>0</v>
      </c>
      <c r="X19" s="743">
        <v>0</v>
      </c>
      <c r="Y19" s="743">
        <v>0</v>
      </c>
      <c r="Z19" s="743">
        <v>0</v>
      </c>
      <c r="AA19" s="743">
        <v>0</v>
      </c>
      <c r="AB19" s="743">
        <v>0</v>
      </c>
      <c r="AC19" s="743">
        <v>0</v>
      </c>
      <c r="AD19" s="743">
        <v>0</v>
      </c>
      <c r="AE19" s="743">
        <v>0</v>
      </c>
      <c r="AF19" s="743">
        <v>0</v>
      </c>
      <c r="AG19" s="743">
        <v>0</v>
      </c>
      <c r="AH19" s="743">
        <v>0</v>
      </c>
      <c r="AJ19" s="747">
        <v>0</v>
      </c>
      <c r="AN19" s="26"/>
    </row>
    <row r="20" spans="1:40" s="440" customFormat="1">
      <c r="A20" s="440">
        <v>0</v>
      </c>
      <c r="B20" s="441">
        <v>7</v>
      </c>
      <c r="C20" s="440" t="s">
        <v>21</v>
      </c>
      <c r="D20" s="442">
        <v>81.621511070000054</v>
      </c>
      <c r="E20" s="834">
        <v>162.74086313000006</v>
      </c>
      <c r="F20" s="834">
        <v>-53.711794269999999</v>
      </c>
      <c r="G20" s="834">
        <v>135.33330534000012</v>
      </c>
      <c r="H20" s="834">
        <v>0</v>
      </c>
      <c r="I20" s="834">
        <v>0</v>
      </c>
      <c r="J20" s="834">
        <v>0</v>
      </c>
      <c r="K20" s="834">
        <v>0</v>
      </c>
      <c r="L20" s="834">
        <v>0</v>
      </c>
      <c r="M20" s="834">
        <v>0</v>
      </c>
      <c r="N20" s="834">
        <v>0</v>
      </c>
      <c r="O20" s="834">
        <v>0</v>
      </c>
      <c r="P20" s="834">
        <v>0</v>
      </c>
      <c r="Q20" s="834">
        <v>0</v>
      </c>
      <c r="R20" s="834">
        <v>0</v>
      </c>
      <c r="S20" s="834">
        <v>0</v>
      </c>
      <c r="T20" s="834">
        <v>0</v>
      </c>
      <c r="U20" s="834">
        <v>0</v>
      </c>
      <c r="V20" s="834">
        <v>0</v>
      </c>
      <c r="W20" s="834">
        <v>0</v>
      </c>
      <c r="X20" s="834">
        <v>0</v>
      </c>
      <c r="Y20" s="834">
        <v>0</v>
      </c>
      <c r="Z20" s="834">
        <v>0</v>
      </c>
      <c r="AA20" s="834">
        <v>0</v>
      </c>
      <c r="AB20" s="834">
        <v>0</v>
      </c>
      <c r="AC20" s="834">
        <v>0</v>
      </c>
      <c r="AD20" s="834">
        <v>0</v>
      </c>
      <c r="AE20" s="834">
        <v>0</v>
      </c>
      <c r="AF20" s="834">
        <v>0</v>
      </c>
      <c r="AG20" s="834">
        <v>0</v>
      </c>
      <c r="AH20" s="834">
        <v>0</v>
      </c>
      <c r="AJ20" s="971">
        <v>0</v>
      </c>
      <c r="AN20" s="26"/>
    </row>
    <row r="21" spans="1:40">
      <c r="A21">
        <v>0</v>
      </c>
      <c r="B21" s="427" t="s">
        <v>994</v>
      </c>
      <c r="C21" t="s">
        <v>1290</v>
      </c>
      <c r="D21" s="834">
        <v>19.421565280000003</v>
      </c>
      <c r="E21" s="743">
        <v>19.421565280000003</v>
      </c>
      <c r="F21" s="743">
        <v>0</v>
      </c>
      <c r="G21" s="743">
        <v>19.421565280000003</v>
      </c>
      <c r="H21" s="743">
        <v>0</v>
      </c>
      <c r="I21" s="743">
        <v>0</v>
      </c>
      <c r="J21" s="743">
        <v>0</v>
      </c>
      <c r="K21" s="743">
        <v>0</v>
      </c>
      <c r="L21" s="743">
        <v>0</v>
      </c>
      <c r="M21" s="743">
        <v>0</v>
      </c>
      <c r="N21" s="743">
        <v>0</v>
      </c>
      <c r="O21" s="743">
        <v>0</v>
      </c>
      <c r="P21" s="743">
        <v>0</v>
      </c>
      <c r="Q21" s="743">
        <v>0</v>
      </c>
      <c r="R21" s="743">
        <v>0</v>
      </c>
      <c r="S21" s="743">
        <v>0</v>
      </c>
      <c r="T21" s="743">
        <v>0</v>
      </c>
      <c r="U21" s="743">
        <v>0</v>
      </c>
      <c r="V21" s="743">
        <v>0</v>
      </c>
      <c r="W21" s="743">
        <v>0</v>
      </c>
      <c r="X21" s="743">
        <v>0</v>
      </c>
      <c r="Y21" s="743">
        <v>0</v>
      </c>
      <c r="Z21" s="743">
        <v>0</v>
      </c>
      <c r="AA21" s="743">
        <v>0</v>
      </c>
      <c r="AB21" s="743">
        <v>0</v>
      </c>
      <c r="AC21" s="743">
        <v>0</v>
      </c>
      <c r="AD21" s="743">
        <v>0</v>
      </c>
      <c r="AE21" s="743">
        <v>0</v>
      </c>
      <c r="AF21" s="743">
        <v>0</v>
      </c>
      <c r="AG21" s="743">
        <v>0</v>
      </c>
      <c r="AH21" s="743">
        <v>0</v>
      </c>
      <c r="AJ21" s="747">
        <v>0</v>
      </c>
      <c r="AN21" s="26"/>
    </row>
    <row r="22" spans="1:40">
      <c r="A22">
        <v>0</v>
      </c>
      <c r="B22" s="427" t="s">
        <v>995</v>
      </c>
      <c r="C22" t="s">
        <v>1410</v>
      </c>
      <c r="D22" s="834">
        <v>2158.1261872099999</v>
      </c>
      <c r="E22" s="743">
        <v>2143.9483228199997</v>
      </c>
      <c r="F22" s="743">
        <v>0</v>
      </c>
      <c r="G22" s="743">
        <v>2158.1261872099999</v>
      </c>
      <c r="H22" s="743">
        <v>0</v>
      </c>
      <c r="I22" s="743">
        <v>0</v>
      </c>
      <c r="J22" s="743">
        <v>0</v>
      </c>
      <c r="K22" s="743">
        <v>0</v>
      </c>
      <c r="L22" s="743">
        <v>0</v>
      </c>
      <c r="M22" s="743">
        <v>0</v>
      </c>
      <c r="N22" s="743">
        <v>0</v>
      </c>
      <c r="O22" s="743">
        <v>0</v>
      </c>
      <c r="P22" s="743">
        <v>0</v>
      </c>
      <c r="Q22" s="743">
        <v>0</v>
      </c>
      <c r="R22" s="743">
        <v>0</v>
      </c>
      <c r="S22" s="743">
        <v>0</v>
      </c>
      <c r="T22" s="743">
        <v>0</v>
      </c>
      <c r="U22" s="743">
        <v>0</v>
      </c>
      <c r="V22" s="743">
        <v>0</v>
      </c>
      <c r="W22" s="743">
        <v>0</v>
      </c>
      <c r="X22" s="743">
        <v>0</v>
      </c>
      <c r="Y22" s="743">
        <v>0</v>
      </c>
      <c r="Z22" s="743">
        <v>0</v>
      </c>
      <c r="AA22" s="743">
        <v>0</v>
      </c>
      <c r="AB22" s="743">
        <v>0</v>
      </c>
      <c r="AC22" s="743">
        <v>0</v>
      </c>
      <c r="AD22" s="743">
        <v>0</v>
      </c>
      <c r="AE22" s="743">
        <v>0</v>
      </c>
      <c r="AF22" s="743">
        <v>0</v>
      </c>
      <c r="AG22" s="743">
        <v>0</v>
      </c>
      <c r="AH22" s="743">
        <v>0</v>
      </c>
      <c r="AJ22" s="747">
        <v>0</v>
      </c>
      <c r="AN22" s="26"/>
    </row>
    <row r="23" spans="1:40">
      <c r="A23">
        <v>0</v>
      </c>
      <c r="B23" s="427" t="s">
        <v>1288</v>
      </c>
      <c r="C23" t="s">
        <v>1297</v>
      </c>
      <c r="D23" s="834">
        <v>2019.1058597900001</v>
      </c>
      <c r="E23" s="743">
        <v>2019.1058597900001</v>
      </c>
      <c r="F23" s="743">
        <v>0</v>
      </c>
      <c r="G23" s="743">
        <v>2019.1058597900001</v>
      </c>
      <c r="H23" s="743">
        <v>0</v>
      </c>
      <c r="I23" s="743">
        <v>0</v>
      </c>
      <c r="J23" s="743">
        <v>0</v>
      </c>
      <c r="K23" s="743">
        <v>0</v>
      </c>
      <c r="L23" s="743">
        <v>0</v>
      </c>
      <c r="M23" s="743">
        <v>0</v>
      </c>
      <c r="N23" s="743">
        <v>0</v>
      </c>
      <c r="O23" s="743">
        <v>0</v>
      </c>
      <c r="P23" s="743">
        <v>0</v>
      </c>
      <c r="Q23" s="743">
        <v>0</v>
      </c>
      <c r="R23" s="743">
        <v>0</v>
      </c>
      <c r="S23" s="743">
        <v>0</v>
      </c>
      <c r="T23" s="743">
        <v>0</v>
      </c>
      <c r="U23" s="743">
        <v>0</v>
      </c>
      <c r="V23" s="743">
        <v>0</v>
      </c>
      <c r="W23" s="743">
        <v>0</v>
      </c>
      <c r="X23" s="743">
        <v>0</v>
      </c>
      <c r="Y23" s="743">
        <v>0</v>
      </c>
      <c r="Z23" s="743">
        <v>0</v>
      </c>
      <c r="AA23" s="743">
        <v>0</v>
      </c>
      <c r="AB23" s="743">
        <v>0</v>
      </c>
      <c r="AC23" s="743">
        <v>0</v>
      </c>
      <c r="AD23" s="743">
        <v>0</v>
      </c>
      <c r="AE23" s="743">
        <v>0</v>
      </c>
      <c r="AF23" s="743">
        <v>0</v>
      </c>
      <c r="AG23" s="743">
        <v>0</v>
      </c>
      <c r="AH23" s="743">
        <v>0</v>
      </c>
      <c r="AI23" s="782">
        <v>0</v>
      </c>
      <c r="AJ23" s="26">
        <v>0</v>
      </c>
      <c r="AK23" s="961"/>
      <c r="AL23" s="961"/>
      <c r="AN23" s="26"/>
    </row>
    <row r="24" spans="1:40">
      <c r="A24">
        <v>0</v>
      </c>
      <c r="B24" s="427" t="s">
        <v>1409</v>
      </c>
      <c r="C24" t="s">
        <v>1411</v>
      </c>
      <c r="D24" s="834">
        <v>460.71168785000003</v>
      </c>
      <c r="E24" s="743">
        <v>460.71168785000003</v>
      </c>
      <c r="F24" s="743">
        <v>0</v>
      </c>
      <c r="G24" s="743">
        <v>460.71168785000003</v>
      </c>
      <c r="H24" s="743">
        <v>0</v>
      </c>
      <c r="I24" s="743">
        <v>0</v>
      </c>
      <c r="J24" s="743">
        <v>0</v>
      </c>
      <c r="K24" s="743">
        <v>0</v>
      </c>
      <c r="L24" s="743">
        <v>0</v>
      </c>
      <c r="M24" s="743">
        <v>0</v>
      </c>
      <c r="N24" s="743">
        <v>0</v>
      </c>
      <c r="O24" s="743">
        <v>0</v>
      </c>
      <c r="P24" s="743">
        <v>0</v>
      </c>
      <c r="Q24" s="743">
        <v>0</v>
      </c>
      <c r="R24" s="743">
        <v>0</v>
      </c>
      <c r="S24" s="743">
        <v>0</v>
      </c>
      <c r="T24" s="743">
        <v>0</v>
      </c>
      <c r="U24" s="743">
        <v>0</v>
      </c>
      <c r="V24" s="743">
        <v>0</v>
      </c>
      <c r="W24" s="743">
        <v>0</v>
      </c>
      <c r="X24" s="743">
        <v>0</v>
      </c>
      <c r="Y24" s="743">
        <v>0</v>
      </c>
      <c r="Z24" s="743">
        <v>0</v>
      </c>
      <c r="AA24" s="743">
        <v>0</v>
      </c>
      <c r="AB24" s="743">
        <v>0</v>
      </c>
      <c r="AC24" s="743">
        <v>0</v>
      </c>
      <c r="AD24" s="743">
        <v>0</v>
      </c>
      <c r="AE24" s="743">
        <v>0</v>
      </c>
      <c r="AF24" s="743">
        <v>0</v>
      </c>
      <c r="AG24" s="743">
        <v>0</v>
      </c>
      <c r="AH24" s="743">
        <v>0</v>
      </c>
      <c r="AI24" s="782"/>
      <c r="AJ24" s="747">
        <v>0</v>
      </c>
      <c r="AN24" s="26"/>
    </row>
    <row r="25" spans="1:40">
      <c r="A25">
        <v>0</v>
      </c>
      <c r="B25" s="427" t="s">
        <v>1419</v>
      </c>
      <c r="C25" t="s">
        <v>1420</v>
      </c>
      <c r="D25" s="834">
        <v>170.26193140000001</v>
      </c>
      <c r="E25" s="743">
        <v>170.26193140000001</v>
      </c>
      <c r="F25" s="743">
        <v>0</v>
      </c>
      <c r="G25" s="743">
        <v>170.26193140000001</v>
      </c>
      <c r="H25" s="743">
        <v>0</v>
      </c>
      <c r="I25" s="743">
        <v>0</v>
      </c>
      <c r="J25" s="743">
        <v>0</v>
      </c>
      <c r="K25" s="743">
        <v>0</v>
      </c>
      <c r="L25" s="743">
        <v>0</v>
      </c>
      <c r="M25" s="743">
        <v>0</v>
      </c>
      <c r="N25" s="743">
        <v>0</v>
      </c>
      <c r="O25" s="743">
        <v>0</v>
      </c>
      <c r="P25" s="743">
        <v>0</v>
      </c>
      <c r="Q25" s="743">
        <v>0</v>
      </c>
      <c r="R25" s="743">
        <v>0</v>
      </c>
      <c r="S25" s="743">
        <v>0</v>
      </c>
      <c r="T25" s="743">
        <v>0</v>
      </c>
      <c r="U25" s="743">
        <v>0</v>
      </c>
      <c r="V25" s="743">
        <v>0</v>
      </c>
      <c r="W25" s="743">
        <v>0</v>
      </c>
      <c r="X25" s="743">
        <v>0</v>
      </c>
      <c r="Y25" s="743">
        <v>0</v>
      </c>
      <c r="Z25" s="743">
        <v>0</v>
      </c>
      <c r="AA25" s="743">
        <v>0</v>
      </c>
      <c r="AB25" s="743">
        <v>0</v>
      </c>
      <c r="AC25" s="743">
        <v>0</v>
      </c>
      <c r="AD25" s="743">
        <v>0</v>
      </c>
      <c r="AE25" s="743">
        <v>0</v>
      </c>
      <c r="AF25" s="743">
        <v>0</v>
      </c>
      <c r="AG25" s="743">
        <v>0</v>
      </c>
      <c r="AH25" s="743">
        <v>0</v>
      </c>
      <c r="AI25" s="782"/>
      <c r="AJ25" s="747">
        <v>0</v>
      </c>
      <c r="AN25" s="26"/>
    </row>
    <row r="26" spans="1:40">
      <c r="A26">
        <v>1</v>
      </c>
      <c r="B26" s="427" t="s">
        <v>996</v>
      </c>
      <c r="C26" t="s">
        <v>1291</v>
      </c>
      <c r="D26" s="834">
        <v>460.84183000000002</v>
      </c>
      <c r="E26" s="743">
        <v>0</v>
      </c>
      <c r="F26" s="743">
        <v>0</v>
      </c>
      <c r="G26" s="743">
        <v>0</v>
      </c>
      <c r="H26" s="743">
        <v>0</v>
      </c>
      <c r="I26" s="743">
        <v>0</v>
      </c>
      <c r="J26" s="743">
        <v>0</v>
      </c>
      <c r="K26" s="743">
        <v>0</v>
      </c>
      <c r="L26" s="743">
        <v>0</v>
      </c>
      <c r="M26" s="743">
        <v>0</v>
      </c>
      <c r="N26" s="743">
        <v>0</v>
      </c>
      <c r="O26" s="743">
        <v>0</v>
      </c>
      <c r="P26" s="743">
        <v>0</v>
      </c>
      <c r="Q26" s="743">
        <v>0</v>
      </c>
      <c r="R26" s="743">
        <v>0</v>
      </c>
      <c r="S26" s="743">
        <v>0</v>
      </c>
      <c r="T26" s="743">
        <v>0</v>
      </c>
      <c r="U26" s="743">
        <v>0.84182999999999997</v>
      </c>
      <c r="V26" s="743">
        <v>0</v>
      </c>
      <c r="W26" s="743">
        <v>0</v>
      </c>
      <c r="X26" s="743">
        <v>5</v>
      </c>
      <c r="Y26" s="743">
        <v>0</v>
      </c>
      <c r="Z26" s="743">
        <v>0</v>
      </c>
      <c r="AA26" s="743">
        <v>0</v>
      </c>
      <c r="AB26" s="743">
        <v>450</v>
      </c>
      <c r="AC26" s="743">
        <v>0</v>
      </c>
      <c r="AD26" s="743">
        <v>0</v>
      </c>
      <c r="AE26" s="743">
        <v>5</v>
      </c>
      <c r="AF26" s="743">
        <v>0</v>
      </c>
      <c r="AG26" s="743">
        <v>0</v>
      </c>
      <c r="AH26" s="743">
        <v>0</v>
      </c>
      <c r="AJ26" s="747">
        <v>0</v>
      </c>
      <c r="AN26" s="26"/>
    </row>
    <row r="27" spans="1:40">
      <c r="A27">
        <v>1</v>
      </c>
      <c r="B27" s="427" t="s">
        <v>1230</v>
      </c>
      <c r="C27" t="s">
        <v>1296</v>
      </c>
      <c r="D27" s="834">
        <v>19377</v>
      </c>
      <c r="E27" s="743">
        <v>0</v>
      </c>
      <c r="F27" s="743">
        <v>2000</v>
      </c>
      <c r="G27" s="743">
        <v>0</v>
      </c>
      <c r="H27" s="743">
        <v>14240</v>
      </c>
      <c r="I27" s="743">
        <v>0</v>
      </c>
      <c r="J27" s="743">
        <v>0</v>
      </c>
      <c r="K27" s="743">
        <v>0</v>
      </c>
      <c r="L27" s="743">
        <v>0</v>
      </c>
      <c r="M27" s="743">
        <v>0</v>
      </c>
      <c r="N27" s="743">
        <v>0</v>
      </c>
      <c r="O27" s="743">
        <v>0</v>
      </c>
      <c r="P27" s="743">
        <v>0</v>
      </c>
      <c r="Q27" s="743">
        <v>0</v>
      </c>
      <c r="R27" s="743">
        <v>0</v>
      </c>
      <c r="S27" s="743">
        <v>0</v>
      </c>
      <c r="T27" s="743">
        <v>0</v>
      </c>
      <c r="U27" s="743">
        <v>0</v>
      </c>
      <c r="V27" s="743">
        <v>0</v>
      </c>
      <c r="W27" s="743">
        <v>0</v>
      </c>
      <c r="X27" s="743">
        <v>0</v>
      </c>
      <c r="Y27" s="743">
        <v>0</v>
      </c>
      <c r="Z27" s="743">
        <v>0</v>
      </c>
      <c r="AA27" s="743">
        <v>2387</v>
      </c>
      <c r="AB27" s="743">
        <v>750</v>
      </c>
      <c r="AC27" s="743">
        <v>0</v>
      </c>
      <c r="AD27" s="743">
        <v>0</v>
      </c>
      <c r="AE27" s="743">
        <v>0</v>
      </c>
      <c r="AF27" s="743">
        <v>0</v>
      </c>
      <c r="AG27" s="743">
        <v>0</v>
      </c>
      <c r="AH27" s="743">
        <v>0</v>
      </c>
      <c r="AJ27" s="747">
        <v>0</v>
      </c>
      <c r="AN27" s="26"/>
    </row>
    <row r="28" spans="1:40">
      <c r="A28">
        <v>0</v>
      </c>
      <c r="B28" s="427" t="s">
        <v>1287</v>
      </c>
      <c r="C28" t="s">
        <v>1298</v>
      </c>
      <c r="D28" s="834">
        <v>0</v>
      </c>
      <c r="E28" s="743">
        <v>0</v>
      </c>
      <c r="F28" s="743">
        <v>0</v>
      </c>
      <c r="G28" s="743">
        <v>0</v>
      </c>
      <c r="H28" s="743">
        <v>0</v>
      </c>
      <c r="I28" s="743">
        <v>0</v>
      </c>
      <c r="J28" s="743">
        <v>0</v>
      </c>
      <c r="K28" s="743">
        <v>0</v>
      </c>
      <c r="L28" s="743">
        <v>0</v>
      </c>
      <c r="M28" s="743">
        <v>0</v>
      </c>
      <c r="N28" s="743">
        <v>0</v>
      </c>
      <c r="O28" s="743">
        <v>0</v>
      </c>
      <c r="P28" s="743">
        <v>0</v>
      </c>
      <c r="Q28" s="743">
        <v>0</v>
      </c>
      <c r="R28" s="743">
        <v>0</v>
      </c>
      <c r="S28" s="743">
        <v>0</v>
      </c>
      <c r="T28" s="743">
        <v>0</v>
      </c>
      <c r="U28" s="743">
        <v>0</v>
      </c>
      <c r="V28" s="743">
        <v>0</v>
      </c>
      <c r="W28" s="743">
        <v>0</v>
      </c>
      <c r="X28" s="743">
        <v>0</v>
      </c>
      <c r="Y28" s="743">
        <v>0</v>
      </c>
      <c r="Z28" s="743">
        <v>0</v>
      </c>
      <c r="AA28" s="743">
        <v>0</v>
      </c>
      <c r="AB28" s="743">
        <v>0</v>
      </c>
      <c r="AC28" s="743">
        <v>0</v>
      </c>
      <c r="AD28" s="743">
        <v>0</v>
      </c>
      <c r="AE28" s="743">
        <v>0</v>
      </c>
      <c r="AF28" s="743">
        <v>0</v>
      </c>
      <c r="AG28" s="743">
        <v>0</v>
      </c>
      <c r="AH28" s="743">
        <v>0</v>
      </c>
      <c r="AJ28" s="747">
        <v>0</v>
      </c>
      <c r="AN28" s="26"/>
    </row>
    <row r="29" spans="1:40">
      <c r="A29">
        <v>0</v>
      </c>
      <c r="B29" s="427" t="s">
        <v>997</v>
      </c>
      <c r="C29" t="s">
        <v>1307</v>
      </c>
      <c r="D29" s="834">
        <v>316.77946496999999</v>
      </c>
      <c r="E29" s="743">
        <v>316.77946496999999</v>
      </c>
      <c r="F29" s="743">
        <v>0</v>
      </c>
      <c r="G29" s="743">
        <v>316.77946496999999</v>
      </c>
      <c r="H29" s="743">
        <v>0</v>
      </c>
      <c r="I29" s="743">
        <v>0</v>
      </c>
      <c r="J29" s="743">
        <v>0</v>
      </c>
      <c r="K29" s="743">
        <v>0</v>
      </c>
      <c r="L29" s="743">
        <v>0</v>
      </c>
      <c r="M29" s="743">
        <v>0</v>
      </c>
      <c r="N29" s="743">
        <v>0</v>
      </c>
      <c r="O29" s="743">
        <v>0</v>
      </c>
      <c r="P29" s="743">
        <v>0</v>
      </c>
      <c r="Q29" s="743">
        <v>0</v>
      </c>
      <c r="R29" s="743">
        <v>0</v>
      </c>
      <c r="S29" s="743">
        <v>0</v>
      </c>
      <c r="T29" s="743">
        <v>0</v>
      </c>
      <c r="U29" s="743">
        <v>0</v>
      </c>
      <c r="V29" s="743">
        <v>0</v>
      </c>
      <c r="W29" s="743">
        <v>0</v>
      </c>
      <c r="X29" s="743">
        <v>0</v>
      </c>
      <c r="Y29" s="743">
        <v>0</v>
      </c>
      <c r="Z29" s="743">
        <v>0</v>
      </c>
      <c r="AA29" s="743">
        <v>0</v>
      </c>
      <c r="AB29" s="743">
        <v>0</v>
      </c>
      <c r="AC29" s="743">
        <v>0</v>
      </c>
      <c r="AD29" s="743">
        <v>0</v>
      </c>
      <c r="AE29" s="743">
        <v>0</v>
      </c>
      <c r="AF29" s="743">
        <v>0</v>
      </c>
      <c r="AG29" s="743">
        <v>0</v>
      </c>
      <c r="AH29" s="743">
        <v>0</v>
      </c>
      <c r="AJ29" s="747">
        <v>0</v>
      </c>
      <c r="AN29" s="26"/>
    </row>
    <row r="30" spans="1:40">
      <c r="A30">
        <v>0</v>
      </c>
      <c r="B30" s="427" t="s">
        <v>1351</v>
      </c>
      <c r="C30" t="s">
        <v>1352</v>
      </c>
      <c r="D30" s="834">
        <v>8.2450289999999996E-2</v>
      </c>
      <c r="E30" s="743">
        <v>8.2450289999999996E-2</v>
      </c>
      <c r="F30" s="743">
        <v>0</v>
      </c>
      <c r="G30" s="743">
        <v>8.2450289999999996E-2</v>
      </c>
      <c r="H30" s="743">
        <v>0</v>
      </c>
      <c r="I30" s="743">
        <v>0</v>
      </c>
      <c r="J30" s="743">
        <v>0</v>
      </c>
      <c r="K30" s="743">
        <v>0</v>
      </c>
      <c r="L30" s="743">
        <v>0</v>
      </c>
      <c r="M30" s="743">
        <v>0</v>
      </c>
      <c r="N30" s="743">
        <v>0</v>
      </c>
      <c r="O30" s="743">
        <v>0</v>
      </c>
      <c r="P30" s="743">
        <v>0</v>
      </c>
      <c r="Q30" s="743">
        <v>0</v>
      </c>
      <c r="R30" s="743">
        <v>0</v>
      </c>
      <c r="S30" s="743">
        <v>0</v>
      </c>
      <c r="T30" s="743">
        <v>0</v>
      </c>
      <c r="U30" s="743">
        <v>0</v>
      </c>
      <c r="V30" s="743">
        <v>0</v>
      </c>
      <c r="W30" s="743">
        <v>0</v>
      </c>
      <c r="X30" s="743">
        <v>0</v>
      </c>
      <c r="Y30" s="743">
        <v>0</v>
      </c>
      <c r="Z30" s="743">
        <v>0</v>
      </c>
      <c r="AA30" s="743">
        <v>0</v>
      </c>
      <c r="AB30" s="743">
        <v>0</v>
      </c>
      <c r="AC30" s="743">
        <v>0</v>
      </c>
      <c r="AD30" s="743">
        <v>0</v>
      </c>
      <c r="AE30" s="743">
        <v>0</v>
      </c>
      <c r="AF30" s="743">
        <v>0</v>
      </c>
      <c r="AG30" s="743">
        <v>0</v>
      </c>
      <c r="AH30" s="743">
        <v>0</v>
      </c>
      <c r="AJ30" s="747">
        <v>0</v>
      </c>
      <c r="AN30" s="26"/>
    </row>
    <row r="31" spans="1:40">
      <c r="A31">
        <v>0</v>
      </c>
      <c r="B31" s="427" t="s">
        <v>1161</v>
      </c>
      <c r="C31" t="s">
        <v>1304</v>
      </c>
      <c r="D31" s="834">
        <v>8.3589006299999991</v>
      </c>
      <c r="E31" s="743">
        <v>8.3589006299999991</v>
      </c>
      <c r="F31" s="743">
        <v>0</v>
      </c>
      <c r="G31" s="743">
        <v>8.3589006299999991</v>
      </c>
      <c r="H31" s="743">
        <v>0</v>
      </c>
      <c r="I31" s="743">
        <v>0</v>
      </c>
      <c r="J31" s="743">
        <v>0</v>
      </c>
      <c r="K31" s="743">
        <v>0</v>
      </c>
      <c r="L31" s="743">
        <v>0</v>
      </c>
      <c r="M31" s="743">
        <v>0</v>
      </c>
      <c r="N31" s="743">
        <v>0</v>
      </c>
      <c r="O31" s="743">
        <v>0</v>
      </c>
      <c r="P31" s="743">
        <v>0</v>
      </c>
      <c r="Q31" s="743">
        <v>0</v>
      </c>
      <c r="R31" s="743">
        <v>0</v>
      </c>
      <c r="S31" s="743">
        <v>0</v>
      </c>
      <c r="T31" s="743">
        <v>0</v>
      </c>
      <c r="U31" s="743">
        <v>0</v>
      </c>
      <c r="V31" s="743">
        <v>0</v>
      </c>
      <c r="W31" s="743">
        <v>0</v>
      </c>
      <c r="X31" s="743">
        <v>0</v>
      </c>
      <c r="Y31" s="743">
        <v>0</v>
      </c>
      <c r="Z31" s="743">
        <v>0</v>
      </c>
      <c r="AA31" s="743">
        <v>0</v>
      </c>
      <c r="AB31" s="743">
        <v>0</v>
      </c>
      <c r="AC31" s="743">
        <v>0</v>
      </c>
      <c r="AD31" s="743">
        <v>0</v>
      </c>
      <c r="AE31" s="743">
        <v>0</v>
      </c>
      <c r="AF31" s="743">
        <v>0</v>
      </c>
      <c r="AG31" s="743">
        <v>0</v>
      </c>
      <c r="AH31" s="743">
        <v>0</v>
      </c>
      <c r="AJ31" s="747">
        <v>0</v>
      </c>
      <c r="AN31" s="26"/>
    </row>
    <row r="32" spans="1:40">
      <c r="A32">
        <v>0</v>
      </c>
      <c r="B32" s="427" t="s">
        <v>1162</v>
      </c>
      <c r="C32" t="s">
        <v>1305</v>
      </c>
      <c r="D32" s="834">
        <v>9.7052584900000003</v>
      </c>
      <c r="E32" s="743">
        <v>9.7052584900000003</v>
      </c>
      <c r="F32" s="743">
        <v>0</v>
      </c>
      <c r="G32" s="743">
        <v>9.7052584900000003</v>
      </c>
      <c r="H32" s="743">
        <v>0</v>
      </c>
      <c r="I32" s="743">
        <v>0</v>
      </c>
      <c r="J32" s="743">
        <v>0</v>
      </c>
      <c r="K32" s="743">
        <v>0</v>
      </c>
      <c r="L32" s="743">
        <v>0</v>
      </c>
      <c r="M32" s="743">
        <v>0</v>
      </c>
      <c r="N32" s="743">
        <v>0</v>
      </c>
      <c r="O32" s="743">
        <v>0</v>
      </c>
      <c r="P32" s="743">
        <v>0</v>
      </c>
      <c r="Q32" s="743">
        <v>0</v>
      </c>
      <c r="R32" s="743">
        <v>0</v>
      </c>
      <c r="S32" s="743">
        <v>0</v>
      </c>
      <c r="T32" s="743">
        <v>0</v>
      </c>
      <c r="U32" s="743">
        <v>0</v>
      </c>
      <c r="V32" s="743">
        <v>0</v>
      </c>
      <c r="W32" s="743">
        <v>0</v>
      </c>
      <c r="X32" s="743">
        <v>0</v>
      </c>
      <c r="Y32" s="743">
        <v>0</v>
      </c>
      <c r="Z32" s="743">
        <v>0</v>
      </c>
      <c r="AA32" s="743">
        <v>0</v>
      </c>
      <c r="AB32" s="743">
        <v>0</v>
      </c>
      <c r="AC32" s="743">
        <v>0</v>
      </c>
      <c r="AD32" s="743">
        <v>0</v>
      </c>
      <c r="AE32" s="743">
        <v>0</v>
      </c>
      <c r="AF32" s="743">
        <v>0</v>
      </c>
      <c r="AG32" s="743">
        <v>0</v>
      </c>
      <c r="AH32" s="743">
        <v>0</v>
      </c>
      <c r="AJ32" s="747">
        <v>0</v>
      </c>
      <c r="AN32" s="26"/>
    </row>
    <row r="33" spans="1:40">
      <c r="A33">
        <v>0</v>
      </c>
      <c r="B33" s="427" t="s">
        <v>1163</v>
      </c>
      <c r="C33" t="s">
        <v>1306</v>
      </c>
      <c r="D33" s="834">
        <v>1.3937934699999999</v>
      </c>
      <c r="E33" s="743">
        <v>1.3937934699999999</v>
      </c>
      <c r="F33" s="743">
        <v>0</v>
      </c>
      <c r="G33" s="743">
        <v>1.3937934699999999</v>
      </c>
      <c r="H33" s="743">
        <v>0</v>
      </c>
      <c r="I33" s="743">
        <v>0</v>
      </c>
      <c r="J33" s="743">
        <v>0</v>
      </c>
      <c r="K33" s="743">
        <v>0</v>
      </c>
      <c r="L33" s="743">
        <v>0</v>
      </c>
      <c r="M33" s="743">
        <v>0</v>
      </c>
      <c r="N33" s="743">
        <v>0</v>
      </c>
      <c r="O33" s="743">
        <v>0</v>
      </c>
      <c r="P33" s="743">
        <v>0</v>
      </c>
      <c r="Q33" s="743">
        <v>0</v>
      </c>
      <c r="R33" s="743">
        <v>0</v>
      </c>
      <c r="S33" s="743">
        <v>0</v>
      </c>
      <c r="T33" s="743">
        <v>0</v>
      </c>
      <c r="U33" s="743">
        <v>0</v>
      </c>
      <c r="V33" s="743">
        <v>0</v>
      </c>
      <c r="W33" s="743">
        <v>0</v>
      </c>
      <c r="X33" s="743">
        <v>0</v>
      </c>
      <c r="Y33" s="743">
        <v>0</v>
      </c>
      <c r="Z33" s="743">
        <v>0</v>
      </c>
      <c r="AA33" s="743">
        <v>0</v>
      </c>
      <c r="AB33" s="743">
        <v>0</v>
      </c>
      <c r="AC33" s="743">
        <v>0</v>
      </c>
      <c r="AD33" s="743">
        <v>0</v>
      </c>
      <c r="AE33" s="743">
        <v>0</v>
      </c>
      <c r="AF33" s="743">
        <v>0</v>
      </c>
      <c r="AG33" s="743">
        <v>0</v>
      </c>
      <c r="AH33" s="743">
        <v>0</v>
      </c>
      <c r="AJ33" s="747">
        <v>0</v>
      </c>
      <c r="AN33" s="26"/>
    </row>
    <row r="34" spans="1:40">
      <c r="A34">
        <v>0</v>
      </c>
      <c r="B34" s="427" t="s">
        <v>1164</v>
      </c>
      <c r="C34" t="s">
        <v>1628</v>
      </c>
      <c r="D34" s="834">
        <v>0</v>
      </c>
      <c r="E34" s="743">
        <v>0</v>
      </c>
      <c r="F34" s="743">
        <v>0</v>
      </c>
      <c r="G34" s="743">
        <v>0</v>
      </c>
      <c r="H34" s="743">
        <v>0</v>
      </c>
      <c r="I34" s="743">
        <v>0</v>
      </c>
      <c r="J34" s="743">
        <v>0</v>
      </c>
      <c r="K34" s="743">
        <v>0</v>
      </c>
      <c r="L34" s="743">
        <v>0</v>
      </c>
      <c r="M34" s="743">
        <v>0</v>
      </c>
      <c r="N34" s="743">
        <v>0</v>
      </c>
      <c r="O34" s="743">
        <v>0</v>
      </c>
      <c r="P34" s="743">
        <v>0</v>
      </c>
      <c r="Q34" s="743">
        <v>0</v>
      </c>
      <c r="R34" s="743">
        <v>0</v>
      </c>
      <c r="S34" s="743">
        <v>0</v>
      </c>
      <c r="T34" s="743">
        <v>0</v>
      </c>
      <c r="U34" s="743">
        <v>0</v>
      </c>
      <c r="V34" s="743">
        <v>0</v>
      </c>
      <c r="W34" s="743">
        <v>0</v>
      </c>
      <c r="X34" s="743">
        <v>0</v>
      </c>
      <c r="Y34" s="743">
        <v>0</v>
      </c>
      <c r="Z34" s="743">
        <v>0</v>
      </c>
      <c r="AA34" s="743">
        <v>0</v>
      </c>
      <c r="AB34" s="743">
        <v>0</v>
      </c>
      <c r="AC34" s="743">
        <v>0</v>
      </c>
      <c r="AD34" s="743">
        <v>0</v>
      </c>
      <c r="AE34" s="743">
        <v>0</v>
      </c>
      <c r="AF34" s="743">
        <v>0</v>
      </c>
      <c r="AG34" s="743">
        <v>0</v>
      </c>
      <c r="AH34" s="743">
        <v>0</v>
      </c>
      <c r="AJ34" s="747">
        <v>0</v>
      </c>
      <c r="AN34" s="26"/>
    </row>
    <row r="35" spans="1:40">
      <c r="A35">
        <v>1</v>
      </c>
      <c r="B35" s="427" t="s">
        <v>1165</v>
      </c>
      <c r="C35" t="s">
        <v>1308</v>
      </c>
      <c r="D35" s="834">
        <v>0</v>
      </c>
      <c r="E35" s="743">
        <v>0</v>
      </c>
      <c r="F35" s="743">
        <v>0</v>
      </c>
      <c r="G35" s="743">
        <v>0</v>
      </c>
      <c r="H35" s="743">
        <v>0</v>
      </c>
      <c r="I35" s="743">
        <v>0</v>
      </c>
      <c r="J35" s="743">
        <v>0</v>
      </c>
      <c r="K35" s="743">
        <v>0</v>
      </c>
      <c r="L35" s="743">
        <v>0</v>
      </c>
      <c r="M35" s="743">
        <v>0</v>
      </c>
      <c r="N35" s="743">
        <v>0</v>
      </c>
      <c r="O35" s="743">
        <v>0</v>
      </c>
      <c r="P35" s="743">
        <v>0</v>
      </c>
      <c r="Q35" s="743">
        <v>0</v>
      </c>
      <c r="R35" s="743">
        <v>0</v>
      </c>
      <c r="S35" s="743">
        <v>0</v>
      </c>
      <c r="T35" s="743">
        <v>0</v>
      </c>
      <c r="U35" s="743">
        <v>0</v>
      </c>
      <c r="V35" s="743">
        <v>0</v>
      </c>
      <c r="W35" s="743">
        <v>0</v>
      </c>
      <c r="X35" s="743">
        <v>0</v>
      </c>
      <c r="Y35" s="743">
        <v>0</v>
      </c>
      <c r="Z35" s="743">
        <v>0</v>
      </c>
      <c r="AA35" s="743">
        <v>0</v>
      </c>
      <c r="AB35" s="743">
        <v>0</v>
      </c>
      <c r="AC35" s="743">
        <v>0</v>
      </c>
      <c r="AD35" s="743">
        <v>0</v>
      </c>
      <c r="AE35" s="743">
        <v>0</v>
      </c>
      <c r="AF35" s="743">
        <v>0</v>
      </c>
      <c r="AG35" s="743">
        <v>0</v>
      </c>
      <c r="AH35" s="743">
        <v>0</v>
      </c>
      <c r="AJ35" s="747">
        <v>0</v>
      </c>
      <c r="AN35" s="26"/>
    </row>
    <row r="36" spans="1:40">
      <c r="A36">
        <v>0</v>
      </c>
      <c r="B36" s="427" t="s">
        <v>1299</v>
      </c>
      <c r="C36" t="s">
        <v>1309</v>
      </c>
      <c r="D36" s="834">
        <v>174.70603417999999</v>
      </c>
      <c r="E36" s="743">
        <v>174.70603417999999</v>
      </c>
      <c r="F36" s="743">
        <v>0</v>
      </c>
      <c r="G36" s="743">
        <v>174.70603417999999</v>
      </c>
      <c r="H36" s="743">
        <v>0</v>
      </c>
      <c r="I36" s="743">
        <v>0</v>
      </c>
      <c r="J36" s="743">
        <v>0</v>
      </c>
      <c r="K36" s="743">
        <v>0</v>
      </c>
      <c r="L36" s="743">
        <v>0</v>
      </c>
      <c r="M36" s="743">
        <v>0</v>
      </c>
      <c r="N36" s="743">
        <v>0</v>
      </c>
      <c r="O36" s="743">
        <v>0</v>
      </c>
      <c r="P36" s="743">
        <v>0</v>
      </c>
      <c r="Q36" s="743">
        <v>0</v>
      </c>
      <c r="R36" s="743">
        <v>0</v>
      </c>
      <c r="S36" s="743">
        <v>0</v>
      </c>
      <c r="T36" s="743">
        <v>0</v>
      </c>
      <c r="U36" s="743">
        <v>0</v>
      </c>
      <c r="V36" s="743">
        <v>0</v>
      </c>
      <c r="W36" s="743">
        <v>0</v>
      </c>
      <c r="X36" s="743">
        <v>0</v>
      </c>
      <c r="Y36" s="743">
        <v>0</v>
      </c>
      <c r="Z36" s="743">
        <v>0</v>
      </c>
      <c r="AA36" s="743">
        <v>0</v>
      </c>
      <c r="AB36" s="743">
        <v>0</v>
      </c>
      <c r="AC36" s="743">
        <v>0</v>
      </c>
      <c r="AD36" s="743">
        <v>0</v>
      </c>
      <c r="AE36" s="743">
        <v>0</v>
      </c>
      <c r="AF36" s="743">
        <v>0</v>
      </c>
      <c r="AG36" s="743">
        <v>0</v>
      </c>
      <c r="AH36" s="743">
        <v>0</v>
      </c>
      <c r="AJ36" s="747">
        <v>0</v>
      </c>
      <c r="AN36" s="26"/>
    </row>
    <row r="37" spans="1:40">
      <c r="A37">
        <v>0</v>
      </c>
      <c r="B37" s="427" t="s">
        <v>1300</v>
      </c>
      <c r="C37" t="s">
        <v>1314</v>
      </c>
      <c r="D37" s="834">
        <v>0</v>
      </c>
      <c r="E37" s="743">
        <v>0</v>
      </c>
      <c r="F37" s="743">
        <v>0</v>
      </c>
      <c r="G37" s="743">
        <v>0</v>
      </c>
      <c r="H37" s="743">
        <v>0</v>
      </c>
      <c r="I37" s="743">
        <v>0</v>
      </c>
      <c r="J37" s="743">
        <v>0</v>
      </c>
      <c r="K37" s="743">
        <v>0</v>
      </c>
      <c r="L37" s="743">
        <v>0</v>
      </c>
      <c r="M37" s="743">
        <v>0</v>
      </c>
      <c r="N37" s="743">
        <v>0</v>
      </c>
      <c r="O37" s="743">
        <v>0</v>
      </c>
      <c r="P37" s="743">
        <v>0</v>
      </c>
      <c r="Q37" s="743">
        <v>0</v>
      </c>
      <c r="R37" s="743">
        <v>0</v>
      </c>
      <c r="S37" s="743">
        <v>0</v>
      </c>
      <c r="T37" s="743">
        <v>0</v>
      </c>
      <c r="U37" s="743">
        <v>0</v>
      </c>
      <c r="V37" s="743">
        <v>0</v>
      </c>
      <c r="W37" s="743">
        <v>0</v>
      </c>
      <c r="X37" s="743">
        <v>0</v>
      </c>
      <c r="Y37" s="743">
        <v>0</v>
      </c>
      <c r="Z37" s="743">
        <v>0</v>
      </c>
      <c r="AA37" s="743">
        <v>0</v>
      </c>
      <c r="AB37" s="743">
        <v>0</v>
      </c>
      <c r="AC37" s="743">
        <v>0</v>
      </c>
      <c r="AD37" s="743">
        <v>0</v>
      </c>
      <c r="AE37" s="743">
        <v>0</v>
      </c>
      <c r="AF37" s="743">
        <v>0</v>
      </c>
      <c r="AG37" s="743">
        <v>0</v>
      </c>
      <c r="AH37" s="743">
        <v>0</v>
      </c>
      <c r="AJ37" s="747">
        <v>0</v>
      </c>
      <c r="AN37" s="26"/>
    </row>
    <row r="38" spans="1:40">
      <c r="A38">
        <v>0</v>
      </c>
      <c r="B38" s="427" t="s">
        <v>1301</v>
      </c>
      <c r="C38" t="s">
        <v>1311</v>
      </c>
      <c r="D38" s="834">
        <v>1.4091577800000004</v>
      </c>
      <c r="E38" s="743">
        <v>1.4091577800000004</v>
      </c>
      <c r="F38" s="743">
        <v>0</v>
      </c>
      <c r="G38" s="743">
        <v>1.4091577800000004</v>
      </c>
      <c r="H38" s="743">
        <v>0</v>
      </c>
      <c r="I38" s="743">
        <v>0</v>
      </c>
      <c r="J38" s="743">
        <v>0</v>
      </c>
      <c r="K38" s="743">
        <v>0</v>
      </c>
      <c r="L38" s="743">
        <v>0</v>
      </c>
      <c r="M38" s="743">
        <v>0</v>
      </c>
      <c r="N38" s="743">
        <v>0</v>
      </c>
      <c r="O38" s="743">
        <v>0</v>
      </c>
      <c r="P38" s="743">
        <v>0</v>
      </c>
      <c r="Q38" s="743">
        <v>0</v>
      </c>
      <c r="R38" s="743">
        <v>0</v>
      </c>
      <c r="S38" s="743">
        <v>0</v>
      </c>
      <c r="T38" s="743">
        <v>0</v>
      </c>
      <c r="U38" s="743">
        <v>0</v>
      </c>
      <c r="V38" s="743">
        <v>0</v>
      </c>
      <c r="W38" s="743">
        <v>0</v>
      </c>
      <c r="X38" s="743">
        <v>0</v>
      </c>
      <c r="Y38" s="743">
        <v>0</v>
      </c>
      <c r="Z38" s="743">
        <v>0</v>
      </c>
      <c r="AA38" s="743">
        <v>0</v>
      </c>
      <c r="AB38" s="743">
        <v>0</v>
      </c>
      <c r="AC38" s="743">
        <v>0</v>
      </c>
      <c r="AD38" s="743">
        <v>0</v>
      </c>
      <c r="AE38" s="743">
        <v>0</v>
      </c>
      <c r="AF38" s="743">
        <v>0</v>
      </c>
      <c r="AG38" s="743">
        <v>0</v>
      </c>
      <c r="AH38" s="743">
        <v>0</v>
      </c>
      <c r="AJ38" s="747">
        <v>0</v>
      </c>
      <c r="AN38" s="26"/>
    </row>
    <row r="39" spans="1:40">
      <c r="A39">
        <v>0</v>
      </c>
      <c r="B39" s="427" t="s">
        <v>1302</v>
      </c>
      <c r="C39" t="s">
        <v>1327</v>
      </c>
      <c r="D39" s="834">
        <v>366.42940659000016</v>
      </c>
      <c r="E39" s="743">
        <v>366.42940659000016</v>
      </c>
      <c r="F39" s="743">
        <v>0</v>
      </c>
      <c r="G39" s="743">
        <v>366.42940659000016</v>
      </c>
      <c r="H39" s="743">
        <v>0</v>
      </c>
      <c r="I39" s="743">
        <v>0</v>
      </c>
      <c r="J39" s="743">
        <v>0</v>
      </c>
      <c r="K39" s="743">
        <v>0</v>
      </c>
      <c r="L39" s="743">
        <v>0</v>
      </c>
      <c r="M39" s="743">
        <v>0</v>
      </c>
      <c r="N39" s="743">
        <v>0</v>
      </c>
      <c r="O39" s="743">
        <v>0</v>
      </c>
      <c r="P39" s="743">
        <v>0</v>
      </c>
      <c r="Q39" s="743">
        <v>0</v>
      </c>
      <c r="R39" s="743">
        <v>0</v>
      </c>
      <c r="S39" s="743">
        <v>0</v>
      </c>
      <c r="T39" s="743">
        <v>0</v>
      </c>
      <c r="U39" s="743">
        <v>0</v>
      </c>
      <c r="V39" s="743">
        <v>0</v>
      </c>
      <c r="W39" s="743">
        <v>0</v>
      </c>
      <c r="X39" s="743">
        <v>0</v>
      </c>
      <c r="Y39" s="743">
        <v>0</v>
      </c>
      <c r="Z39" s="743">
        <v>0</v>
      </c>
      <c r="AA39" s="743">
        <v>0</v>
      </c>
      <c r="AB39" s="743">
        <v>0</v>
      </c>
      <c r="AC39" s="743">
        <v>0</v>
      </c>
      <c r="AD39" s="743">
        <v>0</v>
      </c>
      <c r="AE39" s="743">
        <v>0</v>
      </c>
      <c r="AF39" s="743">
        <v>0</v>
      </c>
      <c r="AG39" s="743">
        <v>0</v>
      </c>
      <c r="AH39" s="743">
        <v>0</v>
      </c>
      <c r="AJ39" s="747">
        <v>0</v>
      </c>
      <c r="AN39" s="26"/>
    </row>
    <row r="40" spans="1:40">
      <c r="A40">
        <v>0</v>
      </c>
      <c r="B40" s="427" t="s">
        <v>1269</v>
      </c>
      <c r="C40" t="s">
        <v>1328</v>
      </c>
      <c r="D40" s="834">
        <v>5.7349952499999999</v>
      </c>
      <c r="E40" s="743">
        <v>5.7349952499999999</v>
      </c>
      <c r="F40" s="743">
        <v>0</v>
      </c>
      <c r="G40" s="743">
        <v>5.7349952499999999</v>
      </c>
      <c r="H40" s="743">
        <v>0</v>
      </c>
      <c r="I40" s="743">
        <v>0</v>
      </c>
      <c r="J40" s="743">
        <v>0</v>
      </c>
      <c r="K40" s="743">
        <v>0</v>
      </c>
      <c r="L40" s="743">
        <v>0</v>
      </c>
      <c r="M40" s="743">
        <v>0</v>
      </c>
      <c r="N40" s="743">
        <v>0</v>
      </c>
      <c r="O40" s="743">
        <v>0</v>
      </c>
      <c r="P40" s="743">
        <v>0</v>
      </c>
      <c r="Q40" s="743">
        <v>0</v>
      </c>
      <c r="R40" s="743">
        <v>0</v>
      </c>
      <c r="S40" s="743">
        <v>0</v>
      </c>
      <c r="T40" s="743">
        <v>0</v>
      </c>
      <c r="U40" s="743">
        <v>0</v>
      </c>
      <c r="V40" s="743">
        <v>0</v>
      </c>
      <c r="W40" s="743">
        <v>0</v>
      </c>
      <c r="X40" s="743">
        <v>0</v>
      </c>
      <c r="Y40" s="743">
        <v>0</v>
      </c>
      <c r="Z40" s="743">
        <v>0</v>
      </c>
      <c r="AA40" s="743">
        <v>0</v>
      </c>
      <c r="AB40" s="743">
        <v>0</v>
      </c>
      <c r="AC40" s="743">
        <v>0</v>
      </c>
      <c r="AD40" s="743">
        <v>0</v>
      </c>
      <c r="AE40" s="743">
        <v>0</v>
      </c>
      <c r="AF40" s="743">
        <v>0</v>
      </c>
      <c r="AG40" s="743">
        <v>0</v>
      </c>
      <c r="AH40" s="743">
        <v>0</v>
      </c>
      <c r="AJ40" s="747">
        <v>0</v>
      </c>
      <c r="AN40" s="26"/>
    </row>
    <row r="41" spans="1:40">
      <c r="A41">
        <v>0</v>
      </c>
      <c r="B41" s="427" t="s">
        <v>1316</v>
      </c>
      <c r="C41" t="s">
        <v>1329</v>
      </c>
      <c r="D41" s="834">
        <v>1201.8187905699999</v>
      </c>
      <c r="E41" s="743">
        <v>1201.8187905699999</v>
      </c>
      <c r="F41" s="743">
        <v>0</v>
      </c>
      <c r="G41" s="743">
        <v>1201.8187905699999</v>
      </c>
      <c r="H41" s="743">
        <v>0</v>
      </c>
      <c r="I41" s="743">
        <v>0</v>
      </c>
      <c r="J41" s="743">
        <v>0</v>
      </c>
      <c r="K41" s="743">
        <v>0</v>
      </c>
      <c r="L41" s="743">
        <v>0</v>
      </c>
      <c r="M41" s="743">
        <v>0</v>
      </c>
      <c r="N41" s="743">
        <v>0</v>
      </c>
      <c r="O41" s="743">
        <v>0</v>
      </c>
      <c r="P41" s="743">
        <v>0</v>
      </c>
      <c r="Q41" s="743">
        <v>0</v>
      </c>
      <c r="R41" s="743">
        <v>0</v>
      </c>
      <c r="S41" s="743">
        <v>0</v>
      </c>
      <c r="T41" s="743">
        <v>0</v>
      </c>
      <c r="U41" s="743">
        <v>0</v>
      </c>
      <c r="V41" s="743">
        <v>0</v>
      </c>
      <c r="W41" s="743">
        <v>0</v>
      </c>
      <c r="X41" s="743">
        <v>0</v>
      </c>
      <c r="Y41" s="743">
        <v>0</v>
      </c>
      <c r="Z41" s="743">
        <v>0</v>
      </c>
      <c r="AA41" s="743">
        <v>0</v>
      </c>
      <c r="AB41" s="743">
        <v>0</v>
      </c>
      <c r="AC41" s="743">
        <v>0</v>
      </c>
      <c r="AD41" s="743">
        <v>0</v>
      </c>
      <c r="AE41" s="743">
        <v>0</v>
      </c>
      <c r="AF41" s="743">
        <v>0</v>
      </c>
      <c r="AG41" s="743">
        <v>0</v>
      </c>
      <c r="AH41" s="743">
        <v>0</v>
      </c>
      <c r="AJ41" s="747">
        <v>0</v>
      </c>
      <c r="AN41" s="26"/>
    </row>
    <row r="42" spans="1:40">
      <c r="A42">
        <v>0</v>
      </c>
      <c r="B42" s="427" t="s">
        <v>1446</v>
      </c>
      <c r="C42" t="s">
        <v>1447</v>
      </c>
      <c r="D42" s="834">
        <v>159.46774133000002</v>
      </c>
      <c r="E42" s="743">
        <v>159.46774133000002</v>
      </c>
      <c r="F42" s="743">
        <v>0</v>
      </c>
      <c r="G42" s="743">
        <v>159.46774133000002</v>
      </c>
      <c r="H42" s="743">
        <v>0</v>
      </c>
      <c r="I42" s="743">
        <v>0</v>
      </c>
      <c r="J42" s="743">
        <v>0</v>
      </c>
      <c r="K42" s="743">
        <v>0</v>
      </c>
      <c r="L42" s="743">
        <v>0</v>
      </c>
      <c r="M42" s="743">
        <v>0</v>
      </c>
      <c r="N42" s="743">
        <v>0</v>
      </c>
      <c r="O42" s="743">
        <v>0</v>
      </c>
      <c r="P42" s="743">
        <v>0</v>
      </c>
      <c r="Q42" s="743">
        <v>0</v>
      </c>
      <c r="R42" s="743">
        <v>0</v>
      </c>
      <c r="S42" s="743">
        <v>0</v>
      </c>
      <c r="T42" s="743">
        <v>0</v>
      </c>
      <c r="U42" s="743">
        <v>0</v>
      </c>
      <c r="V42" s="743">
        <v>0</v>
      </c>
      <c r="W42" s="743">
        <v>0</v>
      </c>
      <c r="X42" s="743">
        <v>0</v>
      </c>
      <c r="Y42" s="743">
        <v>0</v>
      </c>
      <c r="Z42" s="743">
        <v>0</v>
      </c>
      <c r="AA42" s="743">
        <v>0</v>
      </c>
      <c r="AB42" s="743">
        <v>0</v>
      </c>
      <c r="AC42" s="743">
        <v>0</v>
      </c>
      <c r="AD42" s="743">
        <v>0</v>
      </c>
      <c r="AE42" s="743">
        <v>0</v>
      </c>
      <c r="AF42" s="743">
        <v>0</v>
      </c>
      <c r="AG42" s="743">
        <v>0</v>
      </c>
      <c r="AH42" s="743">
        <v>0</v>
      </c>
      <c r="AJ42" s="747">
        <v>0</v>
      </c>
      <c r="AN42" s="26"/>
    </row>
    <row r="43" spans="1:40">
      <c r="A43">
        <v>0</v>
      </c>
      <c r="B43" s="427" t="s">
        <v>1168</v>
      </c>
      <c r="C43" t="s">
        <v>1330</v>
      </c>
      <c r="D43" s="834">
        <v>500.91083754000005</v>
      </c>
      <c r="E43" s="743">
        <v>500.91083754000005</v>
      </c>
      <c r="F43" s="743">
        <v>0</v>
      </c>
      <c r="G43" s="743">
        <v>500.91083754000005</v>
      </c>
      <c r="H43" s="743">
        <v>0</v>
      </c>
      <c r="I43" s="743">
        <v>0</v>
      </c>
      <c r="J43" s="743">
        <v>0</v>
      </c>
      <c r="K43" s="743">
        <v>0</v>
      </c>
      <c r="L43" s="743">
        <v>0</v>
      </c>
      <c r="M43" s="743">
        <v>0</v>
      </c>
      <c r="N43" s="743">
        <v>0</v>
      </c>
      <c r="O43" s="743">
        <v>0</v>
      </c>
      <c r="P43" s="743">
        <v>0</v>
      </c>
      <c r="Q43" s="743">
        <v>0</v>
      </c>
      <c r="R43" s="743">
        <v>0</v>
      </c>
      <c r="S43" s="743">
        <v>0</v>
      </c>
      <c r="T43" s="743">
        <v>0</v>
      </c>
      <c r="U43" s="743">
        <v>0</v>
      </c>
      <c r="V43" s="743">
        <v>0</v>
      </c>
      <c r="W43" s="743">
        <v>0</v>
      </c>
      <c r="X43" s="743">
        <v>0</v>
      </c>
      <c r="Y43" s="743">
        <v>0</v>
      </c>
      <c r="Z43" s="743">
        <v>0</v>
      </c>
      <c r="AA43" s="743">
        <v>0</v>
      </c>
      <c r="AB43" s="743">
        <v>0</v>
      </c>
      <c r="AC43" s="743">
        <v>0</v>
      </c>
      <c r="AD43" s="743">
        <v>0</v>
      </c>
      <c r="AE43" s="743">
        <v>0</v>
      </c>
      <c r="AF43" s="743">
        <v>0</v>
      </c>
      <c r="AG43" s="743">
        <v>0</v>
      </c>
      <c r="AH43" s="743">
        <v>0</v>
      </c>
      <c r="AJ43" s="747">
        <v>0</v>
      </c>
      <c r="AN43" s="26"/>
    </row>
    <row r="44" spans="1:40">
      <c r="A44">
        <v>0</v>
      </c>
      <c r="B44" s="427" t="s">
        <v>1169</v>
      </c>
      <c r="C44" t="s">
        <v>1331</v>
      </c>
      <c r="D44" s="834">
        <v>1633.1261072200041</v>
      </c>
      <c r="E44" s="743">
        <v>1633.1261072200041</v>
      </c>
      <c r="F44" s="743">
        <v>0</v>
      </c>
      <c r="G44" s="743">
        <v>1633.1261072200041</v>
      </c>
      <c r="H44" s="743">
        <v>0</v>
      </c>
      <c r="I44" s="743">
        <v>0</v>
      </c>
      <c r="J44" s="743">
        <v>0</v>
      </c>
      <c r="K44" s="743">
        <v>0</v>
      </c>
      <c r="L44" s="743">
        <v>0</v>
      </c>
      <c r="M44" s="743">
        <v>0</v>
      </c>
      <c r="N44" s="743">
        <v>0</v>
      </c>
      <c r="O44" s="743">
        <v>0</v>
      </c>
      <c r="P44" s="743">
        <v>0</v>
      </c>
      <c r="Q44" s="743">
        <v>0</v>
      </c>
      <c r="R44" s="743">
        <v>0</v>
      </c>
      <c r="S44" s="743">
        <v>0</v>
      </c>
      <c r="T44" s="743">
        <v>0</v>
      </c>
      <c r="U44" s="743">
        <v>0</v>
      </c>
      <c r="V44" s="743">
        <v>0</v>
      </c>
      <c r="W44" s="743">
        <v>0</v>
      </c>
      <c r="X44" s="743">
        <v>0</v>
      </c>
      <c r="Y44" s="743">
        <v>0</v>
      </c>
      <c r="Z44" s="743">
        <v>0</v>
      </c>
      <c r="AA44" s="743">
        <v>0</v>
      </c>
      <c r="AB44" s="743">
        <v>0</v>
      </c>
      <c r="AC44" s="743">
        <v>0</v>
      </c>
      <c r="AD44" s="743">
        <v>0</v>
      </c>
      <c r="AE44" s="743">
        <v>0</v>
      </c>
      <c r="AF44" s="743">
        <v>0</v>
      </c>
      <c r="AG44" s="743">
        <v>0</v>
      </c>
      <c r="AH44" s="743">
        <v>0</v>
      </c>
      <c r="AJ44" s="747">
        <v>0</v>
      </c>
      <c r="AN44" s="26"/>
    </row>
    <row r="45" spans="1:40">
      <c r="A45">
        <v>0</v>
      </c>
      <c r="B45" s="427" t="s">
        <v>1317</v>
      </c>
      <c r="C45" t="s">
        <v>1332</v>
      </c>
      <c r="D45" s="834">
        <v>5144.4813025600006</v>
      </c>
      <c r="E45" s="743">
        <v>5144.4813025600006</v>
      </c>
      <c r="F45" s="743">
        <v>0</v>
      </c>
      <c r="G45" s="743">
        <v>5144.4813025600006</v>
      </c>
      <c r="H45" s="743">
        <v>0</v>
      </c>
      <c r="I45" s="743">
        <v>0</v>
      </c>
      <c r="J45" s="743">
        <v>0</v>
      </c>
      <c r="K45" s="743">
        <v>0</v>
      </c>
      <c r="L45" s="743">
        <v>0</v>
      </c>
      <c r="M45" s="743">
        <v>0</v>
      </c>
      <c r="N45" s="743">
        <v>0</v>
      </c>
      <c r="O45" s="743">
        <v>0</v>
      </c>
      <c r="P45" s="743">
        <v>0</v>
      </c>
      <c r="Q45" s="743">
        <v>0</v>
      </c>
      <c r="R45" s="743">
        <v>0</v>
      </c>
      <c r="S45" s="743">
        <v>0</v>
      </c>
      <c r="T45" s="743">
        <v>0</v>
      </c>
      <c r="U45" s="743">
        <v>0</v>
      </c>
      <c r="V45" s="743">
        <v>0</v>
      </c>
      <c r="W45" s="743">
        <v>0</v>
      </c>
      <c r="X45" s="743">
        <v>0</v>
      </c>
      <c r="Y45" s="743">
        <v>0</v>
      </c>
      <c r="Z45" s="743">
        <v>0</v>
      </c>
      <c r="AA45" s="743">
        <v>0</v>
      </c>
      <c r="AB45" s="743">
        <v>0</v>
      </c>
      <c r="AC45" s="743">
        <v>0</v>
      </c>
      <c r="AD45" s="743">
        <v>0</v>
      </c>
      <c r="AE45" s="743">
        <v>0</v>
      </c>
      <c r="AF45" s="743">
        <v>0</v>
      </c>
      <c r="AG45" s="743">
        <v>0</v>
      </c>
      <c r="AH45" s="743">
        <v>0</v>
      </c>
      <c r="AJ45" s="747">
        <v>0</v>
      </c>
      <c r="AN45" s="26"/>
    </row>
    <row r="46" spans="1:40">
      <c r="A46">
        <v>0</v>
      </c>
      <c r="B46" s="427" t="s">
        <v>1318</v>
      </c>
      <c r="C46" t="s">
        <v>1333</v>
      </c>
      <c r="D46" s="834">
        <v>4707.2802759200003</v>
      </c>
      <c r="E46" s="743">
        <v>4707.2802759200003</v>
      </c>
      <c r="F46" s="743">
        <v>0</v>
      </c>
      <c r="G46" s="743">
        <v>4707.2802759200003</v>
      </c>
      <c r="H46" s="743">
        <v>0</v>
      </c>
      <c r="I46" s="743">
        <v>0</v>
      </c>
      <c r="J46" s="743">
        <v>0</v>
      </c>
      <c r="K46" s="743">
        <v>0</v>
      </c>
      <c r="L46" s="743">
        <v>0</v>
      </c>
      <c r="M46" s="743">
        <v>0</v>
      </c>
      <c r="N46" s="743">
        <v>0</v>
      </c>
      <c r="O46" s="743">
        <v>0</v>
      </c>
      <c r="P46" s="743">
        <v>0</v>
      </c>
      <c r="Q46" s="743">
        <v>0</v>
      </c>
      <c r="R46" s="743">
        <v>0</v>
      </c>
      <c r="S46" s="743">
        <v>0</v>
      </c>
      <c r="T46" s="743">
        <v>0</v>
      </c>
      <c r="U46" s="743">
        <v>0</v>
      </c>
      <c r="V46" s="743">
        <v>0</v>
      </c>
      <c r="W46" s="743">
        <v>0</v>
      </c>
      <c r="X46" s="743">
        <v>0</v>
      </c>
      <c r="Y46" s="743">
        <v>0</v>
      </c>
      <c r="Z46" s="743">
        <v>0</v>
      </c>
      <c r="AA46" s="743">
        <v>0</v>
      </c>
      <c r="AB46" s="743">
        <v>0</v>
      </c>
      <c r="AC46" s="743">
        <v>0</v>
      </c>
      <c r="AD46" s="743">
        <v>0</v>
      </c>
      <c r="AE46" s="743">
        <v>0</v>
      </c>
      <c r="AF46" s="743">
        <v>0</v>
      </c>
      <c r="AG46" s="743">
        <v>0</v>
      </c>
      <c r="AH46" s="743">
        <v>0</v>
      </c>
      <c r="AJ46" s="747">
        <v>0</v>
      </c>
      <c r="AN46" s="26"/>
    </row>
    <row r="47" spans="1:40">
      <c r="A47">
        <v>0</v>
      </c>
      <c r="B47" s="427" t="s">
        <v>1319</v>
      </c>
      <c r="C47" t="s">
        <v>1334</v>
      </c>
      <c r="D47" s="834">
        <v>93.106070770000002</v>
      </c>
      <c r="E47" s="743">
        <v>93.106070770000002</v>
      </c>
      <c r="F47" s="743">
        <v>0</v>
      </c>
      <c r="G47" s="743">
        <v>93.106070770000002</v>
      </c>
      <c r="H47" s="743">
        <v>0</v>
      </c>
      <c r="I47" s="743">
        <v>0</v>
      </c>
      <c r="J47" s="743">
        <v>0</v>
      </c>
      <c r="K47" s="743">
        <v>0</v>
      </c>
      <c r="L47" s="743">
        <v>0</v>
      </c>
      <c r="M47" s="743">
        <v>0</v>
      </c>
      <c r="N47" s="743">
        <v>0</v>
      </c>
      <c r="O47" s="743">
        <v>0</v>
      </c>
      <c r="P47" s="743">
        <v>0</v>
      </c>
      <c r="Q47" s="743">
        <v>0</v>
      </c>
      <c r="R47" s="743">
        <v>0</v>
      </c>
      <c r="S47" s="743">
        <v>0</v>
      </c>
      <c r="T47" s="743">
        <v>0</v>
      </c>
      <c r="U47" s="743">
        <v>0</v>
      </c>
      <c r="V47" s="743">
        <v>0</v>
      </c>
      <c r="W47" s="743">
        <v>0</v>
      </c>
      <c r="X47" s="743">
        <v>0</v>
      </c>
      <c r="Y47" s="743">
        <v>0</v>
      </c>
      <c r="Z47" s="743">
        <v>0</v>
      </c>
      <c r="AA47" s="743">
        <v>0</v>
      </c>
      <c r="AB47" s="743">
        <v>0</v>
      </c>
      <c r="AC47" s="743">
        <v>0</v>
      </c>
      <c r="AD47" s="743">
        <v>0</v>
      </c>
      <c r="AE47" s="743">
        <v>0</v>
      </c>
      <c r="AF47" s="743">
        <v>0</v>
      </c>
      <c r="AG47" s="743">
        <v>0</v>
      </c>
      <c r="AH47" s="743">
        <v>0</v>
      </c>
      <c r="AJ47" s="747">
        <v>0</v>
      </c>
      <c r="AN47" s="26"/>
    </row>
    <row r="48" spans="1:40">
      <c r="A48">
        <v>0</v>
      </c>
      <c r="B48" s="427" t="s">
        <v>2766</v>
      </c>
      <c r="C48" t="s">
        <v>2767</v>
      </c>
      <c r="D48" s="834">
        <v>16.90850859</v>
      </c>
      <c r="E48" s="743">
        <v>16.90850859</v>
      </c>
      <c r="F48" s="743">
        <v>0</v>
      </c>
      <c r="G48" s="743">
        <v>16.90850859</v>
      </c>
      <c r="H48" s="743">
        <v>0</v>
      </c>
      <c r="I48" s="743">
        <v>0</v>
      </c>
      <c r="J48" s="743">
        <v>0</v>
      </c>
      <c r="K48" s="743">
        <v>0</v>
      </c>
      <c r="L48" s="743">
        <v>0</v>
      </c>
      <c r="M48" s="743">
        <v>0</v>
      </c>
      <c r="N48" s="743">
        <v>0</v>
      </c>
      <c r="O48" s="743">
        <v>0</v>
      </c>
      <c r="P48" s="743">
        <v>0</v>
      </c>
      <c r="Q48" s="743">
        <v>0</v>
      </c>
      <c r="R48" s="743">
        <v>0</v>
      </c>
      <c r="S48" s="743">
        <v>0</v>
      </c>
      <c r="T48" s="743">
        <v>0</v>
      </c>
      <c r="U48" s="743">
        <v>0</v>
      </c>
      <c r="V48" s="743">
        <v>0</v>
      </c>
      <c r="W48" s="743">
        <v>0</v>
      </c>
      <c r="X48" s="743">
        <v>0</v>
      </c>
      <c r="Y48" s="743">
        <v>0</v>
      </c>
      <c r="Z48" s="743">
        <v>0</v>
      </c>
      <c r="AA48" s="743">
        <v>0</v>
      </c>
      <c r="AB48" s="743">
        <v>0</v>
      </c>
      <c r="AC48" s="743">
        <v>0</v>
      </c>
      <c r="AD48" s="743">
        <v>0</v>
      </c>
      <c r="AE48" s="743">
        <v>0</v>
      </c>
      <c r="AF48" s="743">
        <v>0</v>
      </c>
      <c r="AG48" s="743">
        <v>0</v>
      </c>
      <c r="AH48" s="743">
        <v>0</v>
      </c>
      <c r="AJ48" s="747">
        <v>0</v>
      </c>
      <c r="AN48" s="26"/>
    </row>
    <row r="49" spans="1:40">
      <c r="A49">
        <v>0</v>
      </c>
      <c r="B49" s="427" t="s">
        <v>2798</v>
      </c>
      <c r="C49" t="s">
        <v>2799</v>
      </c>
      <c r="D49" s="834">
        <v>378.11120232999997</v>
      </c>
      <c r="E49" s="743">
        <v>378.11120232999997</v>
      </c>
      <c r="F49" s="743">
        <v>0</v>
      </c>
      <c r="G49" s="743">
        <v>378.11120232999997</v>
      </c>
      <c r="H49" s="743">
        <v>0</v>
      </c>
      <c r="I49" s="743">
        <v>0</v>
      </c>
      <c r="J49" s="743">
        <v>0</v>
      </c>
      <c r="K49" s="743">
        <v>0</v>
      </c>
      <c r="L49" s="743">
        <v>0</v>
      </c>
      <c r="M49" s="743">
        <v>0</v>
      </c>
      <c r="N49" s="743">
        <v>0</v>
      </c>
      <c r="O49" s="743">
        <v>0</v>
      </c>
      <c r="P49" s="743">
        <v>0</v>
      </c>
      <c r="Q49" s="743">
        <v>0</v>
      </c>
      <c r="R49" s="743">
        <v>0</v>
      </c>
      <c r="S49" s="743">
        <v>0</v>
      </c>
      <c r="T49" s="743">
        <v>0</v>
      </c>
      <c r="U49" s="743">
        <v>0</v>
      </c>
      <c r="V49" s="743">
        <v>0</v>
      </c>
      <c r="W49" s="743">
        <v>0</v>
      </c>
      <c r="X49" s="743">
        <v>0</v>
      </c>
      <c r="Y49" s="743">
        <v>0</v>
      </c>
      <c r="Z49" s="743">
        <v>0</v>
      </c>
      <c r="AA49" s="743">
        <v>0</v>
      </c>
      <c r="AB49" s="743">
        <v>0</v>
      </c>
      <c r="AC49" s="743">
        <v>0</v>
      </c>
      <c r="AD49" s="743">
        <v>0</v>
      </c>
      <c r="AE49" s="743">
        <v>0</v>
      </c>
      <c r="AF49" s="743">
        <v>0</v>
      </c>
      <c r="AG49" s="743">
        <v>0</v>
      </c>
      <c r="AH49" s="743">
        <v>0</v>
      </c>
      <c r="AJ49" s="747">
        <v>0</v>
      </c>
      <c r="AN49" s="26"/>
    </row>
    <row r="50" spans="1:40">
      <c r="A50">
        <v>1</v>
      </c>
      <c r="B50" s="427" t="s">
        <v>1232</v>
      </c>
      <c r="C50" t="s">
        <v>1312</v>
      </c>
      <c r="D50" s="834">
        <v>0</v>
      </c>
      <c r="E50" s="743">
        <v>0</v>
      </c>
      <c r="F50" s="743">
        <v>0</v>
      </c>
      <c r="G50" s="743">
        <v>0</v>
      </c>
      <c r="H50" s="743">
        <v>0</v>
      </c>
      <c r="I50" s="743">
        <v>0</v>
      </c>
      <c r="J50" s="743">
        <v>0</v>
      </c>
      <c r="K50" s="743">
        <v>0</v>
      </c>
      <c r="L50" s="743">
        <v>0</v>
      </c>
      <c r="M50" s="743">
        <v>0</v>
      </c>
      <c r="N50" s="743">
        <v>0</v>
      </c>
      <c r="O50" s="743">
        <v>0</v>
      </c>
      <c r="P50" s="743">
        <v>0</v>
      </c>
      <c r="Q50" s="743">
        <v>0</v>
      </c>
      <c r="R50" s="743">
        <v>0</v>
      </c>
      <c r="S50" s="743">
        <v>0</v>
      </c>
      <c r="T50" s="743">
        <v>0</v>
      </c>
      <c r="U50" s="743">
        <v>0</v>
      </c>
      <c r="V50" s="743">
        <v>0</v>
      </c>
      <c r="W50" s="743">
        <v>0</v>
      </c>
      <c r="X50" s="743">
        <v>0</v>
      </c>
      <c r="Y50" s="743">
        <v>0</v>
      </c>
      <c r="Z50" s="743">
        <v>0</v>
      </c>
      <c r="AA50" s="743">
        <v>0</v>
      </c>
      <c r="AB50" s="743">
        <v>0</v>
      </c>
      <c r="AC50" s="743">
        <v>0</v>
      </c>
      <c r="AD50" s="743">
        <v>0</v>
      </c>
      <c r="AE50" s="743">
        <v>0</v>
      </c>
      <c r="AF50" s="743">
        <v>0</v>
      </c>
      <c r="AG50" s="743">
        <v>0</v>
      </c>
      <c r="AH50" s="743">
        <v>0</v>
      </c>
      <c r="AJ50" s="747">
        <v>0</v>
      </c>
      <c r="AN50" s="26"/>
    </row>
    <row r="51" spans="1:40">
      <c r="A51">
        <v>0</v>
      </c>
      <c r="B51" s="427" t="s">
        <v>1313</v>
      </c>
      <c r="C51" t="s">
        <v>1310</v>
      </c>
      <c r="D51" s="834">
        <v>0</v>
      </c>
      <c r="E51" s="743">
        <v>0</v>
      </c>
      <c r="F51" s="743">
        <v>0</v>
      </c>
      <c r="G51" s="743">
        <v>0</v>
      </c>
      <c r="H51" s="743">
        <v>0</v>
      </c>
      <c r="I51" s="743">
        <v>0</v>
      </c>
      <c r="J51" s="743">
        <v>0</v>
      </c>
      <c r="K51" s="743">
        <v>0</v>
      </c>
      <c r="L51" s="743">
        <v>0</v>
      </c>
      <c r="M51" s="743">
        <v>0</v>
      </c>
      <c r="N51" s="743">
        <v>0</v>
      </c>
      <c r="O51" s="743">
        <v>0</v>
      </c>
      <c r="P51" s="743">
        <v>0</v>
      </c>
      <c r="Q51" s="743">
        <v>0</v>
      </c>
      <c r="R51" s="743">
        <v>0</v>
      </c>
      <c r="S51" s="743">
        <v>0</v>
      </c>
      <c r="T51" s="743">
        <v>0</v>
      </c>
      <c r="U51" s="743">
        <v>0</v>
      </c>
      <c r="V51" s="743">
        <v>0</v>
      </c>
      <c r="W51" s="743">
        <v>0</v>
      </c>
      <c r="X51" s="743">
        <v>0</v>
      </c>
      <c r="Y51" s="743">
        <v>0</v>
      </c>
      <c r="Z51" s="743">
        <v>0</v>
      </c>
      <c r="AA51" s="743">
        <v>0</v>
      </c>
      <c r="AB51" s="743">
        <v>0</v>
      </c>
      <c r="AC51" s="743">
        <v>0</v>
      </c>
      <c r="AD51" s="743">
        <v>0</v>
      </c>
      <c r="AE51" s="743">
        <v>0</v>
      </c>
      <c r="AF51" s="743">
        <v>0</v>
      </c>
      <c r="AG51" s="743">
        <v>0</v>
      </c>
      <c r="AH51" s="743">
        <v>0</v>
      </c>
      <c r="AJ51" s="747">
        <v>0</v>
      </c>
      <c r="AN51" s="26"/>
    </row>
    <row r="52" spans="1:40">
      <c r="A52">
        <v>1</v>
      </c>
      <c r="B52" s="427" t="s">
        <v>1315</v>
      </c>
      <c r="C52" t="s">
        <v>1295</v>
      </c>
      <c r="D52" s="834">
        <v>0</v>
      </c>
      <c r="E52" s="743">
        <v>0</v>
      </c>
      <c r="F52" s="743">
        <v>0</v>
      </c>
      <c r="G52" s="743">
        <v>0</v>
      </c>
      <c r="H52" s="743">
        <v>0</v>
      </c>
      <c r="I52" s="743">
        <v>0</v>
      </c>
      <c r="J52" s="743">
        <v>0</v>
      </c>
      <c r="K52" s="743">
        <v>0</v>
      </c>
      <c r="L52" s="743">
        <v>0</v>
      </c>
      <c r="M52" s="743">
        <v>0</v>
      </c>
      <c r="N52" s="743">
        <v>0</v>
      </c>
      <c r="O52" s="743">
        <v>0</v>
      </c>
      <c r="P52" s="743">
        <v>0</v>
      </c>
      <c r="Q52" s="743">
        <v>0</v>
      </c>
      <c r="R52" s="743">
        <v>0</v>
      </c>
      <c r="S52" s="743">
        <v>0</v>
      </c>
      <c r="T52" s="743">
        <v>0</v>
      </c>
      <c r="U52" s="743">
        <v>0</v>
      </c>
      <c r="V52" s="743">
        <v>0</v>
      </c>
      <c r="W52" s="743">
        <v>0</v>
      </c>
      <c r="X52" s="743">
        <v>0</v>
      </c>
      <c r="Y52" s="743">
        <v>0</v>
      </c>
      <c r="Z52" s="743">
        <v>0</v>
      </c>
      <c r="AA52" s="743">
        <v>0</v>
      </c>
      <c r="AB52" s="743">
        <v>0</v>
      </c>
      <c r="AC52" s="743">
        <v>0</v>
      </c>
      <c r="AD52" s="743">
        <v>0</v>
      </c>
      <c r="AE52" s="743">
        <v>0</v>
      </c>
      <c r="AF52" s="743">
        <v>0</v>
      </c>
      <c r="AG52" s="743">
        <v>0</v>
      </c>
      <c r="AH52" s="743">
        <v>0</v>
      </c>
      <c r="AJ52" s="747">
        <v>0</v>
      </c>
      <c r="AN52" s="26"/>
    </row>
    <row r="53" spans="1:40">
      <c r="A53">
        <v>0</v>
      </c>
      <c r="B53" s="427">
        <v>9.1</v>
      </c>
      <c r="C53" t="s">
        <v>1109</v>
      </c>
      <c r="D53" s="834">
        <v>116.28780820000011</v>
      </c>
      <c r="E53" s="743">
        <v>116.28780820000011</v>
      </c>
      <c r="F53" s="743">
        <v>0</v>
      </c>
      <c r="G53" s="743">
        <v>116.28780820000011</v>
      </c>
      <c r="H53" s="743">
        <v>0</v>
      </c>
      <c r="I53" s="743">
        <v>0</v>
      </c>
      <c r="J53" s="743">
        <v>0</v>
      </c>
      <c r="K53" s="743">
        <v>0</v>
      </c>
      <c r="L53" s="743">
        <v>0</v>
      </c>
      <c r="M53" s="743">
        <v>0</v>
      </c>
      <c r="N53" s="743">
        <v>0</v>
      </c>
      <c r="O53" s="743">
        <v>0</v>
      </c>
      <c r="P53" s="743">
        <v>0</v>
      </c>
      <c r="Q53" s="743">
        <v>0</v>
      </c>
      <c r="R53" s="743">
        <v>0</v>
      </c>
      <c r="S53" s="743">
        <v>0</v>
      </c>
      <c r="T53" s="743">
        <v>0</v>
      </c>
      <c r="U53" s="743">
        <v>0</v>
      </c>
      <c r="V53" s="743">
        <v>0</v>
      </c>
      <c r="W53" s="743">
        <v>0</v>
      </c>
      <c r="X53" s="743">
        <v>0</v>
      </c>
      <c r="Y53" s="743">
        <v>0</v>
      </c>
      <c r="Z53" s="743">
        <v>0</v>
      </c>
      <c r="AA53" s="743">
        <v>0</v>
      </c>
      <c r="AB53" s="743">
        <v>0</v>
      </c>
      <c r="AC53" s="743">
        <v>0</v>
      </c>
      <c r="AD53" s="743">
        <v>0</v>
      </c>
      <c r="AE53" s="743">
        <v>0</v>
      </c>
      <c r="AF53" s="743">
        <v>0</v>
      </c>
      <c r="AG53" s="743">
        <v>0</v>
      </c>
      <c r="AH53" s="743">
        <v>0</v>
      </c>
      <c r="AJ53" s="747">
        <v>0</v>
      </c>
      <c r="AN53" s="26"/>
    </row>
    <row r="54" spans="1:40">
      <c r="A54">
        <v>0</v>
      </c>
      <c r="B54" s="427" t="s">
        <v>1171</v>
      </c>
      <c r="C54" t="s">
        <v>1335</v>
      </c>
      <c r="D54" s="834">
        <v>2583.6036079000005</v>
      </c>
      <c r="E54" s="743">
        <v>1978.6036079000005</v>
      </c>
      <c r="F54" s="743">
        <v>0</v>
      </c>
      <c r="G54" s="743">
        <v>1978.6036079000005</v>
      </c>
      <c r="H54" s="743">
        <v>405</v>
      </c>
      <c r="I54" s="743">
        <v>50</v>
      </c>
      <c r="J54" s="743">
        <v>0</v>
      </c>
      <c r="K54" s="743">
        <v>0</v>
      </c>
      <c r="L54" s="743">
        <v>0</v>
      </c>
      <c r="M54" s="743">
        <v>0</v>
      </c>
      <c r="N54" s="743">
        <v>0</v>
      </c>
      <c r="O54" s="743">
        <v>0</v>
      </c>
      <c r="P54" s="743">
        <v>150</v>
      </c>
      <c r="Q54" s="743">
        <v>0</v>
      </c>
      <c r="R54" s="743">
        <v>0</v>
      </c>
      <c r="S54" s="743">
        <v>0</v>
      </c>
      <c r="T54" s="743">
        <v>0</v>
      </c>
      <c r="U54" s="743">
        <v>0</v>
      </c>
      <c r="V54" s="743">
        <v>0</v>
      </c>
      <c r="W54" s="743">
        <v>0</v>
      </c>
      <c r="X54" s="743">
        <v>0</v>
      </c>
      <c r="Y54" s="743">
        <v>0</v>
      </c>
      <c r="Z54" s="743">
        <v>0</v>
      </c>
      <c r="AA54" s="743">
        <v>0</v>
      </c>
      <c r="AB54" s="743">
        <v>0</v>
      </c>
      <c r="AC54" s="743">
        <v>0</v>
      </c>
      <c r="AD54" s="743">
        <v>0</v>
      </c>
      <c r="AE54" s="743">
        <v>0</v>
      </c>
      <c r="AF54" s="743">
        <v>0</v>
      </c>
      <c r="AG54" s="743">
        <v>0</v>
      </c>
      <c r="AH54" s="743">
        <v>0</v>
      </c>
      <c r="AJ54" s="747">
        <v>0</v>
      </c>
      <c r="AN54" s="26"/>
    </row>
    <row r="55" spans="1:40">
      <c r="A55">
        <v>0</v>
      </c>
      <c r="B55" s="427" t="s">
        <v>1449</v>
      </c>
      <c r="C55" t="s">
        <v>1450</v>
      </c>
      <c r="D55" s="834">
        <v>0</v>
      </c>
      <c r="E55" s="743">
        <v>0</v>
      </c>
      <c r="F55" s="743">
        <v>0</v>
      </c>
      <c r="G55" s="743">
        <v>0</v>
      </c>
      <c r="H55" s="743">
        <v>0</v>
      </c>
      <c r="I55" s="743">
        <v>0</v>
      </c>
      <c r="J55" s="743">
        <v>0</v>
      </c>
      <c r="K55" s="743">
        <v>0</v>
      </c>
      <c r="L55" s="743">
        <v>0</v>
      </c>
      <c r="M55" s="743">
        <v>0</v>
      </c>
      <c r="N55" s="743">
        <v>0</v>
      </c>
      <c r="O55" s="743">
        <v>0</v>
      </c>
      <c r="P55" s="743">
        <v>0</v>
      </c>
      <c r="Q55" s="743">
        <v>0</v>
      </c>
      <c r="R55" s="743">
        <v>0</v>
      </c>
      <c r="S55" s="743">
        <v>0</v>
      </c>
      <c r="T55" s="743">
        <v>0</v>
      </c>
      <c r="U55" s="743">
        <v>0</v>
      </c>
      <c r="V55" s="743">
        <v>0</v>
      </c>
      <c r="W55" s="743">
        <v>0</v>
      </c>
      <c r="X55" s="743">
        <v>0</v>
      </c>
      <c r="Y55" s="743">
        <v>0</v>
      </c>
      <c r="Z55" s="743">
        <v>0</v>
      </c>
      <c r="AA55" s="743">
        <v>0</v>
      </c>
      <c r="AB55" s="743">
        <v>0</v>
      </c>
      <c r="AC55" s="743">
        <v>0</v>
      </c>
      <c r="AD55" s="743">
        <v>0</v>
      </c>
      <c r="AE55" s="743">
        <v>0</v>
      </c>
      <c r="AF55" s="743">
        <v>0</v>
      </c>
      <c r="AG55" s="743">
        <v>0</v>
      </c>
      <c r="AH55" s="743">
        <v>0</v>
      </c>
      <c r="AJ55" s="747">
        <v>0</v>
      </c>
      <c r="AN55" s="26"/>
    </row>
    <row r="56" spans="1:40">
      <c r="A56">
        <v>0</v>
      </c>
      <c r="B56" s="427" t="s">
        <v>2801</v>
      </c>
      <c r="C56" t="s">
        <v>2802</v>
      </c>
      <c r="D56" s="834">
        <v>1101.9382160099999</v>
      </c>
      <c r="E56" s="743">
        <v>1101.9382160099999</v>
      </c>
      <c r="F56" s="743">
        <v>0</v>
      </c>
      <c r="G56" s="743">
        <v>1101.9382160099999</v>
      </c>
      <c r="H56" s="743">
        <v>0</v>
      </c>
      <c r="I56" s="743">
        <v>0</v>
      </c>
      <c r="J56" s="743">
        <v>0</v>
      </c>
      <c r="K56" s="743">
        <v>0</v>
      </c>
      <c r="L56" s="743">
        <v>0</v>
      </c>
      <c r="M56" s="743">
        <v>0</v>
      </c>
      <c r="N56" s="743">
        <v>0</v>
      </c>
      <c r="O56" s="743">
        <v>0</v>
      </c>
      <c r="P56" s="743">
        <v>0</v>
      </c>
      <c r="Q56" s="743">
        <v>0</v>
      </c>
      <c r="R56" s="743">
        <v>0</v>
      </c>
      <c r="S56" s="743">
        <v>0</v>
      </c>
      <c r="T56" s="743">
        <v>0</v>
      </c>
      <c r="U56" s="743">
        <v>0</v>
      </c>
      <c r="V56" s="743">
        <v>0</v>
      </c>
      <c r="W56" s="743">
        <v>0</v>
      </c>
      <c r="X56" s="743">
        <v>0</v>
      </c>
      <c r="Y56" s="743">
        <v>0</v>
      </c>
      <c r="Z56" s="743">
        <v>0</v>
      </c>
      <c r="AA56" s="743">
        <v>0</v>
      </c>
      <c r="AB56" s="743">
        <v>0</v>
      </c>
      <c r="AC56" s="743">
        <v>0</v>
      </c>
      <c r="AD56" s="743">
        <v>0</v>
      </c>
      <c r="AE56" s="743">
        <v>0</v>
      </c>
      <c r="AF56" s="743">
        <v>0</v>
      </c>
      <c r="AG56" s="743">
        <v>0</v>
      </c>
      <c r="AH56" s="743">
        <v>0</v>
      </c>
      <c r="AJ56" s="747">
        <v>0</v>
      </c>
      <c r="AN56" s="26"/>
    </row>
    <row r="57" spans="1:40">
      <c r="A57">
        <v>0</v>
      </c>
      <c r="B57" s="427" t="s">
        <v>1325</v>
      </c>
      <c r="C57" t="s">
        <v>1336</v>
      </c>
      <c r="D57" s="834">
        <v>0</v>
      </c>
      <c r="E57" s="743">
        <v>0</v>
      </c>
      <c r="F57" s="743">
        <v>0</v>
      </c>
      <c r="G57" s="743">
        <v>0</v>
      </c>
      <c r="H57" s="743">
        <v>0</v>
      </c>
      <c r="I57" s="743">
        <v>0</v>
      </c>
      <c r="J57" s="743">
        <v>0</v>
      </c>
      <c r="K57" s="743">
        <v>0</v>
      </c>
      <c r="L57" s="743">
        <v>0</v>
      </c>
      <c r="M57" s="743">
        <v>0</v>
      </c>
      <c r="N57" s="743">
        <v>0</v>
      </c>
      <c r="O57" s="743">
        <v>0</v>
      </c>
      <c r="P57" s="743">
        <v>0</v>
      </c>
      <c r="Q57" s="743">
        <v>0</v>
      </c>
      <c r="R57" s="743">
        <v>0</v>
      </c>
      <c r="S57" s="743">
        <v>0</v>
      </c>
      <c r="T57" s="743">
        <v>0</v>
      </c>
      <c r="U57" s="743">
        <v>0</v>
      </c>
      <c r="V57" s="743">
        <v>0</v>
      </c>
      <c r="W57" s="743">
        <v>0</v>
      </c>
      <c r="X57" s="743">
        <v>0</v>
      </c>
      <c r="Y57" s="743">
        <v>0</v>
      </c>
      <c r="Z57" s="743">
        <v>0</v>
      </c>
      <c r="AA57" s="743">
        <v>0</v>
      </c>
      <c r="AB57" s="743">
        <v>0</v>
      </c>
      <c r="AC57" s="743">
        <v>0</v>
      </c>
      <c r="AD57" s="743">
        <v>0</v>
      </c>
      <c r="AE57" s="743">
        <v>0</v>
      </c>
      <c r="AF57" s="743">
        <v>0</v>
      </c>
      <c r="AG57" s="743">
        <v>0</v>
      </c>
      <c r="AH57" s="743">
        <v>0</v>
      </c>
      <c r="AJ57" s="747">
        <v>0</v>
      </c>
      <c r="AN57" s="26"/>
    </row>
    <row r="58" spans="1:40" s="440" customFormat="1">
      <c r="A58" s="440">
        <v>0</v>
      </c>
      <c r="B58" s="441" t="s">
        <v>1337</v>
      </c>
      <c r="C58" s="440" t="s">
        <v>1338</v>
      </c>
      <c r="D58" s="834">
        <v>147.44580615999999</v>
      </c>
      <c r="E58" s="834">
        <v>147.44580615999999</v>
      </c>
      <c r="F58" s="834">
        <v>0</v>
      </c>
      <c r="G58" s="834">
        <v>147.44580615999999</v>
      </c>
      <c r="H58" s="834">
        <v>0</v>
      </c>
      <c r="I58" s="834">
        <v>0</v>
      </c>
      <c r="J58" s="834">
        <v>0</v>
      </c>
      <c r="K58" s="834">
        <v>0</v>
      </c>
      <c r="L58" s="834">
        <v>0</v>
      </c>
      <c r="M58" s="834">
        <v>0</v>
      </c>
      <c r="N58" s="834">
        <v>0</v>
      </c>
      <c r="O58" s="834">
        <v>0</v>
      </c>
      <c r="P58" s="834">
        <v>0</v>
      </c>
      <c r="Q58" s="834">
        <v>0</v>
      </c>
      <c r="R58" s="834">
        <v>0</v>
      </c>
      <c r="S58" s="834">
        <v>0</v>
      </c>
      <c r="T58" s="834">
        <v>0</v>
      </c>
      <c r="U58" s="834">
        <v>0</v>
      </c>
      <c r="V58" s="834">
        <v>0</v>
      </c>
      <c r="W58" s="834">
        <v>0</v>
      </c>
      <c r="X58" s="834">
        <v>0</v>
      </c>
      <c r="Y58" s="834">
        <v>0</v>
      </c>
      <c r="Z58" s="834">
        <v>0</v>
      </c>
      <c r="AA58" s="834">
        <v>0</v>
      </c>
      <c r="AB58" s="834">
        <v>0</v>
      </c>
      <c r="AC58" s="834">
        <v>0</v>
      </c>
      <c r="AD58" s="834">
        <v>0</v>
      </c>
      <c r="AE58" s="834">
        <v>0</v>
      </c>
      <c r="AF58" s="834">
        <v>0</v>
      </c>
      <c r="AG58" s="834">
        <v>0</v>
      </c>
      <c r="AH58" s="834">
        <v>0</v>
      </c>
      <c r="AJ58" s="971">
        <v>0</v>
      </c>
      <c r="AN58" s="26"/>
    </row>
    <row r="59" spans="1:40">
      <c r="A59">
        <v>1</v>
      </c>
      <c r="B59" s="427">
        <v>9.3000000000000007</v>
      </c>
      <c r="C59" t="s">
        <v>1110</v>
      </c>
      <c r="D59" s="834">
        <v>174.09592567000021</v>
      </c>
      <c r="E59" s="743">
        <v>-5.0000000000000011E-8</v>
      </c>
      <c r="F59" s="743">
        <v>9.5483565399999986</v>
      </c>
      <c r="G59" s="743">
        <v>-5.0000000000000011E-8</v>
      </c>
      <c r="H59" s="743">
        <v>0.15003620000000001</v>
      </c>
      <c r="I59" s="743">
        <v>0</v>
      </c>
      <c r="J59" s="743">
        <v>1.336274E-2</v>
      </c>
      <c r="K59" s="743">
        <v>0</v>
      </c>
      <c r="L59" s="743">
        <v>0</v>
      </c>
      <c r="M59" s="743">
        <v>6.416057E-2</v>
      </c>
      <c r="N59" s="743">
        <v>2.3029670000000002E-2</v>
      </c>
      <c r="O59" s="743">
        <v>0.15788898999999998</v>
      </c>
      <c r="P59" s="743">
        <v>4.5930610000000004E-2</v>
      </c>
      <c r="Q59" s="743">
        <v>0.27149796999999998</v>
      </c>
      <c r="R59" s="743">
        <v>0</v>
      </c>
      <c r="S59" s="743">
        <v>0</v>
      </c>
      <c r="T59" s="743">
        <v>0.14274292999999999</v>
      </c>
      <c r="U59" s="743">
        <v>2.8522638300000001</v>
      </c>
      <c r="V59" s="743">
        <v>4.0332903199999999</v>
      </c>
      <c r="W59" s="743">
        <v>5.4897570899999977</v>
      </c>
      <c r="X59" s="743">
        <v>21.290466020000007</v>
      </c>
      <c r="Y59" s="743">
        <v>59.154645299999999</v>
      </c>
      <c r="Z59" s="743">
        <v>19.7707953</v>
      </c>
      <c r="AA59" s="743">
        <v>24.81666637</v>
      </c>
      <c r="AB59" s="743">
        <v>5.4207585900000037</v>
      </c>
      <c r="AC59" s="743">
        <v>4.7887277800000021</v>
      </c>
      <c r="AD59" s="743">
        <v>5.1386272099999974</v>
      </c>
      <c r="AE59" s="743">
        <v>4.9281893599999993</v>
      </c>
      <c r="AF59" s="743">
        <v>3.7473913899999993</v>
      </c>
      <c r="AG59" s="743">
        <v>2.2473409400000013</v>
      </c>
      <c r="AH59" s="743">
        <v>0</v>
      </c>
      <c r="AJ59" s="747">
        <v>0</v>
      </c>
      <c r="AN59" s="26"/>
    </row>
    <row r="60" spans="1:40">
      <c r="A60">
        <v>1</v>
      </c>
      <c r="B60" s="427">
        <v>9.4</v>
      </c>
      <c r="C60" t="s">
        <v>1238</v>
      </c>
      <c r="D60" s="834">
        <v>2649.5570429800018</v>
      </c>
      <c r="E60" s="743">
        <v>0</v>
      </c>
      <c r="F60" s="743">
        <v>8.4204234399999986</v>
      </c>
      <c r="G60" s="743">
        <v>0</v>
      </c>
      <c r="H60" s="743">
        <v>0</v>
      </c>
      <c r="I60" s="743">
        <v>50.674912590000005</v>
      </c>
      <c r="J60" s="743">
        <v>42.257022280000001</v>
      </c>
      <c r="K60" s="743">
        <v>0</v>
      </c>
      <c r="L60" s="743">
        <v>0</v>
      </c>
      <c r="M60" s="743">
        <v>326.07627534</v>
      </c>
      <c r="N60" s="743">
        <v>15.456992189999999</v>
      </c>
      <c r="O60" s="743">
        <v>307.94723866999999</v>
      </c>
      <c r="P60" s="743">
        <v>101.232</v>
      </c>
      <c r="Q60" s="743">
        <v>0.63574173999999994</v>
      </c>
      <c r="R60" s="743">
        <v>0</v>
      </c>
      <c r="S60" s="743">
        <v>0</v>
      </c>
      <c r="T60" s="743">
        <v>166.61501707999997</v>
      </c>
      <c r="U60" s="743">
        <v>171.30369244000002</v>
      </c>
      <c r="V60" s="743">
        <v>261.58953651000002</v>
      </c>
      <c r="W60" s="743">
        <v>287.12495073000002</v>
      </c>
      <c r="X60" s="743">
        <v>500.62002383000009</v>
      </c>
      <c r="Y60" s="743">
        <v>116.36334922</v>
      </c>
      <c r="Z60" s="743">
        <v>69.227124789999962</v>
      </c>
      <c r="AA60" s="743">
        <v>59.437459379999993</v>
      </c>
      <c r="AB60" s="743">
        <v>5.8793241099999998</v>
      </c>
      <c r="AC60" s="743">
        <v>108.40991186000001</v>
      </c>
      <c r="AD60" s="743">
        <v>12.987520369999995</v>
      </c>
      <c r="AE60" s="743">
        <v>6.8464406700000007</v>
      </c>
      <c r="AF60" s="743">
        <v>4.3216531500000004</v>
      </c>
      <c r="AG60" s="743">
        <v>26.130432590000002</v>
      </c>
      <c r="AH60" s="743">
        <v>0</v>
      </c>
      <c r="AJ60" s="747">
        <v>0</v>
      </c>
      <c r="AN60" s="26"/>
    </row>
    <row r="61" spans="1:40">
      <c r="A61">
        <v>1</v>
      </c>
      <c r="B61" s="427" t="s">
        <v>1227</v>
      </c>
      <c r="C61" t="s">
        <v>1292</v>
      </c>
      <c r="D61" s="834">
        <v>2989.0659873999998</v>
      </c>
      <c r="E61" s="743">
        <v>2989.0659873999998</v>
      </c>
      <c r="F61" s="743">
        <v>0</v>
      </c>
      <c r="G61" s="743">
        <v>2989.0659873999998</v>
      </c>
      <c r="H61" s="743">
        <v>0</v>
      </c>
      <c r="I61" s="743">
        <v>0</v>
      </c>
      <c r="J61" s="743">
        <v>0</v>
      </c>
      <c r="K61" s="743">
        <v>0</v>
      </c>
      <c r="L61" s="743">
        <v>0</v>
      </c>
      <c r="M61" s="743">
        <v>0</v>
      </c>
      <c r="N61" s="743">
        <v>0</v>
      </c>
      <c r="O61" s="743">
        <v>0</v>
      </c>
      <c r="P61" s="743">
        <v>0</v>
      </c>
      <c r="Q61" s="743">
        <v>0</v>
      </c>
      <c r="R61" s="743">
        <v>0</v>
      </c>
      <c r="S61" s="743">
        <v>0</v>
      </c>
      <c r="T61" s="743">
        <v>0</v>
      </c>
      <c r="U61" s="743">
        <v>0</v>
      </c>
      <c r="V61" s="743">
        <v>0</v>
      </c>
      <c r="W61" s="743">
        <v>0</v>
      </c>
      <c r="X61" s="743">
        <v>0</v>
      </c>
      <c r="Y61" s="743">
        <v>0</v>
      </c>
      <c r="Z61" s="743">
        <v>0</v>
      </c>
      <c r="AA61" s="743">
        <v>0</v>
      </c>
      <c r="AB61" s="743">
        <v>0</v>
      </c>
      <c r="AC61" s="743">
        <v>0</v>
      </c>
      <c r="AD61" s="743">
        <v>0</v>
      </c>
      <c r="AE61" s="743">
        <v>0</v>
      </c>
      <c r="AF61" s="743">
        <v>0</v>
      </c>
      <c r="AG61" s="743">
        <v>0</v>
      </c>
      <c r="AH61" s="743">
        <v>0</v>
      </c>
      <c r="AJ61" s="747">
        <v>0</v>
      </c>
      <c r="AN61" s="26"/>
    </row>
    <row r="62" spans="1:40">
      <c r="A62">
        <v>1</v>
      </c>
      <c r="B62" s="427" t="s">
        <v>1228</v>
      </c>
      <c r="C62" t="s">
        <v>1293</v>
      </c>
      <c r="D62" s="834">
        <v>1327.2317001799997</v>
      </c>
      <c r="E62" s="743">
        <v>1327.2317001799997</v>
      </c>
      <c r="F62" s="743">
        <v>0</v>
      </c>
      <c r="G62" s="743">
        <v>1327.2317001799997</v>
      </c>
      <c r="H62" s="743">
        <v>0</v>
      </c>
      <c r="I62" s="743">
        <v>0</v>
      </c>
      <c r="J62" s="743">
        <v>0</v>
      </c>
      <c r="K62" s="743">
        <v>0</v>
      </c>
      <c r="L62" s="743">
        <v>0</v>
      </c>
      <c r="M62" s="743">
        <v>0</v>
      </c>
      <c r="N62" s="743">
        <v>0</v>
      </c>
      <c r="O62" s="743">
        <v>0</v>
      </c>
      <c r="P62" s="743">
        <v>0</v>
      </c>
      <c r="Q62" s="743">
        <v>0</v>
      </c>
      <c r="R62" s="743">
        <v>0</v>
      </c>
      <c r="S62" s="743">
        <v>0</v>
      </c>
      <c r="T62" s="743">
        <v>0</v>
      </c>
      <c r="U62" s="743">
        <v>0</v>
      </c>
      <c r="V62" s="743">
        <v>0</v>
      </c>
      <c r="W62" s="743">
        <v>0</v>
      </c>
      <c r="X62" s="743">
        <v>0</v>
      </c>
      <c r="Y62" s="743">
        <v>0</v>
      </c>
      <c r="Z62" s="743">
        <v>0</v>
      </c>
      <c r="AA62" s="743">
        <v>0</v>
      </c>
      <c r="AB62" s="743">
        <v>0</v>
      </c>
      <c r="AC62" s="743">
        <v>0</v>
      </c>
      <c r="AD62" s="743">
        <v>0</v>
      </c>
      <c r="AE62" s="743">
        <v>0</v>
      </c>
      <c r="AF62" s="743">
        <v>0</v>
      </c>
      <c r="AG62" s="743">
        <v>0</v>
      </c>
      <c r="AH62" s="743">
        <v>0</v>
      </c>
      <c r="AJ62" s="747">
        <v>0</v>
      </c>
      <c r="AN62" s="26"/>
    </row>
    <row r="63" spans="1:40">
      <c r="A63">
        <v>1</v>
      </c>
      <c r="B63" s="427" t="s">
        <v>1286</v>
      </c>
      <c r="C63" t="s">
        <v>1294</v>
      </c>
      <c r="D63" s="834">
        <v>70.697602650000007</v>
      </c>
      <c r="E63" s="743">
        <v>70.697602650000007</v>
      </c>
      <c r="F63" s="743">
        <v>0</v>
      </c>
      <c r="G63" s="743">
        <v>70.697602650000007</v>
      </c>
      <c r="H63" s="743">
        <v>0</v>
      </c>
      <c r="I63" s="743">
        <v>0</v>
      </c>
      <c r="J63" s="743">
        <v>0</v>
      </c>
      <c r="K63" s="743">
        <v>0</v>
      </c>
      <c r="L63" s="743">
        <v>0</v>
      </c>
      <c r="M63" s="743">
        <v>0</v>
      </c>
      <c r="N63" s="743">
        <v>0</v>
      </c>
      <c r="O63" s="743">
        <v>0</v>
      </c>
      <c r="P63" s="743">
        <v>0</v>
      </c>
      <c r="Q63" s="743">
        <v>0</v>
      </c>
      <c r="R63" s="743">
        <v>0</v>
      </c>
      <c r="S63" s="743">
        <v>0</v>
      </c>
      <c r="T63" s="743">
        <v>0</v>
      </c>
      <c r="U63" s="743">
        <v>0</v>
      </c>
      <c r="V63" s="743">
        <v>0</v>
      </c>
      <c r="W63" s="743">
        <v>0</v>
      </c>
      <c r="X63" s="743">
        <v>0</v>
      </c>
      <c r="Y63" s="743">
        <v>0</v>
      </c>
      <c r="Z63" s="743">
        <v>0</v>
      </c>
      <c r="AA63" s="743">
        <v>0</v>
      </c>
      <c r="AB63" s="743">
        <v>0</v>
      </c>
      <c r="AC63" s="743">
        <v>0</v>
      </c>
      <c r="AD63" s="743">
        <v>0</v>
      </c>
      <c r="AE63" s="743">
        <v>0</v>
      </c>
      <c r="AF63" s="743">
        <v>0</v>
      </c>
      <c r="AG63" s="743">
        <v>0</v>
      </c>
      <c r="AH63" s="743">
        <v>0</v>
      </c>
      <c r="AJ63" s="747">
        <v>0</v>
      </c>
      <c r="AN63" s="26"/>
    </row>
    <row r="64" spans="1:40">
      <c r="A64">
        <v>1</v>
      </c>
      <c r="B64" s="427" t="s">
        <v>1285</v>
      </c>
      <c r="C64" t="s">
        <v>1245</v>
      </c>
      <c r="D64" s="834">
        <v>0</v>
      </c>
      <c r="E64" s="743">
        <v>0</v>
      </c>
      <c r="F64" s="743">
        <v>0</v>
      </c>
      <c r="G64" s="743">
        <v>0</v>
      </c>
      <c r="H64" s="743">
        <v>0</v>
      </c>
      <c r="I64" s="743">
        <v>0</v>
      </c>
      <c r="J64" s="743">
        <v>0</v>
      </c>
      <c r="K64" s="743">
        <v>0</v>
      </c>
      <c r="L64" s="743">
        <v>0</v>
      </c>
      <c r="M64" s="743">
        <v>0</v>
      </c>
      <c r="N64" s="743">
        <v>0</v>
      </c>
      <c r="O64" s="743">
        <v>0</v>
      </c>
      <c r="P64" s="743">
        <v>0</v>
      </c>
      <c r="Q64" s="743">
        <v>0</v>
      </c>
      <c r="R64" s="743">
        <v>0</v>
      </c>
      <c r="S64" s="743">
        <v>0</v>
      </c>
      <c r="T64" s="743">
        <v>0</v>
      </c>
      <c r="U64" s="743">
        <v>0</v>
      </c>
      <c r="V64" s="743">
        <v>0</v>
      </c>
      <c r="W64" s="743">
        <v>0</v>
      </c>
      <c r="X64" s="743">
        <v>0</v>
      </c>
      <c r="Y64" s="743">
        <v>0</v>
      </c>
      <c r="Z64" s="743">
        <v>0</v>
      </c>
      <c r="AA64" s="743">
        <v>0</v>
      </c>
      <c r="AB64" s="743">
        <v>0</v>
      </c>
      <c r="AC64" s="743">
        <v>0</v>
      </c>
      <c r="AD64" s="743">
        <v>0</v>
      </c>
      <c r="AE64" s="743">
        <v>0</v>
      </c>
      <c r="AF64" s="743">
        <v>0</v>
      </c>
      <c r="AG64" s="743">
        <v>0</v>
      </c>
      <c r="AH64" s="743">
        <v>0</v>
      </c>
      <c r="AJ64" s="747">
        <v>0</v>
      </c>
      <c r="AN64" s="26"/>
    </row>
    <row r="65" spans="1:40">
      <c r="A65">
        <v>1</v>
      </c>
      <c r="B65" s="427">
        <v>10.199999999999999</v>
      </c>
      <c r="C65" t="s">
        <v>25</v>
      </c>
      <c r="D65" s="834">
        <v>9604.8459999999995</v>
      </c>
      <c r="E65" s="743">
        <v>0</v>
      </c>
      <c r="F65" s="743">
        <v>0</v>
      </c>
      <c r="G65" s="743">
        <v>0</v>
      </c>
      <c r="H65" s="743">
        <v>0</v>
      </c>
      <c r="I65" s="743">
        <v>0</v>
      </c>
      <c r="J65" s="743">
        <v>0</v>
      </c>
      <c r="K65" s="743">
        <v>0</v>
      </c>
      <c r="L65" s="743">
        <v>0</v>
      </c>
      <c r="M65" s="743">
        <v>0</v>
      </c>
      <c r="N65" s="743">
        <v>0</v>
      </c>
      <c r="O65" s="743">
        <v>0</v>
      </c>
      <c r="P65" s="743">
        <v>0</v>
      </c>
      <c r="Q65" s="743">
        <v>0</v>
      </c>
      <c r="R65" s="743">
        <v>0</v>
      </c>
      <c r="S65" s="743">
        <v>0</v>
      </c>
      <c r="T65" s="743">
        <v>0</v>
      </c>
      <c r="U65" s="743">
        <v>1891.191</v>
      </c>
      <c r="V65" s="743">
        <v>531.88800000000003</v>
      </c>
      <c r="W65" s="743">
        <v>1763.6759999999999</v>
      </c>
      <c r="X65" s="743">
        <v>1329.8710000000001</v>
      </c>
      <c r="Y65" s="743">
        <v>1081.2180000000001</v>
      </c>
      <c r="Z65" s="743">
        <v>459.26499999999999</v>
      </c>
      <c r="AA65" s="743">
        <v>859.1</v>
      </c>
      <c r="AB65" s="743">
        <v>244.95</v>
      </c>
      <c r="AC65" s="743">
        <v>177.08600000000001</v>
      </c>
      <c r="AD65" s="743">
        <v>316.68</v>
      </c>
      <c r="AE65" s="743">
        <v>120.842</v>
      </c>
      <c r="AF65" s="743">
        <v>335.221</v>
      </c>
      <c r="AG65" s="743">
        <v>493.858</v>
      </c>
      <c r="AH65" s="743">
        <v>0</v>
      </c>
      <c r="AJ65" s="747">
        <v>0</v>
      </c>
      <c r="AN65" s="26"/>
    </row>
    <row r="66" spans="1:40">
      <c r="A66">
        <v>1</v>
      </c>
      <c r="B66" s="427">
        <v>10.3</v>
      </c>
      <c r="C66" t="s">
        <v>1172</v>
      </c>
      <c r="D66" s="834">
        <v>0</v>
      </c>
      <c r="E66" s="743">
        <v>0</v>
      </c>
      <c r="F66" s="743">
        <v>0</v>
      </c>
      <c r="G66" s="743">
        <v>0</v>
      </c>
      <c r="H66" s="743">
        <v>0</v>
      </c>
      <c r="I66" s="743">
        <v>0</v>
      </c>
      <c r="J66" s="743">
        <v>0</v>
      </c>
      <c r="K66" s="743">
        <v>0</v>
      </c>
      <c r="L66" s="743">
        <v>0</v>
      </c>
      <c r="M66" s="743">
        <v>0</v>
      </c>
      <c r="N66" s="743">
        <v>0</v>
      </c>
      <c r="O66" s="743">
        <v>0</v>
      </c>
      <c r="P66" s="743">
        <v>0</v>
      </c>
      <c r="Q66" s="743">
        <v>0</v>
      </c>
      <c r="R66" s="743">
        <v>0</v>
      </c>
      <c r="S66" s="743">
        <v>0</v>
      </c>
      <c r="T66" s="743">
        <v>0</v>
      </c>
      <c r="U66" s="743">
        <v>0</v>
      </c>
      <c r="V66" s="743">
        <v>0</v>
      </c>
      <c r="W66" s="743">
        <v>0</v>
      </c>
      <c r="X66" s="743">
        <v>0</v>
      </c>
      <c r="Y66" s="743">
        <v>0</v>
      </c>
      <c r="Z66" s="743">
        <v>0</v>
      </c>
      <c r="AA66" s="743">
        <v>0</v>
      </c>
      <c r="AB66" s="743">
        <v>0</v>
      </c>
      <c r="AC66" s="743">
        <v>0</v>
      </c>
      <c r="AD66" s="743">
        <v>0</v>
      </c>
      <c r="AE66" s="743">
        <v>0</v>
      </c>
      <c r="AF66" s="743">
        <v>0</v>
      </c>
      <c r="AG66" s="743">
        <v>0</v>
      </c>
      <c r="AH66" s="743">
        <v>0</v>
      </c>
      <c r="AJ66" s="747">
        <v>0</v>
      </c>
      <c r="AN66" s="26"/>
    </row>
    <row r="67" spans="1:40">
      <c r="A67">
        <v>1</v>
      </c>
      <c r="B67" s="427">
        <v>11</v>
      </c>
      <c r="C67" t="s">
        <v>1243</v>
      </c>
      <c r="D67" s="834">
        <v>0</v>
      </c>
      <c r="E67" s="743">
        <v>0</v>
      </c>
      <c r="F67" s="743">
        <v>0</v>
      </c>
      <c r="G67" s="743">
        <v>0</v>
      </c>
      <c r="H67" s="743">
        <v>0</v>
      </c>
      <c r="I67" s="743">
        <v>0</v>
      </c>
      <c r="J67" s="743">
        <v>0</v>
      </c>
      <c r="K67" s="743">
        <v>0</v>
      </c>
      <c r="L67" s="743">
        <v>0</v>
      </c>
      <c r="M67" s="743">
        <v>0</v>
      </c>
      <c r="N67" s="743">
        <v>0</v>
      </c>
      <c r="O67" s="743">
        <v>0</v>
      </c>
      <c r="P67" s="743">
        <v>0</v>
      </c>
      <c r="Q67" s="743">
        <v>0</v>
      </c>
      <c r="R67" s="743">
        <v>0</v>
      </c>
      <c r="S67" s="743">
        <v>0</v>
      </c>
      <c r="T67" s="743">
        <v>0</v>
      </c>
      <c r="U67" s="743">
        <v>0</v>
      </c>
      <c r="V67" s="743">
        <v>0</v>
      </c>
      <c r="W67" s="743">
        <v>0</v>
      </c>
      <c r="X67" s="743">
        <v>0</v>
      </c>
      <c r="Y67" s="743">
        <v>0</v>
      </c>
      <c r="Z67" s="743">
        <v>0</v>
      </c>
      <c r="AA67" s="743">
        <v>0</v>
      </c>
      <c r="AB67" s="743">
        <v>0</v>
      </c>
      <c r="AC67" s="743">
        <v>0</v>
      </c>
      <c r="AD67" s="743">
        <v>0</v>
      </c>
      <c r="AE67" s="743">
        <v>0</v>
      </c>
      <c r="AF67" s="743">
        <v>0</v>
      </c>
      <c r="AG67" s="743">
        <v>0</v>
      </c>
      <c r="AH67" s="743">
        <v>0</v>
      </c>
      <c r="AJ67" s="747">
        <v>0</v>
      </c>
      <c r="AN67" s="26"/>
    </row>
    <row r="68" spans="1:40">
      <c r="A68">
        <v>0</v>
      </c>
      <c r="B68" s="427">
        <v>13</v>
      </c>
      <c r="C68" t="s">
        <v>27</v>
      </c>
      <c r="D68" s="834">
        <v>411.85919435999989</v>
      </c>
      <c r="E68" s="743">
        <v>379.0759617299999</v>
      </c>
      <c r="F68" s="743">
        <v>2.7332143000000002</v>
      </c>
      <c r="G68" s="743">
        <v>409.1259800599999</v>
      </c>
      <c r="H68" s="743">
        <v>0</v>
      </c>
      <c r="I68" s="743">
        <v>0</v>
      </c>
      <c r="J68" s="743">
        <v>0</v>
      </c>
      <c r="K68" s="743">
        <v>0</v>
      </c>
      <c r="L68" s="743">
        <v>0</v>
      </c>
      <c r="M68" s="743">
        <v>0</v>
      </c>
      <c r="N68" s="743">
        <v>0</v>
      </c>
      <c r="O68" s="743">
        <v>0</v>
      </c>
      <c r="P68" s="743">
        <v>0</v>
      </c>
      <c r="Q68" s="743">
        <v>0</v>
      </c>
      <c r="R68" s="743">
        <v>0</v>
      </c>
      <c r="S68" s="743">
        <v>0</v>
      </c>
      <c r="T68" s="743">
        <v>0</v>
      </c>
      <c r="U68" s="743">
        <v>0</v>
      </c>
      <c r="V68" s="743">
        <v>0</v>
      </c>
      <c r="W68" s="743">
        <v>0</v>
      </c>
      <c r="X68" s="743">
        <v>0</v>
      </c>
      <c r="Y68" s="743">
        <v>0</v>
      </c>
      <c r="Z68" s="743">
        <v>0</v>
      </c>
      <c r="AA68" s="743">
        <v>0</v>
      </c>
      <c r="AB68" s="743">
        <v>0</v>
      </c>
      <c r="AC68" s="743">
        <v>0</v>
      </c>
      <c r="AD68" s="743">
        <v>0</v>
      </c>
      <c r="AE68" s="743">
        <v>0</v>
      </c>
      <c r="AF68" s="743">
        <v>0</v>
      </c>
      <c r="AG68" s="743">
        <v>0</v>
      </c>
      <c r="AH68" s="743">
        <v>0</v>
      </c>
      <c r="AJ68" s="747">
        <v>0</v>
      </c>
      <c r="AN68" s="26"/>
    </row>
    <row r="69" spans="1:40">
      <c r="A69">
        <v>0</v>
      </c>
      <c r="B69" s="427">
        <v>14</v>
      </c>
      <c r="C69" t="s">
        <v>26</v>
      </c>
      <c r="D69" s="834">
        <v>626.0229084099991</v>
      </c>
      <c r="E69" s="743">
        <v>626.0229084099991</v>
      </c>
      <c r="F69" s="743">
        <v>0</v>
      </c>
      <c r="G69" s="743">
        <v>626.0229084099991</v>
      </c>
      <c r="H69" s="743">
        <v>0</v>
      </c>
      <c r="I69" s="743">
        <v>0</v>
      </c>
      <c r="J69" s="743">
        <v>0</v>
      </c>
      <c r="K69" s="743">
        <v>0</v>
      </c>
      <c r="L69" s="743">
        <v>0</v>
      </c>
      <c r="M69" s="743">
        <v>0</v>
      </c>
      <c r="N69" s="743">
        <v>0</v>
      </c>
      <c r="O69" s="743">
        <v>0</v>
      </c>
      <c r="P69" s="743">
        <v>0</v>
      </c>
      <c r="Q69" s="743">
        <v>0</v>
      </c>
      <c r="R69" s="743">
        <v>0</v>
      </c>
      <c r="S69" s="743">
        <v>0</v>
      </c>
      <c r="T69" s="743">
        <v>0</v>
      </c>
      <c r="U69" s="743">
        <v>0</v>
      </c>
      <c r="V69" s="743">
        <v>0</v>
      </c>
      <c r="W69" s="743">
        <v>0</v>
      </c>
      <c r="X69" s="743">
        <v>0</v>
      </c>
      <c r="Y69" s="743">
        <v>0</v>
      </c>
      <c r="Z69" s="743">
        <v>0</v>
      </c>
      <c r="AA69" s="743">
        <v>0</v>
      </c>
      <c r="AB69" s="743">
        <v>0</v>
      </c>
      <c r="AC69" s="743">
        <v>0</v>
      </c>
      <c r="AD69" s="743">
        <v>0</v>
      </c>
      <c r="AE69" s="743">
        <v>0</v>
      </c>
      <c r="AF69" s="743">
        <v>0</v>
      </c>
      <c r="AG69" s="743">
        <v>0</v>
      </c>
      <c r="AH69" s="743">
        <v>0</v>
      </c>
      <c r="AJ69" s="747">
        <v>0</v>
      </c>
    </row>
    <row r="70" spans="1:40">
      <c r="A70">
        <v>0</v>
      </c>
      <c r="B70" s="427">
        <v>98</v>
      </c>
      <c r="C70" t="s">
        <v>1136</v>
      </c>
      <c r="D70" s="834">
        <v>0</v>
      </c>
      <c r="E70" s="743">
        <v>0</v>
      </c>
      <c r="F70" s="743">
        <v>0</v>
      </c>
      <c r="G70" s="743">
        <v>0</v>
      </c>
      <c r="H70" s="743">
        <v>0</v>
      </c>
      <c r="I70" s="743">
        <v>0</v>
      </c>
      <c r="J70" s="743">
        <v>0</v>
      </c>
      <c r="K70" s="743">
        <v>0</v>
      </c>
      <c r="L70" s="743">
        <v>0</v>
      </c>
      <c r="M70" s="743">
        <v>0</v>
      </c>
      <c r="N70" s="743">
        <v>0</v>
      </c>
      <c r="O70" s="743">
        <v>0</v>
      </c>
      <c r="P70" s="743">
        <v>0</v>
      </c>
      <c r="Q70" s="743">
        <v>0</v>
      </c>
      <c r="R70" s="743">
        <v>0</v>
      </c>
      <c r="S70" s="743">
        <v>0</v>
      </c>
      <c r="T70" s="743">
        <v>0</v>
      </c>
      <c r="U70" s="743">
        <v>0</v>
      </c>
      <c r="V70" s="743">
        <v>0</v>
      </c>
      <c r="W70" s="743">
        <v>0</v>
      </c>
      <c r="X70" s="743">
        <v>0</v>
      </c>
      <c r="Y70" s="743">
        <v>0</v>
      </c>
      <c r="Z70" s="743">
        <v>0</v>
      </c>
      <c r="AA70" s="743">
        <v>0</v>
      </c>
      <c r="AB70" s="743">
        <v>0</v>
      </c>
      <c r="AC70" s="743">
        <v>0</v>
      </c>
      <c r="AD70" s="743">
        <v>0</v>
      </c>
      <c r="AE70" s="743">
        <v>0</v>
      </c>
      <c r="AF70" s="743">
        <v>0</v>
      </c>
      <c r="AG70" s="743">
        <v>0</v>
      </c>
      <c r="AH70" s="743">
        <v>0</v>
      </c>
      <c r="AJ70" s="747">
        <v>0</v>
      </c>
      <c r="AN70" s="26"/>
    </row>
    <row r="71" spans="1:40">
      <c r="A71">
        <v>0</v>
      </c>
      <c r="B71" s="427">
        <v>99</v>
      </c>
      <c r="C71" t="s">
        <v>1137</v>
      </c>
      <c r="D71" s="834">
        <v>0</v>
      </c>
      <c r="E71" s="743">
        <v>0</v>
      </c>
      <c r="F71" s="743">
        <v>0</v>
      </c>
      <c r="G71" s="743">
        <v>0</v>
      </c>
      <c r="H71" s="743">
        <v>0</v>
      </c>
      <c r="I71" s="743">
        <v>0</v>
      </c>
      <c r="J71" s="743">
        <v>0</v>
      </c>
      <c r="K71" s="743">
        <v>0</v>
      </c>
      <c r="L71" s="743">
        <v>0</v>
      </c>
      <c r="M71" s="743">
        <v>0</v>
      </c>
      <c r="N71" s="743">
        <v>0</v>
      </c>
      <c r="O71" s="743">
        <v>0</v>
      </c>
      <c r="P71" s="743">
        <v>0</v>
      </c>
      <c r="Q71" s="743">
        <v>0</v>
      </c>
      <c r="R71" s="743">
        <v>0</v>
      </c>
      <c r="S71" s="743">
        <v>0</v>
      </c>
      <c r="T71" s="743">
        <v>0</v>
      </c>
      <c r="U71" s="743">
        <v>0</v>
      </c>
      <c r="V71" s="743">
        <v>0</v>
      </c>
      <c r="W71" s="743">
        <v>0</v>
      </c>
      <c r="X71" s="743">
        <v>0</v>
      </c>
      <c r="Y71" s="743">
        <v>0</v>
      </c>
      <c r="Z71" s="743">
        <v>0</v>
      </c>
      <c r="AA71" s="743">
        <v>0</v>
      </c>
      <c r="AB71" s="743">
        <v>0</v>
      </c>
      <c r="AC71" s="743">
        <v>0</v>
      </c>
      <c r="AD71" s="743">
        <v>0</v>
      </c>
      <c r="AE71" s="743">
        <v>0</v>
      </c>
      <c r="AF71" s="743">
        <v>0</v>
      </c>
      <c r="AG71" s="743">
        <v>0</v>
      </c>
      <c r="AH71" s="743">
        <v>0</v>
      </c>
      <c r="AJ71" s="747">
        <v>0</v>
      </c>
      <c r="AN71" s="26"/>
    </row>
    <row r="72" spans="1:40">
      <c r="A72">
        <v>0</v>
      </c>
      <c r="B72" s="427">
        <v>15</v>
      </c>
      <c r="C72" t="s">
        <v>39</v>
      </c>
      <c r="D72" s="834">
        <v>17243.170592639999</v>
      </c>
      <c r="F72" s="743">
        <v>0</v>
      </c>
      <c r="G72" s="743">
        <v>17243.170592639999</v>
      </c>
      <c r="H72" s="743">
        <v>0</v>
      </c>
      <c r="I72" s="743">
        <v>0</v>
      </c>
      <c r="J72" s="743">
        <v>0</v>
      </c>
      <c r="K72" s="743">
        <v>0</v>
      </c>
      <c r="L72" s="743">
        <v>0</v>
      </c>
      <c r="M72" s="743">
        <v>0</v>
      </c>
      <c r="N72" s="743">
        <v>0</v>
      </c>
      <c r="O72" s="743">
        <v>0</v>
      </c>
      <c r="P72" s="743">
        <v>0</v>
      </c>
      <c r="Q72" s="743">
        <v>0</v>
      </c>
      <c r="R72" s="743">
        <v>0</v>
      </c>
      <c r="S72" s="743">
        <v>0</v>
      </c>
      <c r="T72" s="743">
        <v>0</v>
      </c>
      <c r="U72" s="743">
        <v>0</v>
      </c>
      <c r="V72" s="743">
        <v>0</v>
      </c>
      <c r="W72" s="743">
        <v>0</v>
      </c>
      <c r="X72" s="743">
        <v>0</v>
      </c>
      <c r="Y72" s="743">
        <v>0</v>
      </c>
      <c r="Z72" s="743">
        <v>0</v>
      </c>
      <c r="AA72" s="743">
        <v>0</v>
      </c>
      <c r="AB72" s="743">
        <v>0</v>
      </c>
      <c r="AC72" s="743">
        <v>0</v>
      </c>
      <c r="AD72" s="743">
        <v>0</v>
      </c>
      <c r="AE72" s="743">
        <v>0</v>
      </c>
      <c r="AF72" s="743">
        <v>0</v>
      </c>
      <c r="AG72" s="743">
        <v>0</v>
      </c>
      <c r="AH72" s="743">
        <v>0</v>
      </c>
      <c r="AJ72" s="747">
        <v>0</v>
      </c>
      <c r="AN72" s="26"/>
    </row>
    <row r="73" spans="1:40">
      <c r="A73">
        <v>0</v>
      </c>
      <c r="B73" s="427">
        <v>16</v>
      </c>
      <c r="C73" t="s">
        <v>2810</v>
      </c>
      <c r="D73" s="834">
        <v>560</v>
      </c>
      <c r="F73" s="743">
        <v>140</v>
      </c>
      <c r="G73" s="743">
        <v>0</v>
      </c>
      <c r="H73" s="743">
        <v>0</v>
      </c>
      <c r="I73" s="743">
        <v>0</v>
      </c>
      <c r="J73" s="743">
        <v>0</v>
      </c>
      <c r="K73" s="743">
        <v>0</v>
      </c>
      <c r="L73" s="743">
        <v>0</v>
      </c>
      <c r="M73" s="743">
        <v>0</v>
      </c>
      <c r="N73" s="743">
        <v>0</v>
      </c>
      <c r="O73" s="743">
        <v>0</v>
      </c>
      <c r="P73" s="743">
        <v>0</v>
      </c>
      <c r="Q73" s="743">
        <v>0</v>
      </c>
      <c r="R73" s="743">
        <v>0</v>
      </c>
      <c r="S73" s="743">
        <v>0</v>
      </c>
      <c r="T73" s="743">
        <v>0</v>
      </c>
      <c r="U73" s="743">
        <v>0</v>
      </c>
      <c r="V73" s="743">
        <v>0</v>
      </c>
      <c r="W73" s="743">
        <v>0</v>
      </c>
      <c r="X73" s="743">
        <v>0</v>
      </c>
      <c r="Y73" s="743">
        <v>0</v>
      </c>
      <c r="Z73" s="743">
        <v>300</v>
      </c>
      <c r="AA73" s="743">
        <v>0</v>
      </c>
      <c r="AB73" s="743">
        <v>0</v>
      </c>
      <c r="AC73" s="743">
        <v>0</v>
      </c>
      <c r="AD73" s="743">
        <v>120</v>
      </c>
      <c r="AE73" s="743">
        <v>0</v>
      </c>
      <c r="AF73" s="743">
        <v>0</v>
      </c>
      <c r="AG73" s="743">
        <v>0</v>
      </c>
      <c r="AH73" s="743">
        <v>0</v>
      </c>
      <c r="AJ73" s="747">
        <v>0</v>
      </c>
      <c r="AN73" s="26"/>
    </row>
    <row r="74" spans="1:40">
      <c r="A74">
        <v>0</v>
      </c>
      <c r="B74" s="427">
        <v>16.100000000000001</v>
      </c>
      <c r="C74" t="s">
        <v>2811</v>
      </c>
      <c r="D74" s="440">
        <v>1122.824177</v>
      </c>
      <c r="E74"/>
      <c r="F74">
        <v>384.34801299999998</v>
      </c>
      <c r="G74">
        <v>0</v>
      </c>
      <c r="H74">
        <v>0</v>
      </c>
      <c r="I74">
        <v>0</v>
      </c>
      <c r="J74">
        <v>0</v>
      </c>
      <c r="K74">
        <v>0</v>
      </c>
      <c r="L74">
        <v>0</v>
      </c>
      <c r="M74">
        <v>0</v>
      </c>
      <c r="N74">
        <v>0</v>
      </c>
      <c r="O74">
        <v>0</v>
      </c>
      <c r="P74">
        <v>0</v>
      </c>
      <c r="Q74">
        <v>0</v>
      </c>
      <c r="R74">
        <v>0</v>
      </c>
      <c r="S74">
        <v>0</v>
      </c>
      <c r="T74">
        <v>0</v>
      </c>
      <c r="U74">
        <v>0</v>
      </c>
      <c r="V74">
        <v>0</v>
      </c>
      <c r="W74">
        <v>0</v>
      </c>
      <c r="X74">
        <v>0</v>
      </c>
      <c r="Y74">
        <v>0</v>
      </c>
      <c r="Z74">
        <v>0</v>
      </c>
      <c r="AA74">
        <v>254.04750000000001</v>
      </c>
      <c r="AB74">
        <v>0</v>
      </c>
      <c r="AC74">
        <v>0</v>
      </c>
      <c r="AD74">
        <v>0</v>
      </c>
      <c r="AE74">
        <v>0</v>
      </c>
      <c r="AF74">
        <v>0</v>
      </c>
      <c r="AG74">
        <v>484.42866400000003</v>
      </c>
      <c r="AH74">
        <v>0</v>
      </c>
      <c r="AJ74">
        <v>0</v>
      </c>
    </row>
    <row r="75" spans="1:40">
      <c r="A75">
        <v>0</v>
      </c>
      <c r="B75" s="427">
        <v>17</v>
      </c>
      <c r="C75" t="s">
        <v>2773</v>
      </c>
      <c r="D75" s="440">
        <v>1276.1819958300009</v>
      </c>
      <c r="E75"/>
      <c r="F75">
        <v>549.96719763999988</v>
      </c>
      <c r="G75">
        <v>0</v>
      </c>
      <c r="H75">
        <v>0</v>
      </c>
      <c r="I75">
        <v>0</v>
      </c>
      <c r="J75">
        <v>0</v>
      </c>
      <c r="K75">
        <v>0</v>
      </c>
      <c r="L75">
        <v>0</v>
      </c>
      <c r="M75">
        <v>0</v>
      </c>
      <c r="N75">
        <v>0</v>
      </c>
      <c r="O75">
        <v>0</v>
      </c>
      <c r="P75">
        <v>0</v>
      </c>
      <c r="Q75">
        <v>7.1717199999999995E-2</v>
      </c>
      <c r="R75">
        <v>0</v>
      </c>
      <c r="S75">
        <v>0.43686245000000001</v>
      </c>
      <c r="T75">
        <v>0</v>
      </c>
      <c r="U75">
        <v>0</v>
      </c>
      <c r="V75">
        <v>2.0120624999999999</v>
      </c>
      <c r="W75">
        <v>17.471515699999998</v>
      </c>
      <c r="X75">
        <v>35.207786720000001</v>
      </c>
      <c r="Y75">
        <v>10.743929190000001</v>
      </c>
      <c r="Z75">
        <v>7.4656581800000001</v>
      </c>
      <c r="AA75">
        <v>33.473916199999998</v>
      </c>
      <c r="AB75">
        <v>50.608225240000003</v>
      </c>
      <c r="AC75">
        <v>142.03765763999999</v>
      </c>
      <c r="AD75">
        <v>73.799043249999997</v>
      </c>
      <c r="AE75">
        <v>17.358414420000003</v>
      </c>
      <c r="AF75">
        <v>5.8256706999999999</v>
      </c>
      <c r="AG75">
        <v>329.70233880000001</v>
      </c>
      <c r="AH75">
        <v>0</v>
      </c>
      <c r="AJ75">
        <v>0</v>
      </c>
    </row>
    <row r="76" spans="1:40">
      <c r="D76" s="440"/>
      <c r="E76"/>
      <c r="F76"/>
      <c r="G76"/>
      <c r="H76"/>
      <c r="I76"/>
      <c r="J76"/>
      <c r="K76"/>
      <c r="L76"/>
      <c r="M76"/>
      <c r="N76"/>
      <c r="O76"/>
      <c r="P76"/>
      <c r="Q76"/>
      <c r="R76"/>
      <c r="S76"/>
      <c r="T76"/>
      <c r="U76"/>
      <c r="V76"/>
      <c r="W76"/>
      <c r="X76"/>
      <c r="Y76"/>
      <c r="Z76"/>
      <c r="AA76"/>
      <c r="AB76"/>
      <c r="AC76"/>
      <c r="AD76"/>
      <c r="AE76"/>
      <c r="AF76"/>
      <c r="AG76"/>
      <c r="AH76"/>
    </row>
    <row r="77" spans="1:40">
      <c r="D77" s="440"/>
      <c r="E77"/>
      <c r="F77"/>
      <c r="G77"/>
      <c r="H77"/>
      <c r="I77"/>
      <c r="J77"/>
      <c r="K77"/>
      <c r="L77"/>
      <c r="M77"/>
      <c r="N77"/>
      <c r="O77"/>
      <c r="P77"/>
      <c r="Q77"/>
      <c r="R77"/>
      <c r="S77"/>
      <c r="T77"/>
      <c r="U77"/>
      <c r="V77"/>
      <c r="W77"/>
      <c r="X77"/>
      <c r="Y77"/>
      <c r="Z77"/>
      <c r="AA77"/>
      <c r="AB77"/>
      <c r="AC77"/>
      <c r="AD77"/>
      <c r="AE77"/>
      <c r="AF77"/>
      <c r="AG77"/>
      <c r="AH77"/>
    </row>
    <row r="79" spans="1:40">
      <c r="B79"/>
      <c r="D79" s="440"/>
      <c r="E79"/>
      <c r="F79"/>
      <c r="G79"/>
      <c r="H79"/>
      <c r="I79"/>
      <c r="J79"/>
      <c r="K79"/>
      <c r="L79"/>
      <c r="M79"/>
      <c r="N79"/>
      <c r="O79"/>
      <c r="P79"/>
      <c r="Q79"/>
      <c r="R79"/>
      <c r="S79"/>
      <c r="T79"/>
      <c r="U79"/>
      <c r="V79"/>
      <c r="W79"/>
      <c r="X79"/>
      <c r="Y79"/>
      <c r="Z79"/>
      <c r="AA79"/>
      <c r="AB79"/>
      <c r="AC79"/>
      <c r="AD79"/>
      <c r="AE79"/>
      <c r="AF79"/>
      <c r="AG79"/>
      <c r="AH79"/>
    </row>
    <row r="80" spans="1:40">
      <c r="B80"/>
      <c r="D80" s="440"/>
      <c r="E80"/>
      <c r="F80"/>
      <c r="G80"/>
      <c r="H80"/>
      <c r="I80"/>
      <c r="J80"/>
      <c r="K80"/>
      <c r="L80"/>
      <c r="M80"/>
      <c r="N80"/>
      <c r="O80"/>
      <c r="P80"/>
      <c r="Q80"/>
      <c r="R80"/>
      <c r="S80"/>
      <c r="T80"/>
      <c r="U80"/>
      <c r="V80"/>
      <c r="W80"/>
      <c r="X80"/>
      <c r="Y80"/>
      <c r="Z80"/>
      <c r="AA80"/>
      <c r="AB80"/>
      <c r="AC80"/>
      <c r="AD80"/>
      <c r="AE80"/>
      <c r="AF80"/>
      <c r="AG80"/>
      <c r="AH80"/>
    </row>
    <row r="81" spans="2:34">
      <c r="B81"/>
      <c r="D81" s="440"/>
      <c r="E81"/>
      <c r="F81"/>
      <c r="G81"/>
      <c r="H81"/>
      <c r="I81"/>
      <c r="J81"/>
      <c r="K81"/>
      <c r="L81"/>
      <c r="M81"/>
      <c r="N81"/>
      <c r="O81"/>
      <c r="P81"/>
      <c r="Q81"/>
      <c r="R81"/>
      <c r="S81"/>
      <c r="T81"/>
      <c r="U81"/>
      <c r="V81"/>
      <c r="W81"/>
      <c r="X81"/>
      <c r="Y81"/>
      <c r="Z81"/>
      <c r="AA81"/>
      <c r="AB81"/>
      <c r="AC81"/>
      <c r="AD81"/>
      <c r="AE81"/>
      <c r="AF81"/>
      <c r="AG81"/>
      <c r="AH81"/>
    </row>
    <row r="82" spans="2:34">
      <c r="B82"/>
      <c r="D82" s="908"/>
      <c r="E82"/>
      <c r="F82"/>
      <c r="G82"/>
      <c r="H82"/>
      <c r="I82"/>
      <c r="J82"/>
      <c r="K82"/>
      <c r="L82"/>
      <c r="M82"/>
      <c r="N82"/>
      <c r="O82"/>
      <c r="P82"/>
      <c r="Q82"/>
      <c r="R82"/>
      <c r="S82"/>
      <c r="T82"/>
      <c r="U82"/>
      <c r="V82"/>
      <c r="W82"/>
      <c r="X82"/>
      <c r="Y82"/>
      <c r="Z82"/>
      <c r="AA82"/>
      <c r="AB82"/>
      <c r="AC82"/>
      <c r="AD82"/>
      <c r="AE82"/>
      <c r="AF82"/>
      <c r="AG82"/>
      <c r="AH82"/>
    </row>
    <row r="83" spans="2:34">
      <c r="B83"/>
      <c r="E83"/>
      <c r="F83"/>
      <c r="G83"/>
      <c r="H83"/>
      <c r="I83"/>
      <c r="J83"/>
      <c r="K83"/>
      <c r="L83"/>
      <c r="M83"/>
      <c r="N83"/>
      <c r="O83"/>
      <c r="P83"/>
      <c r="Q83"/>
      <c r="R83"/>
      <c r="S83"/>
      <c r="T83"/>
      <c r="U83"/>
      <c r="V83"/>
      <c r="W83"/>
      <c r="X83"/>
      <c r="Y83"/>
      <c r="Z83"/>
      <c r="AA83"/>
      <c r="AB83"/>
      <c r="AC83"/>
      <c r="AD83"/>
      <c r="AE83"/>
      <c r="AF83"/>
      <c r="AG83"/>
      <c r="AH83"/>
    </row>
    <row r="84" spans="2:34">
      <c r="B84"/>
      <c r="D84" s="908"/>
      <c r="E84"/>
      <c r="F84"/>
      <c r="G84"/>
      <c r="H84"/>
      <c r="I84"/>
      <c r="J84"/>
      <c r="K84"/>
      <c r="L84"/>
      <c r="M84"/>
      <c r="N84"/>
      <c r="O84"/>
      <c r="P84"/>
      <c r="Q84"/>
      <c r="R84"/>
      <c r="S84"/>
      <c r="T84"/>
      <c r="U84"/>
      <c r="V84"/>
      <c r="W84"/>
      <c r="X84"/>
      <c r="Y84"/>
      <c r="Z84"/>
      <c r="AA84"/>
      <c r="AB84"/>
      <c r="AC84"/>
      <c r="AD84"/>
      <c r="AE84"/>
      <c r="AF84"/>
      <c r="AG84"/>
      <c r="AH84"/>
    </row>
    <row r="85" spans="2:34">
      <c r="B85"/>
      <c r="D85" s="440"/>
      <c r="E85"/>
      <c r="F85"/>
      <c r="G85"/>
      <c r="H85"/>
      <c r="I85"/>
      <c r="J85"/>
      <c r="K85"/>
      <c r="L85"/>
      <c r="M85"/>
      <c r="N85"/>
      <c r="O85"/>
      <c r="P85"/>
      <c r="Q85"/>
      <c r="R85"/>
      <c r="S85"/>
      <c r="T85"/>
      <c r="U85"/>
      <c r="V85"/>
      <c r="W85"/>
      <c r="X85"/>
      <c r="Y85"/>
      <c r="Z85"/>
      <c r="AA85"/>
      <c r="AB85"/>
      <c r="AC85"/>
      <c r="AD85"/>
      <c r="AE85"/>
      <c r="AF85"/>
      <c r="AG85"/>
      <c r="AH85"/>
    </row>
    <row r="86" spans="2:34">
      <c r="B86"/>
      <c r="D86" s="440"/>
      <c r="E86"/>
      <c r="F86"/>
      <c r="G86"/>
      <c r="H86"/>
      <c r="I86"/>
      <c r="J86"/>
      <c r="K86"/>
      <c r="L86"/>
      <c r="M86"/>
      <c r="N86"/>
      <c r="O86"/>
      <c r="P86"/>
      <c r="Q86"/>
      <c r="R86"/>
      <c r="S86"/>
      <c r="T86"/>
      <c r="U86"/>
      <c r="V86"/>
      <c r="W86"/>
      <c r="X86"/>
      <c r="Y86"/>
      <c r="Z86"/>
      <c r="AA86"/>
      <c r="AB86"/>
      <c r="AC86"/>
      <c r="AD86"/>
      <c r="AE86"/>
      <c r="AF86"/>
      <c r="AG86"/>
      <c r="AH86"/>
    </row>
    <row r="87" spans="2:34">
      <c r="B87"/>
      <c r="D87" s="440"/>
      <c r="E87"/>
      <c r="F87"/>
      <c r="G87"/>
      <c r="H87"/>
      <c r="I87"/>
      <c r="J87"/>
      <c r="K87"/>
      <c r="L87"/>
      <c r="M87"/>
      <c r="N87"/>
      <c r="O87"/>
      <c r="P87"/>
      <c r="Q87"/>
      <c r="R87"/>
      <c r="S87"/>
      <c r="T87"/>
      <c r="U87"/>
      <c r="V87"/>
      <c r="W87"/>
      <c r="X87"/>
      <c r="Y87"/>
      <c r="Z87"/>
      <c r="AA87"/>
      <c r="AB87"/>
      <c r="AC87"/>
      <c r="AD87"/>
      <c r="AE87"/>
      <c r="AF87"/>
      <c r="AG87"/>
      <c r="AH8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sheetPr>
  <dimension ref="A1:DO339"/>
  <sheetViews>
    <sheetView topLeftCell="A2" workbookViewId="0">
      <selection activeCell="D30" sqref="D30"/>
    </sheetView>
  </sheetViews>
  <sheetFormatPr defaultRowHeight="14.25"/>
  <cols>
    <col min="1" max="1" width="9.875" bestFit="1" customWidth="1"/>
    <col min="6" max="6" width="55" bestFit="1" customWidth="1"/>
    <col min="7" max="7" width="12.375" bestFit="1" customWidth="1"/>
    <col min="10" max="58" width="9" hidden="1" customWidth="1"/>
    <col min="61" max="61" width="18.625" bestFit="1" customWidth="1"/>
    <col min="62" max="62" width="9.875" style="426" bestFit="1" customWidth="1"/>
    <col min="64" max="64" width="39.875" bestFit="1" customWidth="1"/>
    <col min="66" max="67" width="9" style="438"/>
    <col min="70" max="70" width="9.375" bestFit="1" customWidth="1"/>
    <col min="71" max="118" width="9" hidden="1" customWidth="1"/>
    <col min="119" max="119" width="9.375" bestFit="1" customWidth="1"/>
  </cols>
  <sheetData>
    <row r="1" spans="1:119">
      <c r="A1" t="s">
        <v>1379</v>
      </c>
      <c r="C1" t="s">
        <v>1224</v>
      </c>
      <c r="D1" t="s">
        <v>1357</v>
      </c>
      <c r="G1" t="s">
        <v>1380</v>
      </c>
      <c r="I1" t="s">
        <v>1112</v>
      </c>
      <c r="J1" t="s">
        <v>1</v>
      </c>
      <c r="K1" t="s">
        <v>2</v>
      </c>
      <c r="L1" t="s">
        <v>3</v>
      </c>
      <c r="M1" t="s">
        <v>4</v>
      </c>
      <c r="N1" t="s">
        <v>5</v>
      </c>
      <c r="O1" t="s">
        <v>6</v>
      </c>
      <c r="P1" t="s">
        <v>7</v>
      </c>
      <c r="Q1" t="s">
        <v>8</v>
      </c>
      <c r="R1" t="s">
        <v>9</v>
      </c>
      <c r="S1" t="s">
        <v>10</v>
      </c>
      <c r="T1" t="s">
        <v>11</v>
      </c>
      <c r="U1" t="s">
        <v>12</v>
      </c>
      <c r="V1" t="s">
        <v>13</v>
      </c>
      <c r="W1" t="s">
        <v>14</v>
      </c>
      <c r="X1" t="s">
        <v>15</v>
      </c>
      <c r="Y1" t="s">
        <v>16</v>
      </c>
      <c r="Z1" t="s">
        <v>1113</v>
      </c>
      <c r="AA1" t="s">
        <v>1</v>
      </c>
      <c r="AB1" t="s">
        <v>2</v>
      </c>
      <c r="AC1" t="s">
        <v>3</v>
      </c>
      <c r="AD1" t="s">
        <v>4</v>
      </c>
      <c r="AE1" t="s">
        <v>5</v>
      </c>
      <c r="AF1" t="s">
        <v>6</v>
      </c>
      <c r="AG1" t="s">
        <v>7</v>
      </c>
      <c r="AH1" t="s">
        <v>8</v>
      </c>
      <c r="AI1" t="s">
        <v>9</v>
      </c>
      <c r="AJ1" t="s">
        <v>10</v>
      </c>
      <c r="AK1" t="s">
        <v>11</v>
      </c>
      <c r="AL1" t="s">
        <v>12</v>
      </c>
      <c r="AM1" t="s">
        <v>13</v>
      </c>
      <c r="AN1" t="s">
        <v>14</v>
      </c>
      <c r="AO1" t="s">
        <v>15</v>
      </c>
      <c r="AP1" t="s">
        <v>16</v>
      </c>
      <c r="AQ1" t="s">
        <v>1111</v>
      </c>
      <c r="AR1" t="s">
        <v>1</v>
      </c>
      <c r="AS1" t="s">
        <v>2</v>
      </c>
      <c r="AT1" t="s">
        <v>3</v>
      </c>
      <c r="AU1" t="s">
        <v>4</v>
      </c>
      <c r="AV1" t="s">
        <v>5</v>
      </c>
      <c r="AW1" t="s">
        <v>6</v>
      </c>
      <c r="AX1" t="s">
        <v>7</v>
      </c>
      <c r="AY1" t="s">
        <v>8</v>
      </c>
      <c r="AZ1" t="s">
        <v>9</v>
      </c>
      <c r="BA1" t="s">
        <v>10</v>
      </c>
      <c r="BB1" t="s">
        <v>11</v>
      </c>
      <c r="BC1" t="s">
        <v>12</v>
      </c>
      <c r="BD1" t="s">
        <v>13</v>
      </c>
      <c r="BE1" t="s">
        <v>14</v>
      </c>
      <c r="BF1" t="s">
        <v>15</v>
      </c>
      <c r="BG1" t="s">
        <v>16</v>
      </c>
      <c r="BI1" t="s">
        <v>1378</v>
      </c>
      <c r="BJ1" s="426" t="s">
        <v>1379</v>
      </c>
      <c r="BK1" t="s">
        <v>1381</v>
      </c>
      <c r="BL1" t="s">
        <v>1382</v>
      </c>
      <c r="BM1" t="s">
        <v>1383</v>
      </c>
      <c r="BN1" s="438" t="s">
        <v>1384</v>
      </c>
      <c r="BO1" s="438" t="s">
        <v>1385</v>
      </c>
      <c r="BR1" t="s">
        <v>1112</v>
      </c>
      <c r="BS1" t="s">
        <v>1112</v>
      </c>
      <c r="BT1" t="s">
        <v>1112</v>
      </c>
      <c r="BU1" t="s">
        <v>1112</v>
      </c>
      <c r="BV1" t="s">
        <v>1112</v>
      </c>
      <c r="BW1" t="s">
        <v>1112</v>
      </c>
      <c r="BX1" t="s">
        <v>1112</v>
      </c>
      <c r="BY1" t="s">
        <v>1112</v>
      </c>
      <c r="BZ1" t="s">
        <v>1112</v>
      </c>
      <c r="CA1" t="s">
        <v>1112</v>
      </c>
      <c r="CB1" t="s">
        <v>1112</v>
      </c>
      <c r="CC1" t="s">
        <v>1112</v>
      </c>
      <c r="CD1" t="s">
        <v>1112</v>
      </c>
      <c r="CE1" t="s">
        <v>1112</v>
      </c>
      <c r="CF1" t="s">
        <v>1112</v>
      </c>
      <c r="CG1" t="s">
        <v>1112</v>
      </c>
      <c r="CH1" t="s">
        <v>1113</v>
      </c>
      <c r="CI1" t="s">
        <v>1113</v>
      </c>
      <c r="CJ1" t="s">
        <v>1113</v>
      </c>
      <c r="CK1" t="s">
        <v>1113</v>
      </c>
      <c r="CL1" t="s">
        <v>1113</v>
      </c>
      <c r="CM1" t="s">
        <v>1113</v>
      </c>
      <c r="CN1" t="s">
        <v>1113</v>
      </c>
      <c r="CO1" t="s">
        <v>1113</v>
      </c>
      <c r="CP1" t="s">
        <v>1113</v>
      </c>
      <c r="CQ1" t="s">
        <v>1113</v>
      </c>
      <c r="CR1" t="s">
        <v>1113</v>
      </c>
      <c r="CS1" t="s">
        <v>1113</v>
      </c>
      <c r="CT1" t="s">
        <v>1113</v>
      </c>
      <c r="CU1" t="s">
        <v>1113</v>
      </c>
      <c r="CV1" t="s">
        <v>1113</v>
      </c>
      <c r="CW1" t="s">
        <v>1113</v>
      </c>
      <c r="CX1" t="s">
        <v>1113</v>
      </c>
      <c r="CY1" t="s">
        <v>1111</v>
      </c>
      <c r="CZ1" t="s">
        <v>1111</v>
      </c>
      <c r="DA1" t="s">
        <v>1111</v>
      </c>
      <c r="DB1" t="s">
        <v>1111</v>
      </c>
      <c r="DC1" t="s">
        <v>1111</v>
      </c>
      <c r="DD1" t="s">
        <v>1111</v>
      </c>
      <c r="DE1" t="s">
        <v>1111</v>
      </c>
      <c r="DF1" t="s">
        <v>1111</v>
      </c>
      <c r="DG1" t="s">
        <v>1111</v>
      </c>
      <c r="DH1" t="s">
        <v>1111</v>
      </c>
      <c r="DI1" t="s">
        <v>1111</v>
      </c>
      <c r="DJ1" t="s">
        <v>1111</v>
      </c>
      <c r="DK1" t="s">
        <v>1111</v>
      </c>
      <c r="DL1" t="s">
        <v>1111</v>
      </c>
      <c r="DM1" t="s">
        <v>1111</v>
      </c>
      <c r="DN1" t="s">
        <v>1111</v>
      </c>
      <c r="DO1" t="s">
        <v>1111</v>
      </c>
    </row>
    <row r="2" spans="1:119">
      <c r="A2" s="426">
        <v>43434</v>
      </c>
      <c r="C2" t="s">
        <v>1353</v>
      </c>
      <c r="E2" t="s">
        <v>1161</v>
      </c>
      <c r="F2" t="str">
        <f>INDEX('Data Interface'!C:C,MATCH(E2,'Data Interface'!B:B,0))</f>
        <v>Due to Affiliate - Demand - US</v>
      </c>
      <c r="G2">
        <f t="shared" ref="G2:G30" si="0">IF(D2="",MATCH($A$2&amp;C2,BI:BI,0),IFERROR(MATCH($A$2&amp;D2&amp;C2,BI:BI,0),MATCH($A$2&amp;C2,BI:BI,0)))</f>
        <v>339</v>
      </c>
      <c r="I2">
        <f t="shared" ref="I2:I30" si="1">INDEX(BR:BR,$G2)</f>
        <v>1.4999999999999999E-2</v>
      </c>
      <c r="J2">
        <f t="shared" ref="J2:J30" si="2">INDEX(BS:BS,$G2)</f>
        <v>5.2499999999999998E-2</v>
      </c>
      <c r="K2">
        <f t="shared" ref="K2:K30" si="3">INDEX(BT:BT,$G2)</f>
        <v>5.2499999999999998E-2</v>
      </c>
      <c r="L2">
        <f t="shared" ref="L2:L30" si="4">INDEX(BU:BU,$G2)</f>
        <v>1.4999999999999999E-2</v>
      </c>
      <c r="M2">
        <f t="shared" ref="M2:M30" si="5">INDEX(BV:BV,$G2)</f>
        <v>1.4999999999999999E-2</v>
      </c>
      <c r="N2">
        <f t="shared" ref="N2:N30" si="6">INDEX(BW:BW,$G2)</f>
        <v>1.4999999999999999E-2</v>
      </c>
      <c r="O2">
        <f t="shared" ref="O2:O30" si="7">INDEX(BX:BX,$G2)</f>
        <v>1.4999999999999999E-2</v>
      </c>
      <c r="P2">
        <f t="shared" ref="P2:P30" si="8">INDEX(BY:BY,$G2)</f>
        <v>4.9999999999999984E-3</v>
      </c>
      <c r="Q2">
        <f t="shared" ref="Q2:Q30" si="9">INDEX(BZ:BZ,$G2)</f>
        <v>4.9999999999999984E-3</v>
      </c>
      <c r="R2">
        <f t="shared" ref="R2:R30" si="10">INDEX(CA:CA,$G2)</f>
        <v>4.9999999999999984E-3</v>
      </c>
      <c r="S2">
        <f t="shared" ref="S2:S30" si="11">INDEX(CB:CB,$G2)</f>
        <v>4.9999999999999984E-3</v>
      </c>
      <c r="T2">
        <f t="shared" ref="T2:T30" si="12">INDEX(CC:CC,$G2)</f>
        <v>4.9999999999999984E-3</v>
      </c>
      <c r="U2">
        <f t="shared" ref="U2:U30" si="13">INDEX(CD:CD,$G2)</f>
        <v>4.9999999999999984E-3</v>
      </c>
      <c r="V2">
        <f t="shared" ref="V2:V30" si="14">INDEX(CE:CE,$G2)</f>
        <v>4.9999999999999984E-3</v>
      </c>
      <c r="W2">
        <f t="shared" ref="W2:W30" si="15">INDEX(CF:CF,$G2)</f>
        <v>4.9999999999999984E-3</v>
      </c>
      <c r="X2">
        <f t="shared" ref="X2:X30" si="16">INDEX(CG:CG,$G2)</f>
        <v>4.9999999999999984E-3</v>
      </c>
      <c r="Y2">
        <f t="shared" ref="Y2:Y30" si="17">INDEX(CH:CH,$G2)</f>
        <v>0</v>
      </c>
      <c r="Z2">
        <f t="shared" ref="Z2:Z30" si="18">INDEX(CI:CI,$G2)</f>
        <v>1.2E-2</v>
      </c>
      <c r="AA2">
        <f t="shared" ref="AA2:AA30" si="19">INDEX(CJ:CJ,$G2)</f>
        <v>4.2000000000000003E-2</v>
      </c>
      <c r="AB2">
        <f t="shared" ref="AB2:AB30" si="20">INDEX(CK:CK,$G2)</f>
        <v>4.2000000000000003E-2</v>
      </c>
      <c r="AC2">
        <f t="shared" ref="AC2:AC30" si="21">INDEX(CL:CL,$G2)</f>
        <v>1.1999999999999997E-2</v>
      </c>
      <c r="AD2">
        <f t="shared" ref="AD2:AD30" si="22">INDEX(CM:CM,$G2)</f>
        <v>1.1999999999999997E-2</v>
      </c>
      <c r="AE2">
        <f t="shared" ref="AE2:AE30" si="23">INDEX(CN:CN,$G2)</f>
        <v>1.1999999999999997E-2</v>
      </c>
      <c r="AF2">
        <f t="shared" ref="AF2:AF30" si="24">INDEX(CO:CO,$G2)</f>
        <v>1.1999999999999997E-2</v>
      </c>
      <c r="AG2">
        <f t="shared" ref="AG2:AG30" si="25">INDEX(CP:CP,$G2)</f>
        <v>4.0000000000000001E-3</v>
      </c>
      <c r="AH2">
        <f t="shared" ref="AH2:AH30" si="26">INDEX(CQ:CQ,$G2)</f>
        <v>4.0000000000000001E-3</v>
      </c>
      <c r="AI2">
        <f t="shared" ref="AI2:AI30" si="27">INDEX(CR:CR,$G2)</f>
        <v>4.0000000000000001E-3</v>
      </c>
      <c r="AJ2">
        <f t="shared" ref="AJ2:AJ30" si="28">INDEX(CS:CS,$G2)</f>
        <v>4.0000000000000001E-3</v>
      </c>
      <c r="AK2">
        <f t="shared" ref="AK2:AK30" si="29">INDEX(CT:CT,$G2)</f>
        <v>4.0000000000000001E-3</v>
      </c>
      <c r="AL2">
        <f t="shared" ref="AL2:AL30" si="30">INDEX(CU:CU,$G2)</f>
        <v>4.0000000000000001E-3</v>
      </c>
      <c r="AM2">
        <f t="shared" ref="AM2:AM30" si="31">INDEX(CV:CV,$G2)</f>
        <v>4.0000000000000001E-3</v>
      </c>
      <c r="AN2">
        <f t="shared" ref="AN2:AN30" si="32">INDEX(CW:CW,$G2)</f>
        <v>4.0000000000000001E-3</v>
      </c>
      <c r="AO2">
        <f t="shared" ref="AO2:AO30" si="33">INDEX(CX:CX,$G2)</f>
        <v>4.0000000000000001E-3</v>
      </c>
      <c r="AP2">
        <f t="shared" ref="AP2:AP30" si="34">INDEX(CY:CY,$G2)</f>
        <v>0</v>
      </c>
      <c r="AQ2">
        <f t="shared" ref="AQ2:AQ30" si="35">INDEX(CZ:CZ,$G2)</f>
        <v>5.000000000000001E-3</v>
      </c>
      <c r="AR2">
        <f t="shared" ref="AR2:AR30" si="36">INDEX(DA:DA,$G2)</f>
        <v>1.7500000000000002E-2</v>
      </c>
      <c r="AS2">
        <f t="shared" ref="AS2:AS30" si="37">INDEX(DB:DB,$G2)</f>
        <v>1.7500000000000002E-2</v>
      </c>
      <c r="AT2">
        <f t="shared" ref="AT2:AT30" si="38">INDEX(DC:DC,$G2)</f>
        <v>4.9999999999999975E-3</v>
      </c>
      <c r="AU2">
        <f t="shared" ref="AU2:AU30" si="39">INDEX(DD:DD,$G2)</f>
        <v>4.9999999999999975E-3</v>
      </c>
      <c r="AV2">
        <f t="shared" ref="AV2:AV30" si="40">INDEX(DE:DE,$G2)</f>
        <v>4.9999999999999975E-3</v>
      </c>
      <c r="AW2">
        <f t="shared" ref="AW2:AW30" si="41">INDEX(DF:DF,$G2)</f>
        <v>4.9999999999999975E-3</v>
      </c>
      <c r="AX2">
        <f t="shared" ref="AX2:AX30" si="42">INDEX(DG:DG,$G2)</f>
        <v>1.6666666666666681E-3</v>
      </c>
      <c r="AY2">
        <f t="shared" ref="AY2:AY30" si="43">INDEX(DH:DH,$G2)</f>
        <v>1.6666666666666681E-3</v>
      </c>
      <c r="AZ2">
        <f t="shared" ref="AZ2:AZ30" si="44">INDEX(DI:DI,$G2)</f>
        <v>1.6666666666666681E-3</v>
      </c>
      <c r="BA2">
        <f t="shared" ref="BA2:BA30" si="45">INDEX(DJ:DJ,$G2)</f>
        <v>1.6666666666666681E-3</v>
      </c>
      <c r="BB2">
        <f t="shared" ref="BB2:BB30" si="46">INDEX(DK:DK,$G2)</f>
        <v>1.6666666666666681E-3</v>
      </c>
      <c r="BC2">
        <f t="shared" ref="BC2:BC30" si="47">INDEX(DL:DL,$G2)</f>
        <v>1.6666666666666681E-3</v>
      </c>
      <c r="BD2">
        <f t="shared" ref="BD2:BD30" si="48">INDEX(DM:DM,$G2)</f>
        <v>1.6666666666666681E-3</v>
      </c>
      <c r="BE2">
        <f t="shared" ref="BE2:BE30" si="49">INDEX(DN:DN,$G2)</f>
        <v>1.6666666666666681E-3</v>
      </c>
      <c r="BF2">
        <f t="shared" ref="BF2:BF30" si="50">INDEX(DO:DO,$G2)</f>
        <v>1.6666666666666681E-3</v>
      </c>
      <c r="BG2">
        <f t="shared" ref="BG2:BG30" si="51">INDEX(DP:DP,$G2)</f>
        <v>0</v>
      </c>
      <c r="BR2" t="s">
        <v>1</v>
      </c>
      <c r="BS2" t="s">
        <v>2</v>
      </c>
      <c r="BT2" t="s">
        <v>3</v>
      </c>
      <c r="BU2" t="s">
        <v>4</v>
      </c>
      <c r="BV2" t="s">
        <v>5</v>
      </c>
      <c r="BW2" t="s">
        <v>6</v>
      </c>
      <c r="BX2" t="s">
        <v>7</v>
      </c>
      <c r="BY2" t="s">
        <v>8</v>
      </c>
      <c r="BZ2" t="s">
        <v>9</v>
      </c>
      <c r="CA2" t="s">
        <v>10</v>
      </c>
      <c r="CB2" t="s">
        <v>11</v>
      </c>
      <c r="CC2" t="s">
        <v>12</v>
      </c>
      <c r="CD2" t="s">
        <v>13</v>
      </c>
      <c r="CE2" t="s">
        <v>14</v>
      </c>
      <c r="CF2" t="s">
        <v>15</v>
      </c>
      <c r="CG2" t="s">
        <v>16</v>
      </c>
      <c r="CH2" t="s">
        <v>1377</v>
      </c>
      <c r="CI2" t="s">
        <v>1</v>
      </c>
      <c r="CJ2" t="s">
        <v>2</v>
      </c>
      <c r="CK2" t="s">
        <v>3</v>
      </c>
      <c r="CL2" t="s">
        <v>4</v>
      </c>
      <c r="CM2" t="s">
        <v>5</v>
      </c>
      <c r="CN2" t="s">
        <v>6</v>
      </c>
      <c r="CO2" t="s">
        <v>7</v>
      </c>
      <c r="CP2" t="s">
        <v>8</v>
      </c>
      <c r="CQ2" t="s">
        <v>9</v>
      </c>
      <c r="CR2" t="s">
        <v>10</v>
      </c>
      <c r="CS2" t="s">
        <v>11</v>
      </c>
      <c r="CT2" t="s">
        <v>12</v>
      </c>
      <c r="CU2" t="s">
        <v>13</v>
      </c>
      <c r="CV2" t="s">
        <v>14</v>
      </c>
      <c r="CW2" t="s">
        <v>15</v>
      </c>
      <c r="CX2" t="s">
        <v>16</v>
      </c>
      <c r="CY2" t="s">
        <v>1377</v>
      </c>
      <c r="CZ2" t="s">
        <v>1</v>
      </c>
      <c r="DA2" t="s">
        <v>2</v>
      </c>
      <c r="DB2" t="s">
        <v>3</v>
      </c>
      <c r="DC2" t="s">
        <v>4</v>
      </c>
      <c r="DD2" t="s">
        <v>5</v>
      </c>
      <c r="DE2" t="s">
        <v>6</v>
      </c>
      <c r="DF2" t="s">
        <v>7</v>
      </c>
      <c r="DG2" t="s">
        <v>8</v>
      </c>
      <c r="DH2" t="s">
        <v>9</v>
      </c>
      <c r="DI2" t="s">
        <v>10</v>
      </c>
      <c r="DJ2" t="s">
        <v>11</v>
      </c>
      <c r="DK2" t="s">
        <v>12</v>
      </c>
      <c r="DL2" t="s">
        <v>13</v>
      </c>
      <c r="DM2" t="s">
        <v>14</v>
      </c>
      <c r="DN2" t="s">
        <v>15</v>
      </c>
      <c r="DO2" t="s">
        <v>16</v>
      </c>
    </row>
    <row r="3" spans="1:119">
      <c r="C3" t="s">
        <v>1353</v>
      </c>
      <c r="E3" t="s">
        <v>1162</v>
      </c>
      <c r="F3" t="str">
        <f>INDEX('Data Interface'!C:C,MATCH(E3,'Data Interface'!B:B,0))</f>
        <v>Due to Affiliate - Demand - Non-US</v>
      </c>
      <c r="G3">
        <f t="shared" si="0"/>
        <v>339</v>
      </c>
      <c r="I3">
        <f t="shared" si="1"/>
        <v>1.4999999999999999E-2</v>
      </c>
      <c r="J3">
        <f t="shared" si="2"/>
        <v>5.2499999999999998E-2</v>
      </c>
      <c r="K3">
        <f t="shared" si="3"/>
        <v>5.2499999999999998E-2</v>
      </c>
      <c r="L3">
        <f t="shared" si="4"/>
        <v>1.4999999999999999E-2</v>
      </c>
      <c r="M3">
        <f t="shared" si="5"/>
        <v>1.4999999999999999E-2</v>
      </c>
      <c r="N3">
        <f t="shared" si="6"/>
        <v>1.4999999999999999E-2</v>
      </c>
      <c r="O3">
        <f t="shared" si="7"/>
        <v>1.4999999999999999E-2</v>
      </c>
      <c r="P3">
        <f t="shared" si="8"/>
        <v>4.9999999999999984E-3</v>
      </c>
      <c r="Q3">
        <f t="shared" si="9"/>
        <v>4.9999999999999984E-3</v>
      </c>
      <c r="R3">
        <f t="shared" si="10"/>
        <v>4.9999999999999984E-3</v>
      </c>
      <c r="S3">
        <f t="shared" si="11"/>
        <v>4.9999999999999984E-3</v>
      </c>
      <c r="T3">
        <f t="shared" si="12"/>
        <v>4.9999999999999984E-3</v>
      </c>
      <c r="U3">
        <f t="shared" si="13"/>
        <v>4.9999999999999984E-3</v>
      </c>
      <c r="V3">
        <f t="shared" si="14"/>
        <v>4.9999999999999984E-3</v>
      </c>
      <c r="W3">
        <f t="shared" si="15"/>
        <v>4.9999999999999984E-3</v>
      </c>
      <c r="X3">
        <f t="shared" si="16"/>
        <v>4.9999999999999984E-3</v>
      </c>
      <c r="Y3">
        <f t="shared" si="17"/>
        <v>0</v>
      </c>
      <c r="Z3">
        <f t="shared" si="18"/>
        <v>1.2E-2</v>
      </c>
      <c r="AA3">
        <f t="shared" si="19"/>
        <v>4.2000000000000003E-2</v>
      </c>
      <c r="AB3">
        <f t="shared" si="20"/>
        <v>4.2000000000000003E-2</v>
      </c>
      <c r="AC3">
        <f t="shared" si="21"/>
        <v>1.1999999999999997E-2</v>
      </c>
      <c r="AD3">
        <f t="shared" si="22"/>
        <v>1.1999999999999997E-2</v>
      </c>
      <c r="AE3">
        <f t="shared" si="23"/>
        <v>1.1999999999999997E-2</v>
      </c>
      <c r="AF3">
        <f t="shared" si="24"/>
        <v>1.1999999999999997E-2</v>
      </c>
      <c r="AG3">
        <f t="shared" si="25"/>
        <v>4.0000000000000001E-3</v>
      </c>
      <c r="AH3">
        <f t="shared" si="26"/>
        <v>4.0000000000000001E-3</v>
      </c>
      <c r="AI3">
        <f t="shared" si="27"/>
        <v>4.0000000000000001E-3</v>
      </c>
      <c r="AJ3">
        <f t="shared" si="28"/>
        <v>4.0000000000000001E-3</v>
      </c>
      <c r="AK3">
        <f t="shared" si="29"/>
        <v>4.0000000000000001E-3</v>
      </c>
      <c r="AL3">
        <f t="shared" si="30"/>
        <v>4.0000000000000001E-3</v>
      </c>
      <c r="AM3">
        <f t="shared" si="31"/>
        <v>4.0000000000000001E-3</v>
      </c>
      <c r="AN3">
        <f t="shared" si="32"/>
        <v>4.0000000000000001E-3</v>
      </c>
      <c r="AO3">
        <f t="shared" si="33"/>
        <v>4.0000000000000001E-3</v>
      </c>
      <c r="AP3">
        <f t="shared" si="34"/>
        <v>0</v>
      </c>
      <c r="AQ3">
        <f t="shared" si="35"/>
        <v>5.000000000000001E-3</v>
      </c>
      <c r="AR3">
        <f t="shared" si="36"/>
        <v>1.7500000000000002E-2</v>
      </c>
      <c r="AS3">
        <f t="shared" si="37"/>
        <v>1.7500000000000002E-2</v>
      </c>
      <c r="AT3">
        <f t="shared" si="38"/>
        <v>4.9999999999999975E-3</v>
      </c>
      <c r="AU3">
        <f t="shared" si="39"/>
        <v>4.9999999999999975E-3</v>
      </c>
      <c r="AV3">
        <f t="shared" si="40"/>
        <v>4.9999999999999975E-3</v>
      </c>
      <c r="AW3">
        <f t="shared" si="41"/>
        <v>4.9999999999999975E-3</v>
      </c>
      <c r="AX3">
        <f t="shared" si="42"/>
        <v>1.6666666666666681E-3</v>
      </c>
      <c r="AY3">
        <f t="shared" si="43"/>
        <v>1.6666666666666681E-3</v>
      </c>
      <c r="AZ3">
        <f t="shared" si="44"/>
        <v>1.6666666666666681E-3</v>
      </c>
      <c r="BA3">
        <f t="shared" si="45"/>
        <v>1.6666666666666681E-3</v>
      </c>
      <c r="BB3">
        <f t="shared" si="46"/>
        <v>1.6666666666666681E-3</v>
      </c>
      <c r="BC3">
        <f t="shared" si="47"/>
        <v>1.6666666666666681E-3</v>
      </c>
      <c r="BD3">
        <f t="shared" si="48"/>
        <v>1.6666666666666681E-3</v>
      </c>
      <c r="BE3">
        <f t="shared" si="49"/>
        <v>1.6666666666666681E-3</v>
      </c>
      <c r="BF3">
        <f t="shared" si="50"/>
        <v>1.6666666666666681E-3</v>
      </c>
      <c r="BG3">
        <f t="shared" si="51"/>
        <v>0</v>
      </c>
      <c r="BI3" t="str">
        <f t="shared" ref="BI3:BI16" si="52">BJ3&amp;BK3&amp;BM3</f>
        <v>426741000790IB</v>
      </c>
      <c r="BJ3" s="426">
        <v>42674</v>
      </c>
      <c r="BK3" t="s">
        <v>1358</v>
      </c>
      <c r="BL3" t="s">
        <v>1371</v>
      </c>
      <c r="BM3" t="s">
        <v>1354</v>
      </c>
      <c r="BN3" s="438">
        <v>2</v>
      </c>
      <c r="BO3" s="438">
        <v>1</v>
      </c>
      <c r="BR3" s="720">
        <v>2.4E-2</v>
      </c>
      <c r="BS3" s="720">
        <v>8.4000000000000005E-2</v>
      </c>
      <c r="BT3" s="720">
        <v>8.4000000000000005E-2</v>
      </c>
      <c r="BU3" s="720">
        <v>2.3999999999999994E-2</v>
      </c>
      <c r="BV3" s="720">
        <v>2.3999999999999994E-2</v>
      </c>
      <c r="BW3" s="720">
        <v>2.3999999999999994E-2</v>
      </c>
      <c r="BX3" s="720">
        <v>2.3999999999999994E-2</v>
      </c>
      <c r="BY3" s="720">
        <v>8.0000000000000002E-3</v>
      </c>
      <c r="BZ3" s="720">
        <v>8.0000000000000002E-3</v>
      </c>
      <c r="CA3" s="720">
        <v>8.0000000000000002E-3</v>
      </c>
      <c r="CB3" s="720">
        <v>8.0000000000000002E-3</v>
      </c>
      <c r="CC3" s="720">
        <v>8.0000000000000002E-3</v>
      </c>
      <c r="CD3" s="720">
        <v>8.0000000000000002E-3</v>
      </c>
      <c r="CE3" s="720">
        <v>8.0000000000000002E-3</v>
      </c>
      <c r="CF3" s="720">
        <v>8.0000000000000002E-3</v>
      </c>
      <c r="CG3" s="720">
        <v>8.0000000000000002E-3</v>
      </c>
      <c r="CH3" s="720"/>
      <c r="CI3" s="720">
        <v>6.0000000000000001E-3</v>
      </c>
      <c r="CJ3" s="720">
        <v>2.1000000000000001E-2</v>
      </c>
      <c r="CK3" s="720">
        <v>2.1000000000000001E-2</v>
      </c>
      <c r="CL3" s="720">
        <v>5.9999999999999984E-3</v>
      </c>
      <c r="CM3" s="720">
        <v>5.9999999999999984E-3</v>
      </c>
      <c r="CN3" s="720">
        <v>5.9999999999999984E-3</v>
      </c>
      <c r="CO3" s="720">
        <v>5.9999999999999984E-3</v>
      </c>
      <c r="CP3" s="720">
        <v>2E-3</v>
      </c>
      <c r="CQ3" s="720">
        <v>2E-3</v>
      </c>
      <c r="CR3" s="720">
        <v>2E-3</v>
      </c>
      <c r="CS3" s="720">
        <v>2E-3</v>
      </c>
      <c r="CT3" s="720">
        <v>2E-3</v>
      </c>
      <c r="CU3" s="720">
        <v>2E-3</v>
      </c>
      <c r="CV3" s="720">
        <v>2E-3</v>
      </c>
      <c r="CW3" s="720">
        <v>2E-3</v>
      </c>
      <c r="CX3" s="720">
        <v>2E-3</v>
      </c>
      <c r="CY3" s="720"/>
      <c r="CZ3" s="720">
        <v>2.0000000000000004E-2</v>
      </c>
      <c r="DA3" s="720">
        <v>7.0000000000000007E-2</v>
      </c>
      <c r="DB3" s="720">
        <v>7.0000000000000007E-2</v>
      </c>
      <c r="DC3" s="720">
        <v>1.999999999999999E-2</v>
      </c>
      <c r="DD3" s="720">
        <v>1.999999999999999E-2</v>
      </c>
      <c r="DE3" s="720">
        <v>1.999999999999999E-2</v>
      </c>
      <c r="DF3" s="720">
        <v>1.999999999999999E-2</v>
      </c>
      <c r="DG3" s="720">
        <v>6.6666666666666723E-3</v>
      </c>
      <c r="DH3" s="720">
        <v>6.6666666666666723E-3</v>
      </c>
      <c r="DI3" s="720">
        <v>6.6666666666666723E-3</v>
      </c>
      <c r="DJ3" s="720">
        <v>6.6666666666666723E-3</v>
      </c>
      <c r="DK3" s="720">
        <v>6.6666666666666723E-3</v>
      </c>
      <c r="DL3" s="720">
        <v>6.6666666666666723E-3</v>
      </c>
      <c r="DM3" s="720">
        <v>6.6666666666666723E-3</v>
      </c>
      <c r="DN3" s="720">
        <v>6.6666666666666723E-3</v>
      </c>
      <c r="DO3" s="720">
        <v>6.6666666666666723E-3</v>
      </c>
    </row>
    <row r="4" spans="1:119">
      <c r="C4" t="s">
        <v>1353</v>
      </c>
      <c r="E4" t="s">
        <v>1163</v>
      </c>
      <c r="F4" t="str">
        <f>INDEX('Data Interface'!C:C,MATCH(E4,'Data Interface'!B:B,0))</f>
        <v>Due to Affiliate - Investment - US</v>
      </c>
      <c r="G4">
        <f t="shared" si="0"/>
        <v>339</v>
      </c>
      <c r="I4">
        <f t="shared" si="1"/>
        <v>1.4999999999999999E-2</v>
      </c>
      <c r="J4">
        <f t="shared" si="2"/>
        <v>5.2499999999999998E-2</v>
      </c>
      <c r="K4">
        <f t="shared" si="3"/>
        <v>5.2499999999999998E-2</v>
      </c>
      <c r="L4">
        <f t="shared" si="4"/>
        <v>1.4999999999999999E-2</v>
      </c>
      <c r="M4">
        <f t="shared" si="5"/>
        <v>1.4999999999999999E-2</v>
      </c>
      <c r="N4">
        <f t="shared" si="6"/>
        <v>1.4999999999999999E-2</v>
      </c>
      <c r="O4">
        <f t="shared" si="7"/>
        <v>1.4999999999999999E-2</v>
      </c>
      <c r="P4">
        <f t="shared" si="8"/>
        <v>4.9999999999999984E-3</v>
      </c>
      <c r="Q4">
        <f t="shared" si="9"/>
        <v>4.9999999999999984E-3</v>
      </c>
      <c r="R4">
        <f t="shared" si="10"/>
        <v>4.9999999999999984E-3</v>
      </c>
      <c r="S4">
        <f t="shared" si="11"/>
        <v>4.9999999999999984E-3</v>
      </c>
      <c r="T4">
        <f t="shared" si="12"/>
        <v>4.9999999999999984E-3</v>
      </c>
      <c r="U4">
        <f t="shared" si="13"/>
        <v>4.9999999999999984E-3</v>
      </c>
      <c r="V4">
        <f t="shared" si="14"/>
        <v>4.9999999999999984E-3</v>
      </c>
      <c r="W4">
        <f t="shared" si="15"/>
        <v>4.9999999999999984E-3</v>
      </c>
      <c r="X4">
        <f t="shared" si="16"/>
        <v>4.9999999999999984E-3</v>
      </c>
      <c r="Y4">
        <f t="shared" si="17"/>
        <v>0</v>
      </c>
      <c r="Z4">
        <f t="shared" si="18"/>
        <v>1.2E-2</v>
      </c>
      <c r="AA4">
        <f t="shared" si="19"/>
        <v>4.2000000000000003E-2</v>
      </c>
      <c r="AB4">
        <f t="shared" si="20"/>
        <v>4.2000000000000003E-2</v>
      </c>
      <c r="AC4">
        <f t="shared" si="21"/>
        <v>1.1999999999999997E-2</v>
      </c>
      <c r="AD4">
        <f t="shared" si="22"/>
        <v>1.1999999999999997E-2</v>
      </c>
      <c r="AE4">
        <f t="shared" si="23"/>
        <v>1.1999999999999997E-2</v>
      </c>
      <c r="AF4">
        <f t="shared" si="24"/>
        <v>1.1999999999999997E-2</v>
      </c>
      <c r="AG4">
        <f t="shared" si="25"/>
        <v>4.0000000000000001E-3</v>
      </c>
      <c r="AH4">
        <f t="shared" si="26"/>
        <v>4.0000000000000001E-3</v>
      </c>
      <c r="AI4">
        <f t="shared" si="27"/>
        <v>4.0000000000000001E-3</v>
      </c>
      <c r="AJ4">
        <f t="shared" si="28"/>
        <v>4.0000000000000001E-3</v>
      </c>
      <c r="AK4">
        <f t="shared" si="29"/>
        <v>4.0000000000000001E-3</v>
      </c>
      <c r="AL4">
        <f t="shared" si="30"/>
        <v>4.0000000000000001E-3</v>
      </c>
      <c r="AM4">
        <f t="shared" si="31"/>
        <v>4.0000000000000001E-3</v>
      </c>
      <c r="AN4">
        <f t="shared" si="32"/>
        <v>4.0000000000000001E-3</v>
      </c>
      <c r="AO4">
        <f t="shared" si="33"/>
        <v>4.0000000000000001E-3</v>
      </c>
      <c r="AP4">
        <f t="shared" si="34"/>
        <v>0</v>
      </c>
      <c r="AQ4">
        <f t="shared" si="35"/>
        <v>5.000000000000001E-3</v>
      </c>
      <c r="AR4">
        <f t="shared" si="36"/>
        <v>1.7500000000000002E-2</v>
      </c>
      <c r="AS4">
        <f t="shared" si="37"/>
        <v>1.7500000000000002E-2</v>
      </c>
      <c r="AT4">
        <f t="shared" si="38"/>
        <v>4.9999999999999975E-3</v>
      </c>
      <c r="AU4">
        <f t="shared" si="39"/>
        <v>4.9999999999999975E-3</v>
      </c>
      <c r="AV4">
        <f t="shared" si="40"/>
        <v>4.9999999999999975E-3</v>
      </c>
      <c r="AW4">
        <f t="shared" si="41"/>
        <v>4.9999999999999975E-3</v>
      </c>
      <c r="AX4">
        <f t="shared" si="42"/>
        <v>1.6666666666666681E-3</v>
      </c>
      <c r="AY4">
        <f t="shared" si="43"/>
        <v>1.6666666666666681E-3</v>
      </c>
      <c r="AZ4">
        <f t="shared" si="44"/>
        <v>1.6666666666666681E-3</v>
      </c>
      <c r="BA4">
        <f t="shared" si="45"/>
        <v>1.6666666666666681E-3</v>
      </c>
      <c r="BB4">
        <f t="shared" si="46"/>
        <v>1.6666666666666681E-3</v>
      </c>
      <c r="BC4">
        <f t="shared" si="47"/>
        <v>1.6666666666666681E-3</v>
      </c>
      <c r="BD4">
        <f t="shared" si="48"/>
        <v>1.6666666666666681E-3</v>
      </c>
      <c r="BE4">
        <f t="shared" si="49"/>
        <v>1.6666666666666681E-3</v>
      </c>
      <c r="BF4">
        <f t="shared" si="50"/>
        <v>1.6666666666666681E-3</v>
      </c>
      <c r="BG4">
        <f t="shared" si="51"/>
        <v>0</v>
      </c>
      <c r="BI4" t="str">
        <f t="shared" si="52"/>
        <v>426741126198FI</v>
      </c>
      <c r="BJ4" s="426">
        <v>42674</v>
      </c>
      <c r="BK4" t="s">
        <v>1359</v>
      </c>
      <c r="BL4" t="s">
        <v>1367</v>
      </c>
      <c r="BM4" t="s">
        <v>1355</v>
      </c>
      <c r="BN4" s="438">
        <v>2</v>
      </c>
      <c r="BO4" s="438">
        <v>0.40783074542666675</v>
      </c>
      <c r="BR4" s="720">
        <v>0.15614348135063999</v>
      </c>
      <c r="BS4" s="720">
        <v>0.29305374376985338</v>
      </c>
      <c r="BT4" s="720">
        <v>0.29305374376985338</v>
      </c>
      <c r="BU4" s="720">
        <v>1.8760214289626653E-2</v>
      </c>
      <c r="BV4" s="720">
        <v>1.8760214289626653E-2</v>
      </c>
      <c r="BW4" s="720">
        <v>1.8760214289626653E-2</v>
      </c>
      <c r="BX4" s="720">
        <v>1.8760214289626653E-2</v>
      </c>
      <c r="BY4" s="720">
        <v>6.2534047632088908E-3</v>
      </c>
      <c r="BZ4" s="720">
        <v>6.2534047632088908E-3</v>
      </c>
      <c r="CA4" s="720">
        <v>6.2534047632088908E-3</v>
      </c>
      <c r="CB4" s="720">
        <v>6.2534047632088908E-3</v>
      </c>
      <c r="CC4" s="720">
        <v>6.2534047632088908E-3</v>
      </c>
      <c r="CD4" s="720">
        <v>6.2534047632088908E-3</v>
      </c>
      <c r="CE4" s="720">
        <v>6.2534047632088908E-3</v>
      </c>
      <c r="CF4" s="720">
        <v>6.2534047632088908E-3</v>
      </c>
      <c r="CG4" s="720">
        <v>6.2534047632088908E-3</v>
      </c>
      <c r="CH4" s="720"/>
      <c r="CI4" s="720">
        <v>0.14659046582320001</v>
      </c>
      <c r="CJ4" s="720">
        <v>0.28804231364333333</v>
      </c>
      <c r="CK4" s="720">
        <v>0.28804231364333333</v>
      </c>
      <c r="CL4" s="720">
        <v>1.6313229817066621E-2</v>
      </c>
      <c r="CM4" s="720">
        <v>1.6313229817066621E-2</v>
      </c>
      <c r="CN4" s="720">
        <v>1.6313229817066677E-2</v>
      </c>
      <c r="CO4" s="720">
        <v>1.6313229817066677E-2</v>
      </c>
      <c r="CP4" s="720">
        <v>5.4377432723555653E-3</v>
      </c>
      <c r="CQ4" s="720">
        <v>5.4377432723555653E-3</v>
      </c>
      <c r="CR4" s="720">
        <v>5.4377432723555653E-3</v>
      </c>
      <c r="CS4" s="720">
        <v>5.4377432723555653E-3</v>
      </c>
      <c r="CT4" s="720">
        <v>5.4377432723555653E-3</v>
      </c>
      <c r="CU4" s="720">
        <v>5.4377432723555653E-3</v>
      </c>
      <c r="CV4" s="720">
        <v>5.4377432723555653E-3</v>
      </c>
      <c r="CW4" s="720">
        <v>5.4377432723555653E-3</v>
      </c>
      <c r="CX4" s="720">
        <v>5.4377432723555653E-3</v>
      </c>
      <c r="CY4" s="720"/>
      <c r="CZ4" s="720">
        <v>7.1451847820133335E-2</v>
      </c>
      <c r="DA4" s="720">
        <v>0.16125607918446666</v>
      </c>
      <c r="DB4" s="720">
        <v>0.16125607918446666</v>
      </c>
      <c r="DC4" s="720">
        <v>1.2234922362800021E-2</v>
      </c>
      <c r="DD4" s="720">
        <v>1.2234922362800021E-2</v>
      </c>
      <c r="DE4" s="720">
        <v>4.1843385091466623E-2</v>
      </c>
      <c r="DF4" s="720">
        <v>4.1843385091466623E-2</v>
      </c>
      <c r="DG4" s="720">
        <v>1.3947795030488893E-2</v>
      </c>
      <c r="DH4" s="720">
        <v>1.3947795030488893E-2</v>
      </c>
      <c r="DI4" s="720">
        <v>1.3947795030488893E-2</v>
      </c>
      <c r="DJ4" s="720">
        <v>1.3947795030488893E-2</v>
      </c>
      <c r="DK4" s="720">
        <v>1.3947795030488893E-2</v>
      </c>
      <c r="DL4" s="720">
        <v>1.3947795030488893E-2</v>
      </c>
      <c r="DM4" s="720">
        <v>1.3947795030488893E-2</v>
      </c>
      <c r="DN4" s="720">
        <v>1.3947795030488893E-2</v>
      </c>
      <c r="DO4" s="720">
        <v>1.3947795030488893E-2</v>
      </c>
    </row>
    <row r="5" spans="1:119">
      <c r="C5" t="s">
        <v>1353</v>
      </c>
      <c r="E5" t="s">
        <v>1164</v>
      </c>
      <c r="F5" t="str">
        <f>INDEX('Data Interface'!C:C,MATCH(E5,'Data Interface'!B:B,0))</f>
        <v>Due to Affiliate - Draft</v>
      </c>
      <c r="G5">
        <f t="shared" si="0"/>
        <v>339</v>
      </c>
      <c r="I5">
        <f t="shared" si="1"/>
        <v>1.4999999999999999E-2</v>
      </c>
      <c r="J5">
        <f t="shared" si="2"/>
        <v>5.2499999999999998E-2</v>
      </c>
      <c r="K5">
        <f t="shared" si="3"/>
        <v>5.2499999999999998E-2</v>
      </c>
      <c r="L5">
        <f t="shared" si="4"/>
        <v>1.4999999999999999E-2</v>
      </c>
      <c r="M5">
        <f t="shared" si="5"/>
        <v>1.4999999999999999E-2</v>
      </c>
      <c r="N5">
        <f t="shared" si="6"/>
        <v>1.4999999999999999E-2</v>
      </c>
      <c r="O5">
        <f t="shared" si="7"/>
        <v>1.4999999999999999E-2</v>
      </c>
      <c r="P5">
        <f t="shared" si="8"/>
        <v>4.9999999999999984E-3</v>
      </c>
      <c r="Q5">
        <f t="shared" si="9"/>
        <v>4.9999999999999984E-3</v>
      </c>
      <c r="R5">
        <f t="shared" si="10"/>
        <v>4.9999999999999984E-3</v>
      </c>
      <c r="S5">
        <f t="shared" si="11"/>
        <v>4.9999999999999984E-3</v>
      </c>
      <c r="T5">
        <f t="shared" si="12"/>
        <v>4.9999999999999984E-3</v>
      </c>
      <c r="U5">
        <f t="shared" si="13"/>
        <v>4.9999999999999984E-3</v>
      </c>
      <c r="V5">
        <f t="shared" si="14"/>
        <v>4.9999999999999984E-3</v>
      </c>
      <c r="W5">
        <f t="shared" si="15"/>
        <v>4.9999999999999984E-3</v>
      </c>
      <c r="X5">
        <f t="shared" si="16"/>
        <v>4.9999999999999984E-3</v>
      </c>
      <c r="Y5">
        <f t="shared" si="17"/>
        <v>0</v>
      </c>
      <c r="Z5">
        <f t="shared" si="18"/>
        <v>1.2E-2</v>
      </c>
      <c r="AA5">
        <f t="shared" si="19"/>
        <v>4.2000000000000003E-2</v>
      </c>
      <c r="AB5">
        <f t="shared" si="20"/>
        <v>4.2000000000000003E-2</v>
      </c>
      <c r="AC5">
        <f t="shared" si="21"/>
        <v>1.1999999999999997E-2</v>
      </c>
      <c r="AD5">
        <f t="shared" si="22"/>
        <v>1.1999999999999997E-2</v>
      </c>
      <c r="AE5">
        <f t="shared" si="23"/>
        <v>1.1999999999999997E-2</v>
      </c>
      <c r="AF5">
        <f t="shared" si="24"/>
        <v>1.1999999999999997E-2</v>
      </c>
      <c r="AG5">
        <f t="shared" si="25"/>
        <v>4.0000000000000001E-3</v>
      </c>
      <c r="AH5">
        <f t="shared" si="26"/>
        <v>4.0000000000000001E-3</v>
      </c>
      <c r="AI5">
        <f t="shared" si="27"/>
        <v>4.0000000000000001E-3</v>
      </c>
      <c r="AJ5">
        <f t="shared" si="28"/>
        <v>4.0000000000000001E-3</v>
      </c>
      <c r="AK5">
        <f t="shared" si="29"/>
        <v>4.0000000000000001E-3</v>
      </c>
      <c r="AL5">
        <f t="shared" si="30"/>
        <v>4.0000000000000001E-3</v>
      </c>
      <c r="AM5">
        <f t="shared" si="31"/>
        <v>4.0000000000000001E-3</v>
      </c>
      <c r="AN5">
        <f t="shared" si="32"/>
        <v>4.0000000000000001E-3</v>
      </c>
      <c r="AO5">
        <f t="shared" si="33"/>
        <v>4.0000000000000001E-3</v>
      </c>
      <c r="AP5">
        <f t="shared" si="34"/>
        <v>0</v>
      </c>
      <c r="AQ5">
        <f t="shared" si="35"/>
        <v>5.000000000000001E-3</v>
      </c>
      <c r="AR5">
        <f t="shared" si="36"/>
        <v>1.7500000000000002E-2</v>
      </c>
      <c r="AS5">
        <f t="shared" si="37"/>
        <v>1.7500000000000002E-2</v>
      </c>
      <c r="AT5">
        <f t="shared" si="38"/>
        <v>4.9999999999999975E-3</v>
      </c>
      <c r="AU5">
        <f t="shared" si="39"/>
        <v>4.9999999999999975E-3</v>
      </c>
      <c r="AV5">
        <f t="shared" si="40"/>
        <v>4.9999999999999975E-3</v>
      </c>
      <c r="AW5">
        <f t="shared" si="41"/>
        <v>4.9999999999999975E-3</v>
      </c>
      <c r="AX5">
        <f t="shared" si="42"/>
        <v>1.6666666666666681E-3</v>
      </c>
      <c r="AY5">
        <f t="shared" si="43"/>
        <v>1.6666666666666681E-3</v>
      </c>
      <c r="AZ5">
        <f t="shared" si="44"/>
        <v>1.6666666666666681E-3</v>
      </c>
      <c r="BA5">
        <f t="shared" si="45"/>
        <v>1.6666666666666681E-3</v>
      </c>
      <c r="BB5">
        <f t="shared" si="46"/>
        <v>1.6666666666666681E-3</v>
      </c>
      <c r="BC5">
        <f t="shared" si="47"/>
        <v>1.6666666666666681E-3</v>
      </c>
      <c r="BD5">
        <f t="shared" si="48"/>
        <v>1.6666666666666681E-3</v>
      </c>
      <c r="BE5">
        <f t="shared" si="49"/>
        <v>1.6666666666666681E-3</v>
      </c>
      <c r="BF5">
        <f t="shared" si="50"/>
        <v>1.6666666666666681E-3</v>
      </c>
      <c r="BG5">
        <f t="shared" si="51"/>
        <v>0</v>
      </c>
      <c r="BI5" t="str">
        <f t="shared" si="52"/>
        <v>426741030623FI</v>
      </c>
      <c r="BJ5" s="426">
        <v>42674</v>
      </c>
      <c r="BK5" t="s">
        <v>1360</v>
      </c>
      <c r="BL5" t="s">
        <v>1369</v>
      </c>
      <c r="BM5" t="s">
        <v>1355</v>
      </c>
      <c r="BN5" s="438">
        <v>2</v>
      </c>
      <c r="BO5" s="438">
        <v>1</v>
      </c>
      <c r="BR5" s="720">
        <v>4.6000000000000006E-2</v>
      </c>
      <c r="BS5" s="720">
        <v>0.16100000000000003</v>
      </c>
      <c r="BT5" s="720">
        <v>0.16100000000000003</v>
      </c>
      <c r="BU5" s="720">
        <v>4.5999999999999985E-2</v>
      </c>
      <c r="BV5" s="720">
        <v>4.5999999999999985E-2</v>
      </c>
      <c r="BW5" s="720">
        <v>4.6000000000000013E-2</v>
      </c>
      <c r="BX5" s="720">
        <v>4.6000000000000013E-2</v>
      </c>
      <c r="BY5" s="720">
        <v>1.5333333333333334E-2</v>
      </c>
      <c r="BZ5" s="720">
        <v>1.5333333333333334E-2</v>
      </c>
      <c r="CA5" s="720">
        <v>1.5333333333333334E-2</v>
      </c>
      <c r="CB5" s="720">
        <v>1.5333333333333334E-2</v>
      </c>
      <c r="CC5" s="720">
        <v>1.5333333333333334E-2</v>
      </c>
      <c r="CD5" s="720">
        <v>1.5333333333333334E-2</v>
      </c>
      <c r="CE5" s="720">
        <v>1.5333333333333334E-2</v>
      </c>
      <c r="CF5" s="720">
        <v>1.5333333333333334E-2</v>
      </c>
      <c r="CG5" s="720">
        <v>1.5333333333333334E-2</v>
      </c>
      <c r="CH5" s="720"/>
      <c r="CI5" s="720">
        <v>4.0000000000000008E-2</v>
      </c>
      <c r="CJ5" s="720">
        <v>0.14000000000000001</v>
      </c>
      <c r="CK5" s="720">
        <v>0.14000000000000001</v>
      </c>
      <c r="CL5" s="720">
        <v>3.999999999999998E-2</v>
      </c>
      <c r="CM5" s="720">
        <v>3.999999999999998E-2</v>
      </c>
      <c r="CN5" s="720">
        <v>3.999999999999998E-2</v>
      </c>
      <c r="CO5" s="720">
        <v>3.999999999999998E-2</v>
      </c>
      <c r="CP5" s="720">
        <v>1.3333333333333345E-2</v>
      </c>
      <c r="CQ5" s="720">
        <v>1.3333333333333345E-2</v>
      </c>
      <c r="CR5" s="720">
        <v>1.3333333333333345E-2</v>
      </c>
      <c r="CS5" s="720">
        <v>1.3333333333333345E-2</v>
      </c>
      <c r="CT5" s="720">
        <v>1.3333333333333345E-2</v>
      </c>
      <c r="CU5" s="720">
        <v>1.3333333333333345E-2</v>
      </c>
      <c r="CV5" s="720">
        <v>1.3333333333333345E-2</v>
      </c>
      <c r="CW5" s="720">
        <v>1.3333333333333345E-2</v>
      </c>
      <c r="CX5" s="720">
        <v>1.3333333333333345E-2</v>
      </c>
      <c r="CY5" s="720"/>
      <c r="CZ5" s="720">
        <v>0.03</v>
      </c>
      <c r="DA5" s="720">
        <v>0.105</v>
      </c>
      <c r="DB5" s="720">
        <v>0.105</v>
      </c>
      <c r="DC5" s="720">
        <v>0.03</v>
      </c>
      <c r="DD5" s="720">
        <v>0.03</v>
      </c>
      <c r="DE5" s="720">
        <v>0.03</v>
      </c>
      <c r="DF5" s="720">
        <v>0.03</v>
      </c>
      <c r="DG5" s="720">
        <v>9.9999999999999967E-3</v>
      </c>
      <c r="DH5" s="720">
        <v>9.9999999999999967E-3</v>
      </c>
      <c r="DI5" s="720">
        <v>9.9999999999999967E-3</v>
      </c>
      <c r="DJ5" s="720">
        <v>9.9999999999999967E-3</v>
      </c>
      <c r="DK5" s="720">
        <v>9.9999999999999967E-3</v>
      </c>
      <c r="DL5" s="720">
        <v>9.9999999999999967E-3</v>
      </c>
      <c r="DM5" s="720">
        <v>9.9999999999999967E-3</v>
      </c>
      <c r="DN5" s="720">
        <v>9.9999999999999967E-3</v>
      </c>
      <c r="DO5" s="720">
        <v>9.9999999999999967E-3</v>
      </c>
    </row>
    <row r="6" spans="1:119">
      <c r="C6" t="s">
        <v>1354</v>
      </c>
      <c r="E6" t="s">
        <v>994</v>
      </c>
      <c r="F6" t="str">
        <f>INDEX('Data Interface'!C:C,MATCH(E6,'Data Interface'!B:B,0))</f>
        <v>Due to Interbranch - Demand</v>
      </c>
      <c r="G6">
        <f t="shared" si="0"/>
        <v>338</v>
      </c>
      <c r="I6">
        <f t="shared" si="1"/>
        <v>1.2E-2</v>
      </c>
      <c r="J6">
        <f t="shared" si="2"/>
        <v>4.2000000000000003E-2</v>
      </c>
      <c r="K6">
        <f t="shared" si="3"/>
        <v>4.2000000000000003E-2</v>
      </c>
      <c r="L6">
        <f t="shared" si="4"/>
        <v>1.1999999999999997E-2</v>
      </c>
      <c r="M6">
        <f t="shared" si="5"/>
        <v>1.1999999999999997E-2</v>
      </c>
      <c r="N6">
        <f t="shared" si="6"/>
        <v>1.1999999999999997E-2</v>
      </c>
      <c r="O6">
        <f t="shared" si="7"/>
        <v>1.1999999999999997E-2</v>
      </c>
      <c r="P6">
        <f t="shared" si="8"/>
        <v>4.0000000000000001E-3</v>
      </c>
      <c r="Q6">
        <f t="shared" si="9"/>
        <v>4.0000000000000001E-3</v>
      </c>
      <c r="R6">
        <f t="shared" si="10"/>
        <v>4.0000000000000001E-3</v>
      </c>
      <c r="S6">
        <f t="shared" si="11"/>
        <v>4.0000000000000001E-3</v>
      </c>
      <c r="T6">
        <f t="shared" si="12"/>
        <v>4.0000000000000001E-3</v>
      </c>
      <c r="U6">
        <f t="shared" si="13"/>
        <v>4.0000000000000001E-3</v>
      </c>
      <c r="V6">
        <f t="shared" si="14"/>
        <v>4.0000000000000001E-3</v>
      </c>
      <c r="W6">
        <f t="shared" si="15"/>
        <v>4.0000000000000001E-3</v>
      </c>
      <c r="X6">
        <f t="shared" si="16"/>
        <v>4.0000000000000001E-3</v>
      </c>
      <c r="Y6">
        <f t="shared" si="17"/>
        <v>0</v>
      </c>
      <c r="Z6">
        <f t="shared" si="18"/>
        <v>3.0000000000000001E-3</v>
      </c>
      <c r="AA6">
        <f t="shared" si="19"/>
        <v>1.0500000000000001E-2</v>
      </c>
      <c r="AB6">
        <f t="shared" si="20"/>
        <v>1.0500000000000001E-2</v>
      </c>
      <c r="AC6">
        <f t="shared" si="21"/>
        <v>2.9999999999999992E-3</v>
      </c>
      <c r="AD6">
        <f t="shared" si="22"/>
        <v>2.9999999999999992E-3</v>
      </c>
      <c r="AE6">
        <f t="shared" si="23"/>
        <v>2.9999999999999992E-3</v>
      </c>
      <c r="AF6">
        <f t="shared" si="24"/>
        <v>2.9999999999999992E-3</v>
      </c>
      <c r="AG6">
        <f t="shared" si="25"/>
        <v>1E-3</v>
      </c>
      <c r="AH6">
        <f t="shared" si="26"/>
        <v>1E-3</v>
      </c>
      <c r="AI6">
        <f t="shared" si="27"/>
        <v>1E-3</v>
      </c>
      <c r="AJ6">
        <f t="shared" si="28"/>
        <v>1E-3</v>
      </c>
      <c r="AK6">
        <f t="shared" si="29"/>
        <v>1E-3</v>
      </c>
      <c r="AL6">
        <f t="shared" si="30"/>
        <v>1E-3</v>
      </c>
      <c r="AM6">
        <f t="shared" si="31"/>
        <v>1E-3</v>
      </c>
      <c r="AN6">
        <f t="shared" si="32"/>
        <v>1E-3</v>
      </c>
      <c r="AO6">
        <f t="shared" si="33"/>
        <v>1E-3</v>
      </c>
      <c r="AP6">
        <f t="shared" si="34"/>
        <v>0</v>
      </c>
      <c r="AQ6">
        <f t="shared" si="35"/>
        <v>1.0000000000000002E-2</v>
      </c>
      <c r="AR6">
        <f t="shared" si="36"/>
        <v>3.5000000000000003E-2</v>
      </c>
      <c r="AS6">
        <f t="shared" si="37"/>
        <v>3.5000000000000003E-2</v>
      </c>
      <c r="AT6">
        <f t="shared" si="38"/>
        <v>9.999999999999995E-3</v>
      </c>
      <c r="AU6">
        <f t="shared" si="39"/>
        <v>9.999999999999995E-3</v>
      </c>
      <c r="AV6">
        <f t="shared" si="40"/>
        <v>9.999999999999995E-3</v>
      </c>
      <c r="AW6">
        <f t="shared" si="41"/>
        <v>9.999999999999995E-3</v>
      </c>
      <c r="AX6">
        <f t="shared" si="42"/>
        <v>3.3333333333333361E-3</v>
      </c>
      <c r="AY6">
        <f t="shared" si="43"/>
        <v>3.3333333333333361E-3</v>
      </c>
      <c r="AZ6">
        <f t="shared" si="44"/>
        <v>3.3333333333333361E-3</v>
      </c>
      <c r="BA6">
        <f t="shared" si="45"/>
        <v>3.3333333333333361E-3</v>
      </c>
      <c r="BB6">
        <f t="shared" si="46"/>
        <v>3.3333333333333361E-3</v>
      </c>
      <c r="BC6">
        <f t="shared" si="47"/>
        <v>3.3333333333333361E-3</v>
      </c>
      <c r="BD6">
        <f t="shared" si="48"/>
        <v>3.3333333333333361E-3</v>
      </c>
      <c r="BE6">
        <f t="shared" si="49"/>
        <v>3.3333333333333361E-3</v>
      </c>
      <c r="BF6">
        <f t="shared" si="50"/>
        <v>3.3333333333333361E-3</v>
      </c>
      <c r="BG6">
        <f t="shared" si="51"/>
        <v>0</v>
      </c>
      <c r="BI6" t="str">
        <f t="shared" si="52"/>
        <v>426741147542CME</v>
      </c>
      <c r="BJ6" s="426">
        <v>42674</v>
      </c>
      <c r="BK6" t="s">
        <v>1361</v>
      </c>
      <c r="BL6" t="s">
        <v>1370</v>
      </c>
      <c r="BM6" t="s">
        <v>1321</v>
      </c>
      <c r="BN6" s="438">
        <v>1.8949323391268476</v>
      </c>
      <c r="BO6" s="438">
        <v>1</v>
      </c>
      <c r="BR6" s="720">
        <v>0.15159458713014784</v>
      </c>
      <c r="BS6" s="720">
        <v>0.30318917426029562</v>
      </c>
      <c r="BT6" s="720">
        <v>0.30318917426029562</v>
      </c>
      <c r="BU6" s="720">
        <v>0</v>
      </c>
      <c r="BV6" s="720">
        <v>0</v>
      </c>
      <c r="BW6" s="720">
        <v>7.5797293565073864E-2</v>
      </c>
      <c r="BX6" s="720">
        <v>7.5797293565073864E-2</v>
      </c>
      <c r="BY6" s="720">
        <v>1.0048053024345908E-2</v>
      </c>
      <c r="BZ6" s="720">
        <v>1.0048053024345908E-2</v>
      </c>
      <c r="CA6" s="720">
        <v>1.0048053024345908E-2</v>
      </c>
      <c r="CB6" s="720">
        <v>1.0048053024345908E-2</v>
      </c>
      <c r="CC6" s="720">
        <v>1.0048053024345908E-2</v>
      </c>
      <c r="CD6" s="720">
        <v>1.0048053024345908E-2</v>
      </c>
      <c r="CE6" s="720">
        <v>1.0048053024345908E-2</v>
      </c>
      <c r="CF6" s="720">
        <v>1.0048053024345908E-2</v>
      </c>
      <c r="CG6" s="720">
        <v>1.0048053024345908E-2</v>
      </c>
      <c r="CH6" s="720"/>
      <c r="CI6" s="720">
        <v>0.13264526373887933</v>
      </c>
      <c r="CJ6" s="720">
        <v>0.26529052747775866</v>
      </c>
      <c r="CK6" s="720">
        <v>0.26529052747775866</v>
      </c>
      <c r="CL6" s="720">
        <v>0</v>
      </c>
      <c r="CM6" s="720">
        <v>0</v>
      </c>
      <c r="CN6" s="720">
        <v>6.6322631869439652E-2</v>
      </c>
      <c r="CO6" s="720">
        <v>6.6322631869439652E-2</v>
      </c>
      <c r="CP6" s="720">
        <v>2.2107543956479896E-2</v>
      </c>
      <c r="CQ6" s="720">
        <v>2.2107543956479896E-2</v>
      </c>
      <c r="CR6" s="720">
        <v>2.2107543956479896E-2</v>
      </c>
      <c r="CS6" s="720">
        <v>2.2107543956479896E-2</v>
      </c>
      <c r="CT6" s="720">
        <v>2.2107543956479896E-2</v>
      </c>
      <c r="CU6" s="720">
        <v>2.2107543956479896E-2</v>
      </c>
      <c r="CV6" s="720">
        <v>2.2107543956479896E-2</v>
      </c>
      <c r="CW6" s="720">
        <v>2.2107543956479896E-2</v>
      </c>
      <c r="CX6" s="720">
        <v>2.2107543956479896E-2</v>
      </c>
      <c r="CY6" s="720"/>
      <c r="CZ6" s="720">
        <v>7.579729356507392E-2</v>
      </c>
      <c r="DA6" s="720">
        <v>0.15159458713014781</v>
      </c>
      <c r="DB6" s="720">
        <v>0.15159458713014781</v>
      </c>
      <c r="DC6" s="720">
        <v>0</v>
      </c>
      <c r="DD6" s="720">
        <v>0</v>
      </c>
      <c r="DE6" s="720">
        <v>3.7898646782536932E-2</v>
      </c>
      <c r="DF6" s="720">
        <v>3.7898646782536932E-2</v>
      </c>
      <c r="DG6" s="720">
        <v>1.2632882260845654E-2</v>
      </c>
      <c r="DH6" s="720">
        <v>1.2632882260845654E-2</v>
      </c>
      <c r="DI6" s="720">
        <v>1.2632882260845654E-2</v>
      </c>
      <c r="DJ6" s="720">
        <v>1.2632882260845654E-2</v>
      </c>
      <c r="DK6" s="720">
        <v>1.2632882260845654E-2</v>
      </c>
      <c r="DL6" s="720">
        <v>1.2632882260845654E-2</v>
      </c>
      <c r="DM6" s="720">
        <v>1.2632882260845654E-2</v>
      </c>
      <c r="DN6" s="720">
        <v>1.2632882260845654E-2</v>
      </c>
      <c r="DO6" s="720">
        <v>1.2632882260845654E-2</v>
      </c>
    </row>
    <row r="7" spans="1:119">
      <c r="C7" t="s">
        <v>1354</v>
      </c>
      <c r="E7" t="s">
        <v>995</v>
      </c>
      <c r="F7" t="str">
        <f>INDEX('Data Interface'!C:C,MATCH(E7,'Data Interface'!B:B,0))</f>
        <v>Due to Interbranch - Investment (Exclude Large IB)</v>
      </c>
      <c r="G7">
        <f t="shared" si="0"/>
        <v>338</v>
      </c>
      <c r="I7">
        <f t="shared" si="1"/>
        <v>1.2E-2</v>
      </c>
      <c r="J7">
        <f t="shared" si="2"/>
        <v>4.2000000000000003E-2</v>
      </c>
      <c r="K7">
        <f t="shared" si="3"/>
        <v>4.2000000000000003E-2</v>
      </c>
      <c r="L7">
        <f t="shared" si="4"/>
        <v>1.1999999999999997E-2</v>
      </c>
      <c r="M7">
        <f t="shared" si="5"/>
        <v>1.1999999999999997E-2</v>
      </c>
      <c r="N7">
        <f t="shared" si="6"/>
        <v>1.1999999999999997E-2</v>
      </c>
      <c r="O7">
        <f t="shared" si="7"/>
        <v>1.1999999999999997E-2</v>
      </c>
      <c r="P7">
        <f t="shared" si="8"/>
        <v>4.0000000000000001E-3</v>
      </c>
      <c r="Q7">
        <f t="shared" si="9"/>
        <v>4.0000000000000001E-3</v>
      </c>
      <c r="R7">
        <f t="shared" si="10"/>
        <v>4.0000000000000001E-3</v>
      </c>
      <c r="S7">
        <f t="shared" si="11"/>
        <v>4.0000000000000001E-3</v>
      </c>
      <c r="T7">
        <f t="shared" si="12"/>
        <v>4.0000000000000001E-3</v>
      </c>
      <c r="U7">
        <f t="shared" si="13"/>
        <v>4.0000000000000001E-3</v>
      </c>
      <c r="V7">
        <f t="shared" si="14"/>
        <v>4.0000000000000001E-3</v>
      </c>
      <c r="W7">
        <f t="shared" si="15"/>
        <v>4.0000000000000001E-3</v>
      </c>
      <c r="X7">
        <f t="shared" si="16"/>
        <v>4.0000000000000001E-3</v>
      </c>
      <c r="Y7">
        <f t="shared" si="17"/>
        <v>0</v>
      </c>
      <c r="Z7">
        <f t="shared" si="18"/>
        <v>3.0000000000000001E-3</v>
      </c>
      <c r="AA7">
        <f t="shared" si="19"/>
        <v>1.0500000000000001E-2</v>
      </c>
      <c r="AB7">
        <f t="shared" si="20"/>
        <v>1.0500000000000001E-2</v>
      </c>
      <c r="AC7">
        <f t="shared" si="21"/>
        <v>2.9999999999999992E-3</v>
      </c>
      <c r="AD7">
        <f t="shared" si="22"/>
        <v>2.9999999999999992E-3</v>
      </c>
      <c r="AE7">
        <f t="shared" si="23"/>
        <v>2.9999999999999992E-3</v>
      </c>
      <c r="AF7">
        <f t="shared" si="24"/>
        <v>2.9999999999999992E-3</v>
      </c>
      <c r="AG7">
        <f t="shared" si="25"/>
        <v>1E-3</v>
      </c>
      <c r="AH7">
        <f t="shared" si="26"/>
        <v>1E-3</v>
      </c>
      <c r="AI7">
        <f t="shared" si="27"/>
        <v>1E-3</v>
      </c>
      <c r="AJ7">
        <f t="shared" si="28"/>
        <v>1E-3</v>
      </c>
      <c r="AK7">
        <f t="shared" si="29"/>
        <v>1E-3</v>
      </c>
      <c r="AL7">
        <f t="shared" si="30"/>
        <v>1E-3</v>
      </c>
      <c r="AM7">
        <f t="shared" si="31"/>
        <v>1E-3</v>
      </c>
      <c r="AN7">
        <f t="shared" si="32"/>
        <v>1E-3</v>
      </c>
      <c r="AO7">
        <f t="shared" si="33"/>
        <v>1E-3</v>
      </c>
      <c r="AP7">
        <f t="shared" si="34"/>
        <v>0</v>
      </c>
      <c r="AQ7">
        <f t="shared" si="35"/>
        <v>1.0000000000000002E-2</v>
      </c>
      <c r="AR7">
        <f t="shared" si="36"/>
        <v>3.5000000000000003E-2</v>
      </c>
      <c r="AS7">
        <f t="shared" si="37"/>
        <v>3.5000000000000003E-2</v>
      </c>
      <c r="AT7">
        <f t="shared" si="38"/>
        <v>9.999999999999995E-3</v>
      </c>
      <c r="AU7">
        <f t="shared" si="39"/>
        <v>9.999999999999995E-3</v>
      </c>
      <c r="AV7">
        <f t="shared" si="40"/>
        <v>9.999999999999995E-3</v>
      </c>
      <c r="AW7">
        <f t="shared" si="41"/>
        <v>9.999999999999995E-3</v>
      </c>
      <c r="AX7">
        <f t="shared" si="42"/>
        <v>3.3333333333333361E-3</v>
      </c>
      <c r="AY7">
        <f t="shared" si="43"/>
        <v>3.3333333333333361E-3</v>
      </c>
      <c r="AZ7">
        <f t="shared" si="44"/>
        <v>3.3333333333333361E-3</v>
      </c>
      <c r="BA7">
        <f t="shared" si="45"/>
        <v>3.3333333333333361E-3</v>
      </c>
      <c r="BB7">
        <f t="shared" si="46"/>
        <v>3.3333333333333361E-3</v>
      </c>
      <c r="BC7">
        <f t="shared" si="47"/>
        <v>3.3333333333333361E-3</v>
      </c>
      <c r="BD7">
        <f t="shared" si="48"/>
        <v>3.3333333333333361E-3</v>
      </c>
      <c r="BE7">
        <f t="shared" si="49"/>
        <v>3.3333333333333361E-3</v>
      </c>
      <c r="BF7">
        <f t="shared" si="50"/>
        <v>3.3333333333333361E-3</v>
      </c>
      <c r="BG7">
        <f t="shared" si="51"/>
        <v>0</v>
      </c>
      <c r="BI7" t="str">
        <f t="shared" si="52"/>
        <v>426741151227FI</v>
      </c>
      <c r="BJ7" s="426">
        <v>42674</v>
      </c>
      <c r="BK7" t="s">
        <v>1362</v>
      </c>
      <c r="BL7" t="s">
        <v>1372</v>
      </c>
      <c r="BM7" t="s">
        <v>1355</v>
      </c>
      <c r="BN7" s="438">
        <v>1.5994735389692276</v>
      </c>
      <c r="BO7" s="438">
        <v>0.13015357910420175</v>
      </c>
      <c r="BR7" s="720">
        <v>0.1661784503829547</v>
      </c>
      <c r="BS7" s="720">
        <v>0.33953901436529543</v>
      </c>
      <c r="BT7" s="720">
        <v>0.33953901436529543</v>
      </c>
      <c r="BU7" s="720">
        <v>4.788075732924113E-3</v>
      </c>
      <c r="BV7" s="720">
        <v>4.788075732924113E-3</v>
      </c>
      <c r="BW7" s="720">
        <v>3.623534955574681E-2</v>
      </c>
      <c r="BX7" s="720">
        <v>3.623534955574681E-2</v>
      </c>
      <c r="BY7" s="720">
        <v>1.5960252443080315E-3</v>
      </c>
      <c r="BZ7" s="720">
        <v>1.5960252443080315E-3</v>
      </c>
      <c r="CA7" s="720">
        <v>1.5960252443080315E-3</v>
      </c>
      <c r="CB7" s="720">
        <v>1.5960252443080315E-3</v>
      </c>
      <c r="CC7" s="720">
        <v>1.5960252443080315E-3</v>
      </c>
      <c r="CD7" s="720">
        <v>1.5960252443080315E-3</v>
      </c>
      <c r="CE7" s="720">
        <v>1.5960252443080315E-3</v>
      </c>
      <c r="CF7" s="720">
        <v>1.5960252443080315E-3</v>
      </c>
      <c r="CG7" s="720">
        <v>1.5960252443080315E-3</v>
      </c>
      <c r="CH7" s="720"/>
      <c r="CI7" s="720">
        <v>0.15720614076647724</v>
      </c>
      <c r="CJ7" s="720">
        <v>0.32065759770633379</v>
      </c>
      <c r="CK7" s="720">
        <v>0.32065759770633379</v>
      </c>
      <c r="CL7" s="720">
        <v>4.1635441155861708E-3</v>
      </c>
      <c r="CM7" s="720">
        <v>4.1635441155861708E-3</v>
      </c>
      <c r="CN7" s="720">
        <v>5.648026293625763E-2</v>
      </c>
      <c r="CO7" s="720">
        <v>5.648026293625763E-2</v>
      </c>
      <c r="CP7" s="720">
        <v>1.3878480385287235E-3</v>
      </c>
      <c r="CQ7" s="720">
        <v>1.3878480385287235E-3</v>
      </c>
      <c r="CR7" s="720">
        <v>1.3878480385287235E-3</v>
      </c>
      <c r="CS7" s="720">
        <v>1.3878480385287235E-3</v>
      </c>
      <c r="CT7" s="720">
        <v>1.3878480385287235E-3</v>
      </c>
      <c r="CU7" s="720">
        <v>1.3878480385287235E-3</v>
      </c>
      <c r="CV7" s="720">
        <v>1.3878480385287235E-3</v>
      </c>
      <c r="CW7" s="720">
        <v>1.3878480385287235E-3</v>
      </c>
      <c r="CX7" s="720">
        <v>1.3878480385287235E-3</v>
      </c>
      <c r="CY7" s="720"/>
      <c r="CZ7" s="720">
        <v>7.2687474746185574E-2</v>
      </c>
      <c r="DA7" s="720">
        <v>0.15005893662240558</v>
      </c>
      <c r="DB7" s="720">
        <v>0.15005893662240558</v>
      </c>
      <c r="DC7" s="720">
        <v>3.1226580866896281E-3</v>
      </c>
      <c r="DD7" s="720">
        <v>3.1226580866896281E-3</v>
      </c>
      <c r="DE7" s="720">
        <v>3.7905066416437594E-2</v>
      </c>
      <c r="DF7" s="720">
        <v>3.7905066416437594E-2</v>
      </c>
      <c r="DG7" s="720">
        <v>1.2635022138812532E-2</v>
      </c>
      <c r="DH7" s="720">
        <v>1.2635022138812532E-2</v>
      </c>
      <c r="DI7" s="720">
        <v>1.2635022138812532E-2</v>
      </c>
      <c r="DJ7" s="720">
        <v>1.2635022138812532E-2</v>
      </c>
      <c r="DK7" s="720">
        <v>1.2635022138812532E-2</v>
      </c>
      <c r="DL7" s="720">
        <v>1.2635022138812532E-2</v>
      </c>
      <c r="DM7" s="720">
        <v>1.2635022138812532E-2</v>
      </c>
      <c r="DN7" s="720">
        <v>1.2635022138812532E-2</v>
      </c>
      <c r="DO7" s="720">
        <v>1.2635022138812532E-2</v>
      </c>
    </row>
    <row r="8" spans="1:119">
      <c r="C8" t="s">
        <v>1354</v>
      </c>
      <c r="D8" t="s">
        <v>1358</v>
      </c>
      <c r="E8" t="s">
        <v>1288</v>
      </c>
      <c r="F8" t="str">
        <f>INDEX('Data Interface'!C:C,MATCH(E8,'Data Interface'!B:B,0))</f>
        <v>Due to Interbranch - Investment (H.O.)</v>
      </c>
      <c r="G8">
        <f t="shared" si="0"/>
        <v>328</v>
      </c>
      <c r="I8">
        <f t="shared" si="1"/>
        <v>1.9567393421493617E-2</v>
      </c>
      <c r="J8">
        <f t="shared" si="2"/>
        <v>6.8485876975227664E-2</v>
      </c>
      <c r="K8">
        <f t="shared" si="3"/>
        <v>6.8485876975227664E-2</v>
      </c>
      <c r="L8">
        <f t="shared" si="4"/>
        <v>1.9567393421493606E-2</v>
      </c>
      <c r="M8">
        <f t="shared" si="5"/>
        <v>1.9567393421493606E-2</v>
      </c>
      <c r="N8">
        <f t="shared" si="6"/>
        <v>1.9567393421493606E-2</v>
      </c>
      <c r="O8">
        <f t="shared" si="7"/>
        <v>1.9567393421493606E-2</v>
      </c>
      <c r="P8">
        <f t="shared" si="8"/>
        <v>6.5224644738312056E-3</v>
      </c>
      <c r="Q8">
        <f t="shared" si="9"/>
        <v>6.5224644738312056E-3</v>
      </c>
      <c r="R8">
        <f t="shared" si="10"/>
        <v>6.5224644738312056E-3</v>
      </c>
      <c r="S8">
        <f t="shared" si="11"/>
        <v>6.5224644738312056E-3</v>
      </c>
      <c r="T8">
        <f t="shared" si="12"/>
        <v>6.5224644738312056E-3</v>
      </c>
      <c r="U8">
        <f t="shared" si="13"/>
        <v>6.5224644738312056E-3</v>
      </c>
      <c r="V8">
        <f t="shared" si="14"/>
        <v>6.5224644738312056E-3</v>
      </c>
      <c r="W8">
        <f t="shared" si="15"/>
        <v>6.5224644738312056E-3</v>
      </c>
      <c r="X8">
        <f t="shared" si="16"/>
        <v>6.5224644738312056E-3</v>
      </c>
      <c r="Y8">
        <f t="shared" si="17"/>
        <v>0</v>
      </c>
      <c r="Z8">
        <f t="shared" si="18"/>
        <v>4.8918483553734042E-3</v>
      </c>
      <c r="AA8">
        <f t="shared" si="19"/>
        <v>1.7121469243806916E-2</v>
      </c>
      <c r="AB8">
        <f t="shared" si="20"/>
        <v>1.7121469243806916E-2</v>
      </c>
      <c r="AC8">
        <f t="shared" si="21"/>
        <v>4.8918483553734016E-3</v>
      </c>
      <c r="AD8">
        <f t="shared" si="22"/>
        <v>4.8918483553734016E-3</v>
      </c>
      <c r="AE8">
        <f t="shared" si="23"/>
        <v>4.8918483553734016E-3</v>
      </c>
      <c r="AF8">
        <f t="shared" si="24"/>
        <v>4.8918483553734016E-3</v>
      </c>
      <c r="AG8">
        <f t="shared" si="25"/>
        <v>1.6306161184578014E-3</v>
      </c>
      <c r="AH8">
        <f t="shared" si="26"/>
        <v>1.6306161184578014E-3</v>
      </c>
      <c r="AI8">
        <f t="shared" si="27"/>
        <v>1.6306161184578014E-3</v>
      </c>
      <c r="AJ8">
        <f t="shared" si="28"/>
        <v>1.6306161184578014E-3</v>
      </c>
      <c r="AK8">
        <f t="shared" si="29"/>
        <v>1.6306161184578014E-3</v>
      </c>
      <c r="AL8">
        <f t="shared" si="30"/>
        <v>1.6306161184578014E-3</v>
      </c>
      <c r="AM8">
        <f t="shared" si="31"/>
        <v>1.6306161184578014E-3</v>
      </c>
      <c r="AN8">
        <f t="shared" si="32"/>
        <v>1.6306161184578014E-3</v>
      </c>
      <c r="AO8">
        <f t="shared" si="33"/>
        <v>1.6306161184578014E-3</v>
      </c>
      <c r="AP8">
        <f t="shared" si="34"/>
        <v>0</v>
      </c>
      <c r="AQ8">
        <f t="shared" si="35"/>
        <v>1.6306161184578016E-2</v>
      </c>
      <c r="AR8">
        <f t="shared" si="36"/>
        <v>5.7071564146023053E-2</v>
      </c>
      <c r="AS8">
        <f t="shared" si="37"/>
        <v>5.7071564146023053E-2</v>
      </c>
      <c r="AT8">
        <f t="shared" si="38"/>
        <v>1.6306161184578005E-2</v>
      </c>
      <c r="AU8">
        <f t="shared" si="39"/>
        <v>1.6306161184578005E-2</v>
      </c>
      <c r="AV8">
        <f t="shared" si="40"/>
        <v>1.6306161184578005E-2</v>
      </c>
      <c r="AW8">
        <f t="shared" si="41"/>
        <v>1.6306161184578005E-2</v>
      </c>
      <c r="AX8">
        <f t="shared" si="42"/>
        <v>5.4353870615260046E-3</v>
      </c>
      <c r="AY8">
        <f t="shared" si="43"/>
        <v>5.4353870615260046E-3</v>
      </c>
      <c r="AZ8">
        <f t="shared" si="44"/>
        <v>5.4353870615260046E-3</v>
      </c>
      <c r="BA8">
        <f t="shared" si="45"/>
        <v>5.4353870615260046E-3</v>
      </c>
      <c r="BB8">
        <f t="shared" si="46"/>
        <v>5.4353870615260046E-3</v>
      </c>
      <c r="BC8">
        <f t="shared" si="47"/>
        <v>5.4353870615260046E-3</v>
      </c>
      <c r="BD8">
        <f t="shared" si="48"/>
        <v>5.4353870615260046E-3</v>
      </c>
      <c r="BE8">
        <f t="shared" si="49"/>
        <v>5.4353870615260046E-3</v>
      </c>
      <c r="BF8">
        <f t="shared" si="50"/>
        <v>5.4353870615260046E-3</v>
      </c>
      <c r="BG8">
        <f t="shared" si="51"/>
        <v>0</v>
      </c>
      <c r="BI8" t="str">
        <f t="shared" si="52"/>
        <v>426741000526FI</v>
      </c>
      <c r="BJ8" s="426">
        <v>42674</v>
      </c>
      <c r="BK8" t="s">
        <v>1363</v>
      </c>
      <c r="BL8" t="s">
        <v>1368</v>
      </c>
      <c r="BM8" t="s">
        <v>1355</v>
      </c>
      <c r="BN8" s="438">
        <v>1.3528569119153087</v>
      </c>
      <c r="BO8" s="438">
        <v>1</v>
      </c>
      <c r="BR8" s="720">
        <v>3.1115708974052105E-2</v>
      </c>
      <c r="BS8" s="720">
        <v>0.10890498140918237</v>
      </c>
      <c r="BT8" s="720">
        <v>0.10890498140918237</v>
      </c>
      <c r="BU8" s="720">
        <v>3.1115708974052095E-2</v>
      </c>
      <c r="BV8" s="720">
        <v>3.1115708974052095E-2</v>
      </c>
      <c r="BW8" s="720">
        <v>3.1115708974052109E-2</v>
      </c>
      <c r="BX8" s="720">
        <v>3.1115708974052109E-2</v>
      </c>
      <c r="BY8" s="720">
        <v>1.03719029913507E-2</v>
      </c>
      <c r="BZ8" s="720">
        <v>1.03719029913507E-2</v>
      </c>
      <c r="CA8" s="720">
        <v>1.03719029913507E-2</v>
      </c>
      <c r="CB8" s="720">
        <v>1.03719029913507E-2</v>
      </c>
      <c r="CC8" s="720">
        <v>1.03719029913507E-2</v>
      </c>
      <c r="CD8" s="720">
        <v>1.03719029913507E-2</v>
      </c>
      <c r="CE8" s="720">
        <v>1.03719029913507E-2</v>
      </c>
      <c r="CF8" s="720">
        <v>1.03719029913507E-2</v>
      </c>
      <c r="CG8" s="720">
        <v>1.03719029913507E-2</v>
      </c>
      <c r="CH8" s="720"/>
      <c r="CI8" s="720">
        <v>2.7057138238306175E-2</v>
      </c>
      <c r="CJ8" s="720">
        <v>9.4699983834071605E-2</v>
      </c>
      <c r="CK8" s="720">
        <v>9.4699983834071605E-2</v>
      </c>
      <c r="CL8" s="720">
        <v>2.7057138238306161E-2</v>
      </c>
      <c r="CM8" s="720">
        <v>2.7057138238306161E-2</v>
      </c>
      <c r="CN8" s="720">
        <v>2.7057138238306161E-2</v>
      </c>
      <c r="CO8" s="720">
        <v>2.7057138238306161E-2</v>
      </c>
      <c r="CP8" s="720">
        <v>9.0190460794353899E-3</v>
      </c>
      <c r="CQ8" s="720">
        <v>9.0190460794353899E-3</v>
      </c>
      <c r="CR8" s="720">
        <v>9.0190460794353899E-3</v>
      </c>
      <c r="CS8" s="720">
        <v>9.0190460794353899E-3</v>
      </c>
      <c r="CT8" s="720">
        <v>9.0190460794353899E-3</v>
      </c>
      <c r="CU8" s="720">
        <v>9.0190460794353899E-3</v>
      </c>
      <c r="CV8" s="720">
        <v>9.0190460794353899E-3</v>
      </c>
      <c r="CW8" s="720">
        <v>9.0190460794353899E-3</v>
      </c>
      <c r="CX8" s="720">
        <v>9.0190460794353899E-3</v>
      </c>
      <c r="CY8" s="720"/>
      <c r="CZ8" s="720">
        <v>2.0292853678729631E-2</v>
      </c>
      <c r="DA8" s="720">
        <v>7.1024987875553711E-2</v>
      </c>
      <c r="DB8" s="720">
        <v>7.1024987875553711E-2</v>
      </c>
      <c r="DC8" s="720">
        <v>2.0292853678729628E-2</v>
      </c>
      <c r="DD8" s="720">
        <v>2.0292853678729628E-2</v>
      </c>
      <c r="DE8" s="720">
        <v>2.0292853678729628E-2</v>
      </c>
      <c r="DF8" s="720">
        <v>2.0292853678729628E-2</v>
      </c>
      <c r="DG8" s="720">
        <v>6.7642845595765454E-3</v>
      </c>
      <c r="DH8" s="720">
        <v>6.7642845595765454E-3</v>
      </c>
      <c r="DI8" s="720">
        <v>6.7642845595765454E-3</v>
      </c>
      <c r="DJ8" s="720">
        <v>6.7642845595765454E-3</v>
      </c>
      <c r="DK8" s="720">
        <v>6.7642845595765454E-3</v>
      </c>
      <c r="DL8" s="720">
        <v>6.7642845595765454E-3</v>
      </c>
      <c r="DM8" s="720">
        <v>6.7642845595765454E-3</v>
      </c>
      <c r="DN8" s="720">
        <v>6.7642845595765454E-3</v>
      </c>
      <c r="DO8" s="720">
        <v>6.7642845595765454E-3</v>
      </c>
    </row>
    <row r="9" spans="1:119">
      <c r="C9" t="s">
        <v>1354</v>
      </c>
      <c r="D9" t="s">
        <v>1412</v>
      </c>
      <c r="E9" t="s">
        <v>1409</v>
      </c>
      <c r="F9" t="str">
        <f>INDEX('Data Interface'!C:C,MATCH(E9,'Data Interface'!B:B,0))</f>
        <v>Due to Interbranch - Investment (MACAU)</v>
      </c>
      <c r="G9">
        <f t="shared" si="0"/>
        <v>338</v>
      </c>
      <c r="I9">
        <f t="shared" si="1"/>
        <v>1.2E-2</v>
      </c>
      <c r="J9">
        <f t="shared" si="2"/>
        <v>4.2000000000000003E-2</v>
      </c>
      <c r="K9">
        <f t="shared" si="3"/>
        <v>4.2000000000000003E-2</v>
      </c>
      <c r="L9">
        <f t="shared" si="4"/>
        <v>1.1999999999999997E-2</v>
      </c>
      <c r="M9">
        <f t="shared" si="5"/>
        <v>1.1999999999999997E-2</v>
      </c>
      <c r="N9">
        <f t="shared" si="6"/>
        <v>1.1999999999999997E-2</v>
      </c>
      <c r="O9">
        <f t="shared" si="7"/>
        <v>1.1999999999999997E-2</v>
      </c>
      <c r="P9">
        <f t="shared" si="8"/>
        <v>4.0000000000000001E-3</v>
      </c>
      <c r="Q9">
        <f t="shared" si="9"/>
        <v>4.0000000000000001E-3</v>
      </c>
      <c r="R9">
        <f t="shared" si="10"/>
        <v>4.0000000000000001E-3</v>
      </c>
      <c r="S9">
        <f t="shared" si="11"/>
        <v>4.0000000000000001E-3</v>
      </c>
      <c r="T9">
        <f t="shared" si="12"/>
        <v>4.0000000000000001E-3</v>
      </c>
      <c r="U9">
        <f t="shared" si="13"/>
        <v>4.0000000000000001E-3</v>
      </c>
      <c r="V9">
        <f t="shared" si="14"/>
        <v>4.0000000000000001E-3</v>
      </c>
      <c r="W9">
        <f t="shared" si="15"/>
        <v>4.0000000000000001E-3</v>
      </c>
      <c r="X9">
        <f t="shared" si="16"/>
        <v>4.0000000000000001E-3</v>
      </c>
      <c r="Y9">
        <f t="shared" si="17"/>
        <v>0</v>
      </c>
      <c r="Z9">
        <f t="shared" si="18"/>
        <v>3.0000000000000001E-3</v>
      </c>
      <c r="AA9">
        <f t="shared" si="19"/>
        <v>1.0500000000000001E-2</v>
      </c>
      <c r="AB9">
        <f t="shared" si="20"/>
        <v>1.0500000000000001E-2</v>
      </c>
      <c r="AC9">
        <f t="shared" si="21"/>
        <v>2.9999999999999992E-3</v>
      </c>
      <c r="AD9">
        <f t="shared" si="22"/>
        <v>2.9999999999999992E-3</v>
      </c>
      <c r="AE9">
        <f t="shared" si="23"/>
        <v>2.9999999999999992E-3</v>
      </c>
      <c r="AF9">
        <f t="shared" si="24"/>
        <v>2.9999999999999992E-3</v>
      </c>
      <c r="AG9">
        <f t="shared" si="25"/>
        <v>1E-3</v>
      </c>
      <c r="AH9">
        <f t="shared" si="26"/>
        <v>1E-3</v>
      </c>
      <c r="AI9">
        <f t="shared" si="27"/>
        <v>1E-3</v>
      </c>
      <c r="AJ9">
        <f t="shared" si="28"/>
        <v>1E-3</v>
      </c>
      <c r="AK9">
        <f t="shared" si="29"/>
        <v>1E-3</v>
      </c>
      <c r="AL9">
        <f t="shared" si="30"/>
        <v>1E-3</v>
      </c>
      <c r="AM9">
        <f t="shared" si="31"/>
        <v>1E-3</v>
      </c>
      <c r="AN9">
        <f t="shared" si="32"/>
        <v>1E-3</v>
      </c>
      <c r="AO9">
        <f t="shared" si="33"/>
        <v>1E-3</v>
      </c>
      <c r="AP9">
        <f t="shared" si="34"/>
        <v>0</v>
      </c>
      <c r="AQ9">
        <f t="shared" si="35"/>
        <v>1.0000000000000002E-2</v>
      </c>
      <c r="AR9">
        <f t="shared" si="36"/>
        <v>3.5000000000000003E-2</v>
      </c>
      <c r="AS9">
        <f t="shared" si="37"/>
        <v>3.5000000000000003E-2</v>
      </c>
      <c r="AT9">
        <f t="shared" si="38"/>
        <v>9.999999999999995E-3</v>
      </c>
      <c r="AU9">
        <f t="shared" si="39"/>
        <v>9.999999999999995E-3</v>
      </c>
      <c r="AV9">
        <f t="shared" si="40"/>
        <v>9.999999999999995E-3</v>
      </c>
      <c r="AW9">
        <f t="shared" si="41"/>
        <v>9.999999999999995E-3</v>
      </c>
      <c r="AX9">
        <f t="shared" si="42"/>
        <v>3.3333333333333361E-3</v>
      </c>
      <c r="AY9">
        <f t="shared" si="43"/>
        <v>3.3333333333333361E-3</v>
      </c>
      <c r="AZ9">
        <f t="shared" si="44"/>
        <v>3.3333333333333361E-3</v>
      </c>
      <c r="BA9">
        <f t="shared" si="45"/>
        <v>3.3333333333333361E-3</v>
      </c>
      <c r="BB9">
        <f t="shared" si="46"/>
        <v>3.3333333333333361E-3</v>
      </c>
      <c r="BC9">
        <f t="shared" si="47"/>
        <v>3.3333333333333361E-3</v>
      </c>
      <c r="BD9">
        <f t="shared" si="48"/>
        <v>3.3333333333333361E-3</v>
      </c>
      <c r="BE9">
        <f t="shared" si="49"/>
        <v>3.3333333333333361E-3</v>
      </c>
      <c r="BF9">
        <f t="shared" si="50"/>
        <v>3.3333333333333361E-3</v>
      </c>
      <c r="BG9">
        <f t="shared" si="51"/>
        <v>0</v>
      </c>
      <c r="BI9" t="str">
        <f t="shared" si="52"/>
        <v>426741155314FI</v>
      </c>
      <c r="BJ9" s="426">
        <v>42674</v>
      </c>
      <c r="BK9" t="s">
        <v>1364</v>
      </c>
      <c r="BL9" t="s">
        <v>1386</v>
      </c>
      <c r="BM9" t="s">
        <v>1355</v>
      </c>
      <c r="BN9" s="438">
        <v>1.1188366072700751</v>
      </c>
      <c r="BO9" s="438">
        <v>1</v>
      </c>
      <c r="BR9" s="720">
        <v>2.5733241967211731E-2</v>
      </c>
      <c r="BS9" s="720">
        <v>9.0066346885241066E-2</v>
      </c>
      <c r="BT9" s="720">
        <v>9.0066346885241066E-2</v>
      </c>
      <c r="BU9" s="720">
        <v>2.5733241967211717E-2</v>
      </c>
      <c r="BV9" s="720">
        <v>2.5733241967211717E-2</v>
      </c>
      <c r="BW9" s="720">
        <v>2.5733241967211717E-2</v>
      </c>
      <c r="BX9" s="720">
        <v>2.5733241967211717E-2</v>
      </c>
      <c r="BY9" s="720">
        <v>8.5777473224039127E-3</v>
      </c>
      <c r="BZ9" s="720">
        <v>8.5777473224039127E-3</v>
      </c>
      <c r="CA9" s="720">
        <v>8.5777473224039127E-3</v>
      </c>
      <c r="CB9" s="720">
        <v>8.5777473224039127E-3</v>
      </c>
      <c r="CC9" s="720">
        <v>8.5777473224039127E-3</v>
      </c>
      <c r="CD9" s="720">
        <v>8.5777473224039127E-3</v>
      </c>
      <c r="CE9" s="720">
        <v>8.5777473224039127E-3</v>
      </c>
      <c r="CF9" s="720">
        <v>8.5777473224039127E-3</v>
      </c>
      <c r="CG9" s="720">
        <v>8.5777473224039127E-3</v>
      </c>
      <c r="CH9" s="720"/>
      <c r="CI9" s="720">
        <v>2.2376732145401503E-2</v>
      </c>
      <c r="CJ9" s="720">
        <v>7.831856250890526E-2</v>
      </c>
      <c r="CK9" s="720">
        <v>7.831856250890526E-2</v>
      </c>
      <c r="CL9" s="720">
        <v>2.2376732145401493E-2</v>
      </c>
      <c r="CM9" s="720">
        <v>2.2376732145401493E-2</v>
      </c>
      <c r="CN9" s="720">
        <v>2.2376732145401507E-2</v>
      </c>
      <c r="CO9" s="720">
        <v>2.2376732145401507E-2</v>
      </c>
      <c r="CP9" s="720">
        <v>7.4589107151338324E-3</v>
      </c>
      <c r="CQ9" s="720">
        <v>7.4589107151338324E-3</v>
      </c>
      <c r="CR9" s="720">
        <v>7.4589107151338324E-3</v>
      </c>
      <c r="CS9" s="720">
        <v>7.4589107151338324E-3</v>
      </c>
      <c r="CT9" s="720">
        <v>7.4589107151338324E-3</v>
      </c>
      <c r="CU9" s="720">
        <v>7.4589107151338324E-3</v>
      </c>
      <c r="CV9" s="720">
        <v>7.4589107151338324E-3</v>
      </c>
      <c r="CW9" s="720">
        <v>7.4589107151338324E-3</v>
      </c>
      <c r="CX9" s="720">
        <v>7.4589107151338324E-3</v>
      </c>
      <c r="CY9" s="720"/>
      <c r="CZ9" s="720">
        <v>1.6782549109051127E-2</v>
      </c>
      <c r="DA9" s="720">
        <v>5.8738921881678945E-2</v>
      </c>
      <c r="DB9" s="720">
        <v>5.8738921881678945E-2</v>
      </c>
      <c r="DC9" s="720">
        <v>1.6782549109051123E-2</v>
      </c>
      <c r="DD9" s="720">
        <v>1.6782549109051123E-2</v>
      </c>
      <c r="DE9" s="720">
        <v>1.6782549109051123E-2</v>
      </c>
      <c r="DF9" s="720">
        <v>1.6782549109051123E-2</v>
      </c>
      <c r="DG9" s="720">
        <v>5.5941830363503758E-3</v>
      </c>
      <c r="DH9" s="720">
        <v>5.5941830363503758E-3</v>
      </c>
      <c r="DI9" s="720">
        <v>5.5941830363503758E-3</v>
      </c>
      <c r="DJ9" s="720">
        <v>5.5941830363503758E-3</v>
      </c>
      <c r="DK9" s="720">
        <v>5.5941830363503758E-3</v>
      </c>
      <c r="DL9" s="720">
        <v>5.5941830363503758E-3</v>
      </c>
      <c r="DM9" s="720">
        <v>5.5941830363503758E-3</v>
      </c>
      <c r="DN9" s="720">
        <v>5.5941830363503758E-3</v>
      </c>
      <c r="DO9" s="720">
        <v>5.5941830363503758E-3</v>
      </c>
    </row>
    <row r="10" spans="1:119">
      <c r="C10" t="s">
        <v>1353</v>
      </c>
      <c r="E10" t="s">
        <v>997</v>
      </c>
      <c r="F10" t="str">
        <f>INDEX('Data Interface'!C:C,MATCH(E10,'Data Interface'!B:B,0))</f>
        <v>Due to Affiliate - Investment - Non-US</v>
      </c>
      <c r="G10">
        <f t="shared" si="0"/>
        <v>339</v>
      </c>
      <c r="I10">
        <f t="shared" si="1"/>
        <v>1.4999999999999999E-2</v>
      </c>
      <c r="J10">
        <f t="shared" si="2"/>
        <v>5.2499999999999998E-2</v>
      </c>
      <c r="K10">
        <f t="shared" si="3"/>
        <v>5.2499999999999998E-2</v>
      </c>
      <c r="L10">
        <f t="shared" si="4"/>
        <v>1.4999999999999999E-2</v>
      </c>
      <c r="M10">
        <f t="shared" si="5"/>
        <v>1.4999999999999999E-2</v>
      </c>
      <c r="N10">
        <f t="shared" si="6"/>
        <v>1.4999999999999999E-2</v>
      </c>
      <c r="O10">
        <f t="shared" si="7"/>
        <v>1.4999999999999999E-2</v>
      </c>
      <c r="P10">
        <f t="shared" si="8"/>
        <v>4.9999999999999984E-3</v>
      </c>
      <c r="Q10">
        <f t="shared" si="9"/>
        <v>4.9999999999999984E-3</v>
      </c>
      <c r="R10">
        <f t="shared" si="10"/>
        <v>4.9999999999999984E-3</v>
      </c>
      <c r="S10">
        <f t="shared" si="11"/>
        <v>4.9999999999999984E-3</v>
      </c>
      <c r="T10">
        <f t="shared" si="12"/>
        <v>4.9999999999999984E-3</v>
      </c>
      <c r="U10">
        <f t="shared" si="13"/>
        <v>4.9999999999999984E-3</v>
      </c>
      <c r="V10">
        <f t="shared" si="14"/>
        <v>4.9999999999999984E-3</v>
      </c>
      <c r="W10">
        <f t="shared" si="15"/>
        <v>4.9999999999999984E-3</v>
      </c>
      <c r="X10">
        <f t="shared" si="16"/>
        <v>4.9999999999999984E-3</v>
      </c>
      <c r="Y10">
        <f t="shared" si="17"/>
        <v>0</v>
      </c>
      <c r="Z10">
        <f t="shared" si="18"/>
        <v>1.2E-2</v>
      </c>
      <c r="AA10">
        <f t="shared" si="19"/>
        <v>4.2000000000000003E-2</v>
      </c>
      <c r="AB10">
        <f t="shared" si="20"/>
        <v>4.2000000000000003E-2</v>
      </c>
      <c r="AC10">
        <f t="shared" si="21"/>
        <v>1.1999999999999997E-2</v>
      </c>
      <c r="AD10">
        <f t="shared" si="22"/>
        <v>1.1999999999999997E-2</v>
      </c>
      <c r="AE10">
        <f t="shared" si="23"/>
        <v>1.1999999999999997E-2</v>
      </c>
      <c r="AF10">
        <f t="shared" si="24"/>
        <v>1.1999999999999997E-2</v>
      </c>
      <c r="AG10">
        <f t="shared" si="25"/>
        <v>4.0000000000000001E-3</v>
      </c>
      <c r="AH10">
        <f t="shared" si="26"/>
        <v>4.0000000000000001E-3</v>
      </c>
      <c r="AI10">
        <f t="shared" si="27"/>
        <v>4.0000000000000001E-3</v>
      </c>
      <c r="AJ10">
        <f t="shared" si="28"/>
        <v>4.0000000000000001E-3</v>
      </c>
      <c r="AK10">
        <f t="shared" si="29"/>
        <v>4.0000000000000001E-3</v>
      </c>
      <c r="AL10">
        <f t="shared" si="30"/>
        <v>4.0000000000000001E-3</v>
      </c>
      <c r="AM10">
        <f t="shared" si="31"/>
        <v>4.0000000000000001E-3</v>
      </c>
      <c r="AN10">
        <f t="shared" si="32"/>
        <v>4.0000000000000001E-3</v>
      </c>
      <c r="AO10">
        <f t="shared" si="33"/>
        <v>4.0000000000000001E-3</v>
      </c>
      <c r="AP10">
        <f t="shared" si="34"/>
        <v>0</v>
      </c>
      <c r="AQ10">
        <f t="shared" si="35"/>
        <v>5.000000000000001E-3</v>
      </c>
      <c r="AR10">
        <f t="shared" si="36"/>
        <v>1.7500000000000002E-2</v>
      </c>
      <c r="AS10">
        <f t="shared" si="37"/>
        <v>1.7500000000000002E-2</v>
      </c>
      <c r="AT10">
        <f t="shared" si="38"/>
        <v>4.9999999999999975E-3</v>
      </c>
      <c r="AU10">
        <f t="shared" si="39"/>
        <v>4.9999999999999975E-3</v>
      </c>
      <c r="AV10">
        <f t="shared" si="40"/>
        <v>4.9999999999999975E-3</v>
      </c>
      <c r="AW10">
        <f t="shared" si="41"/>
        <v>4.9999999999999975E-3</v>
      </c>
      <c r="AX10">
        <f t="shared" si="42"/>
        <v>1.6666666666666681E-3</v>
      </c>
      <c r="AY10">
        <f t="shared" si="43"/>
        <v>1.6666666666666681E-3</v>
      </c>
      <c r="AZ10">
        <f t="shared" si="44"/>
        <v>1.6666666666666681E-3</v>
      </c>
      <c r="BA10">
        <f t="shared" si="45"/>
        <v>1.6666666666666681E-3</v>
      </c>
      <c r="BB10">
        <f t="shared" si="46"/>
        <v>1.6666666666666681E-3</v>
      </c>
      <c r="BC10">
        <f t="shared" si="47"/>
        <v>1.6666666666666681E-3</v>
      </c>
      <c r="BD10">
        <f t="shared" si="48"/>
        <v>1.6666666666666681E-3</v>
      </c>
      <c r="BE10">
        <f t="shared" si="49"/>
        <v>1.6666666666666681E-3</v>
      </c>
      <c r="BF10">
        <f t="shared" si="50"/>
        <v>1.6666666666666681E-3</v>
      </c>
      <c r="BG10">
        <f t="shared" si="51"/>
        <v>0</v>
      </c>
      <c r="BI10" t="str">
        <f t="shared" si="52"/>
        <v>426741159099CORP</v>
      </c>
      <c r="BJ10" s="426">
        <v>42674</v>
      </c>
      <c r="BK10" t="s">
        <v>1365</v>
      </c>
      <c r="BL10" t="s">
        <v>1373</v>
      </c>
      <c r="BM10" t="s">
        <v>1356</v>
      </c>
      <c r="BN10" s="438">
        <v>1.0802198002566001</v>
      </c>
      <c r="BO10" s="438">
        <v>1.664686126324106E-2</v>
      </c>
      <c r="BR10" s="720">
        <v>2.9886509024211253E-2</v>
      </c>
      <c r="BS10" s="720">
        <v>0.10489049789111823</v>
      </c>
      <c r="BT10" s="720">
        <v>0.10489049789111823</v>
      </c>
      <c r="BU10" s="720">
        <v>3.0318083483779512E-2</v>
      </c>
      <c r="BV10" s="720">
        <v>3.0318083483779512E-2</v>
      </c>
      <c r="BW10" s="720">
        <v>3.003036717740068E-2</v>
      </c>
      <c r="BX10" s="720">
        <v>3.003036717740068E-2</v>
      </c>
      <c r="BY10" s="720">
        <v>1.0010122392466883E-2</v>
      </c>
      <c r="BZ10" s="720">
        <v>1.0010122392466883E-2</v>
      </c>
      <c r="CA10" s="720">
        <v>1.0010122392466883E-2</v>
      </c>
      <c r="CB10" s="720">
        <v>1.0010122392466883E-2</v>
      </c>
      <c r="CC10" s="720">
        <v>1.0010122392466883E-2</v>
      </c>
      <c r="CD10" s="720">
        <v>1.0010122392466883E-2</v>
      </c>
      <c r="CE10" s="720">
        <v>1.0010122392466883E-2</v>
      </c>
      <c r="CF10" s="720">
        <v>1.0010122392466883E-2</v>
      </c>
      <c r="CG10" s="720">
        <v>1.0010122392466883E-2</v>
      </c>
      <c r="CH10" s="720"/>
      <c r="CI10" s="720">
        <v>2.5619576630630889E-2</v>
      </c>
      <c r="CJ10" s="720">
        <v>8.9920269975289596E-2</v>
      </c>
      <c r="CK10" s="720">
        <v>8.9920269975289596E-2</v>
      </c>
      <c r="CL10" s="720">
        <v>2.5997204282753109E-2</v>
      </c>
      <c r="CM10" s="720">
        <v>2.5997204282753109E-2</v>
      </c>
      <c r="CN10" s="720">
        <v>2.5745452514671613E-2</v>
      </c>
      <c r="CO10" s="720">
        <v>2.5745452514671613E-2</v>
      </c>
      <c r="CP10" s="720">
        <v>8.5818175048905463E-3</v>
      </c>
      <c r="CQ10" s="720">
        <v>8.5818175048905463E-3</v>
      </c>
      <c r="CR10" s="720">
        <v>8.5818175048905463E-3</v>
      </c>
      <c r="CS10" s="720">
        <v>8.5818175048905463E-3</v>
      </c>
      <c r="CT10" s="720">
        <v>8.5818175048905463E-3</v>
      </c>
      <c r="CU10" s="720">
        <v>8.5818175048905463E-3</v>
      </c>
      <c r="CV10" s="720">
        <v>8.5818175048905463E-3</v>
      </c>
      <c r="CW10" s="720">
        <v>8.5818175048905463E-3</v>
      </c>
      <c r="CX10" s="720">
        <v>8.5818175048905463E-3</v>
      </c>
      <c r="CY10" s="720"/>
      <c r="CZ10" s="720">
        <v>1.6023474312362226E-2</v>
      </c>
      <c r="DA10" s="720">
        <v>5.6261982784754569E-2</v>
      </c>
      <c r="DB10" s="720">
        <v>5.6261982784754569E-2</v>
      </c>
      <c r="DC10" s="720">
        <v>1.6293208349592372E-2</v>
      </c>
      <c r="DD10" s="720">
        <v>1.6293208349592372E-2</v>
      </c>
      <c r="DE10" s="720">
        <v>1.611338565810562E-2</v>
      </c>
      <c r="DF10" s="720">
        <v>1.611338565810562E-2</v>
      </c>
      <c r="DG10" s="720">
        <v>5.3711285527018688E-3</v>
      </c>
      <c r="DH10" s="720">
        <v>5.3711285527018688E-3</v>
      </c>
      <c r="DI10" s="720">
        <v>5.3711285527018688E-3</v>
      </c>
      <c r="DJ10" s="720">
        <v>5.3711285527018688E-3</v>
      </c>
      <c r="DK10" s="720">
        <v>5.3711285527018688E-3</v>
      </c>
      <c r="DL10" s="720">
        <v>5.3711285527018688E-3</v>
      </c>
      <c r="DM10" s="720">
        <v>5.3711285527018688E-3</v>
      </c>
      <c r="DN10" s="720">
        <v>5.3711285527018688E-3</v>
      </c>
      <c r="DO10" s="720">
        <v>5.3711285527018688E-3</v>
      </c>
    </row>
    <row r="11" spans="1:119">
      <c r="C11" t="s">
        <v>1353</v>
      </c>
      <c r="D11" t="s">
        <v>1366</v>
      </c>
      <c r="E11" t="s">
        <v>1351</v>
      </c>
      <c r="F11" t="str">
        <f>INDEX('Data Interface'!C:C,MATCH(E11,'Data Interface'!B:B,0))</f>
        <v>Due to Affiliate - Investment - BOC HK LTD</v>
      </c>
      <c r="G11">
        <f t="shared" si="0"/>
        <v>339</v>
      </c>
      <c r="I11">
        <f t="shared" si="1"/>
        <v>1.4999999999999999E-2</v>
      </c>
      <c r="J11">
        <f t="shared" si="2"/>
        <v>5.2499999999999998E-2</v>
      </c>
      <c r="K11">
        <f t="shared" si="3"/>
        <v>5.2499999999999998E-2</v>
      </c>
      <c r="L11">
        <f t="shared" si="4"/>
        <v>1.4999999999999999E-2</v>
      </c>
      <c r="M11">
        <f t="shared" si="5"/>
        <v>1.4999999999999999E-2</v>
      </c>
      <c r="N11">
        <f t="shared" si="6"/>
        <v>1.4999999999999999E-2</v>
      </c>
      <c r="O11">
        <f t="shared" si="7"/>
        <v>1.4999999999999999E-2</v>
      </c>
      <c r="P11">
        <f t="shared" si="8"/>
        <v>4.9999999999999984E-3</v>
      </c>
      <c r="Q11">
        <f t="shared" si="9"/>
        <v>4.9999999999999984E-3</v>
      </c>
      <c r="R11">
        <f t="shared" si="10"/>
        <v>4.9999999999999984E-3</v>
      </c>
      <c r="S11">
        <f t="shared" si="11"/>
        <v>4.9999999999999984E-3</v>
      </c>
      <c r="T11">
        <f t="shared" si="12"/>
        <v>4.9999999999999984E-3</v>
      </c>
      <c r="U11">
        <f t="shared" si="13"/>
        <v>4.9999999999999984E-3</v>
      </c>
      <c r="V11">
        <f t="shared" si="14"/>
        <v>4.9999999999999984E-3</v>
      </c>
      <c r="W11">
        <f t="shared" si="15"/>
        <v>4.9999999999999984E-3</v>
      </c>
      <c r="X11">
        <f t="shared" si="16"/>
        <v>4.9999999999999984E-3</v>
      </c>
      <c r="Y11">
        <f t="shared" si="17"/>
        <v>0</v>
      </c>
      <c r="Z11">
        <f t="shared" si="18"/>
        <v>1.2E-2</v>
      </c>
      <c r="AA11">
        <f t="shared" si="19"/>
        <v>4.2000000000000003E-2</v>
      </c>
      <c r="AB11">
        <f t="shared" si="20"/>
        <v>4.2000000000000003E-2</v>
      </c>
      <c r="AC11">
        <f t="shared" si="21"/>
        <v>1.1999999999999997E-2</v>
      </c>
      <c r="AD11">
        <f t="shared" si="22"/>
        <v>1.1999999999999997E-2</v>
      </c>
      <c r="AE11">
        <f t="shared" si="23"/>
        <v>1.1999999999999997E-2</v>
      </c>
      <c r="AF11">
        <f t="shared" si="24"/>
        <v>1.1999999999999997E-2</v>
      </c>
      <c r="AG11">
        <f t="shared" si="25"/>
        <v>4.0000000000000001E-3</v>
      </c>
      <c r="AH11">
        <f t="shared" si="26"/>
        <v>4.0000000000000001E-3</v>
      </c>
      <c r="AI11">
        <f t="shared" si="27"/>
        <v>4.0000000000000001E-3</v>
      </c>
      <c r="AJ11">
        <f t="shared" si="28"/>
        <v>4.0000000000000001E-3</v>
      </c>
      <c r="AK11">
        <f t="shared" si="29"/>
        <v>4.0000000000000001E-3</v>
      </c>
      <c r="AL11">
        <f t="shared" si="30"/>
        <v>4.0000000000000001E-3</v>
      </c>
      <c r="AM11">
        <f t="shared" si="31"/>
        <v>4.0000000000000001E-3</v>
      </c>
      <c r="AN11">
        <f t="shared" si="32"/>
        <v>4.0000000000000001E-3</v>
      </c>
      <c r="AO11">
        <f t="shared" si="33"/>
        <v>4.0000000000000001E-3</v>
      </c>
      <c r="AP11">
        <f t="shared" si="34"/>
        <v>0</v>
      </c>
      <c r="AQ11">
        <f t="shared" si="35"/>
        <v>5.000000000000001E-3</v>
      </c>
      <c r="AR11">
        <f t="shared" si="36"/>
        <v>1.7500000000000002E-2</v>
      </c>
      <c r="AS11">
        <f t="shared" si="37"/>
        <v>1.7500000000000002E-2</v>
      </c>
      <c r="AT11">
        <f t="shared" si="38"/>
        <v>4.9999999999999975E-3</v>
      </c>
      <c r="AU11">
        <f t="shared" si="39"/>
        <v>4.9999999999999975E-3</v>
      </c>
      <c r="AV11">
        <f t="shared" si="40"/>
        <v>4.9999999999999975E-3</v>
      </c>
      <c r="AW11">
        <f t="shared" si="41"/>
        <v>4.9999999999999975E-3</v>
      </c>
      <c r="AX11">
        <f t="shared" si="42"/>
        <v>1.6666666666666681E-3</v>
      </c>
      <c r="AY11">
        <f t="shared" si="43"/>
        <v>1.6666666666666681E-3</v>
      </c>
      <c r="AZ11">
        <f t="shared" si="44"/>
        <v>1.6666666666666681E-3</v>
      </c>
      <c r="BA11">
        <f t="shared" si="45"/>
        <v>1.6666666666666681E-3</v>
      </c>
      <c r="BB11">
        <f t="shared" si="46"/>
        <v>1.6666666666666681E-3</v>
      </c>
      <c r="BC11">
        <f t="shared" si="47"/>
        <v>1.6666666666666681E-3</v>
      </c>
      <c r="BD11">
        <f t="shared" si="48"/>
        <v>1.6666666666666681E-3</v>
      </c>
      <c r="BE11">
        <f t="shared" si="49"/>
        <v>1.6666666666666681E-3</v>
      </c>
      <c r="BF11">
        <f t="shared" si="50"/>
        <v>1.6666666666666681E-3</v>
      </c>
      <c r="BG11">
        <f t="shared" si="51"/>
        <v>0</v>
      </c>
      <c r="BI11" t="str">
        <f t="shared" si="52"/>
        <v>426741141467FI</v>
      </c>
      <c r="BJ11" s="426">
        <v>42674</v>
      </c>
      <c r="BK11" t="s">
        <v>1375</v>
      </c>
      <c r="BL11" t="s">
        <v>1376</v>
      </c>
      <c r="BM11" t="s">
        <v>1355</v>
      </c>
      <c r="BN11" s="438">
        <v>2</v>
      </c>
      <c r="BO11" s="438">
        <v>1</v>
      </c>
      <c r="BR11" s="720">
        <v>4.6000000000000006E-2</v>
      </c>
      <c r="BS11" s="720">
        <v>0.16100000000000003</v>
      </c>
      <c r="BT11" s="720">
        <v>0.16100000000000003</v>
      </c>
      <c r="BU11" s="720">
        <v>4.5999999999999985E-2</v>
      </c>
      <c r="BV11" s="720">
        <v>4.5999999999999985E-2</v>
      </c>
      <c r="BW11" s="720">
        <v>4.6000000000000013E-2</v>
      </c>
      <c r="BX11" s="720">
        <v>4.6000000000000013E-2</v>
      </c>
      <c r="BY11" s="720">
        <v>1.5333333333333334E-2</v>
      </c>
      <c r="BZ11" s="720">
        <v>1.5333333333333334E-2</v>
      </c>
      <c r="CA11" s="720">
        <v>1.5333333333333334E-2</v>
      </c>
      <c r="CB11" s="720">
        <v>1.5333333333333334E-2</v>
      </c>
      <c r="CC11" s="720">
        <v>1.5333333333333334E-2</v>
      </c>
      <c r="CD11" s="720">
        <v>1.5333333333333334E-2</v>
      </c>
      <c r="CE11" s="720">
        <v>1.5333333333333334E-2</v>
      </c>
      <c r="CF11" s="720">
        <v>1.5333333333333334E-2</v>
      </c>
      <c r="CG11" s="720">
        <v>1.5333333333333334E-2</v>
      </c>
      <c r="CH11" s="720"/>
      <c r="CI11" s="720">
        <v>4.0000000000000008E-2</v>
      </c>
      <c r="CJ11" s="720">
        <v>0.14000000000000001</v>
      </c>
      <c r="CK11" s="720">
        <v>0.14000000000000001</v>
      </c>
      <c r="CL11" s="720">
        <v>3.999999999999998E-2</v>
      </c>
      <c r="CM11" s="720">
        <v>3.999999999999998E-2</v>
      </c>
      <c r="CN11" s="720">
        <v>3.999999999999998E-2</v>
      </c>
      <c r="CO11" s="720">
        <v>3.999999999999998E-2</v>
      </c>
      <c r="CP11" s="720">
        <v>1.3333333333333345E-2</v>
      </c>
      <c r="CQ11" s="720">
        <v>1.3333333333333345E-2</v>
      </c>
      <c r="CR11" s="720">
        <v>1.3333333333333345E-2</v>
      </c>
      <c r="CS11" s="720">
        <v>1.3333333333333345E-2</v>
      </c>
      <c r="CT11" s="720">
        <v>1.3333333333333345E-2</v>
      </c>
      <c r="CU11" s="720">
        <v>1.3333333333333345E-2</v>
      </c>
      <c r="CV11" s="720">
        <v>1.3333333333333345E-2</v>
      </c>
      <c r="CW11" s="720">
        <v>1.3333333333333345E-2</v>
      </c>
      <c r="CX11" s="720">
        <v>1.3333333333333345E-2</v>
      </c>
      <c r="CY11" s="720"/>
      <c r="CZ11" s="720">
        <v>0.03</v>
      </c>
      <c r="DA11" s="720">
        <v>0.105</v>
      </c>
      <c r="DB11" s="720">
        <v>0.105</v>
      </c>
      <c r="DC11" s="720">
        <v>0.03</v>
      </c>
      <c r="DD11" s="720">
        <v>0.03</v>
      </c>
      <c r="DE11" s="720">
        <v>0.03</v>
      </c>
      <c r="DF11" s="720">
        <v>0.03</v>
      </c>
      <c r="DG11" s="720">
        <v>9.9999999999999967E-3</v>
      </c>
      <c r="DH11" s="720">
        <v>9.9999999999999967E-3</v>
      </c>
      <c r="DI11" s="720">
        <v>9.9999999999999967E-3</v>
      </c>
      <c r="DJ11" s="720">
        <v>9.9999999999999967E-3</v>
      </c>
      <c r="DK11" s="720">
        <v>9.9999999999999967E-3</v>
      </c>
      <c r="DL11" s="720">
        <v>9.9999999999999967E-3</v>
      </c>
      <c r="DM11" s="720">
        <v>9.9999999999999967E-3</v>
      </c>
      <c r="DN11" s="720">
        <v>9.9999999999999967E-3</v>
      </c>
      <c r="DO11" s="720">
        <v>9.9999999999999967E-3</v>
      </c>
    </row>
    <row r="12" spans="1:119">
      <c r="C12" t="s">
        <v>1355</v>
      </c>
      <c r="E12" t="s">
        <v>1299</v>
      </c>
      <c r="F12" t="str">
        <f>INDEX('Data Interface'!C:C,MATCH(E12,'Data Interface'!B:B,0))</f>
        <v>Due to Banks - Demand</v>
      </c>
      <c r="G12">
        <f t="shared" si="0"/>
        <v>335</v>
      </c>
      <c r="I12">
        <f t="shared" si="1"/>
        <v>2.3000000000000003E-2</v>
      </c>
      <c r="J12">
        <f t="shared" si="2"/>
        <v>8.0500000000000016E-2</v>
      </c>
      <c r="K12">
        <f t="shared" si="3"/>
        <v>8.0500000000000016E-2</v>
      </c>
      <c r="L12">
        <f t="shared" si="4"/>
        <v>2.2999999999999993E-2</v>
      </c>
      <c r="M12">
        <f t="shared" si="5"/>
        <v>2.2999999999999993E-2</v>
      </c>
      <c r="N12">
        <f t="shared" si="6"/>
        <v>2.3000000000000007E-2</v>
      </c>
      <c r="O12">
        <f t="shared" si="7"/>
        <v>2.3000000000000007E-2</v>
      </c>
      <c r="P12">
        <f t="shared" si="8"/>
        <v>7.6666666666666671E-3</v>
      </c>
      <c r="Q12">
        <f t="shared" si="9"/>
        <v>7.6666666666666671E-3</v>
      </c>
      <c r="R12">
        <f t="shared" si="10"/>
        <v>7.6666666666666671E-3</v>
      </c>
      <c r="S12">
        <f t="shared" si="11"/>
        <v>7.6666666666666671E-3</v>
      </c>
      <c r="T12">
        <f t="shared" si="12"/>
        <v>7.6666666666666671E-3</v>
      </c>
      <c r="U12">
        <f t="shared" si="13"/>
        <v>7.6666666666666671E-3</v>
      </c>
      <c r="V12">
        <f t="shared" si="14"/>
        <v>7.6666666666666671E-3</v>
      </c>
      <c r="W12">
        <f t="shared" si="15"/>
        <v>7.6666666666666671E-3</v>
      </c>
      <c r="X12">
        <f t="shared" si="16"/>
        <v>7.6666666666666671E-3</v>
      </c>
      <c r="Y12">
        <f t="shared" si="17"/>
        <v>0</v>
      </c>
      <c r="Z12">
        <f t="shared" si="18"/>
        <v>2.0000000000000004E-2</v>
      </c>
      <c r="AA12">
        <f t="shared" si="19"/>
        <v>7.0000000000000007E-2</v>
      </c>
      <c r="AB12">
        <f t="shared" si="20"/>
        <v>7.0000000000000007E-2</v>
      </c>
      <c r="AC12">
        <f t="shared" si="21"/>
        <v>1.999999999999999E-2</v>
      </c>
      <c r="AD12">
        <f t="shared" si="22"/>
        <v>1.999999999999999E-2</v>
      </c>
      <c r="AE12">
        <f t="shared" si="23"/>
        <v>1.999999999999999E-2</v>
      </c>
      <c r="AF12">
        <f t="shared" si="24"/>
        <v>1.999999999999999E-2</v>
      </c>
      <c r="AG12">
        <f t="shared" si="25"/>
        <v>6.6666666666666723E-3</v>
      </c>
      <c r="AH12">
        <f t="shared" si="26"/>
        <v>6.6666666666666723E-3</v>
      </c>
      <c r="AI12">
        <f t="shared" si="27"/>
        <v>6.6666666666666723E-3</v>
      </c>
      <c r="AJ12">
        <f t="shared" si="28"/>
        <v>6.6666666666666723E-3</v>
      </c>
      <c r="AK12">
        <f t="shared" si="29"/>
        <v>6.6666666666666723E-3</v>
      </c>
      <c r="AL12">
        <f t="shared" si="30"/>
        <v>6.6666666666666723E-3</v>
      </c>
      <c r="AM12">
        <f t="shared" si="31"/>
        <v>6.6666666666666723E-3</v>
      </c>
      <c r="AN12">
        <f t="shared" si="32"/>
        <v>6.6666666666666723E-3</v>
      </c>
      <c r="AO12">
        <f t="shared" si="33"/>
        <v>6.6666666666666723E-3</v>
      </c>
      <c r="AP12">
        <f t="shared" si="34"/>
        <v>0</v>
      </c>
      <c r="AQ12">
        <f t="shared" si="35"/>
        <v>1.4999999999999999E-2</v>
      </c>
      <c r="AR12">
        <f t="shared" si="36"/>
        <v>5.2499999999999998E-2</v>
      </c>
      <c r="AS12">
        <f t="shared" si="37"/>
        <v>5.2499999999999998E-2</v>
      </c>
      <c r="AT12">
        <f t="shared" si="38"/>
        <v>1.4999999999999999E-2</v>
      </c>
      <c r="AU12">
        <f t="shared" si="39"/>
        <v>1.4999999999999999E-2</v>
      </c>
      <c r="AV12">
        <f t="shared" si="40"/>
        <v>1.4999999999999999E-2</v>
      </c>
      <c r="AW12">
        <f t="shared" si="41"/>
        <v>1.4999999999999999E-2</v>
      </c>
      <c r="AX12">
        <f t="shared" si="42"/>
        <v>4.9999999999999984E-3</v>
      </c>
      <c r="AY12">
        <f t="shared" si="43"/>
        <v>4.9999999999999984E-3</v>
      </c>
      <c r="AZ12">
        <f t="shared" si="44"/>
        <v>4.9999999999999984E-3</v>
      </c>
      <c r="BA12">
        <f t="shared" si="45"/>
        <v>4.9999999999999984E-3</v>
      </c>
      <c r="BB12">
        <f t="shared" si="46"/>
        <v>4.9999999999999984E-3</v>
      </c>
      <c r="BC12">
        <f t="shared" si="47"/>
        <v>4.9999999999999984E-3</v>
      </c>
      <c r="BD12">
        <f t="shared" si="48"/>
        <v>4.9999999999999984E-3</v>
      </c>
      <c r="BE12">
        <f t="shared" si="49"/>
        <v>4.9999999999999984E-3</v>
      </c>
      <c r="BF12">
        <f t="shared" si="50"/>
        <v>4.9999999999999984E-3</v>
      </c>
      <c r="BG12">
        <f t="shared" si="51"/>
        <v>0</v>
      </c>
      <c r="BI12" t="str">
        <f t="shared" si="52"/>
        <v>42674CORP</v>
      </c>
      <c r="BJ12" s="426">
        <v>42674</v>
      </c>
      <c r="BM12" t="s">
        <v>1356</v>
      </c>
      <c r="BN12" s="438">
        <v>1</v>
      </c>
      <c r="BO12" s="438">
        <v>0.94155842531276279</v>
      </c>
      <c r="BR12" s="720">
        <v>9.1688314937447436E-3</v>
      </c>
      <c r="BS12" s="720">
        <v>4.7155845033110808E-2</v>
      </c>
      <c r="BT12" s="720">
        <v>4.7155845033110808E-2</v>
      </c>
      <c r="BU12" s="720">
        <v>3.1766233701251055E-2</v>
      </c>
      <c r="BV12" s="720">
        <v>3.1766233701251055E-2</v>
      </c>
      <c r="BW12" s="720">
        <v>1.6701298896246844E-2</v>
      </c>
      <c r="BX12" s="720">
        <v>1.6701298896246844E-2</v>
      </c>
      <c r="BY12" s="720">
        <v>5.5670996320822796E-3</v>
      </c>
      <c r="BZ12" s="720">
        <v>5.5670996320822796E-3</v>
      </c>
      <c r="CA12" s="720">
        <v>5.5670996320822796E-3</v>
      </c>
      <c r="CB12" s="720">
        <v>5.5670996320822796E-3</v>
      </c>
      <c r="CC12" s="720">
        <v>5.5670996320822796E-3</v>
      </c>
      <c r="CD12" s="720">
        <v>5.5670996320822796E-3</v>
      </c>
      <c r="CE12" s="720">
        <v>5.5670996320822796E-3</v>
      </c>
      <c r="CF12" s="720">
        <v>5.5670996320822796E-3</v>
      </c>
      <c r="CG12" s="720">
        <v>5.5670996320822796E-3</v>
      </c>
      <c r="CH12" s="720"/>
      <c r="CI12" s="720">
        <v>7.9935067696830335E-3</v>
      </c>
      <c r="CJ12" s="720">
        <v>4.1159091648269294E-2</v>
      </c>
      <c r="CK12" s="720">
        <v>4.1159091648269294E-2</v>
      </c>
      <c r="CL12" s="720">
        <v>2.7766233701251052E-2</v>
      </c>
      <c r="CM12" s="720">
        <v>2.7766233701251052E-2</v>
      </c>
      <c r="CN12" s="720">
        <v>1.4584415746872373E-2</v>
      </c>
      <c r="CO12" s="720">
        <v>1.4584415746872373E-2</v>
      </c>
      <c r="CP12" s="720">
        <v>4.861471915624126E-3</v>
      </c>
      <c r="CQ12" s="720">
        <v>4.861471915624126E-3</v>
      </c>
      <c r="CR12" s="720">
        <v>4.861471915624126E-3</v>
      </c>
      <c r="CS12" s="720">
        <v>4.861471915624126E-3</v>
      </c>
      <c r="CT12" s="720">
        <v>4.861471915624126E-3</v>
      </c>
      <c r="CU12" s="720">
        <v>4.861471915624126E-3</v>
      </c>
      <c r="CV12" s="720">
        <v>4.861471915624126E-3</v>
      </c>
      <c r="CW12" s="720">
        <v>4.861471915624126E-3</v>
      </c>
      <c r="CX12" s="720">
        <v>4.861471915624126E-3</v>
      </c>
      <c r="CY12" s="720"/>
      <c r="CZ12" s="720">
        <v>5.5844157468723727E-3</v>
      </c>
      <c r="DA12" s="720">
        <v>2.8961039367180929E-2</v>
      </c>
      <c r="DB12" s="720">
        <v>2.8961039367180929E-2</v>
      </c>
      <c r="DC12" s="720">
        <v>1.9707792126563824E-2</v>
      </c>
      <c r="DD12" s="720">
        <v>1.9707792126563824E-2</v>
      </c>
      <c r="DE12" s="720">
        <v>1.0292207873436175E-2</v>
      </c>
      <c r="DF12" s="720">
        <v>1.0292207873436175E-2</v>
      </c>
      <c r="DG12" s="720">
        <v>3.4307359578120652E-3</v>
      </c>
      <c r="DH12" s="720">
        <v>3.4307359578120652E-3</v>
      </c>
      <c r="DI12" s="720">
        <v>3.4307359578120652E-3</v>
      </c>
      <c r="DJ12" s="720">
        <v>3.4307359578120652E-3</v>
      </c>
      <c r="DK12" s="720">
        <v>3.4307359578120652E-3</v>
      </c>
      <c r="DL12" s="720">
        <v>3.4307359578120652E-3</v>
      </c>
      <c r="DM12" s="720">
        <v>3.4307359578120652E-3</v>
      </c>
      <c r="DN12" s="720">
        <v>3.4307359578120652E-3</v>
      </c>
      <c r="DO12" s="720">
        <v>3.4307359578120652E-3</v>
      </c>
    </row>
    <row r="13" spans="1:119">
      <c r="C13" t="s">
        <v>1355</v>
      </c>
      <c r="E13" t="s">
        <v>1301</v>
      </c>
      <c r="F13" t="str">
        <f>INDEX('Data Interface'!C:C,MATCH(E13,'Data Interface'!B:B,0))</f>
        <v>Blocked Account</v>
      </c>
      <c r="G13">
        <f t="shared" si="0"/>
        <v>335</v>
      </c>
      <c r="I13">
        <f t="shared" si="1"/>
        <v>2.3000000000000003E-2</v>
      </c>
      <c r="J13">
        <f t="shared" si="2"/>
        <v>8.0500000000000016E-2</v>
      </c>
      <c r="K13">
        <f t="shared" si="3"/>
        <v>8.0500000000000016E-2</v>
      </c>
      <c r="L13">
        <f t="shared" si="4"/>
        <v>2.2999999999999993E-2</v>
      </c>
      <c r="M13">
        <f t="shared" si="5"/>
        <v>2.2999999999999993E-2</v>
      </c>
      <c r="N13">
        <f t="shared" si="6"/>
        <v>2.3000000000000007E-2</v>
      </c>
      <c r="O13">
        <f t="shared" si="7"/>
        <v>2.3000000000000007E-2</v>
      </c>
      <c r="P13">
        <f t="shared" si="8"/>
        <v>7.6666666666666671E-3</v>
      </c>
      <c r="Q13">
        <f t="shared" si="9"/>
        <v>7.6666666666666671E-3</v>
      </c>
      <c r="R13">
        <f t="shared" si="10"/>
        <v>7.6666666666666671E-3</v>
      </c>
      <c r="S13">
        <f t="shared" si="11"/>
        <v>7.6666666666666671E-3</v>
      </c>
      <c r="T13">
        <f t="shared" si="12"/>
        <v>7.6666666666666671E-3</v>
      </c>
      <c r="U13">
        <f t="shared" si="13"/>
        <v>7.6666666666666671E-3</v>
      </c>
      <c r="V13">
        <f t="shared" si="14"/>
        <v>7.6666666666666671E-3</v>
      </c>
      <c r="W13">
        <f t="shared" si="15"/>
        <v>7.6666666666666671E-3</v>
      </c>
      <c r="X13">
        <f t="shared" si="16"/>
        <v>7.6666666666666671E-3</v>
      </c>
      <c r="Y13">
        <f t="shared" si="17"/>
        <v>0</v>
      </c>
      <c r="Z13">
        <f t="shared" si="18"/>
        <v>2.0000000000000004E-2</v>
      </c>
      <c r="AA13">
        <f t="shared" si="19"/>
        <v>7.0000000000000007E-2</v>
      </c>
      <c r="AB13">
        <f t="shared" si="20"/>
        <v>7.0000000000000007E-2</v>
      </c>
      <c r="AC13">
        <f t="shared" si="21"/>
        <v>1.999999999999999E-2</v>
      </c>
      <c r="AD13">
        <f t="shared" si="22"/>
        <v>1.999999999999999E-2</v>
      </c>
      <c r="AE13">
        <f t="shared" si="23"/>
        <v>1.999999999999999E-2</v>
      </c>
      <c r="AF13">
        <f t="shared" si="24"/>
        <v>1.999999999999999E-2</v>
      </c>
      <c r="AG13">
        <f t="shared" si="25"/>
        <v>6.6666666666666723E-3</v>
      </c>
      <c r="AH13">
        <f t="shared" si="26"/>
        <v>6.6666666666666723E-3</v>
      </c>
      <c r="AI13">
        <f t="shared" si="27"/>
        <v>6.6666666666666723E-3</v>
      </c>
      <c r="AJ13">
        <f t="shared" si="28"/>
        <v>6.6666666666666723E-3</v>
      </c>
      <c r="AK13">
        <f t="shared" si="29"/>
        <v>6.6666666666666723E-3</v>
      </c>
      <c r="AL13">
        <f t="shared" si="30"/>
        <v>6.6666666666666723E-3</v>
      </c>
      <c r="AM13">
        <f t="shared" si="31"/>
        <v>6.6666666666666723E-3</v>
      </c>
      <c r="AN13">
        <f t="shared" si="32"/>
        <v>6.6666666666666723E-3</v>
      </c>
      <c r="AO13">
        <f t="shared" si="33"/>
        <v>6.6666666666666723E-3</v>
      </c>
      <c r="AP13">
        <f t="shared" si="34"/>
        <v>0</v>
      </c>
      <c r="AQ13">
        <f t="shared" si="35"/>
        <v>1.4999999999999999E-2</v>
      </c>
      <c r="AR13">
        <f t="shared" si="36"/>
        <v>5.2499999999999998E-2</v>
      </c>
      <c r="AS13">
        <f t="shared" si="37"/>
        <v>5.2499999999999998E-2</v>
      </c>
      <c r="AT13">
        <f t="shared" si="38"/>
        <v>1.4999999999999999E-2</v>
      </c>
      <c r="AU13">
        <f t="shared" si="39"/>
        <v>1.4999999999999999E-2</v>
      </c>
      <c r="AV13">
        <f t="shared" si="40"/>
        <v>1.4999999999999999E-2</v>
      </c>
      <c r="AW13">
        <f t="shared" si="41"/>
        <v>1.4999999999999999E-2</v>
      </c>
      <c r="AX13">
        <f t="shared" si="42"/>
        <v>4.9999999999999984E-3</v>
      </c>
      <c r="AY13">
        <f t="shared" si="43"/>
        <v>4.9999999999999984E-3</v>
      </c>
      <c r="AZ13">
        <f t="shared" si="44"/>
        <v>4.9999999999999984E-3</v>
      </c>
      <c r="BA13">
        <f t="shared" si="45"/>
        <v>4.9999999999999984E-3</v>
      </c>
      <c r="BB13">
        <f t="shared" si="46"/>
        <v>4.9999999999999984E-3</v>
      </c>
      <c r="BC13">
        <f t="shared" si="47"/>
        <v>4.9999999999999984E-3</v>
      </c>
      <c r="BD13">
        <f t="shared" si="48"/>
        <v>4.9999999999999984E-3</v>
      </c>
      <c r="BE13">
        <f t="shared" si="49"/>
        <v>4.9999999999999984E-3</v>
      </c>
      <c r="BF13">
        <f t="shared" si="50"/>
        <v>4.9999999999999984E-3</v>
      </c>
      <c r="BG13">
        <f t="shared" si="51"/>
        <v>0</v>
      </c>
      <c r="BI13" t="str">
        <f t="shared" si="52"/>
        <v>42674ESCROW</v>
      </c>
      <c r="BJ13" s="426">
        <v>42674</v>
      </c>
      <c r="BM13" t="s">
        <v>1339</v>
      </c>
      <c r="BN13" s="438">
        <v>1</v>
      </c>
      <c r="BO13" s="438">
        <v>1</v>
      </c>
      <c r="BR13" s="720">
        <v>3.2000000000000001E-2</v>
      </c>
      <c r="BS13" s="720">
        <v>2.4E-2</v>
      </c>
      <c r="BT13" s="720">
        <v>2.4E-2</v>
      </c>
      <c r="BU13" s="720">
        <v>0.04</v>
      </c>
      <c r="BV13" s="720">
        <v>0.04</v>
      </c>
      <c r="BW13" s="720">
        <v>3.9999999999999994E-2</v>
      </c>
      <c r="BX13" s="720">
        <v>3.9999999999999994E-2</v>
      </c>
      <c r="BY13" s="720">
        <v>8.8888888888888906E-3</v>
      </c>
      <c r="BZ13" s="720">
        <v>8.8888888888888906E-3</v>
      </c>
      <c r="CA13" s="720">
        <v>8.8888888888888906E-3</v>
      </c>
      <c r="CB13" s="720">
        <v>8.8888888888888906E-3</v>
      </c>
      <c r="CC13" s="720">
        <v>8.8888888888888906E-3</v>
      </c>
      <c r="CD13" s="720">
        <v>8.8888888888888906E-3</v>
      </c>
      <c r="CE13" s="720">
        <v>8.8888888888888906E-3</v>
      </c>
      <c r="CF13" s="720">
        <v>8.8888888888888906E-3</v>
      </c>
      <c r="CG13" s="720">
        <v>8.8888888888888906E-3</v>
      </c>
      <c r="CH13" s="720"/>
      <c r="CI13" s="720">
        <v>2.8000000000000004E-2</v>
      </c>
      <c r="CJ13" s="720">
        <v>2.1000000000000001E-2</v>
      </c>
      <c r="CK13" s="720">
        <v>2.1000000000000001E-2</v>
      </c>
      <c r="CL13" s="720">
        <v>3.5000000000000003E-2</v>
      </c>
      <c r="CM13" s="720">
        <v>3.5000000000000003E-2</v>
      </c>
      <c r="CN13" s="720">
        <v>3.5000000000000003E-2</v>
      </c>
      <c r="CO13" s="720">
        <v>3.5000000000000003E-2</v>
      </c>
      <c r="CP13" s="720">
        <v>7.7777777777777784E-3</v>
      </c>
      <c r="CQ13" s="720">
        <v>7.7777777777777784E-3</v>
      </c>
      <c r="CR13" s="720">
        <v>7.7777777777777784E-3</v>
      </c>
      <c r="CS13" s="720">
        <v>7.7777777777777784E-3</v>
      </c>
      <c r="CT13" s="720">
        <v>7.7777777777777784E-3</v>
      </c>
      <c r="CU13" s="720">
        <v>7.7777777777777784E-3</v>
      </c>
      <c r="CV13" s="720">
        <v>7.7777777777777784E-3</v>
      </c>
      <c r="CW13" s="720">
        <v>7.7777777777777784E-3</v>
      </c>
      <c r="CX13" s="720">
        <v>7.7777777777777784E-3</v>
      </c>
      <c r="CY13" s="720"/>
      <c r="CZ13" s="720">
        <v>2.0000000000000004E-2</v>
      </c>
      <c r="DA13" s="720">
        <v>1.4999999999999999E-2</v>
      </c>
      <c r="DB13" s="720">
        <v>1.4999999999999999E-2</v>
      </c>
      <c r="DC13" s="720">
        <v>2.5000000000000001E-2</v>
      </c>
      <c r="DD13" s="720">
        <v>2.5000000000000001E-2</v>
      </c>
      <c r="DE13" s="720">
        <v>2.5000000000000008E-2</v>
      </c>
      <c r="DF13" s="720">
        <v>2.5000000000000008E-2</v>
      </c>
      <c r="DG13" s="720">
        <v>5.555555555555554E-3</v>
      </c>
      <c r="DH13" s="720">
        <v>5.555555555555554E-3</v>
      </c>
      <c r="DI13" s="720">
        <v>5.555555555555554E-3</v>
      </c>
      <c r="DJ13" s="720">
        <v>5.555555555555554E-3</v>
      </c>
      <c r="DK13" s="720">
        <v>5.555555555555554E-3</v>
      </c>
      <c r="DL13" s="720">
        <v>5.555555555555554E-3</v>
      </c>
      <c r="DM13" s="720">
        <v>5.555555555555554E-3</v>
      </c>
      <c r="DN13" s="720">
        <v>5.555555555555554E-3</v>
      </c>
      <c r="DO13" s="720">
        <v>5.555555555555554E-3</v>
      </c>
    </row>
    <row r="14" spans="1:119">
      <c r="C14" t="s">
        <v>1355</v>
      </c>
      <c r="E14" t="s">
        <v>1302</v>
      </c>
      <c r="F14" t="str">
        <f>INDEX('Data Interface'!C:C,MATCH(E14,'Data Interface'!B:B,0))</f>
        <v>Due to Non-Bank FI (Exclude Large FI)</v>
      </c>
      <c r="G14">
        <f t="shared" si="0"/>
        <v>335</v>
      </c>
      <c r="I14">
        <f t="shared" si="1"/>
        <v>2.3000000000000003E-2</v>
      </c>
      <c r="J14">
        <f t="shared" si="2"/>
        <v>8.0500000000000016E-2</v>
      </c>
      <c r="K14">
        <f t="shared" si="3"/>
        <v>8.0500000000000016E-2</v>
      </c>
      <c r="L14">
        <f t="shared" si="4"/>
        <v>2.2999999999999993E-2</v>
      </c>
      <c r="M14">
        <f t="shared" si="5"/>
        <v>2.2999999999999993E-2</v>
      </c>
      <c r="N14">
        <f t="shared" si="6"/>
        <v>2.3000000000000007E-2</v>
      </c>
      <c r="O14">
        <f t="shared" si="7"/>
        <v>2.3000000000000007E-2</v>
      </c>
      <c r="P14">
        <f t="shared" si="8"/>
        <v>7.6666666666666671E-3</v>
      </c>
      <c r="Q14">
        <f t="shared" si="9"/>
        <v>7.6666666666666671E-3</v>
      </c>
      <c r="R14">
        <f t="shared" si="10"/>
        <v>7.6666666666666671E-3</v>
      </c>
      <c r="S14">
        <f t="shared" si="11"/>
        <v>7.6666666666666671E-3</v>
      </c>
      <c r="T14">
        <f t="shared" si="12"/>
        <v>7.6666666666666671E-3</v>
      </c>
      <c r="U14">
        <f t="shared" si="13"/>
        <v>7.6666666666666671E-3</v>
      </c>
      <c r="V14">
        <f t="shared" si="14"/>
        <v>7.6666666666666671E-3</v>
      </c>
      <c r="W14">
        <f t="shared" si="15"/>
        <v>7.6666666666666671E-3</v>
      </c>
      <c r="X14">
        <f t="shared" si="16"/>
        <v>7.6666666666666671E-3</v>
      </c>
      <c r="Y14">
        <f t="shared" si="17"/>
        <v>0</v>
      </c>
      <c r="Z14">
        <f t="shared" si="18"/>
        <v>2.0000000000000004E-2</v>
      </c>
      <c r="AA14">
        <f t="shared" si="19"/>
        <v>7.0000000000000007E-2</v>
      </c>
      <c r="AB14">
        <f t="shared" si="20"/>
        <v>7.0000000000000007E-2</v>
      </c>
      <c r="AC14">
        <f t="shared" si="21"/>
        <v>1.999999999999999E-2</v>
      </c>
      <c r="AD14">
        <f t="shared" si="22"/>
        <v>1.999999999999999E-2</v>
      </c>
      <c r="AE14">
        <f t="shared" si="23"/>
        <v>1.999999999999999E-2</v>
      </c>
      <c r="AF14">
        <f t="shared" si="24"/>
        <v>1.999999999999999E-2</v>
      </c>
      <c r="AG14">
        <f t="shared" si="25"/>
        <v>6.6666666666666723E-3</v>
      </c>
      <c r="AH14">
        <f t="shared" si="26"/>
        <v>6.6666666666666723E-3</v>
      </c>
      <c r="AI14">
        <f t="shared" si="27"/>
        <v>6.6666666666666723E-3</v>
      </c>
      <c r="AJ14">
        <f t="shared" si="28"/>
        <v>6.6666666666666723E-3</v>
      </c>
      <c r="AK14">
        <f t="shared" si="29"/>
        <v>6.6666666666666723E-3</v>
      </c>
      <c r="AL14">
        <f t="shared" si="30"/>
        <v>6.6666666666666723E-3</v>
      </c>
      <c r="AM14">
        <f t="shared" si="31"/>
        <v>6.6666666666666723E-3</v>
      </c>
      <c r="AN14">
        <f t="shared" si="32"/>
        <v>6.6666666666666723E-3</v>
      </c>
      <c r="AO14">
        <f t="shared" si="33"/>
        <v>6.6666666666666723E-3</v>
      </c>
      <c r="AP14">
        <f t="shared" si="34"/>
        <v>0</v>
      </c>
      <c r="AQ14">
        <f t="shared" si="35"/>
        <v>1.4999999999999999E-2</v>
      </c>
      <c r="AR14">
        <f t="shared" si="36"/>
        <v>5.2499999999999998E-2</v>
      </c>
      <c r="AS14">
        <f t="shared" si="37"/>
        <v>5.2499999999999998E-2</v>
      </c>
      <c r="AT14">
        <f t="shared" si="38"/>
        <v>1.4999999999999999E-2</v>
      </c>
      <c r="AU14">
        <f t="shared" si="39"/>
        <v>1.4999999999999999E-2</v>
      </c>
      <c r="AV14">
        <f t="shared" si="40"/>
        <v>1.4999999999999999E-2</v>
      </c>
      <c r="AW14">
        <f t="shared" si="41"/>
        <v>1.4999999999999999E-2</v>
      </c>
      <c r="AX14">
        <f t="shared" si="42"/>
        <v>4.9999999999999984E-3</v>
      </c>
      <c r="AY14">
        <f t="shared" si="43"/>
        <v>4.9999999999999984E-3</v>
      </c>
      <c r="AZ14">
        <f t="shared" si="44"/>
        <v>4.9999999999999984E-3</v>
      </c>
      <c r="BA14">
        <f t="shared" si="45"/>
        <v>4.9999999999999984E-3</v>
      </c>
      <c r="BB14">
        <f t="shared" si="46"/>
        <v>4.9999999999999984E-3</v>
      </c>
      <c r="BC14">
        <f t="shared" si="47"/>
        <v>4.9999999999999984E-3</v>
      </c>
      <c r="BD14">
        <f t="shared" si="48"/>
        <v>4.9999999999999984E-3</v>
      </c>
      <c r="BE14">
        <f t="shared" si="49"/>
        <v>4.9999999999999984E-3</v>
      </c>
      <c r="BF14">
        <f t="shared" si="50"/>
        <v>4.9999999999999984E-3</v>
      </c>
      <c r="BG14">
        <f t="shared" si="51"/>
        <v>0</v>
      </c>
      <c r="BI14" t="str">
        <f t="shared" si="52"/>
        <v>42674FI</v>
      </c>
      <c r="BJ14" s="426">
        <v>42674</v>
      </c>
      <c r="BM14" t="s">
        <v>1355</v>
      </c>
      <c r="BN14" s="438">
        <v>1</v>
      </c>
      <c r="BO14" s="438">
        <v>1</v>
      </c>
      <c r="BR14" s="720">
        <v>2.3000000000000003E-2</v>
      </c>
      <c r="BS14" s="720">
        <v>8.0500000000000016E-2</v>
      </c>
      <c r="BT14" s="720">
        <v>8.0500000000000016E-2</v>
      </c>
      <c r="BU14" s="720">
        <v>2.2999999999999993E-2</v>
      </c>
      <c r="BV14" s="720">
        <v>2.2999999999999993E-2</v>
      </c>
      <c r="BW14" s="720">
        <v>2.3000000000000007E-2</v>
      </c>
      <c r="BX14" s="720">
        <v>2.3000000000000007E-2</v>
      </c>
      <c r="BY14" s="720">
        <v>7.6666666666666671E-3</v>
      </c>
      <c r="BZ14" s="720">
        <v>7.6666666666666671E-3</v>
      </c>
      <c r="CA14" s="720">
        <v>7.6666666666666671E-3</v>
      </c>
      <c r="CB14" s="720">
        <v>7.6666666666666671E-3</v>
      </c>
      <c r="CC14" s="720">
        <v>7.6666666666666671E-3</v>
      </c>
      <c r="CD14" s="720">
        <v>7.6666666666666671E-3</v>
      </c>
      <c r="CE14" s="720">
        <v>7.6666666666666671E-3</v>
      </c>
      <c r="CF14" s="720">
        <v>7.6666666666666671E-3</v>
      </c>
      <c r="CG14" s="720">
        <v>7.6666666666666671E-3</v>
      </c>
      <c r="CH14" s="720"/>
      <c r="CI14" s="720">
        <v>2.0000000000000004E-2</v>
      </c>
      <c r="CJ14" s="720">
        <v>7.0000000000000007E-2</v>
      </c>
      <c r="CK14" s="720">
        <v>7.0000000000000007E-2</v>
      </c>
      <c r="CL14" s="720">
        <v>1.999999999999999E-2</v>
      </c>
      <c r="CM14" s="720">
        <v>1.999999999999999E-2</v>
      </c>
      <c r="CN14" s="720">
        <v>1.999999999999999E-2</v>
      </c>
      <c r="CO14" s="720">
        <v>1.999999999999999E-2</v>
      </c>
      <c r="CP14" s="720">
        <v>6.6666666666666723E-3</v>
      </c>
      <c r="CQ14" s="720">
        <v>6.6666666666666723E-3</v>
      </c>
      <c r="CR14" s="720">
        <v>6.6666666666666723E-3</v>
      </c>
      <c r="CS14" s="720">
        <v>6.6666666666666723E-3</v>
      </c>
      <c r="CT14" s="720">
        <v>6.6666666666666723E-3</v>
      </c>
      <c r="CU14" s="720">
        <v>6.6666666666666723E-3</v>
      </c>
      <c r="CV14" s="720">
        <v>6.6666666666666723E-3</v>
      </c>
      <c r="CW14" s="720">
        <v>6.6666666666666723E-3</v>
      </c>
      <c r="CX14" s="720">
        <v>6.6666666666666723E-3</v>
      </c>
      <c r="CY14" s="720"/>
      <c r="CZ14" s="720">
        <v>1.4999999999999999E-2</v>
      </c>
      <c r="DA14" s="720">
        <v>5.2499999999999998E-2</v>
      </c>
      <c r="DB14" s="720">
        <v>5.2499999999999998E-2</v>
      </c>
      <c r="DC14" s="720">
        <v>1.4999999999999999E-2</v>
      </c>
      <c r="DD14" s="720">
        <v>1.4999999999999999E-2</v>
      </c>
      <c r="DE14" s="720">
        <v>1.4999999999999999E-2</v>
      </c>
      <c r="DF14" s="720">
        <v>1.4999999999999999E-2</v>
      </c>
      <c r="DG14" s="720">
        <v>4.9999999999999984E-3</v>
      </c>
      <c r="DH14" s="720">
        <v>4.9999999999999984E-3</v>
      </c>
      <c r="DI14" s="720">
        <v>4.9999999999999984E-3</v>
      </c>
      <c r="DJ14" s="720">
        <v>4.9999999999999984E-3</v>
      </c>
      <c r="DK14" s="720">
        <v>4.9999999999999984E-3</v>
      </c>
      <c r="DL14" s="720">
        <v>4.9999999999999984E-3</v>
      </c>
      <c r="DM14" s="720">
        <v>4.9999999999999984E-3</v>
      </c>
      <c r="DN14" s="720">
        <v>4.9999999999999984E-3</v>
      </c>
      <c r="DO14" s="720">
        <v>4.9999999999999984E-3</v>
      </c>
    </row>
    <row r="15" spans="1:119">
      <c r="C15" t="s">
        <v>1355</v>
      </c>
      <c r="D15" t="s">
        <v>1364</v>
      </c>
      <c r="E15" t="s">
        <v>1269</v>
      </c>
      <c r="F15" t="str">
        <f>INDEX('Data Interface'!C:C,MATCH(E15,'Data Interface'!B:B,0))</f>
        <v>Due to Non-Bank Large FI - Best Investment</v>
      </c>
      <c r="G15">
        <f t="shared" si="0"/>
        <v>335</v>
      </c>
      <c r="I15">
        <f t="shared" si="1"/>
        <v>2.3000000000000003E-2</v>
      </c>
      <c r="J15">
        <f t="shared" si="2"/>
        <v>8.0500000000000016E-2</v>
      </c>
      <c r="K15">
        <f t="shared" si="3"/>
        <v>8.0500000000000016E-2</v>
      </c>
      <c r="L15">
        <f t="shared" si="4"/>
        <v>2.2999999999999993E-2</v>
      </c>
      <c r="M15">
        <f t="shared" si="5"/>
        <v>2.2999999999999993E-2</v>
      </c>
      <c r="N15">
        <f t="shared" si="6"/>
        <v>2.3000000000000007E-2</v>
      </c>
      <c r="O15">
        <f t="shared" si="7"/>
        <v>2.3000000000000007E-2</v>
      </c>
      <c r="P15">
        <f t="shared" si="8"/>
        <v>7.6666666666666671E-3</v>
      </c>
      <c r="Q15">
        <f t="shared" si="9"/>
        <v>7.6666666666666671E-3</v>
      </c>
      <c r="R15">
        <f t="shared" si="10"/>
        <v>7.6666666666666671E-3</v>
      </c>
      <c r="S15">
        <f t="shared" si="11"/>
        <v>7.6666666666666671E-3</v>
      </c>
      <c r="T15">
        <f t="shared" si="12"/>
        <v>7.6666666666666671E-3</v>
      </c>
      <c r="U15">
        <f t="shared" si="13"/>
        <v>7.6666666666666671E-3</v>
      </c>
      <c r="V15">
        <f t="shared" si="14"/>
        <v>7.6666666666666671E-3</v>
      </c>
      <c r="W15">
        <f t="shared" si="15"/>
        <v>7.6666666666666671E-3</v>
      </c>
      <c r="X15">
        <f t="shared" si="16"/>
        <v>7.6666666666666671E-3</v>
      </c>
      <c r="Y15">
        <f t="shared" si="17"/>
        <v>0</v>
      </c>
      <c r="Z15">
        <f t="shared" si="18"/>
        <v>2.0000000000000004E-2</v>
      </c>
      <c r="AA15">
        <f t="shared" si="19"/>
        <v>7.0000000000000007E-2</v>
      </c>
      <c r="AB15">
        <f t="shared" si="20"/>
        <v>7.0000000000000007E-2</v>
      </c>
      <c r="AC15">
        <f t="shared" si="21"/>
        <v>1.999999999999999E-2</v>
      </c>
      <c r="AD15">
        <f t="shared" si="22"/>
        <v>1.999999999999999E-2</v>
      </c>
      <c r="AE15">
        <f t="shared" si="23"/>
        <v>1.999999999999999E-2</v>
      </c>
      <c r="AF15">
        <f t="shared" si="24"/>
        <v>1.999999999999999E-2</v>
      </c>
      <c r="AG15">
        <f t="shared" si="25"/>
        <v>6.6666666666666723E-3</v>
      </c>
      <c r="AH15">
        <f t="shared" si="26"/>
        <v>6.6666666666666723E-3</v>
      </c>
      <c r="AI15">
        <f t="shared" si="27"/>
        <v>6.6666666666666723E-3</v>
      </c>
      <c r="AJ15">
        <f t="shared" si="28"/>
        <v>6.6666666666666723E-3</v>
      </c>
      <c r="AK15">
        <f t="shared" si="29"/>
        <v>6.6666666666666723E-3</v>
      </c>
      <c r="AL15">
        <f t="shared" si="30"/>
        <v>6.6666666666666723E-3</v>
      </c>
      <c r="AM15">
        <f t="shared" si="31"/>
        <v>6.6666666666666723E-3</v>
      </c>
      <c r="AN15">
        <f t="shared" si="32"/>
        <v>6.6666666666666723E-3</v>
      </c>
      <c r="AO15">
        <f t="shared" si="33"/>
        <v>6.6666666666666723E-3</v>
      </c>
      <c r="AP15">
        <f t="shared" si="34"/>
        <v>0</v>
      </c>
      <c r="AQ15">
        <f t="shared" si="35"/>
        <v>1.4999999999999999E-2</v>
      </c>
      <c r="AR15">
        <f t="shared" si="36"/>
        <v>5.2499999999999998E-2</v>
      </c>
      <c r="AS15">
        <f t="shared" si="37"/>
        <v>5.2499999999999998E-2</v>
      </c>
      <c r="AT15">
        <f t="shared" si="38"/>
        <v>1.4999999999999999E-2</v>
      </c>
      <c r="AU15">
        <f t="shared" si="39"/>
        <v>1.4999999999999999E-2</v>
      </c>
      <c r="AV15">
        <f t="shared" si="40"/>
        <v>1.4999999999999999E-2</v>
      </c>
      <c r="AW15">
        <f t="shared" si="41"/>
        <v>1.4999999999999999E-2</v>
      </c>
      <c r="AX15">
        <f t="shared" si="42"/>
        <v>4.9999999999999984E-3</v>
      </c>
      <c r="AY15">
        <f t="shared" si="43"/>
        <v>4.9999999999999984E-3</v>
      </c>
      <c r="AZ15">
        <f t="shared" si="44"/>
        <v>4.9999999999999984E-3</v>
      </c>
      <c r="BA15">
        <f t="shared" si="45"/>
        <v>4.9999999999999984E-3</v>
      </c>
      <c r="BB15">
        <f t="shared" si="46"/>
        <v>4.9999999999999984E-3</v>
      </c>
      <c r="BC15">
        <f t="shared" si="47"/>
        <v>4.9999999999999984E-3</v>
      </c>
      <c r="BD15">
        <f t="shared" si="48"/>
        <v>4.9999999999999984E-3</v>
      </c>
      <c r="BE15">
        <f t="shared" si="49"/>
        <v>4.9999999999999984E-3</v>
      </c>
      <c r="BF15">
        <f t="shared" si="50"/>
        <v>4.9999999999999984E-3</v>
      </c>
      <c r="BG15">
        <f t="shared" si="51"/>
        <v>0</v>
      </c>
      <c r="BI15" t="str">
        <f t="shared" si="52"/>
        <v>42674AFF</v>
      </c>
      <c r="BJ15" s="426">
        <v>42674</v>
      </c>
      <c r="BM15" t="s">
        <v>1353</v>
      </c>
      <c r="BN15" s="438">
        <v>1</v>
      </c>
      <c r="BO15" s="438">
        <v>1</v>
      </c>
      <c r="BR15" s="720">
        <v>1.4999999999999999E-2</v>
      </c>
      <c r="BS15" s="720">
        <v>5.2499999999999998E-2</v>
      </c>
      <c r="BT15" s="720">
        <v>5.2499999999999998E-2</v>
      </c>
      <c r="BU15" s="720">
        <v>1.4999999999999999E-2</v>
      </c>
      <c r="BV15" s="720">
        <v>1.4999999999999999E-2</v>
      </c>
      <c r="BW15" s="720">
        <v>1.4999999999999999E-2</v>
      </c>
      <c r="BX15" s="720">
        <v>1.4999999999999999E-2</v>
      </c>
      <c r="BY15" s="720">
        <v>4.9999999999999984E-3</v>
      </c>
      <c r="BZ15" s="720">
        <v>4.9999999999999984E-3</v>
      </c>
      <c r="CA15" s="720">
        <v>4.9999999999999984E-3</v>
      </c>
      <c r="CB15" s="720">
        <v>4.9999999999999984E-3</v>
      </c>
      <c r="CC15" s="720">
        <v>4.9999999999999984E-3</v>
      </c>
      <c r="CD15" s="720">
        <v>4.9999999999999984E-3</v>
      </c>
      <c r="CE15" s="720">
        <v>4.9999999999999984E-3</v>
      </c>
      <c r="CF15" s="720">
        <v>4.9999999999999984E-3</v>
      </c>
      <c r="CG15" s="720">
        <v>4.9999999999999984E-3</v>
      </c>
      <c r="CH15" s="720"/>
      <c r="CI15" s="720">
        <v>1.2E-2</v>
      </c>
      <c r="CJ15" s="720">
        <v>4.2000000000000003E-2</v>
      </c>
      <c r="CK15" s="720">
        <v>4.2000000000000003E-2</v>
      </c>
      <c r="CL15" s="720">
        <v>1.1999999999999997E-2</v>
      </c>
      <c r="CM15" s="720">
        <v>1.1999999999999997E-2</v>
      </c>
      <c r="CN15" s="720">
        <v>1.1999999999999997E-2</v>
      </c>
      <c r="CO15" s="720">
        <v>1.1999999999999997E-2</v>
      </c>
      <c r="CP15" s="720">
        <v>4.0000000000000001E-3</v>
      </c>
      <c r="CQ15" s="720">
        <v>4.0000000000000001E-3</v>
      </c>
      <c r="CR15" s="720">
        <v>4.0000000000000001E-3</v>
      </c>
      <c r="CS15" s="720">
        <v>4.0000000000000001E-3</v>
      </c>
      <c r="CT15" s="720">
        <v>4.0000000000000001E-3</v>
      </c>
      <c r="CU15" s="720">
        <v>4.0000000000000001E-3</v>
      </c>
      <c r="CV15" s="720">
        <v>4.0000000000000001E-3</v>
      </c>
      <c r="CW15" s="720">
        <v>4.0000000000000001E-3</v>
      </c>
      <c r="CX15" s="720">
        <v>4.0000000000000001E-3</v>
      </c>
      <c r="CY15" s="720"/>
      <c r="CZ15" s="720">
        <v>5.000000000000001E-3</v>
      </c>
      <c r="DA15" s="720">
        <v>1.7500000000000002E-2</v>
      </c>
      <c r="DB15" s="720">
        <v>1.7500000000000002E-2</v>
      </c>
      <c r="DC15" s="720">
        <v>4.9999999999999975E-3</v>
      </c>
      <c r="DD15" s="720">
        <v>4.9999999999999975E-3</v>
      </c>
      <c r="DE15" s="720">
        <v>4.9999999999999975E-3</v>
      </c>
      <c r="DF15" s="720">
        <v>4.9999999999999975E-3</v>
      </c>
      <c r="DG15" s="720">
        <v>1.6666666666666681E-3</v>
      </c>
      <c r="DH15" s="720">
        <v>1.6666666666666681E-3</v>
      </c>
      <c r="DI15" s="720">
        <v>1.6666666666666681E-3</v>
      </c>
      <c r="DJ15" s="720">
        <v>1.6666666666666681E-3</v>
      </c>
      <c r="DK15" s="720">
        <v>1.6666666666666681E-3</v>
      </c>
      <c r="DL15" s="720">
        <v>1.6666666666666681E-3</v>
      </c>
      <c r="DM15" s="720">
        <v>1.6666666666666681E-3</v>
      </c>
      <c r="DN15" s="720">
        <v>1.6666666666666681E-3</v>
      </c>
      <c r="DO15" s="720">
        <v>1.6666666666666681E-3</v>
      </c>
    </row>
    <row r="16" spans="1:119">
      <c r="C16" t="s">
        <v>1355</v>
      </c>
      <c r="D16" t="s">
        <v>1362</v>
      </c>
      <c r="E16" t="s">
        <v>1316</v>
      </c>
      <c r="F16" t="str">
        <f>INDEX('Data Interface'!C:C,MATCH(E16,'Data Interface'!B:B,0))</f>
        <v>Due to Non-Bank Large FI - GIFS Capital</v>
      </c>
      <c r="G16">
        <f t="shared" si="0"/>
        <v>329</v>
      </c>
      <c r="I16">
        <f t="shared" si="1"/>
        <v>8.2417924582768781E-2</v>
      </c>
      <c r="J16">
        <f t="shared" si="2"/>
        <v>0.18405664559324297</v>
      </c>
      <c r="K16">
        <f t="shared" si="3"/>
        <v>0.18405664559324297</v>
      </c>
      <c r="L16">
        <f t="shared" si="4"/>
        <v>1.281386428513695E-2</v>
      </c>
      <c r="M16">
        <f t="shared" si="5"/>
        <v>1.281386428513695E-2</v>
      </c>
      <c r="N16">
        <f t="shared" si="6"/>
        <v>4.761589443395281E-2</v>
      </c>
      <c r="O16">
        <f t="shared" si="7"/>
        <v>4.761589443395281E-2</v>
      </c>
      <c r="P16">
        <f t="shared" si="8"/>
        <v>1.5484280471092392E-2</v>
      </c>
      <c r="Q16">
        <f t="shared" si="9"/>
        <v>1.5484280471092392E-2</v>
      </c>
      <c r="R16">
        <f t="shared" si="10"/>
        <v>1.5484280471092392E-2</v>
      </c>
      <c r="S16">
        <f t="shared" si="11"/>
        <v>1.5484280471092392E-2</v>
      </c>
      <c r="T16">
        <f t="shared" si="12"/>
        <v>1.5484280471092392E-2</v>
      </c>
      <c r="U16">
        <f t="shared" si="13"/>
        <v>1.5484280471092392E-2</v>
      </c>
      <c r="V16">
        <f t="shared" si="14"/>
        <v>1.5484280471092392E-2</v>
      </c>
      <c r="W16">
        <f t="shared" si="15"/>
        <v>1.5484280471092392E-2</v>
      </c>
      <c r="X16">
        <f t="shared" si="16"/>
        <v>1.5484280471092392E-2</v>
      </c>
      <c r="Y16">
        <f t="shared" si="17"/>
        <v>0</v>
      </c>
      <c r="Z16">
        <f t="shared" si="18"/>
        <v>7.7146340964964866E-2</v>
      </c>
      <c r="AA16">
        <f t="shared" si="19"/>
        <v>0.17100641795402138</v>
      </c>
      <c r="AB16">
        <f t="shared" si="20"/>
        <v>0.17100641795402138</v>
      </c>
      <c r="AC16">
        <f t="shared" si="21"/>
        <v>1.1142490682727768E-2</v>
      </c>
      <c r="AD16">
        <f t="shared" si="22"/>
        <v>1.1142490682727768E-2</v>
      </c>
      <c r="AE16">
        <f t="shared" si="23"/>
        <v>4.4144415823846317E-2</v>
      </c>
      <c r="AF16">
        <f t="shared" si="24"/>
        <v>4.4144415823846317E-2</v>
      </c>
      <c r="AG16">
        <f t="shared" si="25"/>
        <v>1.4714805274615451E-2</v>
      </c>
      <c r="AH16">
        <f t="shared" si="26"/>
        <v>1.4714805274615451E-2</v>
      </c>
      <c r="AI16">
        <f t="shared" si="27"/>
        <v>1.4714805274615451E-2</v>
      </c>
      <c r="AJ16">
        <f t="shared" si="28"/>
        <v>1.4714805274615451E-2</v>
      </c>
      <c r="AK16">
        <f t="shared" si="29"/>
        <v>1.4714805274615451E-2</v>
      </c>
      <c r="AL16">
        <f t="shared" si="30"/>
        <v>1.4714805274615451E-2</v>
      </c>
      <c r="AM16">
        <f t="shared" si="31"/>
        <v>1.4714805274615451E-2</v>
      </c>
      <c r="AN16">
        <f t="shared" si="32"/>
        <v>1.4714805274615451E-2</v>
      </c>
      <c r="AO16">
        <f t="shared" si="33"/>
        <v>1.4714805274615451E-2</v>
      </c>
      <c r="AP16">
        <f t="shared" si="34"/>
        <v>0</v>
      </c>
      <c r="AQ16">
        <f t="shared" si="35"/>
        <v>3.8358618140335414E-2</v>
      </c>
      <c r="AR16">
        <f t="shared" si="36"/>
        <v>8.9252538298739581E-2</v>
      </c>
      <c r="AS16">
        <f t="shared" si="37"/>
        <v>8.9252538298739581E-2</v>
      </c>
      <c r="AT16">
        <f t="shared" si="38"/>
        <v>8.3568680120458261E-3</v>
      </c>
      <c r="AU16">
        <f t="shared" si="39"/>
        <v>8.3568680120458261E-3</v>
      </c>
      <c r="AV16">
        <f t="shared" si="40"/>
        <v>2.3357743076190624E-2</v>
      </c>
      <c r="AW16">
        <f t="shared" si="41"/>
        <v>2.3357743076190624E-2</v>
      </c>
      <c r="AX16">
        <f t="shared" si="42"/>
        <v>7.7859143587302049E-3</v>
      </c>
      <c r="AY16">
        <f t="shared" si="43"/>
        <v>7.7859143587302049E-3</v>
      </c>
      <c r="AZ16">
        <f t="shared" si="44"/>
        <v>7.7859143587302049E-3</v>
      </c>
      <c r="BA16">
        <f t="shared" si="45"/>
        <v>7.7859143587302049E-3</v>
      </c>
      <c r="BB16">
        <f t="shared" si="46"/>
        <v>7.7859143587302049E-3</v>
      </c>
      <c r="BC16">
        <f t="shared" si="47"/>
        <v>7.7859143587302049E-3</v>
      </c>
      <c r="BD16">
        <f t="shared" si="48"/>
        <v>7.7859143587302049E-3</v>
      </c>
      <c r="BE16">
        <f t="shared" si="49"/>
        <v>7.7859143587302049E-3</v>
      </c>
      <c r="BF16">
        <f t="shared" si="50"/>
        <v>7.7859143587302049E-3</v>
      </c>
      <c r="BG16">
        <f t="shared" si="51"/>
        <v>0</v>
      </c>
      <c r="BI16" t="str">
        <f t="shared" si="52"/>
        <v>42674IB</v>
      </c>
      <c r="BJ16" s="426">
        <v>42674</v>
      </c>
      <c r="BM16" t="s">
        <v>1354</v>
      </c>
      <c r="BN16" s="438">
        <v>1</v>
      </c>
      <c r="BO16" s="438">
        <v>1</v>
      </c>
      <c r="BR16" s="720">
        <v>1.2E-2</v>
      </c>
      <c r="BS16" s="720">
        <v>4.2000000000000003E-2</v>
      </c>
      <c r="BT16" s="720">
        <v>4.2000000000000003E-2</v>
      </c>
      <c r="BU16" s="720">
        <v>1.1999999999999997E-2</v>
      </c>
      <c r="BV16" s="720">
        <v>1.1999999999999997E-2</v>
      </c>
      <c r="BW16" s="720">
        <v>1.1999999999999997E-2</v>
      </c>
      <c r="BX16" s="720">
        <v>1.1999999999999997E-2</v>
      </c>
      <c r="BY16" s="720">
        <v>4.0000000000000001E-3</v>
      </c>
      <c r="BZ16" s="720">
        <v>4.0000000000000001E-3</v>
      </c>
      <c r="CA16" s="720">
        <v>4.0000000000000001E-3</v>
      </c>
      <c r="CB16" s="720">
        <v>4.0000000000000001E-3</v>
      </c>
      <c r="CC16" s="720">
        <v>4.0000000000000001E-3</v>
      </c>
      <c r="CD16" s="720">
        <v>4.0000000000000001E-3</v>
      </c>
      <c r="CE16" s="720">
        <v>4.0000000000000001E-3</v>
      </c>
      <c r="CF16" s="720">
        <v>4.0000000000000001E-3</v>
      </c>
      <c r="CG16" s="720">
        <v>4.0000000000000001E-3</v>
      </c>
      <c r="CH16" s="720"/>
      <c r="CI16" s="720">
        <v>3.0000000000000001E-3</v>
      </c>
      <c r="CJ16" s="720">
        <v>1.0500000000000001E-2</v>
      </c>
      <c r="CK16" s="720">
        <v>1.0500000000000001E-2</v>
      </c>
      <c r="CL16" s="720">
        <v>2.9999999999999992E-3</v>
      </c>
      <c r="CM16" s="720">
        <v>2.9999999999999992E-3</v>
      </c>
      <c r="CN16" s="720">
        <v>2.9999999999999992E-3</v>
      </c>
      <c r="CO16" s="720">
        <v>2.9999999999999992E-3</v>
      </c>
      <c r="CP16" s="720">
        <v>1E-3</v>
      </c>
      <c r="CQ16" s="720">
        <v>1E-3</v>
      </c>
      <c r="CR16" s="720">
        <v>1E-3</v>
      </c>
      <c r="CS16" s="720">
        <v>1E-3</v>
      </c>
      <c r="CT16" s="720">
        <v>1E-3</v>
      </c>
      <c r="CU16" s="720">
        <v>1E-3</v>
      </c>
      <c r="CV16" s="720">
        <v>1E-3</v>
      </c>
      <c r="CW16" s="720">
        <v>1E-3</v>
      </c>
      <c r="CX16" s="720">
        <v>1E-3</v>
      </c>
      <c r="CY16" s="720"/>
      <c r="CZ16" s="720">
        <v>1.0000000000000002E-2</v>
      </c>
      <c r="DA16" s="720">
        <v>3.5000000000000003E-2</v>
      </c>
      <c r="DB16" s="720">
        <v>3.5000000000000003E-2</v>
      </c>
      <c r="DC16" s="720">
        <v>9.999999999999995E-3</v>
      </c>
      <c r="DD16" s="720">
        <v>9.999999999999995E-3</v>
      </c>
      <c r="DE16" s="720">
        <v>9.999999999999995E-3</v>
      </c>
      <c r="DF16" s="720">
        <v>9.999999999999995E-3</v>
      </c>
      <c r="DG16" s="720">
        <v>3.3333333333333361E-3</v>
      </c>
      <c r="DH16" s="720">
        <v>3.3333333333333361E-3</v>
      </c>
      <c r="DI16" s="720">
        <v>3.3333333333333361E-3</v>
      </c>
      <c r="DJ16" s="720">
        <v>3.3333333333333361E-3</v>
      </c>
      <c r="DK16" s="720">
        <v>3.3333333333333361E-3</v>
      </c>
      <c r="DL16" s="720">
        <v>3.3333333333333361E-3</v>
      </c>
      <c r="DM16" s="720">
        <v>3.3333333333333361E-3</v>
      </c>
      <c r="DN16" s="720">
        <v>3.3333333333333361E-3</v>
      </c>
      <c r="DO16" s="720">
        <v>3.3333333333333361E-3</v>
      </c>
    </row>
    <row r="17" spans="3:119">
      <c r="C17" t="s">
        <v>1355</v>
      </c>
      <c r="D17" t="s">
        <v>1444</v>
      </c>
      <c r="E17" t="s">
        <v>1446</v>
      </c>
      <c r="F17" t="str">
        <f>INDEX('Data Interface'!C:C,MATCH(E17,'Data Interface'!B:B,0))</f>
        <v>Due to Non-Bank Large FI - CIC INTERNATIONAL CO., LIMITED</v>
      </c>
      <c r="G17">
        <f t="shared" si="0"/>
        <v>335</v>
      </c>
      <c r="I17">
        <f t="shared" si="1"/>
        <v>2.3000000000000003E-2</v>
      </c>
      <c r="J17">
        <f t="shared" si="2"/>
        <v>8.0500000000000016E-2</v>
      </c>
      <c r="K17">
        <f t="shared" si="3"/>
        <v>8.0500000000000016E-2</v>
      </c>
      <c r="L17">
        <f t="shared" si="4"/>
        <v>2.2999999999999993E-2</v>
      </c>
      <c r="M17">
        <f t="shared" si="5"/>
        <v>2.2999999999999993E-2</v>
      </c>
      <c r="N17">
        <f t="shared" si="6"/>
        <v>2.3000000000000007E-2</v>
      </c>
      <c r="O17">
        <f t="shared" si="7"/>
        <v>2.3000000000000007E-2</v>
      </c>
      <c r="P17">
        <f t="shared" si="8"/>
        <v>7.6666666666666671E-3</v>
      </c>
      <c r="Q17">
        <f t="shared" si="9"/>
        <v>7.6666666666666671E-3</v>
      </c>
      <c r="R17">
        <f t="shared" si="10"/>
        <v>7.6666666666666671E-3</v>
      </c>
      <c r="S17">
        <f t="shared" si="11"/>
        <v>7.6666666666666671E-3</v>
      </c>
      <c r="T17">
        <f t="shared" si="12"/>
        <v>7.6666666666666671E-3</v>
      </c>
      <c r="U17">
        <f t="shared" si="13"/>
        <v>7.6666666666666671E-3</v>
      </c>
      <c r="V17">
        <f t="shared" si="14"/>
        <v>7.6666666666666671E-3</v>
      </c>
      <c r="W17">
        <f t="shared" si="15"/>
        <v>7.6666666666666671E-3</v>
      </c>
      <c r="X17">
        <f t="shared" si="16"/>
        <v>7.6666666666666671E-3</v>
      </c>
      <c r="Y17">
        <f t="shared" si="17"/>
        <v>0</v>
      </c>
      <c r="Z17">
        <f t="shared" si="18"/>
        <v>2.0000000000000004E-2</v>
      </c>
      <c r="AA17">
        <f t="shared" si="19"/>
        <v>7.0000000000000007E-2</v>
      </c>
      <c r="AB17">
        <f t="shared" si="20"/>
        <v>7.0000000000000007E-2</v>
      </c>
      <c r="AC17">
        <f t="shared" si="21"/>
        <v>1.999999999999999E-2</v>
      </c>
      <c r="AD17">
        <f t="shared" si="22"/>
        <v>1.999999999999999E-2</v>
      </c>
      <c r="AE17">
        <f t="shared" si="23"/>
        <v>1.999999999999999E-2</v>
      </c>
      <c r="AF17">
        <f t="shared" si="24"/>
        <v>1.999999999999999E-2</v>
      </c>
      <c r="AG17">
        <f t="shared" si="25"/>
        <v>6.6666666666666723E-3</v>
      </c>
      <c r="AH17">
        <f t="shared" si="26"/>
        <v>6.6666666666666723E-3</v>
      </c>
      <c r="AI17">
        <f t="shared" si="27"/>
        <v>6.6666666666666723E-3</v>
      </c>
      <c r="AJ17">
        <f t="shared" si="28"/>
        <v>6.6666666666666723E-3</v>
      </c>
      <c r="AK17">
        <f t="shared" si="29"/>
        <v>6.6666666666666723E-3</v>
      </c>
      <c r="AL17">
        <f t="shared" si="30"/>
        <v>6.6666666666666723E-3</v>
      </c>
      <c r="AM17">
        <f t="shared" si="31"/>
        <v>6.6666666666666723E-3</v>
      </c>
      <c r="AN17">
        <f t="shared" si="32"/>
        <v>6.6666666666666723E-3</v>
      </c>
      <c r="AO17">
        <f t="shared" si="33"/>
        <v>6.6666666666666723E-3</v>
      </c>
      <c r="AP17">
        <f t="shared" si="34"/>
        <v>0</v>
      </c>
      <c r="AQ17">
        <f t="shared" si="35"/>
        <v>1.4999999999999999E-2</v>
      </c>
      <c r="AR17">
        <f t="shared" si="36"/>
        <v>5.2499999999999998E-2</v>
      </c>
      <c r="AS17">
        <f t="shared" si="37"/>
        <v>5.2499999999999998E-2</v>
      </c>
      <c r="AT17">
        <f t="shared" si="38"/>
        <v>1.4999999999999999E-2</v>
      </c>
      <c r="AU17">
        <f t="shared" si="39"/>
        <v>1.4999999999999999E-2</v>
      </c>
      <c r="AV17">
        <f t="shared" si="40"/>
        <v>1.4999999999999999E-2</v>
      </c>
      <c r="AW17">
        <f t="shared" si="41"/>
        <v>1.4999999999999999E-2</v>
      </c>
      <c r="AX17">
        <f t="shared" si="42"/>
        <v>4.9999999999999984E-3</v>
      </c>
      <c r="AY17">
        <f t="shared" si="43"/>
        <v>4.9999999999999984E-3</v>
      </c>
      <c r="AZ17">
        <f t="shared" si="44"/>
        <v>4.9999999999999984E-3</v>
      </c>
      <c r="BA17">
        <f t="shared" si="45"/>
        <v>4.9999999999999984E-3</v>
      </c>
      <c r="BB17">
        <f t="shared" si="46"/>
        <v>4.9999999999999984E-3</v>
      </c>
      <c r="BC17">
        <f t="shared" si="47"/>
        <v>4.9999999999999984E-3</v>
      </c>
      <c r="BD17">
        <f t="shared" si="48"/>
        <v>4.9999999999999984E-3</v>
      </c>
      <c r="BE17">
        <f t="shared" si="49"/>
        <v>4.9999999999999984E-3</v>
      </c>
      <c r="BF17">
        <f t="shared" si="50"/>
        <v>4.9999999999999984E-3</v>
      </c>
      <c r="BG17">
        <f t="shared" si="51"/>
        <v>0</v>
      </c>
      <c r="BI17" t="str">
        <f t="shared" ref="BI17:BI30" si="53">BJ17&amp;BK17&amp;BM17</f>
        <v>427041126198FI</v>
      </c>
      <c r="BJ17" s="426">
        <v>42704</v>
      </c>
      <c r="BK17" t="s">
        <v>1359</v>
      </c>
      <c r="BL17" t="s">
        <v>1367</v>
      </c>
      <c r="BM17" t="s">
        <v>1355</v>
      </c>
      <c r="BN17" s="438">
        <v>2</v>
      </c>
      <c r="BO17" s="438">
        <v>0.44799421524279404</v>
      </c>
      <c r="BR17" s="720">
        <v>0.14867307596484028</v>
      </c>
      <c r="BS17" s="720">
        <v>0.28409729000085698</v>
      </c>
      <c r="BT17" s="720">
        <v>0.28409729000085698</v>
      </c>
      <c r="BU17" s="720">
        <v>2.060773390116849E-2</v>
      </c>
      <c r="BV17" s="720">
        <v>2.060773390116849E-2</v>
      </c>
      <c r="BW17" s="720">
        <v>2.0607733901168546E-2</v>
      </c>
      <c r="BX17" s="720">
        <v>2.0607733901168546E-2</v>
      </c>
      <c r="BY17" s="720">
        <v>6.8692446337228485E-3</v>
      </c>
      <c r="BZ17" s="720">
        <v>6.8692446337228485E-3</v>
      </c>
      <c r="CA17" s="720">
        <v>6.8692446337228485E-3</v>
      </c>
      <c r="CB17" s="720">
        <v>6.8692446337228485E-3</v>
      </c>
      <c r="CC17" s="720">
        <v>6.8692446337228485E-3</v>
      </c>
      <c r="CD17" s="720">
        <v>6.8692446337228485E-3</v>
      </c>
      <c r="CE17" s="720">
        <v>6.8692446337228485E-3</v>
      </c>
      <c r="CF17" s="720">
        <v>6.8692446337228485E-3</v>
      </c>
      <c r="CG17" s="720">
        <v>6.8692446337228485E-3</v>
      </c>
      <c r="CH17" s="720"/>
      <c r="CI17" s="720">
        <v>0.13936104125629709</v>
      </c>
      <c r="CJ17" s="720">
        <v>0.2780014461893015</v>
      </c>
      <c r="CK17" s="720">
        <v>0.2780014461893015</v>
      </c>
      <c r="CL17" s="720">
        <v>1.7919768609711728E-2</v>
      </c>
      <c r="CM17" s="720">
        <v>1.7919768609711728E-2</v>
      </c>
      <c r="CN17" s="720">
        <v>1.7919768609711784E-2</v>
      </c>
      <c r="CO17" s="720">
        <v>1.7919768609711784E-2</v>
      </c>
      <c r="CP17" s="720">
        <v>5.9732562032372488E-3</v>
      </c>
      <c r="CQ17" s="720">
        <v>5.9732562032372488E-3</v>
      </c>
      <c r="CR17" s="720">
        <v>5.9732562032372488E-3</v>
      </c>
      <c r="CS17" s="720">
        <v>5.9732562032372488E-3</v>
      </c>
      <c r="CT17" s="720">
        <v>5.9732562032372488E-3</v>
      </c>
      <c r="CU17" s="720">
        <v>5.9732562032372488E-3</v>
      </c>
      <c r="CV17" s="720">
        <v>5.9732562032372488E-3</v>
      </c>
      <c r="CW17" s="720">
        <v>5.9732562032372488E-3</v>
      </c>
      <c r="CX17" s="720">
        <v>5.9732562032372488E-3</v>
      </c>
      <c r="CY17" s="720"/>
      <c r="CZ17" s="720">
        <v>6.8640404933004426E-2</v>
      </c>
      <c r="DA17" s="720">
        <v>0.15744054955193457</v>
      </c>
      <c r="DB17" s="720">
        <v>0.15744054955193457</v>
      </c>
      <c r="DC17" s="720">
        <v>1.343982645728381E-2</v>
      </c>
      <c r="DD17" s="720">
        <v>1.343982645728381E-2</v>
      </c>
      <c r="DE17" s="720">
        <v>4.1040115695144097E-2</v>
      </c>
      <c r="DF17" s="720">
        <v>4.1040115695144097E-2</v>
      </c>
      <c r="DG17" s="720">
        <v>1.3680038565048045E-2</v>
      </c>
      <c r="DH17" s="720">
        <v>1.3680038565048045E-2</v>
      </c>
      <c r="DI17" s="720">
        <v>1.3680038565048045E-2</v>
      </c>
      <c r="DJ17" s="720">
        <v>1.3680038565048045E-2</v>
      </c>
      <c r="DK17" s="720">
        <v>1.3680038565048045E-2</v>
      </c>
      <c r="DL17" s="720">
        <v>1.3680038565048045E-2</v>
      </c>
      <c r="DM17" s="720">
        <v>1.3680038565048045E-2</v>
      </c>
      <c r="DN17" s="720">
        <v>1.3680038565048045E-2</v>
      </c>
      <c r="DO17" s="720">
        <v>1.3680038565048045E-2</v>
      </c>
    </row>
    <row r="18" spans="3:119">
      <c r="C18" t="s">
        <v>1321</v>
      </c>
      <c r="D18" t="s">
        <v>1361</v>
      </c>
      <c r="E18" t="s">
        <v>1168</v>
      </c>
      <c r="F18" t="str">
        <f>INDEX('Data Interface'!C:C,MATCH(E18,'Data Interface'!B:B,0))</f>
        <v>Due to Banks - Investment - CME</v>
      </c>
      <c r="G18">
        <f t="shared" si="0"/>
        <v>334</v>
      </c>
      <c r="I18">
        <f t="shared" si="1"/>
        <v>8.0000000000000016E-2</v>
      </c>
      <c r="J18">
        <f t="shared" si="2"/>
        <v>0.16</v>
      </c>
      <c r="K18">
        <f t="shared" si="3"/>
        <v>0.16</v>
      </c>
      <c r="L18">
        <f t="shared" si="4"/>
        <v>0</v>
      </c>
      <c r="M18">
        <f t="shared" si="5"/>
        <v>0</v>
      </c>
      <c r="N18">
        <f t="shared" si="6"/>
        <v>3.999999999999998E-2</v>
      </c>
      <c r="O18">
        <f t="shared" si="7"/>
        <v>3.999999999999998E-2</v>
      </c>
      <c r="P18">
        <f t="shared" si="8"/>
        <v>1.3333333333333345E-2</v>
      </c>
      <c r="Q18">
        <f t="shared" si="9"/>
        <v>1.3333333333333345E-2</v>
      </c>
      <c r="R18">
        <f t="shared" si="10"/>
        <v>1.3333333333333345E-2</v>
      </c>
      <c r="S18">
        <f t="shared" si="11"/>
        <v>1.3333333333333345E-2</v>
      </c>
      <c r="T18">
        <f t="shared" si="12"/>
        <v>1.3333333333333345E-2</v>
      </c>
      <c r="U18">
        <f t="shared" si="13"/>
        <v>1.3333333333333345E-2</v>
      </c>
      <c r="V18">
        <f t="shared" si="14"/>
        <v>1.3333333333333345E-2</v>
      </c>
      <c r="W18">
        <f t="shared" si="15"/>
        <v>1.3333333333333345E-2</v>
      </c>
      <c r="X18">
        <f t="shared" si="16"/>
        <v>1.3333333333333345E-2</v>
      </c>
      <c r="Y18">
        <f t="shared" si="17"/>
        <v>0</v>
      </c>
      <c r="Z18">
        <f t="shared" si="18"/>
        <v>6.9999999999999993E-2</v>
      </c>
      <c r="AA18">
        <f t="shared" si="19"/>
        <v>0.13999999999999999</v>
      </c>
      <c r="AB18">
        <f t="shared" si="20"/>
        <v>0.13999999999999999</v>
      </c>
      <c r="AC18">
        <f t="shared" si="21"/>
        <v>0</v>
      </c>
      <c r="AD18">
        <f t="shared" si="22"/>
        <v>0</v>
      </c>
      <c r="AE18">
        <f t="shared" si="23"/>
        <v>3.5000000000000003E-2</v>
      </c>
      <c r="AF18">
        <f t="shared" si="24"/>
        <v>3.5000000000000003E-2</v>
      </c>
      <c r="AG18">
        <f t="shared" si="25"/>
        <v>1.1666666666666659E-2</v>
      </c>
      <c r="AH18">
        <f t="shared" si="26"/>
        <v>1.1666666666666659E-2</v>
      </c>
      <c r="AI18">
        <f t="shared" si="27"/>
        <v>1.1666666666666659E-2</v>
      </c>
      <c r="AJ18">
        <f t="shared" si="28"/>
        <v>1.1666666666666659E-2</v>
      </c>
      <c r="AK18">
        <f t="shared" si="29"/>
        <v>1.1666666666666659E-2</v>
      </c>
      <c r="AL18">
        <f t="shared" si="30"/>
        <v>1.1666666666666659E-2</v>
      </c>
      <c r="AM18">
        <f t="shared" si="31"/>
        <v>1.1666666666666659E-2</v>
      </c>
      <c r="AN18">
        <f t="shared" si="32"/>
        <v>1.1666666666666659E-2</v>
      </c>
      <c r="AO18">
        <f t="shared" si="33"/>
        <v>1.1666666666666659E-2</v>
      </c>
      <c r="AP18">
        <f t="shared" si="34"/>
        <v>0</v>
      </c>
      <c r="AQ18">
        <f t="shared" si="35"/>
        <v>4.0000000000000008E-2</v>
      </c>
      <c r="AR18">
        <f t="shared" si="36"/>
        <v>0.08</v>
      </c>
      <c r="AS18">
        <f t="shared" si="37"/>
        <v>0.08</v>
      </c>
      <c r="AT18">
        <f t="shared" si="38"/>
        <v>0</v>
      </c>
      <c r="AU18">
        <f t="shared" si="39"/>
        <v>0</v>
      </c>
      <c r="AV18">
        <f t="shared" si="40"/>
        <v>1.999999999999999E-2</v>
      </c>
      <c r="AW18">
        <f t="shared" si="41"/>
        <v>1.999999999999999E-2</v>
      </c>
      <c r="AX18">
        <f t="shared" si="42"/>
        <v>6.6666666666666723E-3</v>
      </c>
      <c r="AY18">
        <f t="shared" si="43"/>
        <v>6.6666666666666723E-3</v>
      </c>
      <c r="AZ18">
        <f t="shared" si="44"/>
        <v>6.6666666666666723E-3</v>
      </c>
      <c r="BA18">
        <f t="shared" si="45"/>
        <v>6.6666666666666723E-3</v>
      </c>
      <c r="BB18">
        <f t="shared" si="46"/>
        <v>6.6666666666666723E-3</v>
      </c>
      <c r="BC18">
        <f t="shared" si="47"/>
        <v>6.6666666666666723E-3</v>
      </c>
      <c r="BD18">
        <f t="shared" si="48"/>
        <v>6.6666666666666723E-3</v>
      </c>
      <c r="BE18">
        <f t="shared" si="49"/>
        <v>6.6666666666666723E-3</v>
      </c>
      <c r="BF18">
        <f t="shared" si="50"/>
        <v>6.6666666666666723E-3</v>
      </c>
      <c r="BG18">
        <f t="shared" si="51"/>
        <v>0</v>
      </c>
      <c r="BI18" t="str">
        <f t="shared" si="53"/>
        <v>427041000526FI</v>
      </c>
      <c r="BJ18" s="426">
        <v>42704</v>
      </c>
      <c r="BK18" t="s">
        <v>1363</v>
      </c>
      <c r="BL18" t="s">
        <v>1368</v>
      </c>
      <c r="BM18" t="s">
        <v>1355</v>
      </c>
      <c r="BN18" s="438">
        <v>2</v>
      </c>
      <c r="BO18" s="438">
        <v>1</v>
      </c>
      <c r="BR18" s="720">
        <v>4.6000000000000006E-2</v>
      </c>
      <c r="BS18" s="720">
        <v>0.16100000000000003</v>
      </c>
      <c r="BT18" s="720">
        <v>0.16100000000000003</v>
      </c>
      <c r="BU18" s="720">
        <v>4.5999999999999985E-2</v>
      </c>
      <c r="BV18" s="720">
        <v>4.5999999999999985E-2</v>
      </c>
      <c r="BW18" s="720">
        <v>4.6000000000000013E-2</v>
      </c>
      <c r="BX18" s="720">
        <v>4.6000000000000013E-2</v>
      </c>
      <c r="BY18" s="720">
        <v>1.5333333333333334E-2</v>
      </c>
      <c r="BZ18" s="720">
        <v>1.5333333333333334E-2</v>
      </c>
      <c r="CA18" s="720">
        <v>1.5333333333333334E-2</v>
      </c>
      <c r="CB18" s="720">
        <v>1.5333333333333334E-2</v>
      </c>
      <c r="CC18" s="720">
        <v>1.5333333333333334E-2</v>
      </c>
      <c r="CD18" s="720">
        <v>1.5333333333333334E-2</v>
      </c>
      <c r="CE18" s="720">
        <v>1.5333333333333334E-2</v>
      </c>
      <c r="CF18" s="720">
        <v>1.5333333333333334E-2</v>
      </c>
      <c r="CG18" s="720">
        <v>1.5333333333333334E-2</v>
      </c>
      <c r="CH18" s="720"/>
      <c r="CI18" s="720">
        <v>4.0000000000000008E-2</v>
      </c>
      <c r="CJ18" s="720">
        <v>0.14000000000000001</v>
      </c>
      <c r="CK18" s="720">
        <v>0.14000000000000001</v>
      </c>
      <c r="CL18" s="720">
        <v>3.999999999999998E-2</v>
      </c>
      <c r="CM18" s="720">
        <v>3.999999999999998E-2</v>
      </c>
      <c r="CN18" s="720">
        <v>3.999999999999998E-2</v>
      </c>
      <c r="CO18" s="720">
        <v>3.999999999999998E-2</v>
      </c>
      <c r="CP18" s="720">
        <v>1.3333333333333345E-2</v>
      </c>
      <c r="CQ18" s="720">
        <v>1.3333333333333345E-2</v>
      </c>
      <c r="CR18" s="720">
        <v>1.3333333333333345E-2</v>
      </c>
      <c r="CS18" s="720">
        <v>1.3333333333333345E-2</v>
      </c>
      <c r="CT18" s="720">
        <v>1.3333333333333345E-2</v>
      </c>
      <c r="CU18" s="720">
        <v>1.3333333333333345E-2</v>
      </c>
      <c r="CV18" s="720">
        <v>1.3333333333333345E-2</v>
      </c>
      <c r="CW18" s="720">
        <v>1.3333333333333345E-2</v>
      </c>
      <c r="CX18" s="720">
        <v>1.3333333333333345E-2</v>
      </c>
      <c r="CY18" s="720"/>
      <c r="CZ18" s="720">
        <v>0.03</v>
      </c>
      <c r="DA18" s="720">
        <v>0.105</v>
      </c>
      <c r="DB18" s="720">
        <v>0.105</v>
      </c>
      <c r="DC18" s="720">
        <v>0.03</v>
      </c>
      <c r="DD18" s="720">
        <v>0.03</v>
      </c>
      <c r="DE18" s="720">
        <v>0.03</v>
      </c>
      <c r="DF18" s="720">
        <v>0.03</v>
      </c>
      <c r="DG18" s="720">
        <v>9.9999999999999967E-3</v>
      </c>
      <c r="DH18" s="720">
        <v>9.9999999999999967E-3</v>
      </c>
      <c r="DI18" s="720">
        <v>9.9999999999999967E-3</v>
      </c>
      <c r="DJ18" s="720">
        <v>9.9999999999999967E-3</v>
      </c>
      <c r="DK18" s="720">
        <v>9.9999999999999967E-3</v>
      </c>
      <c r="DL18" s="720">
        <v>9.9999999999999967E-3</v>
      </c>
      <c r="DM18" s="720">
        <v>9.9999999999999967E-3</v>
      </c>
      <c r="DN18" s="720">
        <v>9.9999999999999967E-3</v>
      </c>
      <c r="DO18" s="720">
        <v>9.9999999999999967E-3</v>
      </c>
    </row>
    <row r="19" spans="3:119">
      <c r="C19" t="s">
        <v>1355</v>
      </c>
      <c r="E19" t="s">
        <v>1169</v>
      </c>
      <c r="F19" t="str">
        <f>INDEX('Data Interface'!C:C,MATCH(E19,'Data Interface'!B:B,0))</f>
        <v>Due to Banks - Investment - Non-US (Exclude Large FI)</v>
      </c>
      <c r="G19">
        <f t="shared" si="0"/>
        <v>335</v>
      </c>
      <c r="I19">
        <f t="shared" si="1"/>
        <v>2.3000000000000003E-2</v>
      </c>
      <c r="J19">
        <f t="shared" si="2"/>
        <v>8.0500000000000016E-2</v>
      </c>
      <c r="K19">
        <f t="shared" si="3"/>
        <v>8.0500000000000016E-2</v>
      </c>
      <c r="L19">
        <f t="shared" si="4"/>
        <v>2.2999999999999993E-2</v>
      </c>
      <c r="M19">
        <f t="shared" si="5"/>
        <v>2.2999999999999993E-2</v>
      </c>
      <c r="N19">
        <f t="shared" si="6"/>
        <v>2.3000000000000007E-2</v>
      </c>
      <c r="O19">
        <f t="shared" si="7"/>
        <v>2.3000000000000007E-2</v>
      </c>
      <c r="P19">
        <f t="shared" si="8"/>
        <v>7.6666666666666671E-3</v>
      </c>
      <c r="Q19">
        <f t="shared" si="9"/>
        <v>7.6666666666666671E-3</v>
      </c>
      <c r="R19">
        <f t="shared" si="10"/>
        <v>7.6666666666666671E-3</v>
      </c>
      <c r="S19">
        <f t="shared" si="11"/>
        <v>7.6666666666666671E-3</v>
      </c>
      <c r="T19">
        <f t="shared" si="12"/>
        <v>7.6666666666666671E-3</v>
      </c>
      <c r="U19">
        <f t="shared" si="13"/>
        <v>7.6666666666666671E-3</v>
      </c>
      <c r="V19">
        <f t="shared" si="14"/>
        <v>7.6666666666666671E-3</v>
      </c>
      <c r="W19">
        <f t="shared" si="15"/>
        <v>7.6666666666666671E-3</v>
      </c>
      <c r="X19">
        <f t="shared" si="16"/>
        <v>7.6666666666666671E-3</v>
      </c>
      <c r="Y19">
        <f t="shared" si="17"/>
        <v>0</v>
      </c>
      <c r="Z19">
        <f t="shared" si="18"/>
        <v>2.0000000000000004E-2</v>
      </c>
      <c r="AA19">
        <f t="shared" si="19"/>
        <v>7.0000000000000007E-2</v>
      </c>
      <c r="AB19">
        <f t="shared" si="20"/>
        <v>7.0000000000000007E-2</v>
      </c>
      <c r="AC19">
        <f t="shared" si="21"/>
        <v>1.999999999999999E-2</v>
      </c>
      <c r="AD19">
        <f t="shared" si="22"/>
        <v>1.999999999999999E-2</v>
      </c>
      <c r="AE19">
        <f t="shared" si="23"/>
        <v>1.999999999999999E-2</v>
      </c>
      <c r="AF19">
        <f t="shared" si="24"/>
        <v>1.999999999999999E-2</v>
      </c>
      <c r="AG19">
        <f t="shared" si="25"/>
        <v>6.6666666666666723E-3</v>
      </c>
      <c r="AH19">
        <f t="shared" si="26"/>
        <v>6.6666666666666723E-3</v>
      </c>
      <c r="AI19">
        <f t="shared" si="27"/>
        <v>6.6666666666666723E-3</v>
      </c>
      <c r="AJ19">
        <f t="shared" si="28"/>
        <v>6.6666666666666723E-3</v>
      </c>
      <c r="AK19">
        <f t="shared" si="29"/>
        <v>6.6666666666666723E-3</v>
      </c>
      <c r="AL19">
        <f t="shared" si="30"/>
        <v>6.6666666666666723E-3</v>
      </c>
      <c r="AM19">
        <f t="shared" si="31"/>
        <v>6.6666666666666723E-3</v>
      </c>
      <c r="AN19">
        <f t="shared" si="32"/>
        <v>6.6666666666666723E-3</v>
      </c>
      <c r="AO19">
        <f t="shared" si="33"/>
        <v>6.6666666666666723E-3</v>
      </c>
      <c r="AP19">
        <f t="shared" si="34"/>
        <v>0</v>
      </c>
      <c r="AQ19">
        <f t="shared" si="35"/>
        <v>1.4999999999999999E-2</v>
      </c>
      <c r="AR19">
        <f t="shared" si="36"/>
        <v>5.2499999999999998E-2</v>
      </c>
      <c r="AS19">
        <f t="shared" si="37"/>
        <v>5.2499999999999998E-2</v>
      </c>
      <c r="AT19">
        <f t="shared" si="38"/>
        <v>1.4999999999999999E-2</v>
      </c>
      <c r="AU19">
        <f t="shared" si="39"/>
        <v>1.4999999999999999E-2</v>
      </c>
      <c r="AV19">
        <f t="shared" si="40"/>
        <v>1.4999999999999999E-2</v>
      </c>
      <c r="AW19">
        <f t="shared" si="41"/>
        <v>1.4999999999999999E-2</v>
      </c>
      <c r="AX19">
        <f t="shared" si="42"/>
        <v>4.9999999999999984E-3</v>
      </c>
      <c r="AY19">
        <f t="shared" si="43"/>
        <v>4.9999999999999984E-3</v>
      </c>
      <c r="AZ19">
        <f t="shared" si="44"/>
        <v>4.9999999999999984E-3</v>
      </c>
      <c r="BA19">
        <f t="shared" si="45"/>
        <v>4.9999999999999984E-3</v>
      </c>
      <c r="BB19">
        <f t="shared" si="46"/>
        <v>4.9999999999999984E-3</v>
      </c>
      <c r="BC19">
        <f t="shared" si="47"/>
        <v>4.9999999999999984E-3</v>
      </c>
      <c r="BD19">
        <f t="shared" si="48"/>
        <v>4.9999999999999984E-3</v>
      </c>
      <c r="BE19">
        <f t="shared" si="49"/>
        <v>4.9999999999999984E-3</v>
      </c>
      <c r="BF19">
        <f t="shared" si="50"/>
        <v>4.9999999999999984E-3</v>
      </c>
      <c r="BG19">
        <f t="shared" si="51"/>
        <v>0</v>
      </c>
      <c r="BI19" t="str">
        <f t="shared" si="53"/>
        <v>427041030623FI</v>
      </c>
      <c r="BJ19" s="426">
        <v>42704</v>
      </c>
      <c r="BK19" t="s">
        <v>1360</v>
      </c>
      <c r="BL19" t="s">
        <v>1369</v>
      </c>
      <c r="BM19" t="s">
        <v>1355</v>
      </c>
      <c r="BN19" s="438">
        <v>2</v>
      </c>
      <c r="BO19" s="438">
        <v>1</v>
      </c>
      <c r="BR19" s="720">
        <v>4.6000000000000006E-2</v>
      </c>
      <c r="BS19" s="720">
        <v>0.16100000000000003</v>
      </c>
      <c r="BT19" s="720">
        <v>0.16100000000000003</v>
      </c>
      <c r="BU19" s="720">
        <v>4.5999999999999985E-2</v>
      </c>
      <c r="BV19" s="720">
        <v>4.5999999999999985E-2</v>
      </c>
      <c r="BW19" s="720">
        <v>4.6000000000000013E-2</v>
      </c>
      <c r="BX19" s="720">
        <v>4.6000000000000013E-2</v>
      </c>
      <c r="BY19" s="720">
        <v>1.5333333333333334E-2</v>
      </c>
      <c r="BZ19" s="720">
        <v>1.5333333333333334E-2</v>
      </c>
      <c r="CA19" s="720">
        <v>1.5333333333333334E-2</v>
      </c>
      <c r="CB19" s="720">
        <v>1.5333333333333334E-2</v>
      </c>
      <c r="CC19" s="720">
        <v>1.5333333333333334E-2</v>
      </c>
      <c r="CD19" s="720">
        <v>1.5333333333333334E-2</v>
      </c>
      <c r="CE19" s="720">
        <v>1.5333333333333334E-2</v>
      </c>
      <c r="CF19" s="720">
        <v>1.5333333333333334E-2</v>
      </c>
      <c r="CG19" s="720">
        <v>1.5333333333333334E-2</v>
      </c>
      <c r="CH19" s="720"/>
      <c r="CI19" s="720">
        <v>4.0000000000000008E-2</v>
      </c>
      <c r="CJ19" s="720">
        <v>0.14000000000000001</v>
      </c>
      <c r="CK19" s="720">
        <v>0.14000000000000001</v>
      </c>
      <c r="CL19" s="720">
        <v>3.999999999999998E-2</v>
      </c>
      <c r="CM19" s="720">
        <v>3.999999999999998E-2</v>
      </c>
      <c r="CN19" s="720">
        <v>3.999999999999998E-2</v>
      </c>
      <c r="CO19" s="720">
        <v>3.999999999999998E-2</v>
      </c>
      <c r="CP19" s="720">
        <v>1.3333333333333345E-2</v>
      </c>
      <c r="CQ19" s="720">
        <v>1.3333333333333345E-2</v>
      </c>
      <c r="CR19" s="720">
        <v>1.3333333333333345E-2</v>
      </c>
      <c r="CS19" s="720">
        <v>1.3333333333333345E-2</v>
      </c>
      <c r="CT19" s="720">
        <v>1.3333333333333345E-2</v>
      </c>
      <c r="CU19" s="720">
        <v>1.3333333333333345E-2</v>
      </c>
      <c r="CV19" s="720">
        <v>1.3333333333333345E-2</v>
      </c>
      <c r="CW19" s="720">
        <v>1.3333333333333345E-2</v>
      </c>
      <c r="CX19" s="720">
        <v>1.3333333333333345E-2</v>
      </c>
      <c r="CY19" s="720"/>
      <c r="CZ19" s="720">
        <v>0.03</v>
      </c>
      <c r="DA19" s="720">
        <v>0.105</v>
      </c>
      <c r="DB19" s="720">
        <v>0.105</v>
      </c>
      <c r="DC19" s="720">
        <v>0.03</v>
      </c>
      <c r="DD19" s="720">
        <v>0.03</v>
      </c>
      <c r="DE19" s="720">
        <v>0.03</v>
      </c>
      <c r="DF19" s="720">
        <v>0.03</v>
      </c>
      <c r="DG19" s="720">
        <v>9.9999999999999967E-3</v>
      </c>
      <c r="DH19" s="720">
        <v>9.9999999999999967E-3</v>
      </c>
      <c r="DI19" s="720">
        <v>9.9999999999999967E-3</v>
      </c>
      <c r="DJ19" s="720">
        <v>9.9999999999999967E-3</v>
      </c>
      <c r="DK19" s="720">
        <v>9.9999999999999967E-3</v>
      </c>
      <c r="DL19" s="720">
        <v>9.9999999999999967E-3</v>
      </c>
      <c r="DM19" s="720">
        <v>9.9999999999999967E-3</v>
      </c>
      <c r="DN19" s="720">
        <v>9.9999999999999967E-3</v>
      </c>
      <c r="DO19" s="720">
        <v>9.9999999999999967E-3</v>
      </c>
    </row>
    <row r="20" spans="3:119">
      <c r="C20" t="s">
        <v>1355</v>
      </c>
      <c r="D20" t="s">
        <v>1363</v>
      </c>
      <c r="E20" t="s">
        <v>1317</v>
      </c>
      <c r="F20" t="str">
        <f>INDEX('Data Interface'!C:C,MATCH(E20,'Data Interface'!B:B,0))</f>
        <v>Due to Banks - Investment - PBOC</v>
      </c>
      <c r="G20">
        <f t="shared" si="0"/>
        <v>326</v>
      </c>
      <c r="I20">
        <f t="shared" si="1"/>
        <v>4.6000000000000006E-2</v>
      </c>
      <c r="J20">
        <f t="shared" si="2"/>
        <v>0.16100000000000003</v>
      </c>
      <c r="K20">
        <f t="shared" si="3"/>
        <v>0.16100000000000003</v>
      </c>
      <c r="L20">
        <f t="shared" si="4"/>
        <v>4.5999999999999985E-2</v>
      </c>
      <c r="M20">
        <f t="shared" si="5"/>
        <v>4.5999999999999985E-2</v>
      </c>
      <c r="N20">
        <f t="shared" si="6"/>
        <v>4.6000000000000013E-2</v>
      </c>
      <c r="O20">
        <f t="shared" si="7"/>
        <v>4.6000000000000013E-2</v>
      </c>
      <c r="P20">
        <f t="shared" si="8"/>
        <v>1.5333333333333334E-2</v>
      </c>
      <c r="Q20">
        <f t="shared" si="9"/>
        <v>1.5333333333333334E-2</v>
      </c>
      <c r="R20">
        <f t="shared" si="10"/>
        <v>1.5333333333333334E-2</v>
      </c>
      <c r="S20">
        <f t="shared" si="11"/>
        <v>1.5333333333333334E-2</v>
      </c>
      <c r="T20">
        <f t="shared" si="12"/>
        <v>1.5333333333333334E-2</v>
      </c>
      <c r="U20">
        <f t="shared" si="13"/>
        <v>1.5333333333333334E-2</v>
      </c>
      <c r="V20">
        <f t="shared" si="14"/>
        <v>1.5333333333333334E-2</v>
      </c>
      <c r="W20">
        <f t="shared" si="15"/>
        <v>1.5333333333333334E-2</v>
      </c>
      <c r="X20">
        <f t="shared" si="16"/>
        <v>1.5333333333333334E-2</v>
      </c>
      <c r="Y20">
        <f t="shared" si="17"/>
        <v>0</v>
      </c>
      <c r="Z20">
        <f t="shared" si="18"/>
        <v>4.0000000000000008E-2</v>
      </c>
      <c r="AA20">
        <f t="shared" si="19"/>
        <v>0.14000000000000001</v>
      </c>
      <c r="AB20">
        <f t="shared" si="20"/>
        <v>0.14000000000000001</v>
      </c>
      <c r="AC20">
        <f t="shared" si="21"/>
        <v>3.999999999999998E-2</v>
      </c>
      <c r="AD20">
        <f t="shared" si="22"/>
        <v>3.999999999999998E-2</v>
      </c>
      <c r="AE20">
        <f t="shared" si="23"/>
        <v>3.999999999999998E-2</v>
      </c>
      <c r="AF20">
        <f t="shared" si="24"/>
        <v>3.999999999999998E-2</v>
      </c>
      <c r="AG20">
        <f t="shared" si="25"/>
        <v>1.3333333333333345E-2</v>
      </c>
      <c r="AH20">
        <f t="shared" si="26"/>
        <v>1.3333333333333345E-2</v>
      </c>
      <c r="AI20">
        <f t="shared" si="27"/>
        <v>1.3333333333333345E-2</v>
      </c>
      <c r="AJ20">
        <f t="shared" si="28"/>
        <v>1.3333333333333345E-2</v>
      </c>
      <c r="AK20">
        <f t="shared" si="29"/>
        <v>1.3333333333333345E-2</v>
      </c>
      <c r="AL20">
        <f t="shared" si="30"/>
        <v>1.3333333333333345E-2</v>
      </c>
      <c r="AM20">
        <f t="shared" si="31"/>
        <v>1.3333333333333345E-2</v>
      </c>
      <c r="AN20">
        <f t="shared" si="32"/>
        <v>1.3333333333333345E-2</v>
      </c>
      <c r="AO20">
        <f t="shared" si="33"/>
        <v>1.3333333333333345E-2</v>
      </c>
      <c r="AP20">
        <f t="shared" si="34"/>
        <v>0</v>
      </c>
      <c r="AQ20">
        <f t="shared" si="35"/>
        <v>0.03</v>
      </c>
      <c r="AR20">
        <f t="shared" si="36"/>
        <v>0.105</v>
      </c>
      <c r="AS20">
        <f t="shared" si="37"/>
        <v>0.105</v>
      </c>
      <c r="AT20">
        <f t="shared" si="38"/>
        <v>0.03</v>
      </c>
      <c r="AU20">
        <f t="shared" si="39"/>
        <v>0.03</v>
      </c>
      <c r="AV20">
        <f t="shared" si="40"/>
        <v>0.03</v>
      </c>
      <c r="AW20">
        <f t="shared" si="41"/>
        <v>0.03</v>
      </c>
      <c r="AX20">
        <f t="shared" si="42"/>
        <v>9.9999999999999967E-3</v>
      </c>
      <c r="AY20">
        <f t="shared" si="43"/>
        <v>9.9999999999999967E-3</v>
      </c>
      <c r="AZ20">
        <f t="shared" si="44"/>
        <v>9.9999999999999967E-3</v>
      </c>
      <c r="BA20">
        <f t="shared" si="45"/>
        <v>9.9999999999999967E-3</v>
      </c>
      <c r="BB20">
        <f t="shared" si="46"/>
        <v>9.9999999999999967E-3</v>
      </c>
      <c r="BC20">
        <f t="shared" si="47"/>
        <v>9.9999999999999967E-3</v>
      </c>
      <c r="BD20">
        <f t="shared" si="48"/>
        <v>9.9999999999999967E-3</v>
      </c>
      <c r="BE20">
        <f t="shared" si="49"/>
        <v>9.9999999999999967E-3</v>
      </c>
      <c r="BF20">
        <f t="shared" si="50"/>
        <v>9.9999999999999967E-3</v>
      </c>
      <c r="BG20">
        <f t="shared" si="51"/>
        <v>0</v>
      </c>
      <c r="BI20" t="str">
        <f t="shared" si="53"/>
        <v>427041147542CME</v>
      </c>
      <c r="BJ20" s="426">
        <v>42704</v>
      </c>
      <c r="BK20" t="s">
        <v>1361</v>
      </c>
      <c r="BL20" t="s">
        <v>1370</v>
      </c>
      <c r="BM20" t="s">
        <v>1321</v>
      </c>
      <c r="BN20" s="438">
        <v>1.8576291884482741</v>
      </c>
      <c r="BO20" s="438">
        <v>1</v>
      </c>
      <c r="BR20" s="720">
        <v>0.14861033507586194</v>
      </c>
      <c r="BS20" s="720">
        <v>0.29722067015172388</v>
      </c>
      <c r="BT20" s="720">
        <v>0.29722067015172388</v>
      </c>
      <c r="BU20" s="720">
        <v>0</v>
      </c>
      <c r="BV20" s="720">
        <v>0</v>
      </c>
      <c r="BW20" s="720">
        <v>7.4305167537930983E-2</v>
      </c>
      <c r="BX20" s="720">
        <v>7.4305167537930983E-2</v>
      </c>
      <c r="BY20" s="720">
        <v>1.2037554393869812E-2</v>
      </c>
      <c r="BZ20" s="720">
        <v>1.2037554393869812E-2</v>
      </c>
      <c r="CA20" s="720">
        <v>1.2037554393869812E-2</v>
      </c>
      <c r="CB20" s="720">
        <v>1.2037554393869812E-2</v>
      </c>
      <c r="CC20" s="720">
        <v>1.2037554393869812E-2</v>
      </c>
      <c r="CD20" s="720">
        <v>1.2037554393869812E-2</v>
      </c>
      <c r="CE20" s="720">
        <v>1.2037554393869812E-2</v>
      </c>
      <c r="CF20" s="720">
        <v>1.2037554393869812E-2</v>
      </c>
      <c r="CG20" s="720">
        <v>1.2037554393869812E-2</v>
      </c>
      <c r="CH20" s="720"/>
      <c r="CI20" s="720">
        <v>0.13003404319137918</v>
      </c>
      <c r="CJ20" s="720">
        <v>0.26006808638275836</v>
      </c>
      <c r="CK20" s="720">
        <v>0.26006808638275836</v>
      </c>
      <c r="CL20" s="720">
        <v>0</v>
      </c>
      <c r="CM20" s="720">
        <v>0</v>
      </c>
      <c r="CN20" s="720">
        <v>6.5017021595689561E-2</v>
      </c>
      <c r="CO20" s="720">
        <v>6.5017021595689561E-2</v>
      </c>
      <c r="CP20" s="720">
        <v>2.1672340531896532E-2</v>
      </c>
      <c r="CQ20" s="720">
        <v>2.1672340531896532E-2</v>
      </c>
      <c r="CR20" s="720">
        <v>2.1672340531896532E-2</v>
      </c>
      <c r="CS20" s="720">
        <v>2.1672340531896532E-2</v>
      </c>
      <c r="CT20" s="720">
        <v>2.1672340531896532E-2</v>
      </c>
      <c r="CU20" s="720">
        <v>2.1672340531896532E-2</v>
      </c>
      <c r="CV20" s="720">
        <v>2.1672340531896532E-2</v>
      </c>
      <c r="CW20" s="720">
        <v>2.1672340531896532E-2</v>
      </c>
      <c r="CX20" s="720">
        <v>2.1672340531896532E-2</v>
      </c>
      <c r="CY20" s="720"/>
      <c r="CZ20" s="720">
        <v>7.4305167537930969E-2</v>
      </c>
      <c r="DA20" s="720">
        <v>0.14861033507586194</v>
      </c>
      <c r="DB20" s="720">
        <v>0.14861033507586194</v>
      </c>
      <c r="DC20" s="720">
        <v>0</v>
      </c>
      <c r="DD20" s="720">
        <v>0</v>
      </c>
      <c r="DE20" s="720">
        <v>3.7152583768965491E-2</v>
      </c>
      <c r="DF20" s="720">
        <v>3.7152583768965491E-2</v>
      </c>
      <c r="DG20" s="720">
        <v>1.2384194589655161E-2</v>
      </c>
      <c r="DH20" s="720">
        <v>1.2384194589655161E-2</v>
      </c>
      <c r="DI20" s="720">
        <v>1.2384194589655161E-2</v>
      </c>
      <c r="DJ20" s="720">
        <v>1.2384194589655161E-2</v>
      </c>
      <c r="DK20" s="720">
        <v>1.2384194589655161E-2</v>
      </c>
      <c r="DL20" s="720">
        <v>1.2384194589655161E-2</v>
      </c>
      <c r="DM20" s="720">
        <v>1.2384194589655161E-2</v>
      </c>
      <c r="DN20" s="720">
        <v>1.2384194589655161E-2</v>
      </c>
      <c r="DO20" s="720">
        <v>1.2384194589655161E-2</v>
      </c>
    </row>
    <row r="21" spans="3:119">
      <c r="C21" t="s">
        <v>1355</v>
      </c>
      <c r="D21" t="s">
        <v>1360</v>
      </c>
      <c r="E21" t="s">
        <v>1318</v>
      </c>
      <c r="F21" t="str">
        <f>INDEX('Data Interface'!C:C,MATCH(E21,'Data Interface'!B:B,0))</f>
        <v>Due to Banks - Investment - CDB &amp; CDB S</v>
      </c>
      <c r="G21">
        <f t="shared" si="0"/>
        <v>327</v>
      </c>
      <c r="I21">
        <f t="shared" si="1"/>
        <v>4.6000000000000006E-2</v>
      </c>
      <c r="J21">
        <f t="shared" si="2"/>
        <v>0.16100000000000003</v>
      </c>
      <c r="K21">
        <f t="shared" si="3"/>
        <v>0.16100000000000003</v>
      </c>
      <c r="L21">
        <f t="shared" si="4"/>
        <v>4.5999999999999985E-2</v>
      </c>
      <c r="M21">
        <f t="shared" si="5"/>
        <v>4.5999999999999985E-2</v>
      </c>
      <c r="N21">
        <f t="shared" si="6"/>
        <v>4.6000000000000013E-2</v>
      </c>
      <c r="O21">
        <f t="shared" si="7"/>
        <v>4.6000000000000013E-2</v>
      </c>
      <c r="P21">
        <f t="shared" si="8"/>
        <v>1.5333333333333334E-2</v>
      </c>
      <c r="Q21">
        <f t="shared" si="9"/>
        <v>1.5333333333333334E-2</v>
      </c>
      <c r="R21">
        <f t="shared" si="10"/>
        <v>1.5333333333333334E-2</v>
      </c>
      <c r="S21">
        <f t="shared" si="11"/>
        <v>1.5333333333333334E-2</v>
      </c>
      <c r="T21">
        <f t="shared" si="12"/>
        <v>1.5333333333333334E-2</v>
      </c>
      <c r="U21">
        <f t="shared" si="13"/>
        <v>1.5333333333333334E-2</v>
      </c>
      <c r="V21">
        <f t="shared" si="14"/>
        <v>1.5333333333333334E-2</v>
      </c>
      <c r="W21">
        <f t="shared" si="15"/>
        <v>1.5333333333333334E-2</v>
      </c>
      <c r="X21">
        <f t="shared" si="16"/>
        <v>1.5333333333333334E-2</v>
      </c>
      <c r="Y21">
        <f t="shared" si="17"/>
        <v>0</v>
      </c>
      <c r="Z21">
        <f t="shared" si="18"/>
        <v>4.0000000000000008E-2</v>
      </c>
      <c r="AA21">
        <f t="shared" si="19"/>
        <v>0.14000000000000001</v>
      </c>
      <c r="AB21">
        <f t="shared" si="20"/>
        <v>0.14000000000000001</v>
      </c>
      <c r="AC21">
        <f t="shared" si="21"/>
        <v>3.999999999999998E-2</v>
      </c>
      <c r="AD21">
        <f t="shared" si="22"/>
        <v>3.999999999999998E-2</v>
      </c>
      <c r="AE21">
        <f t="shared" si="23"/>
        <v>3.999999999999998E-2</v>
      </c>
      <c r="AF21">
        <f t="shared" si="24"/>
        <v>3.999999999999998E-2</v>
      </c>
      <c r="AG21">
        <f t="shared" si="25"/>
        <v>1.3333333333333345E-2</v>
      </c>
      <c r="AH21">
        <f t="shared" si="26"/>
        <v>1.3333333333333345E-2</v>
      </c>
      <c r="AI21">
        <f t="shared" si="27"/>
        <v>1.3333333333333345E-2</v>
      </c>
      <c r="AJ21">
        <f t="shared" si="28"/>
        <v>1.3333333333333345E-2</v>
      </c>
      <c r="AK21">
        <f t="shared" si="29"/>
        <v>1.3333333333333345E-2</v>
      </c>
      <c r="AL21">
        <f t="shared" si="30"/>
        <v>1.3333333333333345E-2</v>
      </c>
      <c r="AM21">
        <f t="shared" si="31"/>
        <v>1.3333333333333345E-2</v>
      </c>
      <c r="AN21">
        <f t="shared" si="32"/>
        <v>1.3333333333333345E-2</v>
      </c>
      <c r="AO21">
        <f t="shared" si="33"/>
        <v>1.3333333333333345E-2</v>
      </c>
      <c r="AP21">
        <f t="shared" si="34"/>
        <v>0</v>
      </c>
      <c r="AQ21">
        <f t="shared" si="35"/>
        <v>0.03</v>
      </c>
      <c r="AR21">
        <f t="shared" si="36"/>
        <v>0.105</v>
      </c>
      <c r="AS21">
        <f t="shared" si="37"/>
        <v>0.105</v>
      </c>
      <c r="AT21">
        <f t="shared" si="38"/>
        <v>0.03</v>
      </c>
      <c r="AU21">
        <f t="shared" si="39"/>
        <v>0.03</v>
      </c>
      <c r="AV21">
        <f t="shared" si="40"/>
        <v>0.03</v>
      </c>
      <c r="AW21">
        <f t="shared" si="41"/>
        <v>0.03</v>
      </c>
      <c r="AX21">
        <f t="shared" si="42"/>
        <v>9.9999999999999967E-3</v>
      </c>
      <c r="AY21">
        <f t="shared" si="43"/>
        <v>9.9999999999999967E-3</v>
      </c>
      <c r="AZ21">
        <f t="shared" si="44"/>
        <v>9.9999999999999967E-3</v>
      </c>
      <c r="BA21">
        <f t="shared" si="45"/>
        <v>9.9999999999999967E-3</v>
      </c>
      <c r="BB21">
        <f t="shared" si="46"/>
        <v>9.9999999999999967E-3</v>
      </c>
      <c r="BC21">
        <f t="shared" si="47"/>
        <v>9.9999999999999967E-3</v>
      </c>
      <c r="BD21">
        <f t="shared" si="48"/>
        <v>9.9999999999999967E-3</v>
      </c>
      <c r="BE21">
        <f t="shared" si="49"/>
        <v>9.9999999999999967E-3</v>
      </c>
      <c r="BF21">
        <f t="shared" si="50"/>
        <v>9.9999999999999967E-3</v>
      </c>
      <c r="BG21">
        <f t="shared" si="51"/>
        <v>0</v>
      </c>
      <c r="BI21" t="str">
        <f t="shared" si="53"/>
        <v>427041000790IB</v>
      </c>
      <c r="BJ21" s="426">
        <v>42704</v>
      </c>
      <c r="BK21" t="s">
        <v>1358</v>
      </c>
      <c r="BL21" t="s">
        <v>1371</v>
      </c>
      <c r="BM21" t="s">
        <v>1354</v>
      </c>
      <c r="BN21" s="438">
        <v>1.7781342478648785</v>
      </c>
      <c r="BO21" s="438">
        <v>1</v>
      </c>
      <c r="BR21" s="720">
        <v>2.1337610974378543E-2</v>
      </c>
      <c r="BS21" s="720">
        <v>7.4681638410324908E-2</v>
      </c>
      <c r="BT21" s="720">
        <v>7.4681638410324908E-2</v>
      </c>
      <c r="BU21" s="720">
        <v>2.1337610974378529E-2</v>
      </c>
      <c r="BV21" s="720">
        <v>2.1337610974378529E-2</v>
      </c>
      <c r="BW21" s="720">
        <v>2.1337610974378529E-2</v>
      </c>
      <c r="BX21" s="720">
        <v>2.1337610974378529E-2</v>
      </c>
      <c r="BY21" s="720">
        <v>7.1125369914595161E-3</v>
      </c>
      <c r="BZ21" s="720">
        <v>7.1125369914595161E-3</v>
      </c>
      <c r="CA21" s="720">
        <v>7.1125369914595161E-3</v>
      </c>
      <c r="CB21" s="720">
        <v>7.1125369914595161E-3</v>
      </c>
      <c r="CC21" s="720">
        <v>7.1125369914595161E-3</v>
      </c>
      <c r="CD21" s="720">
        <v>7.1125369914595161E-3</v>
      </c>
      <c r="CE21" s="720">
        <v>7.1125369914595161E-3</v>
      </c>
      <c r="CF21" s="720">
        <v>7.1125369914595161E-3</v>
      </c>
      <c r="CG21" s="720">
        <v>7.1125369914595161E-3</v>
      </c>
      <c r="CH21" s="720"/>
      <c r="CI21" s="720">
        <v>5.3344027435946358E-3</v>
      </c>
      <c r="CJ21" s="720">
        <v>1.8670409602581227E-2</v>
      </c>
      <c r="CK21" s="720">
        <v>1.8670409602581227E-2</v>
      </c>
      <c r="CL21" s="720">
        <v>5.3344027435946323E-3</v>
      </c>
      <c r="CM21" s="720">
        <v>5.3344027435946323E-3</v>
      </c>
      <c r="CN21" s="720">
        <v>5.3344027435946323E-3</v>
      </c>
      <c r="CO21" s="720">
        <v>5.3344027435946323E-3</v>
      </c>
      <c r="CP21" s="720">
        <v>1.778134247864879E-3</v>
      </c>
      <c r="CQ21" s="720">
        <v>1.778134247864879E-3</v>
      </c>
      <c r="CR21" s="720">
        <v>1.778134247864879E-3</v>
      </c>
      <c r="CS21" s="720">
        <v>1.778134247864879E-3</v>
      </c>
      <c r="CT21" s="720">
        <v>1.778134247864879E-3</v>
      </c>
      <c r="CU21" s="720">
        <v>1.778134247864879E-3</v>
      </c>
      <c r="CV21" s="720">
        <v>1.778134247864879E-3</v>
      </c>
      <c r="CW21" s="720">
        <v>1.778134247864879E-3</v>
      </c>
      <c r="CX21" s="720">
        <v>1.778134247864879E-3</v>
      </c>
      <c r="CY21" s="720"/>
      <c r="CZ21" s="720">
        <v>1.7781342478648789E-2</v>
      </c>
      <c r="DA21" s="720">
        <v>6.2234698675270761E-2</v>
      </c>
      <c r="DB21" s="720">
        <v>6.2234698675270761E-2</v>
      </c>
      <c r="DC21" s="720">
        <v>1.7781342478648779E-2</v>
      </c>
      <c r="DD21" s="720">
        <v>1.7781342478648779E-2</v>
      </c>
      <c r="DE21" s="720">
        <v>1.7781342478648779E-2</v>
      </c>
      <c r="DF21" s="720">
        <v>1.7781342478648779E-2</v>
      </c>
      <c r="DG21" s="720">
        <v>5.9271141595495973E-3</v>
      </c>
      <c r="DH21" s="720">
        <v>5.9271141595495973E-3</v>
      </c>
      <c r="DI21" s="720">
        <v>5.9271141595495973E-3</v>
      </c>
      <c r="DJ21" s="720">
        <v>5.9271141595495973E-3</v>
      </c>
      <c r="DK21" s="720">
        <v>5.9271141595495973E-3</v>
      </c>
      <c r="DL21" s="720">
        <v>5.9271141595495973E-3</v>
      </c>
      <c r="DM21" s="720">
        <v>5.9271141595495973E-3</v>
      </c>
      <c r="DN21" s="720">
        <v>5.9271141595495973E-3</v>
      </c>
      <c r="DO21" s="720">
        <v>5.9271141595495973E-3</v>
      </c>
    </row>
    <row r="22" spans="3:119">
      <c r="C22" t="s">
        <v>1355</v>
      </c>
      <c r="D22" t="s">
        <v>1359</v>
      </c>
      <c r="E22" t="s">
        <v>1319</v>
      </c>
      <c r="F22" t="s">
        <v>1334</v>
      </c>
      <c r="G22">
        <f t="shared" si="0"/>
        <v>335</v>
      </c>
      <c r="I22">
        <f t="shared" si="1"/>
        <v>2.3000000000000003E-2</v>
      </c>
      <c r="J22">
        <f t="shared" si="2"/>
        <v>8.0500000000000016E-2</v>
      </c>
      <c r="K22">
        <f t="shared" si="3"/>
        <v>8.0500000000000016E-2</v>
      </c>
      <c r="L22">
        <f t="shared" si="4"/>
        <v>2.2999999999999993E-2</v>
      </c>
      <c r="M22">
        <f t="shared" si="5"/>
        <v>2.2999999999999993E-2</v>
      </c>
      <c r="N22">
        <f t="shared" si="6"/>
        <v>2.3000000000000007E-2</v>
      </c>
      <c r="O22">
        <f t="shared" si="7"/>
        <v>2.3000000000000007E-2</v>
      </c>
      <c r="P22">
        <f t="shared" si="8"/>
        <v>7.6666666666666671E-3</v>
      </c>
      <c r="Q22">
        <f t="shared" si="9"/>
        <v>7.6666666666666671E-3</v>
      </c>
      <c r="R22">
        <f t="shared" si="10"/>
        <v>7.6666666666666671E-3</v>
      </c>
      <c r="S22">
        <f t="shared" si="11"/>
        <v>7.6666666666666671E-3</v>
      </c>
      <c r="T22">
        <f t="shared" si="12"/>
        <v>7.6666666666666671E-3</v>
      </c>
      <c r="U22">
        <f t="shared" si="13"/>
        <v>7.6666666666666671E-3</v>
      </c>
      <c r="V22">
        <f t="shared" si="14"/>
        <v>7.6666666666666671E-3</v>
      </c>
      <c r="W22">
        <f t="shared" si="15"/>
        <v>7.6666666666666671E-3</v>
      </c>
      <c r="X22">
        <f t="shared" si="16"/>
        <v>7.6666666666666671E-3</v>
      </c>
      <c r="Y22">
        <f t="shared" si="17"/>
        <v>0</v>
      </c>
      <c r="Z22">
        <f t="shared" si="18"/>
        <v>2.0000000000000004E-2</v>
      </c>
      <c r="AA22">
        <f t="shared" si="19"/>
        <v>7.0000000000000007E-2</v>
      </c>
      <c r="AB22">
        <f t="shared" si="20"/>
        <v>7.0000000000000007E-2</v>
      </c>
      <c r="AC22">
        <f t="shared" si="21"/>
        <v>1.999999999999999E-2</v>
      </c>
      <c r="AD22">
        <f t="shared" si="22"/>
        <v>1.999999999999999E-2</v>
      </c>
      <c r="AE22">
        <f t="shared" si="23"/>
        <v>1.999999999999999E-2</v>
      </c>
      <c r="AF22">
        <f t="shared" si="24"/>
        <v>1.999999999999999E-2</v>
      </c>
      <c r="AG22">
        <f t="shared" si="25"/>
        <v>6.6666666666666723E-3</v>
      </c>
      <c r="AH22">
        <f t="shared" si="26"/>
        <v>6.6666666666666723E-3</v>
      </c>
      <c r="AI22">
        <f t="shared" si="27"/>
        <v>6.6666666666666723E-3</v>
      </c>
      <c r="AJ22">
        <f t="shared" si="28"/>
        <v>6.6666666666666723E-3</v>
      </c>
      <c r="AK22">
        <f t="shared" si="29"/>
        <v>6.6666666666666723E-3</v>
      </c>
      <c r="AL22">
        <f t="shared" si="30"/>
        <v>6.6666666666666723E-3</v>
      </c>
      <c r="AM22">
        <f t="shared" si="31"/>
        <v>6.6666666666666723E-3</v>
      </c>
      <c r="AN22">
        <f t="shared" si="32"/>
        <v>6.6666666666666723E-3</v>
      </c>
      <c r="AO22">
        <f t="shared" si="33"/>
        <v>6.6666666666666723E-3</v>
      </c>
      <c r="AP22">
        <f t="shared" si="34"/>
        <v>0</v>
      </c>
      <c r="AQ22">
        <f t="shared" si="35"/>
        <v>1.4999999999999999E-2</v>
      </c>
      <c r="AR22">
        <f t="shared" si="36"/>
        <v>5.2499999999999998E-2</v>
      </c>
      <c r="AS22">
        <f t="shared" si="37"/>
        <v>5.2499999999999998E-2</v>
      </c>
      <c r="AT22">
        <f t="shared" si="38"/>
        <v>1.4999999999999999E-2</v>
      </c>
      <c r="AU22">
        <f t="shared" si="39"/>
        <v>1.4999999999999999E-2</v>
      </c>
      <c r="AV22">
        <f t="shared" si="40"/>
        <v>1.4999999999999999E-2</v>
      </c>
      <c r="AW22">
        <f t="shared" si="41"/>
        <v>1.4999999999999999E-2</v>
      </c>
      <c r="AX22">
        <f t="shared" si="42"/>
        <v>4.9999999999999984E-3</v>
      </c>
      <c r="AY22">
        <f t="shared" si="43"/>
        <v>4.9999999999999984E-3</v>
      </c>
      <c r="AZ22">
        <f t="shared" si="44"/>
        <v>4.9999999999999984E-3</v>
      </c>
      <c r="BA22">
        <f t="shared" si="45"/>
        <v>4.9999999999999984E-3</v>
      </c>
      <c r="BB22">
        <f t="shared" si="46"/>
        <v>4.9999999999999984E-3</v>
      </c>
      <c r="BC22">
        <f t="shared" si="47"/>
        <v>4.9999999999999984E-3</v>
      </c>
      <c r="BD22">
        <f t="shared" si="48"/>
        <v>4.9999999999999984E-3</v>
      </c>
      <c r="BE22">
        <f t="shared" si="49"/>
        <v>4.9999999999999984E-3</v>
      </c>
      <c r="BF22">
        <f t="shared" si="50"/>
        <v>4.9999999999999984E-3</v>
      </c>
      <c r="BG22">
        <f t="shared" si="51"/>
        <v>0</v>
      </c>
      <c r="BI22" t="str">
        <f t="shared" si="53"/>
        <v>427041151227FI</v>
      </c>
      <c r="BJ22" s="426">
        <v>42704</v>
      </c>
      <c r="BK22" t="s">
        <v>1362</v>
      </c>
      <c r="BL22" t="s">
        <v>1372</v>
      </c>
      <c r="BM22" t="s">
        <v>1355</v>
      </c>
      <c r="BN22" s="438">
        <v>1.3722254153774691</v>
      </c>
      <c r="BO22" s="438">
        <v>0.33900643555914484</v>
      </c>
      <c r="BR22" s="720">
        <v>0.11591517622666361</v>
      </c>
      <c r="BS22" s="720">
        <v>0.24787951946967923</v>
      </c>
      <c r="BT22" s="720">
        <v>0.24787951946967923</v>
      </c>
      <c r="BU22" s="720">
        <v>1.0699444677568004E-2</v>
      </c>
      <c r="BV22" s="720">
        <v>1.0699444677568004E-2</v>
      </c>
      <c r="BW22" s="720">
        <v>6.3307310452115795E-2</v>
      </c>
      <c r="BX22" s="720">
        <v>6.3307310452115795E-2</v>
      </c>
      <c r="BY22" s="720">
        <v>6.8663899087761694E-3</v>
      </c>
      <c r="BZ22" s="720">
        <v>6.8663899087761694E-3</v>
      </c>
      <c r="CA22" s="720">
        <v>6.8663899087761694E-3</v>
      </c>
      <c r="CB22" s="720">
        <v>6.8663899087761694E-3</v>
      </c>
      <c r="CC22" s="720">
        <v>6.8663899087761694E-3</v>
      </c>
      <c r="CD22" s="720">
        <v>6.8663899087761694E-3</v>
      </c>
      <c r="CE22" s="720">
        <v>6.8663899087761694E-3</v>
      </c>
      <c r="CF22" s="720">
        <v>6.8663899087761694E-3</v>
      </c>
      <c r="CG22" s="720">
        <v>6.8663899087761694E-3</v>
      </c>
      <c r="CH22" s="720"/>
      <c r="CI22" s="720">
        <v>0.10907740347495117</v>
      </c>
      <c r="CJ22" s="720">
        <v>0.23211060435542583</v>
      </c>
      <c r="CK22" s="720">
        <v>0.23211060435542583</v>
      </c>
      <c r="CL22" s="720">
        <v>9.3038649370156268E-3</v>
      </c>
      <c r="CM22" s="720">
        <v>9.3038649370156268E-3</v>
      </c>
      <c r="CN22" s="720">
        <v>5.9190634205983361E-2</v>
      </c>
      <c r="CO22" s="720">
        <v>5.9190634205983361E-2</v>
      </c>
      <c r="CP22" s="720">
        <v>1.0029325336032131E-2</v>
      </c>
      <c r="CQ22" s="720">
        <v>1.0029325336032131E-2</v>
      </c>
      <c r="CR22" s="720">
        <v>1.0029325336032131E-2</v>
      </c>
      <c r="CS22" s="720">
        <v>1.0029325336032131E-2</v>
      </c>
      <c r="CT22" s="720">
        <v>1.0029325336032131E-2</v>
      </c>
      <c r="CU22" s="720">
        <v>1.0029325336032131E-2</v>
      </c>
      <c r="CV22" s="720">
        <v>1.0029325336032131E-2</v>
      </c>
      <c r="CW22" s="720">
        <v>1.0029325336032131E-2</v>
      </c>
      <c r="CX22" s="720">
        <v>1.0029325336032131E-2</v>
      </c>
      <c r="CY22" s="720"/>
      <c r="CZ22" s="720">
        <v>5.2329507129096051E-2</v>
      </c>
      <c r="DA22" s="720">
        <v>0.11512586231233474</v>
      </c>
      <c r="DB22" s="720">
        <v>0.11512586231233474</v>
      </c>
      <c r="DC22" s="720">
        <v>6.9778987027617201E-3</v>
      </c>
      <c r="DD22" s="720">
        <v>6.9778987027617201E-3</v>
      </c>
      <c r="DE22" s="720">
        <v>2.965370291592892E-2</v>
      </c>
      <c r="DF22" s="720">
        <v>2.965370291592892E-2</v>
      </c>
      <c r="DG22" s="720">
        <v>9.8845676386429583E-3</v>
      </c>
      <c r="DH22" s="720">
        <v>9.8845676386429583E-3</v>
      </c>
      <c r="DI22" s="720">
        <v>9.8845676386429583E-3</v>
      </c>
      <c r="DJ22" s="720">
        <v>9.8845676386429583E-3</v>
      </c>
      <c r="DK22" s="720">
        <v>9.8845676386429583E-3</v>
      </c>
      <c r="DL22" s="720">
        <v>9.8845676386429583E-3</v>
      </c>
      <c r="DM22" s="720">
        <v>9.8845676386429583E-3</v>
      </c>
      <c r="DN22" s="720">
        <v>9.8845676386429583E-3</v>
      </c>
      <c r="DO22" s="720">
        <v>9.8845676386429583E-3</v>
      </c>
    </row>
    <row r="23" spans="3:119">
      <c r="C23" t="s">
        <v>1355</v>
      </c>
      <c r="D23" t="s">
        <v>2768</v>
      </c>
      <c r="E23" t="s">
        <v>2766</v>
      </c>
      <c r="F23" t="str">
        <f>INDEX('Data Interface'!C:C,MATCH(E23,'Data Interface'!B:B,0))</f>
        <v>Due to Banks - Investment - BANK OF COMM. CO. LTD.</v>
      </c>
      <c r="G23">
        <f t="shared" si="0"/>
        <v>335</v>
      </c>
      <c r="I23">
        <f t="shared" si="1"/>
        <v>2.3000000000000003E-2</v>
      </c>
      <c r="J23">
        <f t="shared" si="2"/>
        <v>8.0500000000000016E-2</v>
      </c>
      <c r="K23">
        <f t="shared" si="3"/>
        <v>8.0500000000000016E-2</v>
      </c>
      <c r="L23">
        <f t="shared" si="4"/>
        <v>2.2999999999999993E-2</v>
      </c>
      <c r="M23">
        <f t="shared" si="5"/>
        <v>2.2999999999999993E-2</v>
      </c>
      <c r="N23">
        <f t="shared" si="6"/>
        <v>2.3000000000000007E-2</v>
      </c>
      <c r="O23">
        <f t="shared" si="7"/>
        <v>2.3000000000000007E-2</v>
      </c>
      <c r="P23">
        <f t="shared" si="8"/>
        <v>7.6666666666666671E-3</v>
      </c>
      <c r="Q23">
        <f t="shared" si="9"/>
        <v>7.6666666666666671E-3</v>
      </c>
      <c r="R23">
        <f t="shared" si="10"/>
        <v>7.6666666666666671E-3</v>
      </c>
      <c r="S23">
        <f t="shared" si="11"/>
        <v>7.6666666666666671E-3</v>
      </c>
      <c r="T23">
        <f t="shared" si="12"/>
        <v>7.6666666666666671E-3</v>
      </c>
      <c r="U23">
        <f t="shared" si="13"/>
        <v>7.6666666666666671E-3</v>
      </c>
      <c r="V23">
        <f t="shared" si="14"/>
        <v>7.6666666666666671E-3</v>
      </c>
      <c r="W23">
        <f t="shared" si="15"/>
        <v>7.6666666666666671E-3</v>
      </c>
      <c r="X23">
        <f t="shared" si="16"/>
        <v>7.6666666666666671E-3</v>
      </c>
      <c r="Y23">
        <f t="shared" si="17"/>
        <v>0</v>
      </c>
      <c r="Z23">
        <f t="shared" si="18"/>
        <v>2.0000000000000004E-2</v>
      </c>
      <c r="AA23">
        <f t="shared" si="19"/>
        <v>7.0000000000000007E-2</v>
      </c>
      <c r="AB23">
        <f t="shared" si="20"/>
        <v>7.0000000000000007E-2</v>
      </c>
      <c r="AC23">
        <f t="shared" si="21"/>
        <v>1.999999999999999E-2</v>
      </c>
      <c r="AD23">
        <f t="shared" si="22"/>
        <v>1.999999999999999E-2</v>
      </c>
      <c r="AE23">
        <f t="shared" si="23"/>
        <v>1.999999999999999E-2</v>
      </c>
      <c r="AF23">
        <f t="shared" si="24"/>
        <v>1.999999999999999E-2</v>
      </c>
      <c r="AG23">
        <f t="shared" si="25"/>
        <v>6.6666666666666723E-3</v>
      </c>
      <c r="AH23">
        <f t="shared" si="26"/>
        <v>6.6666666666666723E-3</v>
      </c>
      <c r="AI23">
        <f t="shared" si="27"/>
        <v>6.6666666666666723E-3</v>
      </c>
      <c r="AJ23">
        <f t="shared" si="28"/>
        <v>6.6666666666666723E-3</v>
      </c>
      <c r="AK23">
        <f t="shared" si="29"/>
        <v>6.6666666666666723E-3</v>
      </c>
      <c r="AL23">
        <f t="shared" si="30"/>
        <v>6.6666666666666723E-3</v>
      </c>
      <c r="AM23">
        <f t="shared" si="31"/>
        <v>6.6666666666666723E-3</v>
      </c>
      <c r="AN23">
        <f t="shared" si="32"/>
        <v>6.6666666666666723E-3</v>
      </c>
      <c r="AO23">
        <f t="shared" si="33"/>
        <v>6.6666666666666723E-3</v>
      </c>
      <c r="AP23">
        <f t="shared" si="34"/>
        <v>0</v>
      </c>
      <c r="AQ23">
        <f t="shared" si="35"/>
        <v>1.4999999999999999E-2</v>
      </c>
      <c r="AR23">
        <f t="shared" si="36"/>
        <v>5.2499999999999998E-2</v>
      </c>
      <c r="AS23">
        <f t="shared" si="37"/>
        <v>5.2499999999999998E-2</v>
      </c>
      <c r="AT23">
        <f t="shared" si="38"/>
        <v>1.4999999999999999E-2</v>
      </c>
      <c r="AU23">
        <f t="shared" si="39"/>
        <v>1.4999999999999999E-2</v>
      </c>
      <c r="AV23">
        <f t="shared" si="40"/>
        <v>1.4999999999999999E-2</v>
      </c>
      <c r="AW23">
        <f t="shared" si="41"/>
        <v>1.4999999999999999E-2</v>
      </c>
      <c r="AX23">
        <f t="shared" si="42"/>
        <v>4.9999999999999984E-3</v>
      </c>
      <c r="AY23">
        <f t="shared" si="43"/>
        <v>4.9999999999999984E-3</v>
      </c>
      <c r="AZ23">
        <f t="shared" si="44"/>
        <v>4.9999999999999984E-3</v>
      </c>
      <c r="BA23">
        <f t="shared" si="45"/>
        <v>4.9999999999999984E-3</v>
      </c>
      <c r="BB23">
        <f t="shared" si="46"/>
        <v>4.9999999999999984E-3</v>
      </c>
      <c r="BC23">
        <f t="shared" si="47"/>
        <v>4.9999999999999984E-3</v>
      </c>
      <c r="BD23">
        <f t="shared" si="48"/>
        <v>4.9999999999999984E-3</v>
      </c>
      <c r="BE23">
        <f t="shared" si="49"/>
        <v>4.9999999999999984E-3</v>
      </c>
      <c r="BF23">
        <f t="shared" si="50"/>
        <v>4.9999999999999984E-3</v>
      </c>
      <c r="BG23">
        <f t="shared" si="51"/>
        <v>0</v>
      </c>
      <c r="BI23" t="str">
        <f t="shared" si="53"/>
        <v>427041159099CORP</v>
      </c>
      <c r="BJ23" s="426">
        <v>42704</v>
      </c>
      <c r="BK23" t="s">
        <v>1365</v>
      </c>
      <c r="BL23" t="s">
        <v>1373</v>
      </c>
      <c r="BM23" t="s">
        <v>1356</v>
      </c>
      <c r="BN23" s="438">
        <v>1.1011199467865485</v>
      </c>
      <c r="BO23" s="438">
        <v>0</v>
      </c>
      <c r="BR23" s="720">
        <v>3.083135851002336E-2</v>
      </c>
      <c r="BS23" s="720">
        <v>0.10790975478508176</v>
      </c>
      <c r="BT23" s="720">
        <v>0.10790975478508176</v>
      </c>
      <c r="BU23" s="720">
        <v>3.083135851002336E-2</v>
      </c>
      <c r="BV23" s="720">
        <v>3.083135851002336E-2</v>
      </c>
      <c r="BW23" s="720">
        <v>3.083135851002336E-2</v>
      </c>
      <c r="BX23" s="720">
        <v>3.083135851002336E-2</v>
      </c>
      <c r="BY23" s="720">
        <v>1.0277119503341117E-2</v>
      </c>
      <c r="BZ23" s="720">
        <v>1.0277119503341117E-2</v>
      </c>
      <c r="CA23" s="720">
        <v>1.0277119503341117E-2</v>
      </c>
      <c r="CB23" s="720">
        <v>1.0277119503341117E-2</v>
      </c>
      <c r="CC23" s="720">
        <v>1.0277119503341117E-2</v>
      </c>
      <c r="CD23" s="720">
        <v>1.0277119503341117E-2</v>
      </c>
      <c r="CE23" s="720">
        <v>1.0277119503341117E-2</v>
      </c>
      <c r="CF23" s="720">
        <v>1.0277119503341117E-2</v>
      </c>
      <c r="CG23" s="720">
        <v>1.0277119503341117E-2</v>
      </c>
      <c r="CH23" s="720"/>
      <c r="CI23" s="720">
        <v>2.6426878722877162E-2</v>
      </c>
      <c r="CJ23" s="720">
        <v>9.2494075530070066E-2</v>
      </c>
      <c r="CK23" s="720">
        <v>9.2494075530070066E-2</v>
      </c>
      <c r="CL23" s="720">
        <v>2.6426878722877162E-2</v>
      </c>
      <c r="CM23" s="720">
        <v>2.6426878722877162E-2</v>
      </c>
      <c r="CN23" s="720">
        <v>2.6426878722877162E-2</v>
      </c>
      <c r="CO23" s="720">
        <v>2.6426878722877162E-2</v>
      </c>
      <c r="CP23" s="720">
        <v>8.8089595742923844E-3</v>
      </c>
      <c r="CQ23" s="720">
        <v>8.8089595742923844E-3</v>
      </c>
      <c r="CR23" s="720">
        <v>8.8089595742923844E-3</v>
      </c>
      <c r="CS23" s="720">
        <v>8.8089595742923844E-3</v>
      </c>
      <c r="CT23" s="720">
        <v>8.8089595742923844E-3</v>
      </c>
      <c r="CU23" s="720">
        <v>8.8089595742923844E-3</v>
      </c>
      <c r="CV23" s="720">
        <v>8.8089595742923844E-3</v>
      </c>
      <c r="CW23" s="720">
        <v>8.8089595742923844E-3</v>
      </c>
      <c r="CX23" s="720">
        <v>8.8089595742923844E-3</v>
      </c>
      <c r="CY23" s="720"/>
      <c r="CZ23" s="720">
        <v>1.6516799201798226E-2</v>
      </c>
      <c r="DA23" s="720">
        <v>5.780879720629379E-2</v>
      </c>
      <c r="DB23" s="720">
        <v>5.780879720629379E-2</v>
      </c>
      <c r="DC23" s="720">
        <v>1.651679920179823E-2</v>
      </c>
      <c r="DD23" s="720">
        <v>1.651679920179823E-2</v>
      </c>
      <c r="DE23" s="720">
        <v>1.651679920179823E-2</v>
      </c>
      <c r="DF23" s="720">
        <v>1.651679920179823E-2</v>
      </c>
      <c r="DG23" s="720">
        <v>5.5055997339327417E-3</v>
      </c>
      <c r="DH23" s="720">
        <v>5.5055997339327417E-3</v>
      </c>
      <c r="DI23" s="720">
        <v>5.5055997339327417E-3</v>
      </c>
      <c r="DJ23" s="720">
        <v>5.5055997339327417E-3</v>
      </c>
      <c r="DK23" s="720">
        <v>5.5055997339327417E-3</v>
      </c>
      <c r="DL23" s="720">
        <v>5.5055997339327417E-3</v>
      </c>
      <c r="DM23" s="720">
        <v>5.5055997339327417E-3</v>
      </c>
      <c r="DN23" s="720">
        <v>5.5055997339327417E-3</v>
      </c>
      <c r="DO23" s="720">
        <v>5.5055997339327417E-3</v>
      </c>
    </row>
    <row r="24" spans="3:119">
      <c r="C24" t="s">
        <v>1355</v>
      </c>
      <c r="D24" t="s">
        <v>2805</v>
      </c>
      <c r="E24" t="s">
        <v>2798</v>
      </c>
      <c r="F24" t="str">
        <f>INDEX('Data Interface'!C:C,MATCH(E24,'Data Interface'!B:B,0))</f>
        <v>Due to Banks - Investment - CHINA EXIMBANK</v>
      </c>
      <c r="G24">
        <f t="shared" si="0"/>
        <v>332</v>
      </c>
      <c r="I24">
        <f t="shared" si="1"/>
        <v>2.4798022044993207E-2</v>
      </c>
      <c r="J24">
        <f t="shared" si="2"/>
        <v>8.6793077157476223E-2</v>
      </c>
      <c r="K24">
        <f t="shared" si="3"/>
        <v>8.6793077157476223E-2</v>
      </c>
      <c r="L24">
        <f t="shared" si="4"/>
        <v>2.4798022044993193E-2</v>
      </c>
      <c r="M24">
        <f t="shared" si="5"/>
        <v>2.4798022044993193E-2</v>
      </c>
      <c r="N24">
        <f t="shared" si="6"/>
        <v>2.4798022044993193E-2</v>
      </c>
      <c r="O24">
        <f t="shared" si="7"/>
        <v>2.4798022044993193E-2</v>
      </c>
      <c r="P24">
        <f t="shared" si="8"/>
        <v>8.2660073483310694E-3</v>
      </c>
      <c r="Q24">
        <f t="shared" si="9"/>
        <v>8.2660073483310694E-3</v>
      </c>
      <c r="R24">
        <f t="shared" si="10"/>
        <v>8.2660073483310694E-3</v>
      </c>
      <c r="S24">
        <f t="shared" si="11"/>
        <v>8.2660073483310694E-3</v>
      </c>
      <c r="T24">
        <f t="shared" si="12"/>
        <v>8.2660073483310694E-3</v>
      </c>
      <c r="U24">
        <f t="shared" si="13"/>
        <v>8.2660073483310694E-3</v>
      </c>
      <c r="V24">
        <f t="shared" si="14"/>
        <v>8.2660073483310694E-3</v>
      </c>
      <c r="W24">
        <f t="shared" si="15"/>
        <v>8.2660073483310694E-3</v>
      </c>
      <c r="X24">
        <f t="shared" si="16"/>
        <v>8.2660073483310694E-3</v>
      </c>
      <c r="Y24">
        <f t="shared" si="17"/>
        <v>0</v>
      </c>
      <c r="Z24">
        <f t="shared" si="18"/>
        <v>2.1563497430428874E-2</v>
      </c>
      <c r="AA24">
        <f t="shared" si="19"/>
        <v>7.5472241006501059E-2</v>
      </c>
      <c r="AB24">
        <f t="shared" si="20"/>
        <v>7.5472241006501059E-2</v>
      </c>
      <c r="AC24">
        <f t="shared" si="21"/>
        <v>2.1563497430428874E-2</v>
      </c>
      <c r="AD24">
        <f t="shared" si="22"/>
        <v>2.1563497430428874E-2</v>
      </c>
      <c r="AE24">
        <f t="shared" si="23"/>
        <v>2.1563497430428874E-2</v>
      </c>
      <c r="AF24">
        <f t="shared" si="24"/>
        <v>2.1563497430428874E-2</v>
      </c>
      <c r="AG24">
        <f t="shared" si="25"/>
        <v>7.1878324768096281E-3</v>
      </c>
      <c r="AH24">
        <f t="shared" si="26"/>
        <v>7.1878324768096281E-3</v>
      </c>
      <c r="AI24">
        <f t="shared" si="27"/>
        <v>7.1878324768096281E-3</v>
      </c>
      <c r="AJ24">
        <f t="shared" si="28"/>
        <v>7.1878324768096281E-3</v>
      </c>
      <c r="AK24">
        <f t="shared" si="29"/>
        <v>7.1878324768096281E-3</v>
      </c>
      <c r="AL24">
        <f t="shared" si="30"/>
        <v>7.1878324768096281E-3</v>
      </c>
      <c r="AM24">
        <f t="shared" si="31"/>
        <v>7.1878324768096281E-3</v>
      </c>
      <c r="AN24">
        <f t="shared" si="32"/>
        <v>7.1878324768096281E-3</v>
      </c>
      <c r="AO24">
        <f t="shared" si="33"/>
        <v>7.1878324768096281E-3</v>
      </c>
      <c r="AP24">
        <f t="shared" si="34"/>
        <v>0</v>
      </c>
      <c r="AQ24">
        <f t="shared" si="35"/>
        <v>1.6172623072821656E-2</v>
      </c>
      <c r="AR24">
        <f t="shared" si="36"/>
        <v>5.6604180754875791E-2</v>
      </c>
      <c r="AS24">
        <f t="shared" si="37"/>
        <v>5.6604180754875791E-2</v>
      </c>
      <c r="AT24">
        <f t="shared" si="38"/>
        <v>1.6172623072821649E-2</v>
      </c>
      <c r="AU24">
        <f t="shared" si="39"/>
        <v>1.6172623072821649E-2</v>
      </c>
      <c r="AV24">
        <f t="shared" si="40"/>
        <v>1.6172623072821649E-2</v>
      </c>
      <c r="AW24">
        <f t="shared" si="41"/>
        <v>1.6172623072821649E-2</v>
      </c>
      <c r="AX24">
        <f t="shared" si="42"/>
        <v>5.3908743576072176E-3</v>
      </c>
      <c r="AY24">
        <f t="shared" si="43"/>
        <v>5.3908743576072176E-3</v>
      </c>
      <c r="AZ24">
        <f t="shared" si="44"/>
        <v>5.3908743576072176E-3</v>
      </c>
      <c r="BA24">
        <f t="shared" si="45"/>
        <v>5.3908743576072176E-3</v>
      </c>
      <c r="BB24">
        <f t="shared" si="46"/>
        <v>5.3908743576072176E-3</v>
      </c>
      <c r="BC24">
        <f t="shared" si="47"/>
        <v>5.3908743576072176E-3</v>
      </c>
      <c r="BD24">
        <f t="shared" si="48"/>
        <v>5.3908743576072176E-3</v>
      </c>
      <c r="BE24">
        <f t="shared" si="49"/>
        <v>5.3908743576072176E-3</v>
      </c>
      <c r="BF24">
        <f t="shared" si="50"/>
        <v>5.3908743576072176E-3</v>
      </c>
      <c r="BG24">
        <f t="shared" si="51"/>
        <v>0</v>
      </c>
      <c r="BI24" t="str">
        <f t="shared" si="53"/>
        <v>427041000798AFF</v>
      </c>
      <c r="BJ24" s="426">
        <v>42704</v>
      </c>
      <c r="BK24" t="s">
        <v>1366</v>
      </c>
      <c r="BL24" t="s">
        <v>1374</v>
      </c>
      <c r="BM24" t="s">
        <v>1353</v>
      </c>
      <c r="BN24" s="438">
        <v>1.0746893582352062</v>
      </c>
      <c r="BO24" s="438">
        <v>1</v>
      </c>
      <c r="BR24" s="720">
        <v>1.6120340373528091E-2</v>
      </c>
      <c r="BS24" s="720">
        <v>5.6421191307348316E-2</v>
      </c>
      <c r="BT24" s="720">
        <v>5.6421191307348316E-2</v>
      </c>
      <c r="BU24" s="720">
        <v>1.6120340373528094E-2</v>
      </c>
      <c r="BV24" s="720">
        <v>1.6120340373528094E-2</v>
      </c>
      <c r="BW24" s="720">
        <v>1.6120340373528094E-2</v>
      </c>
      <c r="BX24" s="720">
        <v>1.6120340373528094E-2</v>
      </c>
      <c r="BY24" s="720">
        <v>5.3734467911760297E-3</v>
      </c>
      <c r="BZ24" s="720">
        <v>5.3734467911760297E-3</v>
      </c>
      <c r="CA24" s="720">
        <v>5.3734467911760297E-3</v>
      </c>
      <c r="CB24" s="720">
        <v>5.3734467911760297E-3</v>
      </c>
      <c r="CC24" s="720">
        <v>5.3734467911760297E-3</v>
      </c>
      <c r="CD24" s="720">
        <v>5.3734467911760297E-3</v>
      </c>
      <c r="CE24" s="720">
        <v>5.3734467911760297E-3</v>
      </c>
      <c r="CF24" s="720">
        <v>5.3734467911760297E-3</v>
      </c>
      <c r="CG24" s="720">
        <v>5.3734467911760297E-3</v>
      </c>
      <c r="CH24" s="720"/>
      <c r="CI24" s="720">
        <v>1.2896272298822474E-2</v>
      </c>
      <c r="CJ24" s="720">
        <v>4.5136953045878656E-2</v>
      </c>
      <c r="CK24" s="720">
        <v>4.5136953045878656E-2</v>
      </c>
      <c r="CL24" s="720">
        <v>1.2896272298822467E-2</v>
      </c>
      <c r="CM24" s="720">
        <v>1.2896272298822467E-2</v>
      </c>
      <c r="CN24" s="720">
        <v>1.2896272298822467E-2</v>
      </c>
      <c r="CO24" s="720">
        <v>1.2896272298822467E-2</v>
      </c>
      <c r="CP24" s="720">
        <v>4.2987574329408241E-3</v>
      </c>
      <c r="CQ24" s="720">
        <v>4.2987574329408241E-3</v>
      </c>
      <c r="CR24" s="720">
        <v>4.2987574329408241E-3</v>
      </c>
      <c r="CS24" s="720">
        <v>4.2987574329408241E-3</v>
      </c>
      <c r="CT24" s="720">
        <v>4.2987574329408241E-3</v>
      </c>
      <c r="CU24" s="720">
        <v>4.2987574329408241E-3</v>
      </c>
      <c r="CV24" s="720">
        <v>4.2987574329408241E-3</v>
      </c>
      <c r="CW24" s="720">
        <v>4.2987574329408241E-3</v>
      </c>
      <c r="CX24" s="720">
        <v>4.2987574329408241E-3</v>
      </c>
      <c r="CY24" s="720"/>
      <c r="CZ24" s="720">
        <v>5.3734467911760314E-3</v>
      </c>
      <c r="DA24" s="720">
        <v>1.880706376911611E-2</v>
      </c>
      <c r="DB24" s="720">
        <v>1.880706376911611E-2</v>
      </c>
      <c r="DC24" s="720">
        <v>5.3734467911760314E-3</v>
      </c>
      <c r="DD24" s="720">
        <v>5.3734467911760314E-3</v>
      </c>
      <c r="DE24" s="720">
        <v>5.3734467911760314E-3</v>
      </c>
      <c r="DF24" s="720">
        <v>5.3734467911760314E-3</v>
      </c>
      <c r="DG24" s="720">
        <v>1.7911489303920104E-3</v>
      </c>
      <c r="DH24" s="720">
        <v>1.7911489303920104E-3</v>
      </c>
      <c r="DI24" s="720">
        <v>1.7911489303920104E-3</v>
      </c>
      <c r="DJ24" s="720">
        <v>1.7911489303920104E-3</v>
      </c>
      <c r="DK24" s="720">
        <v>1.7911489303920104E-3</v>
      </c>
      <c r="DL24" s="720">
        <v>1.7911489303920104E-3</v>
      </c>
      <c r="DM24" s="720">
        <v>1.7911489303920104E-3</v>
      </c>
      <c r="DN24" s="720">
        <v>1.7911489303920104E-3</v>
      </c>
      <c r="DO24" s="720">
        <v>1.7911489303920104E-3</v>
      </c>
    </row>
    <row r="25" spans="3:119">
      <c r="C25" t="s">
        <v>1356</v>
      </c>
      <c r="D25" t="s">
        <v>1365</v>
      </c>
      <c r="E25" t="s">
        <v>1325</v>
      </c>
      <c r="F25" t="str">
        <f>INDEX('Data Interface'!C:C,MATCH(E25,'Data Interface'!B:B,0))</f>
        <v>Demand,MM &amp; Savings - Large Corporates - Uber Tech.</v>
      </c>
      <c r="G25">
        <f t="shared" si="0"/>
        <v>336</v>
      </c>
      <c r="I25">
        <f t="shared" si="1"/>
        <v>8.0000000000000002E-3</v>
      </c>
      <c r="J25">
        <f t="shared" si="2"/>
        <v>4.3999999999999997E-2</v>
      </c>
      <c r="K25">
        <f t="shared" si="3"/>
        <v>4.3999999999999997E-2</v>
      </c>
      <c r="L25">
        <f t="shared" si="4"/>
        <v>3.2000000000000001E-2</v>
      </c>
      <c r="M25">
        <f t="shared" si="5"/>
        <v>3.2000000000000001E-2</v>
      </c>
      <c r="N25">
        <f t="shared" si="6"/>
        <v>1.6E-2</v>
      </c>
      <c r="O25">
        <f t="shared" si="7"/>
        <v>1.6E-2</v>
      </c>
      <c r="P25">
        <f t="shared" si="8"/>
        <v>5.3333333333333323E-3</v>
      </c>
      <c r="Q25">
        <f t="shared" si="9"/>
        <v>5.3333333333333323E-3</v>
      </c>
      <c r="R25">
        <f t="shared" si="10"/>
        <v>5.3333333333333323E-3</v>
      </c>
      <c r="S25">
        <f t="shared" si="11"/>
        <v>5.3333333333333323E-3</v>
      </c>
      <c r="T25">
        <f t="shared" si="12"/>
        <v>5.3333333333333323E-3</v>
      </c>
      <c r="U25">
        <f t="shared" si="13"/>
        <v>5.3333333333333323E-3</v>
      </c>
      <c r="V25">
        <f t="shared" si="14"/>
        <v>5.3333333333333323E-3</v>
      </c>
      <c r="W25">
        <f t="shared" si="15"/>
        <v>5.3333333333333323E-3</v>
      </c>
      <c r="X25">
        <f t="shared" si="16"/>
        <v>5.3333333333333323E-3</v>
      </c>
      <c r="Y25">
        <f t="shared" si="17"/>
        <v>0</v>
      </c>
      <c r="Z25">
        <f t="shared" si="18"/>
        <v>7.000000000000001E-3</v>
      </c>
      <c r="AA25">
        <f t="shared" si="19"/>
        <v>3.85E-2</v>
      </c>
      <c r="AB25">
        <f t="shared" si="20"/>
        <v>3.85E-2</v>
      </c>
      <c r="AC25">
        <f t="shared" si="21"/>
        <v>2.8000000000000004E-2</v>
      </c>
      <c r="AD25">
        <f t="shared" si="22"/>
        <v>2.8000000000000004E-2</v>
      </c>
      <c r="AE25">
        <f t="shared" si="23"/>
        <v>1.3999999999999999E-2</v>
      </c>
      <c r="AF25">
        <f t="shared" si="24"/>
        <v>1.3999999999999999E-2</v>
      </c>
      <c r="AG25">
        <f t="shared" si="25"/>
        <v>4.6666666666666679E-3</v>
      </c>
      <c r="AH25">
        <f t="shared" si="26"/>
        <v>4.6666666666666679E-3</v>
      </c>
      <c r="AI25">
        <f t="shared" si="27"/>
        <v>4.6666666666666679E-3</v>
      </c>
      <c r="AJ25">
        <f t="shared" si="28"/>
        <v>4.6666666666666679E-3</v>
      </c>
      <c r="AK25">
        <f t="shared" si="29"/>
        <v>4.6666666666666679E-3</v>
      </c>
      <c r="AL25">
        <f t="shared" si="30"/>
        <v>4.6666666666666679E-3</v>
      </c>
      <c r="AM25">
        <f t="shared" si="31"/>
        <v>4.6666666666666679E-3</v>
      </c>
      <c r="AN25">
        <f t="shared" si="32"/>
        <v>4.6666666666666679E-3</v>
      </c>
      <c r="AO25">
        <f t="shared" si="33"/>
        <v>4.6666666666666679E-3</v>
      </c>
      <c r="AP25">
        <f t="shared" si="34"/>
        <v>0</v>
      </c>
      <c r="AQ25">
        <f t="shared" si="35"/>
        <v>5.000000000000001E-3</v>
      </c>
      <c r="AR25">
        <f t="shared" si="36"/>
        <v>2.7499999999999997E-2</v>
      </c>
      <c r="AS25">
        <f t="shared" si="37"/>
        <v>2.7499999999999997E-2</v>
      </c>
      <c r="AT25">
        <f t="shared" si="38"/>
        <v>2.0000000000000004E-2</v>
      </c>
      <c r="AU25">
        <f t="shared" si="39"/>
        <v>2.0000000000000004E-2</v>
      </c>
      <c r="AV25">
        <f t="shared" si="40"/>
        <v>9.999999999999995E-3</v>
      </c>
      <c r="AW25">
        <f t="shared" si="41"/>
        <v>9.999999999999995E-3</v>
      </c>
      <c r="AX25">
        <f t="shared" si="42"/>
        <v>3.3333333333333361E-3</v>
      </c>
      <c r="AY25">
        <f t="shared" si="43"/>
        <v>3.3333333333333361E-3</v>
      </c>
      <c r="AZ25">
        <f t="shared" si="44"/>
        <v>3.3333333333333361E-3</v>
      </c>
      <c r="BA25">
        <f t="shared" si="45"/>
        <v>3.3333333333333361E-3</v>
      </c>
      <c r="BB25">
        <f t="shared" si="46"/>
        <v>3.3333333333333361E-3</v>
      </c>
      <c r="BC25">
        <f t="shared" si="47"/>
        <v>3.3333333333333361E-3</v>
      </c>
      <c r="BD25">
        <f t="shared" si="48"/>
        <v>3.3333333333333361E-3</v>
      </c>
      <c r="BE25">
        <f t="shared" si="49"/>
        <v>3.3333333333333361E-3</v>
      </c>
      <c r="BF25">
        <f t="shared" si="50"/>
        <v>3.3333333333333361E-3</v>
      </c>
      <c r="BG25">
        <f t="shared" si="51"/>
        <v>0</v>
      </c>
      <c r="BI25" t="str">
        <f t="shared" si="53"/>
        <v>427041141467FI</v>
      </c>
      <c r="BJ25" s="426">
        <v>42704</v>
      </c>
      <c r="BK25" t="s">
        <v>1375</v>
      </c>
      <c r="BL25" t="s">
        <v>1376</v>
      </c>
      <c r="BM25" t="s">
        <v>1355</v>
      </c>
      <c r="BN25" s="438">
        <v>2</v>
      </c>
      <c r="BO25" s="438">
        <v>1</v>
      </c>
      <c r="BR25" s="720">
        <v>4.6000000000000006E-2</v>
      </c>
      <c r="BS25" s="720">
        <v>0.16100000000000003</v>
      </c>
      <c r="BT25" s="720">
        <v>0.16100000000000003</v>
      </c>
      <c r="BU25" s="720">
        <v>4.5999999999999985E-2</v>
      </c>
      <c r="BV25" s="720">
        <v>4.5999999999999985E-2</v>
      </c>
      <c r="BW25" s="720">
        <v>4.6000000000000013E-2</v>
      </c>
      <c r="BX25" s="720">
        <v>4.6000000000000013E-2</v>
      </c>
      <c r="BY25" s="720">
        <v>1.5333333333333334E-2</v>
      </c>
      <c r="BZ25" s="720">
        <v>1.5333333333333334E-2</v>
      </c>
      <c r="CA25" s="720">
        <v>1.5333333333333334E-2</v>
      </c>
      <c r="CB25" s="720">
        <v>1.5333333333333334E-2</v>
      </c>
      <c r="CC25" s="720">
        <v>1.5333333333333334E-2</v>
      </c>
      <c r="CD25" s="720">
        <v>1.5333333333333334E-2</v>
      </c>
      <c r="CE25" s="720">
        <v>1.5333333333333334E-2</v>
      </c>
      <c r="CF25" s="720">
        <v>1.5333333333333334E-2</v>
      </c>
      <c r="CG25" s="720">
        <v>1.5333333333333334E-2</v>
      </c>
      <c r="CH25" s="720"/>
      <c r="CI25" s="720">
        <v>4.0000000000000008E-2</v>
      </c>
      <c r="CJ25" s="720">
        <v>0.14000000000000001</v>
      </c>
      <c r="CK25" s="720">
        <v>0.14000000000000001</v>
      </c>
      <c r="CL25" s="720">
        <v>3.999999999999998E-2</v>
      </c>
      <c r="CM25" s="720">
        <v>3.999999999999998E-2</v>
      </c>
      <c r="CN25" s="720">
        <v>3.999999999999998E-2</v>
      </c>
      <c r="CO25" s="720">
        <v>3.999999999999998E-2</v>
      </c>
      <c r="CP25" s="720">
        <v>1.3333333333333345E-2</v>
      </c>
      <c r="CQ25" s="720">
        <v>1.3333333333333345E-2</v>
      </c>
      <c r="CR25" s="720">
        <v>1.3333333333333345E-2</v>
      </c>
      <c r="CS25" s="720">
        <v>1.3333333333333345E-2</v>
      </c>
      <c r="CT25" s="720">
        <v>1.3333333333333345E-2</v>
      </c>
      <c r="CU25" s="720">
        <v>1.3333333333333345E-2</v>
      </c>
      <c r="CV25" s="720">
        <v>1.3333333333333345E-2</v>
      </c>
      <c r="CW25" s="720">
        <v>1.3333333333333345E-2</v>
      </c>
      <c r="CX25" s="720">
        <v>1.3333333333333345E-2</v>
      </c>
      <c r="CY25" s="720"/>
      <c r="CZ25" s="720">
        <v>0.03</v>
      </c>
      <c r="DA25" s="720">
        <v>0.105</v>
      </c>
      <c r="DB25" s="720">
        <v>0.105</v>
      </c>
      <c r="DC25" s="720">
        <v>0.03</v>
      </c>
      <c r="DD25" s="720">
        <v>0.03</v>
      </c>
      <c r="DE25" s="720">
        <v>0.03</v>
      </c>
      <c r="DF25" s="720">
        <v>0.03</v>
      </c>
      <c r="DG25" s="720">
        <v>9.9999999999999967E-3</v>
      </c>
      <c r="DH25" s="720">
        <v>9.9999999999999967E-3</v>
      </c>
      <c r="DI25" s="720">
        <v>9.9999999999999967E-3</v>
      </c>
      <c r="DJ25" s="720">
        <v>9.9999999999999967E-3</v>
      </c>
      <c r="DK25" s="720">
        <v>9.9999999999999967E-3</v>
      </c>
      <c r="DL25" s="720">
        <v>9.9999999999999967E-3</v>
      </c>
      <c r="DM25" s="720">
        <v>9.9999999999999967E-3</v>
      </c>
      <c r="DN25" s="720">
        <v>9.9999999999999967E-3</v>
      </c>
      <c r="DO25" s="720">
        <v>9.9999999999999967E-3</v>
      </c>
    </row>
    <row r="26" spans="3:119">
      <c r="C26" t="s">
        <v>1356</v>
      </c>
      <c r="E26" t="s">
        <v>1171</v>
      </c>
      <c r="F26" t="str">
        <f>INDEX('Data Interface'!C:C,MATCH(E26,'Data Interface'!B:B,0))</f>
        <v>Demand,MM &amp; Savings - Corporates (Exclude Large Corporates)</v>
      </c>
      <c r="G26">
        <f t="shared" si="0"/>
        <v>336</v>
      </c>
      <c r="I26">
        <f t="shared" si="1"/>
        <v>8.0000000000000002E-3</v>
      </c>
      <c r="J26">
        <f t="shared" si="2"/>
        <v>4.3999999999999997E-2</v>
      </c>
      <c r="K26">
        <f t="shared" si="3"/>
        <v>4.3999999999999997E-2</v>
      </c>
      <c r="L26">
        <f t="shared" si="4"/>
        <v>3.2000000000000001E-2</v>
      </c>
      <c r="M26">
        <f t="shared" si="5"/>
        <v>3.2000000000000001E-2</v>
      </c>
      <c r="N26">
        <f t="shared" si="6"/>
        <v>1.6E-2</v>
      </c>
      <c r="O26">
        <f t="shared" si="7"/>
        <v>1.6E-2</v>
      </c>
      <c r="P26">
        <f t="shared" si="8"/>
        <v>5.3333333333333323E-3</v>
      </c>
      <c r="Q26">
        <f t="shared" si="9"/>
        <v>5.3333333333333323E-3</v>
      </c>
      <c r="R26">
        <f t="shared" si="10"/>
        <v>5.3333333333333323E-3</v>
      </c>
      <c r="S26">
        <f t="shared" si="11"/>
        <v>5.3333333333333323E-3</v>
      </c>
      <c r="T26">
        <f t="shared" si="12"/>
        <v>5.3333333333333323E-3</v>
      </c>
      <c r="U26">
        <f t="shared" si="13"/>
        <v>5.3333333333333323E-3</v>
      </c>
      <c r="V26">
        <f t="shared" si="14"/>
        <v>5.3333333333333323E-3</v>
      </c>
      <c r="W26">
        <f t="shared" si="15"/>
        <v>5.3333333333333323E-3</v>
      </c>
      <c r="X26">
        <f t="shared" si="16"/>
        <v>5.3333333333333323E-3</v>
      </c>
      <c r="Y26">
        <f t="shared" si="17"/>
        <v>0</v>
      </c>
      <c r="Z26">
        <f t="shared" si="18"/>
        <v>7.000000000000001E-3</v>
      </c>
      <c r="AA26">
        <f t="shared" si="19"/>
        <v>3.85E-2</v>
      </c>
      <c r="AB26">
        <f t="shared" si="20"/>
        <v>3.85E-2</v>
      </c>
      <c r="AC26">
        <f t="shared" si="21"/>
        <v>2.8000000000000004E-2</v>
      </c>
      <c r="AD26">
        <f t="shared" si="22"/>
        <v>2.8000000000000004E-2</v>
      </c>
      <c r="AE26">
        <f t="shared" si="23"/>
        <v>1.3999999999999999E-2</v>
      </c>
      <c r="AF26">
        <f t="shared" si="24"/>
        <v>1.3999999999999999E-2</v>
      </c>
      <c r="AG26">
        <f t="shared" si="25"/>
        <v>4.6666666666666679E-3</v>
      </c>
      <c r="AH26">
        <f t="shared" si="26"/>
        <v>4.6666666666666679E-3</v>
      </c>
      <c r="AI26">
        <f t="shared" si="27"/>
        <v>4.6666666666666679E-3</v>
      </c>
      <c r="AJ26">
        <f t="shared" si="28"/>
        <v>4.6666666666666679E-3</v>
      </c>
      <c r="AK26">
        <f t="shared" si="29"/>
        <v>4.6666666666666679E-3</v>
      </c>
      <c r="AL26">
        <f t="shared" si="30"/>
        <v>4.6666666666666679E-3</v>
      </c>
      <c r="AM26">
        <f t="shared" si="31"/>
        <v>4.6666666666666679E-3</v>
      </c>
      <c r="AN26">
        <f t="shared" si="32"/>
        <v>4.6666666666666679E-3</v>
      </c>
      <c r="AO26">
        <f t="shared" si="33"/>
        <v>4.6666666666666679E-3</v>
      </c>
      <c r="AP26">
        <f t="shared" si="34"/>
        <v>0</v>
      </c>
      <c r="AQ26">
        <f t="shared" si="35"/>
        <v>5.000000000000001E-3</v>
      </c>
      <c r="AR26">
        <f t="shared" si="36"/>
        <v>2.7499999999999997E-2</v>
      </c>
      <c r="AS26">
        <f t="shared" si="37"/>
        <v>2.7499999999999997E-2</v>
      </c>
      <c r="AT26">
        <f t="shared" si="38"/>
        <v>2.0000000000000004E-2</v>
      </c>
      <c r="AU26">
        <f t="shared" si="39"/>
        <v>2.0000000000000004E-2</v>
      </c>
      <c r="AV26">
        <f t="shared" si="40"/>
        <v>9.999999999999995E-3</v>
      </c>
      <c r="AW26">
        <f t="shared" si="41"/>
        <v>9.999999999999995E-3</v>
      </c>
      <c r="AX26">
        <f t="shared" si="42"/>
        <v>3.3333333333333361E-3</v>
      </c>
      <c r="AY26">
        <f t="shared" si="43"/>
        <v>3.3333333333333361E-3</v>
      </c>
      <c r="AZ26">
        <f t="shared" si="44"/>
        <v>3.3333333333333361E-3</v>
      </c>
      <c r="BA26">
        <f t="shared" si="45"/>
        <v>3.3333333333333361E-3</v>
      </c>
      <c r="BB26">
        <f t="shared" si="46"/>
        <v>3.3333333333333361E-3</v>
      </c>
      <c r="BC26">
        <f t="shared" si="47"/>
        <v>3.3333333333333361E-3</v>
      </c>
      <c r="BD26">
        <f t="shared" si="48"/>
        <v>3.3333333333333361E-3</v>
      </c>
      <c r="BE26">
        <f t="shared" si="49"/>
        <v>3.3333333333333361E-3</v>
      </c>
      <c r="BF26">
        <f t="shared" si="50"/>
        <v>3.3333333333333361E-3</v>
      </c>
      <c r="BG26">
        <f t="shared" si="51"/>
        <v>0</v>
      </c>
      <c r="BI26" t="str">
        <f t="shared" si="53"/>
        <v>42704CORP</v>
      </c>
      <c r="BJ26" s="426">
        <v>42704</v>
      </c>
      <c r="BM26" t="s">
        <v>1356</v>
      </c>
      <c r="BN26" s="438">
        <v>1</v>
      </c>
      <c r="BO26" s="438">
        <v>1</v>
      </c>
      <c r="BR26" s="720">
        <v>8.0000000000000002E-3</v>
      </c>
      <c r="BS26" s="720">
        <v>4.3999999999999997E-2</v>
      </c>
      <c r="BT26" s="720">
        <v>4.3999999999999997E-2</v>
      </c>
      <c r="BU26" s="720">
        <v>3.2000000000000001E-2</v>
      </c>
      <c r="BV26" s="720">
        <v>3.2000000000000001E-2</v>
      </c>
      <c r="BW26" s="720">
        <v>1.6E-2</v>
      </c>
      <c r="BX26" s="720">
        <v>1.6E-2</v>
      </c>
      <c r="BY26" s="720">
        <v>5.3333333333333323E-3</v>
      </c>
      <c r="BZ26" s="720">
        <v>5.3333333333333323E-3</v>
      </c>
      <c r="CA26" s="720">
        <v>5.3333333333333323E-3</v>
      </c>
      <c r="CB26" s="720">
        <v>5.3333333333333323E-3</v>
      </c>
      <c r="CC26" s="720">
        <v>5.3333333333333323E-3</v>
      </c>
      <c r="CD26" s="720">
        <v>5.3333333333333323E-3</v>
      </c>
      <c r="CE26" s="720">
        <v>5.3333333333333323E-3</v>
      </c>
      <c r="CF26" s="720">
        <v>5.3333333333333323E-3</v>
      </c>
      <c r="CG26" s="720">
        <v>5.3333333333333323E-3</v>
      </c>
      <c r="CH26" s="720"/>
      <c r="CI26" s="720">
        <v>7.000000000000001E-3</v>
      </c>
      <c r="CJ26" s="720">
        <v>3.85E-2</v>
      </c>
      <c r="CK26" s="720">
        <v>3.85E-2</v>
      </c>
      <c r="CL26" s="720">
        <v>2.8000000000000004E-2</v>
      </c>
      <c r="CM26" s="720">
        <v>2.8000000000000004E-2</v>
      </c>
      <c r="CN26" s="720">
        <v>1.3999999999999999E-2</v>
      </c>
      <c r="CO26" s="720">
        <v>1.3999999999999999E-2</v>
      </c>
      <c r="CP26" s="720">
        <v>4.6666666666666679E-3</v>
      </c>
      <c r="CQ26" s="720">
        <v>4.6666666666666679E-3</v>
      </c>
      <c r="CR26" s="720">
        <v>4.6666666666666679E-3</v>
      </c>
      <c r="CS26" s="720">
        <v>4.6666666666666679E-3</v>
      </c>
      <c r="CT26" s="720">
        <v>4.6666666666666679E-3</v>
      </c>
      <c r="CU26" s="720">
        <v>4.6666666666666679E-3</v>
      </c>
      <c r="CV26" s="720">
        <v>4.6666666666666679E-3</v>
      </c>
      <c r="CW26" s="720">
        <v>4.6666666666666679E-3</v>
      </c>
      <c r="CX26" s="720">
        <v>4.6666666666666679E-3</v>
      </c>
      <c r="CY26" s="720"/>
      <c r="CZ26" s="720">
        <v>5.000000000000001E-3</v>
      </c>
      <c r="DA26" s="720">
        <v>2.7499999999999997E-2</v>
      </c>
      <c r="DB26" s="720">
        <v>2.7499999999999997E-2</v>
      </c>
      <c r="DC26" s="720">
        <v>2.0000000000000004E-2</v>
      </c>
      <c r="DD26" s="720">
        <v>2.0000000000000004E-2</v>
      </c>
      <c r="DE26" s="720">
        <v>9.999999999999995E-3</v>
      </c>
      <c r="DF26" s="720">
        <v>9.999999999999995E-3</v>
      </c>
      <c r="DG26" s="720">
        <v>3.3333333333333361E-3</v>
      </c>
      <c r="DH26" s="720">
        <v>3.3333333333333361E-3</v>
      </c>
      <c r="DI26" s="720">
        <v>3.3333333333333361E-3</v>
      </c>
      <c r="DJ26" s="720">
        <v>3.3333333333333361E-3</v>
      </c>
      <c r="DK26" s="720">
        <v>3.3333333333333361E-3</v>
      </c>
      <c r="DL26" s="720">
        <v>3.3333333333333361E-3</v>
      </c>
      <c r="DM26" s="720">
        <v>3.3333333333333361E-3</v>
      </c>
      <c r="DN26" s="720">
        <v>3.3333333333333361E-3</v>
      </c>
      <c r="DO26" s="720">
        <v>3.3333333333333361E-3</v>
      </c>
    </row>
    <row r="27" spans="3:119">
      <c r="C27" t="s">
        <v>1339</v>
      </c>
      <c r="E27" t="s">
        <v>1337</v>
      </c>
      <c r="F27" t="str">
        <f>INDEX('Data Interface'!C:C,MATCH(E27,'Data Interface'!B:B,0))</f>
        <v>ESCROW Deposits</v>
      </c>
      <c r="G27">
        <f t="shared" si="0"/>
        <v>337</v>
      </c>
      <c r="I27">
        <f t="shared" si="1"/>
        <v>3.2000000000000001E-2</v>
      </c>
      <c r="J27">
        <f t="shared" si="2"/>
        <v>2.4E-2</v>
      </c>
      <c r="K27">
        <f t="shared" si="3"/>
        <v>2.4E-2</v>
      </c>
      <c r="L27">
        <f t="shared" si="4"/>
        <v>0.04</v>
      </c>
      <c r="M27">
        <f t="shared" si="5"/>
        <v>0.04</v>
      </c>
      <c r="N27">
        <f t="shared" si="6"/>
        <v>3.9999999999999994E-2</v>
      </c>
      <c r="O27">
        <f t="shared" si="7"/>
        <v>3.9999999999999994E-2</v>
      </c>
      <c r="P27">
        <f t="shared" si="8"/>
        <v>8.8888888888888906E-3</v>
      </c>
      <c r="Q27">
        <f t="shared" si="9"/>
        <v>8.8888888888888906E-3</v>
      </c>
      <c r="R27">
        <f t="shared" si="10"/>
        <v>8.8888888888888906E-3</v>
      </c>
      <c r="S27">
        <f t="shared" si="11"/>
        <v>8.8888888888888906E-3</v>
      </c>
      <c r="T27">
        <f t="shared" si="12"/>
        <v>8.8888888888888906E-3</v>
      </c>
      <c r="U27">
        <f t="shared" si="13"/>
        <v>8.8888888888888906E-3</v>
      </c>
      <c r="V27">
        <f t="shared" si="14"/>
        <v>8.8888888888888906E-3</v>
      </c>
      <c r="W27">
        <f t="shared" si="15"/>
        <v>8.8888888888888906E-3</v>
      </c>
      <c r="X27">
        <f t="shared" si="16"/>
        <v>8.8888888888888906E-3</v>
      </c>
      <c r="Y27">
        <f t="shared" si="17"/>
        <v>0</v>
      </c>
      <c r="Z27">
        <f t="shared" si="18"/>
        <v>2.8000000000000004E-2</v>
      </c>
      <c r="AA27">
        <f t="shared" si="19"/>
        <v>2.1000000000000001E-2</v>
      </c>
      <c r="AB27">
        <f t="shared" si="20"/>
        <v>2.1000000000000001E-2</v>
      </c>
      <c r="AC27">
        <f t="shared" si="21"/>
        <v>3.5000000000000003E-2</v>
      </c>
      <c r="AD27">
        <f t="shared" si="22"/>
        <v>3.5000000000000003E-2</v>
      </c>
      <c r="AE27">
        <f t="shared" si="23"/>
        <v>3.5000000000000003E-2</v>
      </c>
      <c r="AF27">
        <f t="shared" si="24"/>
        <v>3.5000000000000003E-2</v>
      </c>
      <c r="AG27">
        <f t="shared" si="25"/>
        <v>7.7777777777777784E-3</v>
      </c>
      <c r="AH27">
        <f t="shared" si="26"/>
        <v>7.7777777777777784E-3</v>
      </c>
      <c r="AI27">
        <f t="shared" si="27"/>
        <v>7.7777777777777784E-3</v>
      </c>
      <c r="AJ27">
        <f t="shared" si="28"/>
        <v>7.7777777777777784E-3</v>
      </c>
      <c r="AK27">
        <f t="shared" si="29"/>
        <v>7.7777777777777784E-3</v>
      </c>
      <c r="AL27">
        <f t="shared" si="30"/>
        <v>7.7777777777777784E-3</v>
      </c>
      <c r="AM27">
        <f t="shared" si="31"/>
        <v>7.7777777777777784E-3</v>
      </c>
      <c r="AN27">
        <f t="shared" si="32"/>
        <v>7.7777777777777784E-3</v>
      </c>
      <c r="AO27">
        <f t="shared" si="33"/>
        <v>7.7777777777777784E-3</v>
      </c>
      <c r="AP27">
        <f t="shared" si="34"/>
        <v>0</v>
      </c>
      <c r="AQ27">
        <f t="shared" si="35"/>
        <v>2.0000000000000004E-2</v>
      </c>
      <c r="AR27">
        <f t="shared" si="36"/>
        <v>1.4999999999999999E-2</v>
      </c>
      <c r="AS27">
        <f t="shared" si="37"/>
        <v>1.4999999999999999E-2</v>
      </c>
      <c r="AT27">
        <f t="shared" si="38"/>
        <v>2.5000000000000001E-2</v>
      </c>
      <c r="AU27">
        <f t="shared" si="39"/>
        <v>2.5000000000000001E-2</v>
      </c>
      <c r="AV27">
        <f t="shared" si="40"/>
        <v>2.5000000000000008E-2</v>
      </c>
      <c r="AW27">
        <f t="shared" si="41"/>
        <v>2.5000000000000008E-2</v>
      </c>
      <c r="AX27">
        <f t="shared" si="42"/>
        <v>5.555555555555554E-3</v>
      </c>
      <c r="AY27">
        <f t="shared" si="43"/>
        <v>5.555555555555554E-3</v>
      </c>
      <c r="AZ27">
        <f t="shared" si="44"/>
        <v>5.555555555555554E-3</v>
      </c>
      <c r="BA27">
        <f t="shared" si="45"/>
        <v>5.555555555555554E-3</v>
      </c>
      <c r="BB27">
        <f t="shared" si="46"/>
        <v>5.555555555555554E-3</v>
      </c>
      <c r="BC27">
        <f t="shared" si="47"/>
        <v>5.555555555555554E-3</v>
      </c>
      <c r="BD27">
        <f t="shared" si="48"/>
        <v>5.555555555555554E-3</v>
      </c>
      <c r="BE27">
        <f t="shared" si="49"/>
        <v>5.555555555555554E-3</v>
      </c>
      <c r="BF27">
        <f t="shared" si="50"/>
        <v>5.555555555555554E-3</v>
      </c>
      <c r="BG27">
        <f t="shared" si="51"/>
        <v>0</v>
      </c>
      <c r="BI27" t="str">
        <f t="shared" si="53"/>
        <v>42704ESCROW</v>
      </c>
      <c r="BJ27" s="426">
        <v>42704</v>
      </c>
      <c r="BM27" t="s">
        <v>1339</v>
      </c>
      <c r="BN27" s="438">
        <v>1</v>
      </c>
      <c r="BO27" s="438">
        <v>1</v>
      </c>
      <c r="BR27" s="720">
        <v>3.2000000000000001E-2</v>
      </c>
      <c r="BS27" s="720">
        <v>2.4E-2</v>
      </c>
      <c r="BT27" s="720">
        <v>2.4E-2</v>
      </c>
      <c r="BU27" s="720">
        <v>0.04</v>
      </c>
      <c r="BV27" s="720">
        <v>0.04</v>
      </c>
      <c r="BW27" s="720">
        <v>3.9999999999999994E-2</v>
      </c>
      <c r="BX27" s="720">
        <v>3.9999999999999994E-2</v>
      </c>
      <c r="BY27" s="720">
        <v>8.8888888888888906E-3</v>
      </c>
      <c r="BZ27" s="720">
        <v>8.8888888888888906E-3</v>
      </c>
      <c r="CA27" s="720">
        <v>8.8888888888888906E-3</v>
      </c>
      <c r="CB27" s="720">
        <v>8.8888888888888906E-3</v>
      </c>
      <c r="CC27" s="720">
        <v>8.8888888888888906E-3</v>
      </c>
      <c r="CD27" s="720">
        <v>8.8888888888888906E-3</v>
      </c>
      <c r="CE27" s="720">
        <v>8.8888888888888906E-3</v>
      </c>
      <c r="CF27" s="720">
        <v>8.8888888888888906E-3</v>
      </c>
      <c r="CG27" s="720">
        <v>8.8888888888888906E-3</v>
      </c>
      <c r="CH27" s="720"/>
      <c r="CI27" s="720">
        <v>2.8000000000000004E-2</v>
      </c>
      <c r="CJ27" s="720">
        <v>2.1000000000000001E-2</v>
      </c>
      <c r="CK27" s="720">
        <v>2.1000000000000001E-2</v>
      </c>
      <c r="CL27" s="720">
        <v>3.5000000000000003E-2</v>
      </c>
      <c r="CM27" s="720">
        <v>3.5000000000000003E-2</v>
      </c>
      <c r="CN27" s="720">
        <v>3.5000000000000003E-2</v>
      </c>
      <c r="CO27" s="720">
        <v>3.5000000000000003E-2</v>
      </c>
      <c r="CP27" s="720">
        <v>7.7777777777777784E-3</v>
      </c>
      <c r="CQ27" s="720">
        <v>7.7777777777777784E-3</v>
      </c>
      <c r="CR27" s="720">
        <v>7.7777777777777784E-3</v>
      </c>
      <c r="CS27" s="720">
        <v>7.7777777777777784E-3</v>
      </c>
      <c r="CT27" s="720">
        <v>7.7777777777777784E-3</v>
      </c>
      <c r="CU27" s="720">
        <v>7.7777777777777784E-3</v>
      </c>
      <c r="CV27" s="720">
        <v>7.7777777777777784E-3</v>
      </c>
      <c r="CW27" s="720">
        <v>7.7777777777777784E-3</v>
      </c>
      <c r="CX27" s="720">
        <v>7.7777777777777784E-3</v>
      </c>
      <c r="CY27" s="720"/>
      <c r="CZ27" s="720">
        <v>2.0000000000000004E-2</v>
      </c>
      <c r="DA27" s="720">
        <v>1.4999999999999999E-2</v>
      </c>
      <c r="DB27" s="720">
        <v>1.4999999999999999E-2</v>
      </c>
      <c r="DC27" s="720">
        <v>2.5000000000000001E-2</v>
      </c>
      <c r="DD27" s="720">
        <v>2.5000000000000001E-2</v>
      </c>
      <c r="DE27" s="720">
        <v>2.5000000000000008E-2</v>
      </c>
      <c r="DF27" s="720">
        <v>2.5000000000000008E-2</v>
      </c>
      <c r="DG27" s="720">
        <v>5.555555555555554E-3</v>
      </c>
      <c r="DH27" s="720">
        <v>5.555555555555554E-3</v>
      </c>
      <c r="DI27" s="720">
        <v>5.555555555555554E-3</v>
      </c>
      <c r="DJ27" s="720">
        <v>5.555555555555554E-3</v>
      </c>
      <c r="DK27" s="720">
        <v>5.555555555555554E-3</v>
      </c>
      <c r="DL27" s="720">
        <v>5.555555555555554E-3</v>
      </c>
      <c r="DM27" s="720">
        <v>5.555555555555554E-3</v>
      </c>
      <c r="DN27" s="720">
        <v>5.555555555555554E-3</v>
      </c>
      <c r="DO27" s="720">
        <v>5.555555555555554E-3</v>
      </c>
    </row>
    <row r="28" spans="3:119">
      <c r="C28" t="s">
        <v>1354</v>
      </c>
      <c r="D28" t="s">
        <v>1423</v>
      </c>
      <c r="E28" t="s">
        <v>1419</v>
      </c>
      <c r="F28" t="str">
        <f>INDEX('Data Interface'!C:C,MATCH(E28,'Data Interface'!B:B,0))</f>
        <v>Due to Interbranch - Investment (LUXEMBOURG)</v>
      </c>
      <c r="G28">
        <f t="shared" si="0"/>
        <v>338</v>
      </c>
      <c r="I28">
        <f t="shared" si="1"/>
        <v>1.2E-2</v>
      </c>
      <c r="J28">
        <f t="shared" si="2"/>
        <v>4.2000000000000003E-2</v>
      </c>
      <c r="K28">
        <f t="shared" si="3"/>
        <v>4.2000000000000003E-2</v>
      </c>
      <c r="L28">
        <f t="shared" si="4"/>
        <v>1.1999999999999997E-2</v>
      </c>
      <c r="M28">
        <f t="shared" si="5"/>
        <v>1.1999999999999997E-2</v>
      </c>
      <c r="N28">
        <f t="shared" si="6"/>
        <v>1.1999999999999997E-2</v>
      </c>
      <c r="O28">
        <f t="shared" si="7"/>
        <v>1.1999999999999997E-2</v>
      </c>
      <c r="P28">
        <f t="shared" si="8"/>
        <v>4.0000000000000001E-3</v>
      </c>
      <c r="Q28">
        <f t="shared" si="9"/>
        <v>4.0000000000000001E-3</v>
      </c>
      <c r="R28">
        <f t="shared" si="10"/>
        <v>4.0000000000000001E-3</v>
      </c>
      <c r="S28">
        <f t="shared" si="11"/>
        <v>4.0000000000000001E-3</v>
      </c>
      <c r="T28">
        <f t="shared" si="12"/>
        <v>4.0000000000000001E-3</v>
      </c>
      <c r="U28">
        <f t="shared" si="13"/>
        <v>4.0000000000000001E-3</v>
      </c>
      <c r="V28">
        <f t="shared" si="14"/>
        <v>4.0000000000000001E-3</v>
      </c>
      <c r="W28">
        <f t="shared" si="15"/>
        <v>4.0000000000000001E-3</v>
      </c>
      <c r="X28">
        <f t="shared" si="16"/>
        <v>4.0000000000000001E-3</v>
      </c>
      <c r="Y28">
        <f t="shared" si="17"/>
        <v>0</v>
      </c>
      <c r="Z28">
        <f t="shared" si="18"/>
        <v>3.0000000000000001E-3</v>
      </c>
      <c r="AA28">
        <f t="shared" si="19"/>
        <v>1.0500000000000001E-2</v>
      </c>
      <c r="AB28">
        <f t="shared" si="20"/>
        <v>1.0500000000000001E-2</v>
      </c>
      <c r="AC28">
        <f t="shared" si="21"/>
        <v>2.9999999999999992E-3</v>
      </c>
      <c r="AD28">
        <f t="shared" si="22"/>
        <v>2.9999999999999992E-3</v>
      </c>
      <c r="AE28">
        <f t="shared" si="23"/>
        <v>2.9999999999999992E-3</v>
      </c>
      <c r="AF28">
        <f t="shared" si="24"/>
        <v>2.9999999999999992E-3</v>
      </c>
      <c r="AG28">
        <f t="shared" si="25"/>
        <v>1E-3</v>
      </c>
      <c r="AH28">
        <f t="shared" si="26"/>
        <v>1E-3</v>
      </c>
      <c r="AI28">
        <f t="shared" si="27"/>
        <v>1E-3</v>
      </c>
      <c r="AJ28">
        <f t="shared" si="28"/>
        <v>1E-3</v>
      </c>
      <c r="AK28">
        <f t="shared" si="29"/>
        <v>1E-3</v>
      </c>
      <c r="AL28">
        <f t="shared" si="30"/>
        <v>1E-3</v>
      </c>
      <c r="AM28">
        <f t="shared" si="31"/>
        <v>1E-3</v>
      </c>
      <c r="AN28">
        <f t="shared" si="32"/>
        <v>1E-3</v>
      </c>
      <c r="AO28">
        <f t="shared" si="33"/>
        <v>1E-3</v>
      </c>
      <c r="AP28">
        <f t="shared" si="34"/>
        <v>0</v>
      </c>
      <c r="AQ28">
        <f t="shared" si="35"/>
        <v>1.0000000000000002E-2</v>
      </c>
      <c r="AR28">
        <f t="shared" si="36"/>
        <v>3.5000000000000003E-2</v>
      </c>
      <c r="AS28">
        <f t="shared" si="37"/>
        <v>3.5000000000000003E-2</v>
      </c>
      <c r="AT28">
        <f t="shared" si="38"/>
        <v>9.999999999999995E-3</v>
      </c>
      <c r="AU28">
        <f t="shared" si="39"/>
        <v>9.999999999999995E-3</v>
      </c>
      <c r="AV28">
        <f t="shared" si="40"/>
        <v>9.999999999999995E-3</v>
      </c>
      <c r="AW28">
        <f t="shared" si="41"/>
        <v>9.999999999999995E-3</v>
      </c>
      <c r="AX28">
        <f t="shared" si="42"/>
        <v>3.3333333333333361E-3</v>
      </c>
      <c r="AY28">
        <f t="shared" si="43"/>
        <v>3.3333333333333361E-3</v>
      </c>
      <c r="AZ28">
        <f t="shared" si="44"/>
        <v>3.3333333333333361E-3</v>
      </c>
      <c r="BA28">
        <f t="shared" si="45"/>
        <v>3.3333333333333361E-3</v>
      </c>
      <c r="BB28">
        <f t="shared" si="46"/>
        <v>3.3333333333333361E-3</v>
      </c>
      <c r="BC28">
        <f t="shared" si="47"/>
        <v>3.3333333333333361E-3</v>
      </c>
      <c r="BD28">
        <f t="shared" si="48"/>
        <v>3.3333333333333361E-3</v>
      </c>
      <c r="BE28">
        <f t="shared" si="49"/>
        <v>3.3333333333333361E-3</v>
      </c>
      <c r="BF28">
        <f t="shared" si="50"/>
        <v>3.3333333333333361E-3</v>
      </c>
      <c r="BG28">
        <f t="shared" si="51"/>
        <v>0</v>
      </c>
      <c r="BI28" t="str">
        <f t="shared" si="53"/>
        <v>42704FI</v>
      </c>
      <c r="BJ28" s="426">
        <v>42704</v>
      </c>
      <c r="BM28" t="s">
        <v>1355</v>
      </c>
      <c r="BN28" s="438">
        <v>1</v>
      </c>
      <c r="BO28" s="438">
        <v>1</v>
      </c>
      <c r="BR28" s="720">
        <v>2.3000000000000003E-2</v>
      </c>
      <c r="BS28" s="720">
        <v>8.0500000000000016E-2</v>
      </c>
      <c r="BT28" s="720">
        <v>8.0500000000000016E-2</v>
      </c>
      <c r="BU28" s="720">
        <v>2.2999999999999993E-2</v>
      </c>
      <c r="BV28" s="720">
        <v>2.2999999999999993E-2</v>
      </c>
      <c r="BW28" s="720">
        <v>2.3000000000000007E-2</v>
      </c>
      <c r="BX28" s="720">
        <v>2.3000000000000007E-2</v>
      </c>
      <c r="BY28" s="720">
        <v>7.6666666666666671E-3</v>
      </c>
      <c r="BZ28" s="720">
        <v>7.6666666666666671E-3</v>
      </c>
      <c r="CA28" s="720">
        <v>7.6666666666666671E-3</v>
      </c>
      <c r="CB28" s="720">
        <v>7.6666666666666671E-3</v>
      </c>
      <c r="CC28" s="720">
        <v>7.6666666666666671E-3</v>
      </c>
      <c r="CD28" s="720">
        <v>7.6666666666666671E-3</v>
      </c>
      <c r="CE28" s="720">
        <v>7.6666666666666671E-3</v>
      </c>
      <c r="CF28" s="720">
        <v>7.6666666666666671E-3</v>
      </c>
      <c r="CG28" s="720">
        <v>7.6666666666666671E-3</v>
      </c>
      <c r="CH28" s="720"/>
      <c r="CI28" s="720">
        <v>2.0000000000000004E-2</v>
      </c>
      <c r="CJ28" s="720">
        <v>7.0000000000000007E-2</v>
      </c>
      <c r="CK28" s="720">
        <v>7.0000000000000007E-2</v>
      </c>
      <c r="CL28" s="720">
        <v>1.999999999999999E-2</v>
      </c>
      <c r="CM28" s="720">
        <v>1.999999999999999E-2</v>
      </c>
      <c r="CN28" s="720">
        <v>1.999999999999999E-2</v>
      </c>
      <c r="CO28" s="720">
        <v>1.999999999999999E-2</v>
      </c>
      <c r="CP28" s="720">
        <v>6.6666666666666723E-3</v>
      </c>
      <c r="CQ28" s="720">
        <v>6.6666666666666723E-3</v>
      </c>
      <c r="CR28" s="720">
        <v>6.6666666666666723E-3</v>
      </c>
      <c r="CS28" s="720">
        <v>6.6666666666666723E-3</v>
      </c>
      <c r="CT28" s="720">
        <v>6.6666666666666723E-3</v>
      </c>
      <c r="CU28" s="720">
        <v>6.6666666666666723E-3</v>
      </c>
      <c r="CV28" s="720">
        <v>6.6666666666666723E-3</v>
      </c>
      <c r="CW28" s="720">
        <v>6.6666666666666723E-3</v>
      </c>
      <c r="CX28" s="720">
        <v>6.6666666666666723E-3</v>
      </c>
      <c r="CY28" s="720"/>
      <c r="CZ28" s="720">
        <v>1.4999999999999999E-2</v>
      </c>
      <c r="DA28" s="720">
        <v>5.2499999999999998E-2</v>
      </c>
      <c r="DB28" s="720">
        <v>5.2499999999999998E-2</v>
      </c>
      <c r="DC28" s="720">
        <v>1.4999999999999999E-2</v>
      </c>
      <c r="DD28" s="720">
        <v>1.4999999999999999E-2</v>
      </c>
      <c r="DE28" s="720">
        <v>1.4999999999999999E-2</v>
      </c>
      <c r="DF28" s="720">
        <v>1.4999999999999999E-2</v>
      </c>
      <c r="DG28" s="720">
        <v>4.9999999999999984E-3</v>
      </c>
      <c r="DH28" s="720">
        <v>4.9999999999999984E-3</v>
      </c>
      <c r="DI28" s="720">
        <v>4.9999999999999984E-3</v>
      </c>
      <c r="DJ28" s="720">
        <v>4.9999999999999984E-3</v>
      </c>
      <c r="DK28" s="720">
        <v>4.9999999999999984E-3</v>
      </c>
      <c r="DL28" s="720">
        <v>4.9999999999999984E-3</v>
      </c>
      <c r="DM28" s="720">
        <v>4.9999999999999984E-3</v>
      </c>
      <c r="DN28" s="720">
        <v>4.9999999999999984E-3</v>
      </c>
      <c r="DO28" s="720">
        <v>4.9999999999999984E-3</v>
      </c>
    </row>
    <row r="29" spans="3:119">
      <c r="C29" t="s">
        <v>1356</v>
      </c>
      <c r="D29" t="s">
        <v>1442</v>
      </c>
      <c r="E29" t="s">
        <v>1449</v>
      </c>
      <c r="F29" t="str">
        <f>INDEX('Data Interface'!C:C,MATCH(E29,'Data Interface'!B:B,0))</f>
        <v>Demand,MM &amp; Savings - Large Corporates - Verizon</v>
      </c>
      <c r="G29">
        <f t="shared" si="0"/>
        <v>336</v>
      </c>
      <c r="I29">
        <f t="shared" si="1"/>
        <v>8.0000000000000002E-3</v>
      </c>
      <c r="J29">
        <f t="shared" si="2"/>
        <v>4.3999999999999997E-2</v>
      </c>
      <c r="K29">
        <f t="shared" si="3"/>
        <v>4.3999999999999997E-2</v>
      </c>
      <c r="L29">
        <f t="shared" si="4"/>
        <v>3.2000000000000001E-2</v>
      </c>
      <c r="M29">
        <f t="shared" si="5"/>
        <v>3.2000000000000001E-2</v>
      </c>
      <c r="N29">
        <f t="shared" si="6"/>
        <v>1.6E-2</v>
      </c>
      <c r="O29">
        <f t="shared" si="7"/>
        <v>1.6E-2</v>
      </c>
      <c r="P29">
        <f t="shared" si="8"/>
        <v>5.3333333333333323E-3</v>
      </c>
      <c r="Q29">
        <f t="shared" si="9"/>
        <v>5.3333333333333323E-3</v>
      </c>
      <c r="R29">
        <f t="shared" si="10"/>
        <v>5.3333333333333323E-3</v>
      </c>
      <c r="S29">
        <f t="shared" si="11"/>
        <v>5.3333333333333323E-3</v>
      </c>
      <c r="T29">
        <f t="shared" si="12"/>
        <v>5.3333333333333323E-3</v>
      </c>
      <c r="U29">
        <f t="shared" si="13"/>
        <v>5.3333333333333323E-3</v>
      </c>
      <c r="V29">
        <f t="shared" si="14"/>
        <v>5.3333333333333323E-3</v>
      </c>
      <c r="W29">
        <f t="shared" si="15"/>
        <v>5.3333333333333323E-3</v>
      </c>
      <c r="X29">
        <f t="shared" si="16"/>
        <v>5.3333333333333323E-3</v>
      </c>
      <c r="Y29">
        <f t="shared" si="17"/>
        <v>0</v>
      </c>
      <c r="Z29">
        <f t="shared" si="18"/>
        <v>7.000000000000001E-3</v>
      </c>
      <c r="AA29">
        <f t="shared" si="19"/>
        <v>3.85E-2</v>
      </c>
      <c r="AB29">
        <f t="shared" si="20"/>
        <v>3.85E-2</v>
      </c>
      <c r="AC29">
        <f t="shared" si="21"/>
        <v>2.8000000000000004E-2</v>
      </c>
      <c r="AD29">
        <f t="shared" si="22"/>
        <v>2.8000000000000004E-2</v>
      </c>
      <c r="AE29">
        <f t="shared" si="23"/>
        <v>1.3999999999999999E-2</v>
      </c>
      <c r="AF29">
        <f t="shared" si="24"/>
        <v>1.3999999999999999E-2</v>
      </c>
      <c r="AG29">
        <f t="shared" si="25"/>
        <v>4.6666666666666679E-3</v>
      </c>
      <c r="AH29">
        <f t="shared" si="26"/>
        <v>4.6666666666666679E-3</v>
      </c>
      <c r="AI29">
        <f t="shared" si="27"/>
        <v>4.6666666666666679E-3</v>
      </c>
      <c r="AJ29">
        <f t="shared" si="28"/>
        <v>4.6666666666666679E-3</v>
      </c>
      <c r="AK29">
        <f t="shared" si="29"/>
        <v>4.6666666666666679E-3</v>
      </c>
      <c r="AL29">
        <f t="shared" si="30"/>
        <v>4.6666666666666679E-3</v>
      </c>
      <c r="AM29">
        <f t="shared" si="31"/>
        <v>4.6666666666666679E-3</v>
      </c>
      <c r="AN29">
        <f t="shared" si="32"/>
        <v>4.6666666666666679E-3</v>
      </c>
      <c r="AO29">
        <f t="shared" si="33"/>
        <v>4.6666666666666679E-3</v>
      </c>
      <c r="AP29">
        <f t="shared" si="34"/>
        <v>0</v>
      </c>
      <c r="AQ29">
        <f t="shared" si="35"/>
        <v>5.000000000000001E-3</v>
      </c>
      <c r="AR29">
        <f t="shared" si="36"/>
        <v>2.7499999999999997E-2</v>
      </c>
      <c r="AS29">
        <f t="shared" si="37"/>
        <v>2.7499999999999997E-2</v>
      </c>
      <c r="AT29">
        <f t="shared" si="38"/>
        <v>2.0000000000000004E-2</v>
      </c>
      <c r="AU29">
        <f t="shared" si="39"/>
        <v>2.0000000000000004E-2</v>
      </c>
      <c r="AV29">
        <f t="shared" si="40"/>
        <v>9.999999999999995E-3</v>
      </c>
      <c r="AW29">
        <f t="shared" si="41"/>
        <v>9.999999999999995E-3</v>
      </c>
      <c r="AX29">
        <f t="shared" si="42"/>
        <v>3.3333333333333361E-3</v>
      </c>
      <c r="AY29">
        <f t="shared" si="43"/>
        <v>3.3333333333333361E-3</v>
      </c>
      <c r="AZ29">
        <f t="shared" si="44"/>
        <v>3.3333333333333361E-3</v>
      </c>
      <c r="BA29">
        <f t="shared" si="45"/>
        <v>3.3333333333333361E-3</v>
      </c>
      <c r="BB29">
        <f t="shared" si="46"/>
        <v>3.3333333333333361E-3</v>
      </c>
      <c r="BC29">
        <f t="shared" si="47"/>
        <v>3.3333333333333361E-3</v>
      </c>
      <c r="BD29">
        <f t="shared" si="48"/>
        <v>3.3333333333333361E-3</v>
      </c>
      <c r="BE29">
        <f t="shared" si="49"/>
        <v>3.3333333333333361E-3</v>
      </c>
      <c r="BF29">
        <f t="shared" si="50"/>
        <v>3.3333333333333361E-3</v>
      </c>
      <c r="BG29">
        <f t="shared" si="51"/>
        <v>0</v>
      </c>
      <c r="BI29" t="str">
        <f t="shared" si="53"/>
        <v>42704AFF</v>
      </c>
      <c r="BJ29" s="426">
        <v>42704</v>
      </c>
      <c r="BM29" t="s">
        <v>1353</v>
      </c>
      <c r="BN29" s="438">
        <v>1</v>
      </c>
      <c r="BO29" s="438">
        <v>1</v>
      </c>
      <c r="BR29" s="720">
        <v>1.4999999999999999E-2</v>
      </c>
      <c r="BS29" s="720">
        <v>5.2499999999999998E-2</v>
      </c>
      <c r="BT29" s="720">
        <v>5.2499999999999998E-2</v>
      </c>
      <c r="BU29" s="720">
        <v>1.4999999999999999E-2</v>
      </c>
      <c r="BV29" s="720">
        <v>1.4999999999999999E-2</v>
      </c>
      <c r="BW29" s="720">
        <v>1.4999999999999999E-2</v>
      </c>
      <c r="BX29" s="720">
        <v>1.4999999999999999E-2</v>
      </c>
      <c r="BY29" s="720">
        <v>4.9999999999999984E-3</v>
      </c>
      <c r="BZ29" s="720">
        <v>4.9999999999999984E-3</v>
      </c>
      <c r="CA29" s="720">
        <v>4.9999999999999984E-3</v>
      </c>
      <c r="CB29" s="720">
        <v>4.9999999999999984E-3</v>
      </c>
      <c r="CC29" s="720">
        <v>4.9999999999999984E-3</v>
      </c>
      <c r="CD29" s="720">
        <v>4.9999999999999984E-3</v>
      </c>
      <c r="CE29" s="720">
        <v>4.9999999999999984E-3</v>
      </c>
      <c r="CF29" s="720">
        <v>4.9999999999999984E-3</v>
      </c>
      <c r="CG29" s="720">
        <v>4.9999999999999984E-3</v>
      </c>
      <c r="CH29" s="720"/>
      <c r="CI29" s="720">
        <v>1.2E-2</v>
      </c>
      <c r="CJ29" s="720">
        <v>4.2000000000000003E-2</v>
      </c>
      <c r="CK29" s="720">
        <v>4.2000000000000003E-2</v>
      </c>
      <c r="CL29" s="720">
        <v>1.1999999999999997E-2</v>
      </c>
      <c r="CM29" s="720">
        <v>1.1999999999999997E-2</v>
      </c>
      <c r="CN29" s="720">
        <v>1.1999999999999997E-2</v>
      </c>
      <c r="CO29" s="720">
        <v>1.1999999999999997E-2</v>
      </c>
      <c r="CP29" s="720">
        <v>4.0000000000000001E-3</v>
      </c>
      <c r="CQ29" s="720">
        <v>4.0000000000000001E-3</v>
      </c>
      <c r="CR29" s="720">
        <v>4.0000000000000001E-3</v>
      </c>
      <c r="CS29" s="720">
        <v>4.0000000000000001E-3</v>
      </c>
      <c r="CT29" s="720">
        <v>4.0000000000000001E-3</v>
      </c>
      <c r="CU29" s="720">
        <v>4.0000000000000001E-3</v>
      </c>
      <c r="CV29" s="720">
        <v>4.0000000000000001E-3</v>
      </c>
      <c r="CW29" s="720">
        <v>4.0000000000000001E-3</v>
      </c>
      <c r="CX29" s="720">
        <v>4.0000000000000001E-3</v>
      </c>
      <c r="CY29" s="720"/>
      <c r="CZ29" s="720">
        <v>5.000000000000001E-3</v>
      </c>
      <c r="DA29" s="720">
        <v>1.7500000000000002E-2</v>
      </c>
      <c r="DB29" s="720">
        <v>1.7500000000000002E-2</v>
      </c>
      <c r="DC29" s="720">
        <v>4.9999999999999975E-3</v>
      </c>
      <c r="DD29" s="720">
        <v>4.9999999999999975E-3</v>
      </c>
      <c r="DE29" s="720">
        <v>4.9999999999999975E-3</v>
      </c>
      <c r="DF29" s="720">
        <v>4.9999999999999975E-3</v>
      </c>
      <c r="DG29" s="720">
        <v>1.6666666666666681E-3</v>
      </c>
      <c r="DH29" s="720">
        <v>1.6666666666666681E-3</v>
      </c>
      <c r="DI29" s="720">
        <v>1.6666666666666681E-3</v>
      </c>
      <c r="DJ29" s="720">
        <v>1.6666666666666681E-3</v>
      </c>
      <c r="DK29" s="720">
        <v>1.6666666666666681E-3</v>
      </c>
      <c r="DL29" s="720">
        <v>1.6666666666666681E-3</v>
      </c>
      <c r="DM29" s="720">
        <v>1.6666666666666681E-3</v>
      </c>
      <c r="DN29" s="720">
        <v>1.6666666666666681E-3</v>
      </c>
      <c r="DO29" s="720">
        <v>1.6666666666666681E-3</v>
      </c>
    </row>
    <row r="30" spans="3:119">
      <c r="C30" t="s">
        <v>1356</v>
      </c>
      <c r="D30" t="s">
        <v>2803</v>
      </c>
      <c r="E30" t="s">
        <v>2801</v>
      </c>
      <c r="F30" t="str">
        <f>INDEX('Data Interface'!C:C,MATCH(E30,'Data Interface'!B:B,0))</f>
        <v>Demand,MM &amp; Savings - Large Corporates - KEMPS LANDING CAPITAL</v>
      </c>
      <c r="G30">
        <f t="shared" si="0"/>
        <v>330</v>
      </c>
      <c r="I30">
        <f t="shared" si="1"/>
        <v>3.1722182773803002E-2</v>
      </c>
      <c r="J30">
        <f t="shared" si="2"/>
        <v>0.11102768693780476</v>
      </c>
      <c r="K30">
        <f t="shared" si="3"/>
        <v>0.11102768693780476</v>
      </c>
      <c r="L30">
        <f t="shared" si="4"/>
        <v>3.1722253618044371E-2</v>
      </c>
      <c r="M30">
        <f t="shared" si="5"/>
        <v>3.1722253618044371E-2</v>
      </c>
      <c r="N30">
        <f t="shared" si="6"/>
        <v>3.1722206388550139E-2</v>
      </c>
      <c r="O30">
        <f t="shared" si="7"/>
        <v>3.1722206388550139E-2</v>
      </c>
      <c r="P30">
        <f t="shared" si="8"/>
        <v>1.0574068796183377E-2</v>
      </c>
      <c r="Q30">
        <f t="shared" si="9"/>
        <v>1.0574068796183377E-2</v>
      </c>
      <c r="R30">
        <f t="shared" si="10"/>
        <v>1.0574068796183377E-2</v>
      </c>
      <c r="S30">
        <f t="shared" si="11"/>
        <v>1.0574068796183377E-2</v>
      </c>
      <c r="T30">
        <f t="shared" si="12"/>
        <v>1.0574068796183377E-2</v>
      </c>
      <c r="U30">
        <f t="shared" si="13"/>
        <v>1.0574068796183377E-2</v>
      </c>
      <c r="V30">
        <f t="shared" si="14"/>
        <v>1.0574068796183377E-2</v>
      </c>
      <c r="W30">
        <f t="shared" si="15"/>
        <v>1.0574068796183377E-2</v>
      </c>
      <c r="X30">
        <f t="shared" si="16"/>
        <v>1.0574068796183377E-2</v>
      </c>
      <c r="Y30">
        <f t="shared" si="17"/>
        <v>0</v>
      </c>
      <c r="Z30">
        <f t="shared" si="18"/>
        <v>2.7190442799237345E-2</v>
      </c>
      <c r="AA30">
        <f t="shared" si="19"/>
        <v>9.5166591123138161E-2</v>
      </c>
      <c r="AB30">
        <f t="shared" si="20"/>
        <v>9.5166591123138161E-2</v>
      </c>
      <c r="AC30">
        <f t="shared" si="21"/>
        <v>2.719050478794853E-2</v>
      </c>
      <c r="AD30">
        <f t="shared" si="22"/>
        <v>2.719050478794853E-2</v>
      </c>
      <c r="AE30">
        <f t="shared" si="23"/>
        <v>2.7190463462141073E-2</v>
      </c>
      <c r="AF30">
        <f t="shared" si="24"/>
        <v>2.7190463462141073E-2</v>
      </c>
      <c r="AG30">
        <f t="shared" si="25"/>
        <v>9.0634878207137004E-3</v>
      </c>
      <c r="AH30">
        <f t="shared" si="26"/>
        <v>9.0634878207137004E-3</v>
      </c>
      <c r="AI30">
        <f t="shared" si="27"/>
        <v>9.0634878207137004E-3</v>
      </c>
      <c r="AJ30">
        <f t="shared" si="28"/>
        <v>9.0634878207137004E-3</v>
      </c>
      <c r="AK30">
        <f t="shared" si="29"/>
        <v>9.0634878207137004E-3</v>
      </c>
      <c r="AL30">
        <f t="shared" si="30"/>
        <v>9.0634878207137004E-3</v>
      </c>
      <c r="AM30">
        <f t="shared" si="31"/>
        <v>9.0634878207137004E-3</v>
      </c>
      <c r="AN30">
        <f t="shared" si="32"/>
        <v>9.0634878207137004E-3</v>
      </c>
      <c r="AO30">
        <f t="shared" si="33"/>
        <v>9.0634878207137004E-3</v>
      </c>
      <c r="AP30">
        <f t="shared" si="34"/>
        <v>0</v>
      </c>
      <c r="AQ30">
        <f t="shared" si="35"/>
        <v>1.6994028594425458E-2</v>
      </c>
      <c r="AR30">
        <f t="shared" si="36"/>
        <v>5.9479129598923007E-2</v>
      </c>
      <c r="AS30">
        <f t="shared" si="37"/>
        <v>5.9479129598923007E-2</v>
      </c>
      <c r="AT30">
        <f t="shared" si="38"/>
        <v>1.6994072872076327E-2</v>
      </c>
      <c r="AU30">
        <f t="shared" si="39"/>
        <v>1.6994072872076327E-2</v>
      </c>
      <c r="AV30">
        <f t="shared" si="40"/>
        <v>1.6994043353642421E-2</v>
      </c>
      <c r="AW30">
        <f t="shared" si="41"/>
        <v>1.6994043353642421E-2</v>
      </c>
      <c r="AX30">
        <f t="shared" si="42"/>
        <v>5.6646811178807993E-3</v>
      </c>
      <c r="AY30">
        <f t="shared" si="43"/>
        <v>5.6646811178807993E-3</v>
      </c>
      <c r="AZ30">
        <f t="shared" si="44"/>
        <v>5.6646811178807993E-3</v>
      </c>
      <c r="BA30">
        <f t="shared" si="45"/>
        <v>5.6646811178807993E-3</v>
      </c>
      <c r="BB30">
        <f t="shared" si="46"/>
        <v>5.6646811178807993E-3</v>
      </c>
      <c r="BC30">
        <f t="shared" si="47"/>
        <v>5.6646811178807993E-3</v>
      </c>
      <c r="BD30">
        <f t="shared" si="48"/>
        <v>5.6646811178807993E-3</v>
      </c>
      <c r="BE30">
        <f t="shared" si="49"/>
        <v>5.6646811178807993E-3</v>
      </c>
      <c r="BF30">
        <f t="shared" si="50"/>
        <v>5.6646811178807993E-3</v>
      </c>
      <c r="BG30">
        <f t="shared" si="51"/>
        <v>0</v>
      </c>
      <c r="BI30" t="str">
        <f t="shared" si="53"/>
        <v>42704IB</v>
      </c>
      <c r="BJ30" s="426">
        <v>42704</v>
      </c>
      <c r="BM30" t="s">
        <v>1354</v>
      </c>
      <c r="BN30" s="438">
        <v>1</v>
      </c>
      <c r="BO30" s="438">
        <v>1</v>
      </c>
      <c r="BR30" s="720">
        <v>1.2E-2</v>
      </c>
      <c r="BS30" s="720">
        <v>4.2000000000000003E-2</v>
      </c>
      <c r="BT30" s="720">
        <v>4.2000000000000003E-2</v>
      </c>
      <c r="BU30" s="720">
        <v>1.1999999999999997E-2</v>
      </c>
      <c r="BV30" s="720">
        <v>1.1999999999999997E-2</v>
      </c>
      <c r="BW30" s="720">
        <v>1.1999999999999997E-2</v>
      </c>
      <c r="BX30" s="720">
        <v>1.1999999999999997E-2</v>
      </c>
      <c r="BY30" s="720">
        <v>4.0000000000000001E-3</v>
      </c>
      <c r="BZ30" s="720">
        <v>4.0000000000000001E-3</v>
      </c>
      <c r="CA30" s="720">
        <v>4.0000000000000001E-3</v>
      </c>
      <c r="CB30" s="720">
        <v>4.0000000000000001E-3</v>
      </c>
      <c r="CC30" s="720">
        <v>4.0000000000000001E-3</v>
      </c>
      <c r="CD30" s="720">
        <v>4.0000000000000001E-3</v>
      </c>
      <c r="CE30" s="720">
        <v>4.0000000000000001E-3</v>
      </c>
      <c r="CF30" s="720">
        <v>4.0000000000000001E-3</v>
      </c>
      <c r="CG30" s="720">
        <v>4.0000000000000001E-3</v>
      </c>
      <c r="CH30" s="720"/>
      <c r="CI30" s="720">
        <v>3.0000000000000001E-3</v>
      </c>
      <c r="CJ30" s="720">
        <v>1.0500000000000001E-2</v>
      </c>
      <c r="CK30" s="720">
        <v>1.0500000000000001E-2</v>
      </c>
      <c r="CL30" s="720">
        <v>2.9999999999999992E-3</v>
      </c>
      <c r="CM30" s="720">
        <v>2.9999999999999992E-3</v>
      </c>
      <c r="CN30" s="720">
        <v>2.9999999999999992E-3</v>
      </c>
      <c r="CO30" s="720">
        <v>2.9999999999999992E-3</v>
      </c>
      <c r="CP30" s="720">
        <v>1E-3</v>
      </c>
      <c r="CQ30" s="720">
        <v>1E-3</v>
      </c>
      <c r="CR30" s="720">
        <v>1E-3</v>
      </c>
      <c r="CS30" s="720">
        <v>1E-3</v>
      </c>
      <c r="CT30" s="720">
        <v>1E-3</v>
      </c>
      <c r="CU30" s="720">
        <v>1E-3</v>
      </c>
      <c r="CV30" s="720">
        <v>1E-3</v>
      </c>
      <c r="CW30" s="720">
        <v>1E-3</v>
      </c>
      <c r="CX30" s="720">
        <v>1E-3</v>
      </c>
      <c r="CY30" s="720"/>
      <c r="CZ30" s="720">
        <v>1.0000000000000002E-2</v>
      </c>
      <c r="DA30" s="720">
        <v>3.5000000000000003E-2</v>
      </c>
      <c r="DB30" s="720">
        <v>3.5000000000000003E-2</v>
      </c>
      <c r="DC30" s="720">
        <v>9.999999999999995E-3</v>
      </c>
      <c r="DD30" s="720">
        <v>9.999999999999995E-3</v>
      </c>
      <c r="DE30" s="720">
        <v>9.999999999999995E-3</v>
      </c>
      <c r="DF30" s="720">
        <v>9.999999999999995E-3</v>
      </c>
      <c r="DG30" s="720">
        <v>3.3333333333333361E-3</v>
      </c>
      <c r="DH30" s="720">
        <v>3.3333333333333361E-3</v>
      </c>
      <c r="DI30" s="720">
        <v>3.3333333333333361E-3</v>
      </c>
      <c r="DJ30" s="720">
        <v>3.3333333333333361E-3</v>
      </c>
      <c r="DK30" s="720">
        <v>3.3333333333333361E-3</v>
      </c>
      <c r="DL30" s="720">
        <v>3.3333333333333361E-3</v>
      </c>
      <c r="DM30" s="720">
        <v>3.3333333333333361E-3</v>
      </c>
      <c r="DN30" s="720">
        <v>3.3333333333333361E-3</v>
      </c>
      <c r="DO30" s="720">
        <v>3.3333333333333361E-3</v>
      </c>
    </row>
    <row r="31" spans="3:119">
      <c r="BI31" t="str">
        <f t="shared" ref="BI31:BI67" si="54">BJ31&amp;BK31&amp;BM31</f>
        <v>427341000526FI</v>
      </c>
      <c r="BJ31" s="426">
        <v>42734</v>
      </c>
      <c r="BK31" t="s">
        <v>1363</v>
      </c>
      <c r="BL31" t="s">
        <v>1368</v>
      </c>
      <c r="BM31" t="s">
        <v>1355</v>
      </c>
      <c r="BN31" s="438">
        <v>2</v>
      </c>
      <c r="BO31" s="438">
        <v>1</v>
      </c>
      <c r="BR31">
        <v>4.6000000000000006E-2</v>
      </c>
      <c r="BS31">
        <v>0.16100000000000003</v>
      </c>
      <c r="BT31">
        <v>0.16100000000000003</v>
      </c>
      <c r="BU31">
        <v>4.5999999999999985E-2</v>
      </c>
      <c r="BV31">
        <v>4.5999999999999985E-2</v>
      </c>
      <c r="BW31">
        <v>4.6000000000000013E-2</v>
      </c>
      <c r="BX31">
        <v>4.6000000000000013E-2</v>
      </c>
      <c r="BY31">
        <v>1.5333333333333334E-2</v>
      </c>
      <c r="BZ31">
        <v>1.5333333333333334E-2</v>
      </c>
      <c r="CA31">
        <v>1.5333333333333334E-2</v>
      </c>
      <c r="CB31">
        <v>1.5333333333333334E-2</v>
      </c>
      <c r="CC31">
        <v>1.5333333333333334E-2</v>
      </c>
      <c r="CD31">
        <v>1.5333333333333334E-2</v>
      </c>
      <c r="CE31">
        <v>1.5333333333333334E-2</v>
      </c>
      <c r="CF31">
        <v>1.5333333333333334E-2</v>
      </c>
      <c r="CG31">
        <v>1.5333333333333334E-2</v>
      </c>
      <c r="CI31">
        <v>4.0000000000000008E-2</v>
      </c>
      <c r="CJ31">
        <v>0.14000000000000001</v>
      </c>
      <c r="CK31">
        <v>0.14000000000000001</v>
      </c>
      <c r="CL31">
        <v>3.999999999999998E-2</v>
      </c>
      <c r="CM31">
        <v>3.999999999999998E-2</v>
      </c>
      <c r="CN31">
        <v>3.999999999999998E-2</v>
      </c>
      <c r="CO31">
        <v>3.999999999999998E-2</v>
      </c>
      <c r="CP31">
        <v>1.3333333333333345E-2</v>
      </c>
      <c r="CQ31">
        <v>1.3333333333333345E-2</v>
      </c>
      <c r="CR31">
        <v>1.3333333333333345E-2</v>
      </c>
      <c r="CS31">
        <v>1.3333333333333345E-2</v>
      </c>
      <c r="CT31">
        <v>1.3333333333333345E-2</v>
      </c>
      <c r="CU31">
        <v>1.3333333333333345E-2</v>
      </c>
      <c r="CV31">
        <v>1.3333333333333345E-2</v>
      </c>
      <c r="CW31">
        <v>1.3333333333333345E-2</v>
      </c>
      <c r="CX31">
        <v>1.3333333333333345E-2</v>
      </c>
      <c r="CZ31">
        <v>0.03</v>
      </c>
      <c r="DA31">
        <v>0.105</v>
      </c>
      <c r="DB31">
        <v>0.105</v>
      </c>
      <c r="DC31">
        <v>0.03</v>
      </c>
      <c r="DD31">
        <v>0.03</v>
      </c>
      <c r="DE31">
        <v>0.03</v>
      </c>
      <c r="DF31">
        <v>0.03</v>
      </c>
      <c r="DG31">
        <v>9.9999999999999967E-3</v>
      </c>
      <c r="DH31">
        <v>9.9999999999999967E-3</v>
      </c>
      <c r="DI31">
        <v>9.9999999999999967E-3</v>
      </c>
      <c r="DJ31">
        <v>9.9999999999999967E-3</v>
      </c>
      <c r="DK31">
        <v>9.9999999999999967E-3</v>
      </c>
      <c r="DL31">
        <v>9.9999999999999967E-3</v>
      </c>
      <c r="DM31">
        <v>9.9999999999999967E-3</v>
      </c>
      <c r="DN31">
        <v>9.9999999999999967E-3</v>
      </c>
      <c r="DO31">
        <v>9.9999999999999967E-3</v>
      </c>
    </row>
    <row r="32" spans="3:119">
      <c r="BI32" t="str">
        <f t="shared" si="54"/>
        <v>427341030623FI</v>
      </c>
      <c r="BJ32" s="426">
        <v>42734</v>
      </c>
      <c r="BK32" t="s">
        <v>1360</v>
      </c>
      <c r="BL32" t="s">
        <v>1369</v>
      </c>
      <c r="BM32" t="s">
        <v>1355</v>
      </c>
      <c r="BN32" s="438">
        <v>2</v>
      </c>
      <c r="BO32" s="438">
        <v>1</v>
      </c>
      <c r="BR32">
        <v>4.6000000000000006E-2</v>
      </c>
      <c r="BS32">
        <v>0.16100000000000003</v>
      </c>
      <c r="BT32">
        <v>0.16100000000000003</v>
      </c>
      <c r="BU32">
        <v>4.5999999999999985E-2</v>
      </c>
      <c r="BV32">
        <v>4.5999999999999985E-2</v>
      </c>
      <c r="BW32">
        <v>4.6000000000000013E-2</v>
      </c>
      <c r="BX32">
        <v>4.6000000000000013E-2</v>
      </c>
      <c r="BY32">
        <v>1.5333333333333334E-2</v>
      </c>
      <c r="BZ32">
        <v>1.5333333333333334E-2</v>
      </c>
      <c r="CA32">
        <v>1.5333333333333334E-2</v>
      </c>
      <c r="CB32">
        <v>1.5333333333333334E-2</v>
      </c>
      <c r="CC32">
        <v>1.5333333333333334E-2</v>
      </c>
      <c r="CD32">
        <v>1.5333333333333334E-2</v>
      </c>
      <c r="CE32">
        <v>1.5333333333333334E-2</v>
      </c>
      <c r="CF32">
        <v>1.5333333333333334E-2</v>
      </c>
      <c r="CG32">
        <v>1.5333333333333334E-2</v>
      </c>
      <c r="CI32">
        <v>4.0000000000000008E-2</v>
      </c>
      <c r="CJ32">
        <v>0.14000000000000001</v>
      </c>
      <c r="CK32">
        <v>0.14000000000000001</v>
      </c>
      <c r="CL32">
        <v>3.999999999999998E-2</v>
      </c>
      <c r="CM32">
        <v>3.999999999999998E-2</v>
      </c>
      <c r="CN32">
        <v>3.999999999999998E-2</v>
      </c>
      <c r="CO32">
        <v>3.999999999999998E-2</v>
      </c>
      <c r="CP32">
        <v>1.3333333333333345E-2</v>
      </c>
      <c r="CQ32">
        <v>1.3333333333333345E-2</v>
      </c>
      <c r="CR32">
        <v>1.3333333333333345E-2</v>
      </c>
      <c r="CS32">
        <v>1.3333333333333345E-2</v>
      </c>
      <c r="CT32">
        <v>1.3333333333333345E-2</v>
      </c>
      <c r="CU32">
        <v>1.3333333333333345E-2</v>
      </c>
      <c r="CV32">
        <v>1.3333333333333345E-2</v>
      </c>
      <c r="CW32">
        <v>1.3333333333333345E-2</v>
      </c>
      <c r="CX32">
        <v>1.3333333333333345E-2</v>
      </c>
      <c r="CZ32">
        <v>0.03</v>
      </c>
      <c r="DA32">
        <v>0.105</v>
      </c>
      <c r="DB32">
        <v>0.105</v>
      </c>
      <c r="DC32">
        <v>0.03</v>
      </c>
      <c r="DD32">
        <v>0.03</v>
      </c>
      <c r="DE32">
        <v>0.03</v>
      </c>
      <c r="DF32">
        <v>0.03</v>
      </c>
      <c r="DG32">
        <v>9.9999999999999967E-3</v>
      </c>
      <c r="DH32">
        <v>9.9999999999999967E-3</v>
      </c>
      <c r="DI32">
        <v>9.9999999999999967E-3</v>
      </c>
      <c r="DJ32">
        <v>9.9999999999999967E-3</v>
      </c>
      <c r="DK32">
        <v>9.9999999999999967E-3</v>
      </c>
      <c r="DL32">
        <v>9.9999999999999967E-3</v>
      </c>
      <c r="DM32">
        <v>9.9999999999999967E-3</v>
      </c>
      <c r="DN32">
        <v>9.9999999999999967E-3</v>
      </c>
      <c r="DO32">
        <v>9.9999999999999967E-3</v>
      </c>
    </row>
    <row r="33" spans="61:119">
      <c r="BI33" t="str">
        <f t="shared" si="54"/>
        <v>427341126198FI</v>
      </c>
      <c r="BJ33" s="426">
        <v>42734</v>
      </c>
      <c r="BK33" t="s">
        <v>1359</v>
      </c>
      <c r="BL33" t="s">
        <v>1367</v>
      </c>
      <c r="BM33" t="s">
        <v>1355</v>
      </c>
      <c r="BN33" s="438">
        <v>2</v>
      </c>
      <c r="BO33" s="438">
        <v>1</v>
      </c>
      <c r="BR33">
        <v>4.6000000000000006E-2</v>
      </c>
      <c r="BS33">
        <v>0.16100000000000003</v>
      </c>
      <c r="BT33">
        <v>0.16100000000000003</v>
      </c>
      <c r="BU33">
        <v>4.5999999999999985E-2</v>
      </c>
      <c r="BV33">
        <v>4.5999999999999985E-2</v>
      </c>
      <c r="BW33">
        <v>4.6000000000000013E-2</v>
      </c>
      <c r="BX33">
        <v>4.6000000000000013E-2</v>
      </c>
      <c r="BY33">
        <v>1.5333333333333334E-2</v>
      </c>
      <c r="BZ33">
        <v>1.5333333333333334E-2</v>
      </c>
      <c r="CA33">
        <v>1.5333333333333334E-2</v>
      </c>
      <c r="CB33">
        <v>1.5333333333333334E-2</v>
      </c>
      <c r="CC33">
        <v>1.5333333333333334E-2</v>
      </c>
      <c r="CD33">
        <v>1.5333333333333334E-2</v>
      </c>
      <c r="CE33">
        <v>1.5333333333333334E-2</v>
      </c>
      <c r="CF33">
        <v>1.5333333333333334E-2</v>
      </c>
      <c r="CG33">
        <v>1.5333333333333334E-2</v>
      </c>
      <c r="CI33">
        <v>4.0000000000000008E-2</v>
      </c>
      <c r="CJ33">
        <v>0.14000000000000001</v>
      </c>
      <c r="CK33">
        <v>0.14000000000000001</v>
      </c>
      <c r="CL33">
        <v>3.999999999999998E-2</v>
      </c>
      <c r="CM33">
        <v>3.999999999999998E-2</v>
      </c>
      <c r="CN33">
        <v>3.999999999999998E-2</v>
      </c>
      <c r="CO33">
        <v>3.999999999999998E-2</v>
      </c>
      <c r="CP33">
        <v>1.3333333333333345E-2</v>
      </c>
      <c r="CQ33">
        <v>1.3333333333333345E-2</v>
      </c>
      <c r="CR33">
        <v>1.3333333333333345E-2</v>
      </c>
      <c r="CS33">
        <v>1.3333333333333345E-2</v>
      </c>
      <c r="CT33">
        <v>1.3333333333333345E-2</v>
      </c>
      <c r="CU33">
        <v>1.3333333333333345E-2</v>
      </c>
      <c r="CV33">
        <v>1.3333333333333345E-2</v>
      </c>
      <c r="CW33">
        <v>1.3333333333333345E-2</v>
      </c>
      <c r="CX33">
        <v>1.3333333333333345E-2</v>
      </c>
      <c r="CZ33">
        <v>0.03</v>
      </c>
      <c r="DA33">
        <v>0.105</v>
      </c>
      <c r="DB33">
        <v>0.105</v>
      </c>
      <c r="DC33">
        <v>0.03</v>
      </c>
      <c r="DD33">
        <v>0.03</v>
      </c>
      <c r="DE33">
        <v>0.03</v>
      </c>
      <c r="DF33">
        <v>0.03</v>
      </c>
      <c r="DG33">
        <v>9.9999999999999967E-3</v>
      </c>
      <c r="DH33">
        <v>9.9999999999999967E-3</v>
      </c>
      <c r="DI33">
        <v>9.9999999999999967E-3</v>
      </c>
      <c r="DJ33">
        <v>9.9999999999999967E-3</v>
      </c>
      <c r="DK33">
        <v>9.9999999999999967E-3</v>
      </c>
      <c r="DL33">
        <v>9.9999999999999967E-3</v>
      </c>
      <c r="DM33">
        <v>9.9999999999999967E-3</v>
      </c>
      <c r="DN33">
        <v>9.9999999999999967E-3</v>
      </c>
      <c r="DO33">
        <v>9.9999999999999967E-3</v>
      </c>
    </row>
    <row r="34" spans="61:119">
      <c r="BI34" t="str">
        <f t="shared" si="54"/>
        <v>427341147542CME</v>
      </c>
      <c r="BJ34" s="426">
        <v>42734</v>
      </c>
      <c r="BK34" t="s">
        <v>1361</v>
      </c>
      <c r="BL34" t="s">
        <v>1370</v>
      </c>
      <c r="BM34" t="s">
        <v>1321</v>
      </c>
      <c r="BN34" s="438">
        <v>1.8966871125975537</v>
      </c>
      <c r="BO34" s="438">
        <v>1</v>
      </c>
      <c r="BR34">
        <v>0.15173496900780431</v>
      </c>
      <c r="BS34">
        <v>0.30346993801560862</v>
      </c>
      <c r="BT34">
        <v>0.30346993801560862</v>
      </c>
      <c r="BU34">
        <v>0</v>
      </c>
      <c r="BV34">
        <v>0</v>
      </c>
      <c r="BW34">
        <v>7.5867484503902127E-2</v>
      </c>
      <c r="BX34">
        <v>7.5867484503902127E-2</v>
      </c>
      <c r="BY34">
        <v>9.9544651059082501E-3</v>
      </c>
      <c r="BZ34">
        <v>9.9544651059082501E-3</v>
      </c>
      <c r="CA34">
        <v>9.9544651059082501E-3</v>
      </c>
      <c r="CB34">
        <v>9.9544651059082501E-3</v>
      </c>
      <c r="CC34">
        <v>9.9544651059082501E-3</v>
      </c>
      <c r="CD34">
        <v>9.9544651059082501E-3</v>
      </c>
      <c r="CE34">
        <v>9.9544651059082501E-3</v>
      </c>
      <c r="CF34">
        <v>9.9544651059082501E-3</v>
      </c>
      <c r="CG34">
        <v>9.9544651059082501E-3</v>
      </c>
      <c r="CI34">
        <v>0.13276809788182875</v>
      </c>
      <c r="CJ34">
        <v>0.2655361957636575</v>
      </c>
      <c r="CK34">
        <v>0.2655361957636575</v>
      </c>
      <c r="CL34">
        <v>0</v>
      </c>
      <c r="CM34">
        <v>0</v>
      </c>
      <c r="CN34">
        <v>6.6384048940914375E-2</v>
      </c>
      <c r="CO34">
        <v>6.6384048940914375E-2</v>
      </c>
      <c r="CP34">
        <v>2.2128016313638119E-2</v>
      </c>
      <c r="CQ34">
        <v>2.2128016313638119E-2</v>
      </c>
      <c r="CR34">
        <v>2.2128016313638119E-2</v>
      </c>
      <c r="CS34">
        <v>2.2128016313638119E-2</v>
      </c>
      <c r="CT34">
        <v>2.2128016313638119E-2</v>
      </c>
      <c r="CU34">
        <v>2.2128016313638119E-2</v>
      </c>
      <c r="CV34">
        <v>2.2128016313638119E-2</v>
      </c>
      <c r="CW34">
        <v>2.2128016313638119E-2</v>
      </c>
      <c r="CX34">
        <v>2.2128016313638119E-2</v>
      </c>
      <c r="CZ34">
        <v>7.5867484503902155E-2</v>
      </c>
      <c r="DA34">
        <v>0.15173496900780431</v>
      </c>
      <c r="DB34">
        <v>0.15173496900780431</v>
      </c>
      <c r="DC34">
        <v>0</v>
      </c>
      <c r="DD34">
        <v>0</v>
      </c>
      <c r="DE34">
        <v>3.7933742251951064E-2</v>
      </c>
      <c r="DF34">
        <v>3.7933742251951064E-2</v>
      </c>
      <c r="DG34">
        <v>1.264458075065036E-2</v>
      </c>
      <c r="DH34">
        <v>1.264458075065036E-2</v>
      </c>
      <c r="DI34">
        <v>1.264458075065036E-2</v>
      </c>
      <c r="DJ34">
        <v>1.264458075065036E-2</v>
      </c>
      <c r="DK34">
        <v>1.264458075065036E-2</v>
      </c>
      <c r="DL34">
        <v>1.264458075065036E-2</v>
      </c>
      <c r="DM34">
        <v>1.264458075065036E-2</v>
      </c>
      <c r="DN34">
        <v>1.264458075065036E-2</v>
      </c>
      <c r="DO34">
        <v>1.264458075065036E-2</v>
      </c>
    </row>
    <row r="35" spans="61:119">
      <c r="BI35" t="str">
        <f t="shared" si="54"/>
        <v>427341000790IB</v>
      </c>
      <c r="BJ35" s="426">
        <v>42734</v>
      </c>
      <c r="BK35" t="s">
        <v>1358</v>
      </c>
      <c r="BL35" t="s">
        <v>1371</v>
      </c>
      <c r="BM35" t="s">
        <v>1354</v>
      </c>
      <c r="BN35" s="438">
        <v>1.4760286292071128</v>
      </c>
      <c r="BO35" s="438">
        <v>1</v>
      </c>
      <c r="BR35">
        <v>1.7712343550485354E-2</v>
      </c>
      <c r="BS35">
        <v>6.1993202426698736E-2</v>
      </c>
      <c r="BT35">
        <v>6.1993202426698736E-2</v>
      </c>
      <c r="BU35">
        <v>1.7712343550485343E-2</v>
      </c>
      <c r="BV35">
        <v>1.7712343550485343E-2</v>
      </c>
      <c r="BW35">
        <v>1.7712343550485343E-2</v>
      </c>
      <c r="BX35">
        <v>1.7712343550485343E-2</v>
      </c>
      <c r="BY35">
        <v>5.9041145168284509E-3</v>
      </c>
      <c r="BZ35">
        <v>5.9041145168284509E-3</v>
      </c>
      <c r="CA35">
        <v>5.9041145168284509E-3</v>
      </c>
      <c r="CB35">
        <v>5.9041145168284509E-3</v>
      </c>
      <c r="CC35">
        <v>5.9041145168284509E-3</v>
      </c>
      <c r="CD35">
        <v>5.9041145168284509E-3</v>
      </c>
      <c r="CE35">
        <v>5.9041145168284509E-3</v>
      </c>
      <c r="CF35">
        <v>5.9041145168284509E-3</v>
      </c>
      <c r="CG35">
        <v>5.9041145168284509E-3</v>
      </c>
      <c r="CI35">
        <v>4.4280858876213384E-3</v>
      </c>
      <c r="CJ35">
        <v>1.5498300606674684E-2</v>
      </c>
      <c r="CK35">
        <v>1.5498300606674684E-2</v>
      </c>
      <c r="CL35">
        <v>4.4280858876213358E-3</v>
      </c>
      <c r="CM35">
        <v>4.4280858876213358E-3</v>
      </c>
      <c r="CN35">
        <v>4.4280858876213358E-3</v>
      </c>
      <c r="CO35">
        <v>4.4280858876213358E-3</v>
      </c>
      <c r="CP35">
        <v>1.4760286292071127E-3</v>
      </c>
      <c r="CQ35">
        <v>1.4760286292071127E-3</v>
      </c>
      <c r="CR35">
        <v>1.4760286292071127E-3</v>
      </c>
      <c r="CS35">
        <v>1.4760286292071127E-3</v>
      </c>
      <c r="CT35">
        <v>1.4760286292071127E-3</v>
      </c>
      <c r="CU35">
        <v>1.4760286292071127E-3</v>
      </c>
      <c r="CV35">
        <v>1.4760286292071127E-3</v>
      </c>
      <c r="CW35">
        <v>1.4760286292071127E-3</v>
      </c>
      <c r="CX35">
        <v>1.4760286292071127E-3</v>
      </c>
      <c r="CZ35">
        <v>1.4760286292071129E-2</v>
      </c>
      <c r="DA35">
        <v>5.166100202224895E-2</v>
      </c>
      <c r="DB35">
        <v>5.166100202224895E-2</v>
      </c>
      <c r="DC35">
        <v>1.4760286292071129E-2</v>
      </c>
      <c r="DD35">
        <v>1.4760286292071129E-2</v>
      </c>
      <c r="DE35">
        <v>1.4760286292071129E-2</v>
      </c>
      <c r="DF35">
        <v>1.4760286292071129E-2</v>
      </c>
      <c r="DG35">
        <v>4.9200954306903759E-3</v>
      </c>
      <c r="DH35">
        <v>4.9200954306903759E-3</v>
      </c>
      <c r="DI35">
        <v>4.9200954306903759E-3</v>
      </c>
      <c r="DJ35">
        <v>4.9200954306903759E-3</v>
      </c>
      <c r="DK35">
        <v>4.9200954306903759E-3</v>
      </c>
      <c r="DL35">
        <v>4.9200954306903759E-3</v>
      </c>
      <c r="DM35">
        <v>4.9200954306903759E-3</v>
      </c>
      <c r="DN35">
        <v>4.9200954306903759E-3</v>
      </c>
      <c r="DO35">
        <v>4.9200954306903759E-3</v>
      </c>
    </row>
    <row r="36" spans="61:119">
      <c r="BI36" t="str">
        <f t="shared" si="54"/>
        <v>427341000857IB</v>
      </c>
      <c r="BJ36" s="426">
        <v>42734</v>
      </c>
      <c r="BK36" t="s">
        <v>1412</v>
      </c>
      <c r="BL36" t="s">
        <v>1413</v>
      </c>
      <c r="BM36" t="s">
        <v>1354</v>
      </c>
      <c r="BN36" s="438">
        <v>1.221793852196742</v>
      </c>
      <c r="BO36" s="438">
        <v>1</v>
      </c>
      <c r="BR36">
        <v>1.4661526226360903E-2</v>
      </c>
      <c r="BS36">
        <v>5.1315341792263158E-2</v>
      </c>
      <c r="BT36">
        <v>5.1315341792263158E-2</v>
      </c>
      <c r="BU36">
        <v>1.4661526226360896E-2</v>
      </c>
      <c r="BV36">
        <v>1.4661526226360896E-2</v>
      </c>
      <c r="BW36">
        <v>1.4661526226360896E-2</v>
      </c>
      <c r="BX36">
        <v>1.4661526226360896E-2</v>
      </c>
      <c r="BY36">
        <v>4.8871754087869701E-3</v>
      </c>
      <c r="BZ36">
        <v>4.8871754087869701E-3</v>
      </c>
      <c r="CA36">
        <v>4.8871754087869701E-3</v>
      </c>
      <c r="CB36">
        <v>4.8871754087869701E-3</v>
      </c>
      <c r="CC36">
        <v>4.8871754087869701E-3</v>
      </c>
      <c r="CD36">
        <v>4.8871754087869701E-3</v>
      </c>
      <c r="CE36">
        <v>4.8871754087869701E-3</v>
      </c>
      <c r="CF36">
        <v>4.8871754087869701E-3</v>
      </c>
      <c r="CG36">
        <v>4.8871754087869701E-3</v>
      </c>
      <c r="CI36">
        <v>3.6653815565902258E-3</v>
      </c>
      <c r="CJ36">
        <v>1.282883544806579E-2</v>
      </c>
      <c r="CK36">
        <v>1.282883544806579E-2</v>
      </c>
      <c r="CL36">
        <v>3.6653815565902241E-3</v>
      </c>
      <c r="CM36">
        <v>3.6653815565902241E-3</v>
      </c>
      <c r="CN36">
        <v>3.6653815565902241E-3</v>
      </c>
      <c r="CO36">
        <v>3.6653815565902241E-3</v>
      </c>
      <c r="CP36">
        <v>1.2217938521967425E-3</v>
      </c>
      <c r="CQ36">
        <v>1.2217938521967425E-3</v>
      </c>
      <c r="CR36">
        <v>1.2217938521967425E-3</v>
      </c>
      <c r="CS36">
        <v>1.2217938521967425E-3</v>
      </c>
      <c r="CT36">
        <v>1.2217938521967425E-3</v>
      </c>
      <c r="CU36">
        <v>1.2217938521967425E-3</v>
      </c>
      <c r="CV36">
        <v>1.2217938521967425E-3</v>
      </c>
      <c r="CW36">
        <v>1.2217938521967425E-3</v>
      </c>
      <c r="CX36">
        <v>1.2217938521967425E-3</v>
      </c>
      <c r="CZ36">
        <v>1.221793852196742E-2</v>
      </c>
      <c r="DA36">
        <v>4.2762784826885968E-2</v>
      </c>
      <c r="DB36">
        <v>4.2762784826885968E-2</v>
      </c>
      <c r="DC36">
        <v>1.2217938521967418E-2</v>
      </c>
      <c r="DD36">
        <v>1.2217938521967418E-2</v>
      </c>
      <c r="DE36">
        <v>1.2217938521967411E-2</v>
      </c>
      <c r="DF36">
        <v>1.2217938521967411E-2</v>
      </c>
      <c r="DG36">
        <v>4.0726461739891417E-3</v>
      </c>
      <c r="DH36">
        <v>4.0726461739891417E-3</v>
      </c>
      <c r="DI36">
        <v>4.0726461739891417E-3</v>
      </c>
      <c r="DJ36">
        <v>4.0726461739891417E-3</v>
      </c>
      <c r="DK36">
        <v>4.0726461739891417E-3</v>
      </c>
      <c r="DL36">
        <v>4.0726461739891417E-3</v>
      </c>
      <c r="DM36">
        <v>4.0726461739891417E-3</v>
      </c>
      <c r="DN36">
        <v>4.0726461739891417E-3</v>
      </c>
      <c r="DO36">
        <v>4.0726461739891417E-3</v>
      </c>
    </row>
    <row r="37" spans="61:119">
      <c r="BI37" t="str">
        <f t="shared" si="54"/>
        <v>427341159099CORP</v>
      </c>
      <c r="BJ37" s="426">
        <v>42734</v>
      </c>
      <c r="BK37" t="s">
        <v>1365</v>
      </c>
      <c r="BL37" t="s">
        <v>1373</v>
      </c>
      <c r="BM37" t="s">
        <v>1356</v>
      </c>
      <c r="BN37" s="438">
        <v>1.0764255850486526</v>
      </c>
      <c r="BO37" s="438">
        <v>3.288763596191744E-2</v>
      </c>
      <c r="BR37">
        <v>2.9431894525738796E-2</v>
      </c>
      <c r="BS37">
        <v>0.10357804832458456</v>
      </c>
      <c r="BT37">
        <v>0.10357804832458456</v>
      </c>
      <c r="BU37">
        <v>3.0281520752486968E-2</v>
      </c>
      <c r="BV37">
        <v>3.0281520752486968E-2</v>
      </c>
      <c r="BW37">
        <v>2.9715103267988152E-2</v>
      </c>
      <c r="BX37">
        <v>2.9715103267988152E-2</v>
      </c>
      <c r="BY37">
        <v>9.9050344226627365E-3</v>
      </c>
      <c r="BZ37">
        <v>9.9050344226627365E-3</v>
      </c>
      <c r="CA37">
        <v>9.9050344226627365E-3</v>
      </c>
      <c r="CB37">
        <v>9.9050344226627365E-3</v>
      </c>
      <c r="CC37">
        <v>9.9050344226627365E-3</v>
      </c>
      <c r="CD37">
        <v>9.9050344226627365E-3</v>
      </c>
      <c r="CE37">
        <v>9.9050344226627365E-3</v>
      </c>
      <c r="CF37">
        <v>9.9050344226627365E-3</v>
      </c>
      <c r="CG37">
        <v>9.9050344226627365E-3</v>
      </c>
      <c r="CI37">
        <v>2.5232395463887704E-2</v>
      </c>
      <c r="CJ37">
        <v>8.8808999422543403E-2</v>
      </c>
      <c r="CK37">
        <v>8.8808999422543403E-2</v>
      </c>
      <c r="CL37">
        <v>2.5975818412292351E-2</v>
      </c>
      <c r="CM37">
        <v>2.5975818412292351E-2</v>
      </c>
      <c r="CN37">
        <v>2.5480203113355915E-2</v>
      </c>
      <c r="CO37">
        <v>2.5480203113355915E-2</v>
      </c>
      <c r="CP37">
        <v>8.4934010377853107E-3</v>
      </c>
      <c r="CQ37">
        <v>8.4934010377853107E-3</v>
      </c>
      <c r="CR37">
        <v>8.4934010377853107E-3</v>
      </c>
      <c r="CS37">
        <v>8.4934010377853107E-3</v>
      </c>
      <c r="CT37">
        <v>8.4934010377853107E-3</v>
      </c>
      <c r="CU37">
        <v>8.4934010377853107E-3</v>
      </c>
      <c r="CV37">
        <v>8.4934010377853107E-3</v>
      </c>
      <c r="CW37">
        <v>8.4934010377853107E-3</v>
      </c>
      <c r="CX37">
        <v>8.4934010377853107E-3</v>
      </c>
      <c r="CZ37">
        <v>1.5792372847918047E-2</v>
      </c>
      <c r="DA37">
        <v>5.5627315895524915E-2</v>
      </c>
      <c r="DB37">
        <v>5.5627315895524915E-2</v>
      </c>
      <c r="DC37">
        <v>1.6323389239635652E-2</v>
      </c>
      <c r="DD37">
        <v>1.6323389239635652E-2</v>
      </c>
      <c r="DE37">
        <v>1.596937831182392E-2</v>
      </c>
      <c r="DF37">
        <v>1.596937831182392E-2</v>
      </c>
      <c r="DG37">
        <v>5.3231261039413079E-3</v>
      </c>
      <c r="DH37">
        <v>5.3231261039413079E-3</v>
      </c>
      <c r="DI37">
        <v>5.3231261039413079E-3</v>
      </c>
      <c r="DJ37">
        <v>5.3231261039413079E-3</v>
      </c>
      <c r="DK37">
        <v>5.3231261039413079E-3</v>
      </c>
      <c r="DL37">
        <v>5.3231261039413079E-3</v>
      </c>
      <c r="DM37">
        <v>5.3231261039413079E-3</v>
      </c>
      <c r="DN37">
        <v>5.3231261039413079E-3</v>
      </c>
      <c r="DO37">
        <v>5.3231261039413079E-3</v>
      </c>
    </row>
    <row r="38" spans="61:119">
      <c r="BI38" t="str">
        <f t="shared" si="54"/>
        <v>427341141467FI</v>
      </c>
      <c r="BJ38" s="426">
        <v>42734</v>
      </c>
      <c r="BK38" t="s">
        <v>1375</v>
      </c>
      <c r="BL38" t="s">
        <v>1376</v>
      </c>
      <c r="BM38" t="s">
        <v>1355</v>
      </c>
      <c r="BN38" s="438">
        <v>2</v>
      </c>
      <c r="BO38" s="438">
        <v>1</v>
      </c>
      <c r="BR38">
        <v>4.6000000000000006E-2</v>
      </c>
      <c r="BS38">
        <v>0.16100000000000003</v>
      </c>
      <c r="BT38">
        <v>0.16100000000000003</v>
      </c>
      <c r="BU38">
        <v>4.5999999999999985E-2</v>
      </c>
      <c r="BV38">
        <v>4.5999999999999985E-2</v>
      </c>
      <c r="BW38">
        <v>4.6000000000000013E-2</v>
      </c>
      <c r="BX38">
        <v>4.6000000000000013E-2</v>
      </c>
      <c r="BY38">
        <v>1.5333333333333334E-2</v>
      </c>
      <c r="BZ38">
        <v>1.5333333333333334E-2</v>
      </c>
      <c r="CA38">
        <v>1.5333333333333334E-2</v>
      </c>
      <c r="CB38">
        <v>1.5333333333333334E-2</v>
      </c>
      <c r="CC38">
        <v>1.5333333333333334E-2</v>
      </c>
      <c r="CD38">
        <v>1.5333333333333334E-2</v>
      </c>
      <c r="CE38">
        <v>1.5333333333333334E-2</v>
      </c>
      <c r="CF38">
        <v>1.5333333333333334E-2</v>
      </c>
      <c r="CG38">
        <v>1.5333333333333334E-2</v>
      </c>
      <c r="CI38">
        <v>4.0000000000000008E-2</v>
      </c>
      <c r="CJ38">
        <v>0.14000000000000001</v>
      </c>
      <c r="CK38">
        <v>0.14000000000000001</v>
      </c>
      <c r="CL38">
        <v>3.999999999999998E-2</v>
      </c>
      <c r="CM38">
        <v>3.999999999999998E-2</v>
      </c>
      <c r="CN38">
        <v>3.999999999999998E-2</v>
      </c>
      <c r="CO38">
        <v>3.999999999999998E-2</v>
      </c>
      <c r="CP38">
        <v>1.3333333333333345E-2</v>
      </c>
      <c r="CQ38">
        <v>1.3333333333333345E-2</v>
      </c>
      <c r="CR38">
        <v>1.3333333333333345E-2</v>
      </c>
      <c r="CS38">
        <v>1.3333333333333345E-2</v>
      </c>
      <c r="CT38">
        <v>1.3333333333333345E-2</v>
      </c>
      <c r="CU38">
        <v>1.3333333333333345E-2</v>
      </c>
      <c r="CV38">
        <v>1.3333333333333345E-2</v>
      </c>
      <c r="CW38">
        <v>1.3333333333333345E-2</v>
      </c>
      <c r="CX38">
        <v>1.3333333333333345E-2</v>
      </c>
      <c r="CZ38">
        <v>0.03</v>
      </c>
      <c r="DA38">
        <v>0.105</v>
      </c>
      <c r="DB38">
        <v>0.105</v>
      </c>
      <c r="DC38">
        <v>0.03</v>
      </c>
      <c r="DD38">
        <v>0.03</v>
      </c>
      <c r="DE38">
        <v>0.03</v>
      </c>
      <c r="DF38">
        <v>0.03</v>
      </c>
      <c r="DG38">
        <v>9.9999999999999967E-3</v>
      </c>
      <c r="DH38">
        <v>9.9999999999999967E-3</v>
      </c>
      <c r="DI38">
        <v>9.9999999999999967E-3</v>
      </c>
      <c r="DJ38">
        <v>9.9999999999999967E-3</v>
      </c>
      <c r="DK38">
        <v>9.9999999999999967E-3</v>
      </c>
      <c r="DL38">
        <v>9.9999999999999967E-3</v>
      </c>
      <c r="DM38">
        <v>9.9999999999999967E-3</v>
      </c>
      <c r="DN38">
        <v>9.9999999999999967E-3</v>
      </c>
      <c r="DO38">
        <v>9.9999999999999967E-3</v>
      </c>
    </row>
    <row r="39" spans="61:119">
      <c r="BI39" t="str">
        <f t="shared" si="54"/>
        <v>42734CORP</v>
      </c>
      <c r="BJ39" s="426">
        <v>42734</v>
      </c>
      <c r="BM39" t="s">
        <v>1356</v>
      </c>
      <c r="BN39" s="438">
        <v>1</v>
      </c>
      <c r="BO39" s="438">
        <v>1</v>
      </c>
      <c r="BR39">
        <v>8.0000000000000002E-3</v>
      </c>
      <c r="BS39">
        <v>4.3999999999999997E-2</v>
      </c>
      <c r="BT39">
        <v>4.3999999999999997E-2</v>
      </c>
      <c r="BU39">
        <v>3.2000000000000001E-2</v>
      </c>
      <c r="BV39">
        <v>3.2000000000000001E-2</v>
      </c>
      <c r="BW39">
        <v>1.6E-2</v>
      </c>
      <c r="BX39">
        <v>1.6E-2</v>
      </c>
      <c r="BY39">
        <v>5.3333333333333323E-3</v>
      </c>
      <c r="BZ39">
        <v>5.3333333333333323E-3</v>
      </c>
      <c r="CA39">
        <v>5.3333333333333323E-3</v>
      </c>
      <c r="CB39">
        <v>5.3333333333333323E-3</v>
      </c>
      <c r="CC39">
        <v>5.3333333333333323E-3</v>
      </c>
      <c r="CD39">
        <v>5.3333333333333323E-3</v>
      </c>
      <c r="CE39">
        <v>5.3333333333333323E-3</v>
      </c>
      <c r="CF39">
        <v>5.3333333333333323E-3</v>
      </c>
      <c r="CG39">
        <v>5.3333333333333323E-3</v>
      </c>
      <c r="CI39">
        <v>7.000000000000001E-3</v>
      </c>
      <c r="CJ39">
        <v>3.85E-2</v>
      </c>
      <c r="CK39">
        <v>3.85E-2</v>
      </c>
      <c r="CL39">
        <v>2.8000000000000004E-2</v>
      </c>
      <c r="CM39">
        <v>2.8000000000000004E-2</v>
      </c>
      <c r="CN39">
        <v>1.3999999999999999E-2</v>
      </c>
      <c r="CO39">
        <v>1.3999999999999999E-2</v>
      </c>
      <c r="CP39">
        <v>4.6666666666666679E-3</v>
      </c>
      <c r="CQ39">
        <v>4.6666666666666679E-3</v>
      </c>
      <c r="CR39">
        <v>4.6666666666666679E-3</v>
      </c>
      <c r="CS39">
        <v>4.6666666666666679E-3</v>
      </c>
      <c r="CT39">
        <v>4.6666666666666679E-3</v>
      </c>
      <c r="CU39">
        <v>4.6666666666666679E-3</v>
      </c>
      <c r="CV39">
        <v>4.6666666666666679E-3</v>
      </c>
      <c r="CW39">
        <v>4.6666666666666679E-3</v>
      </c>
      <c r="CX39">
        <v>4.6666666666666679E-3</v>
      </c>
      <c r="CZ39">
        <v>5.000000000000001E-3</v>
      </c>
      <c r="DA39">
        <v>2.7499999999999997E-2</v>
      </c>
      <c r="DB39">
        <v>2.7499999999999997E-2</v>
      </c>
      <c r="DC39">
        <v>2.0000000000000004E-2</v>
      </c>
      <c r="DD39">
        <v>2.0000000000000004E-2</v>
      </c>
      <c r="DE39">
        <v>9.999999999999995E-3</v>
      </c>
      <c r="DF39">
        <v>9.999999999999995E-3</v>
      </c>
      <c r="DG39">
        <v>3.3333333333333361E-3</v>
      </c>
      <c r="DH39">
        <v>3.3333333333333361E-3</v>
      </c>
      <c r="DI39">
        <v>3.3333333333333361E-3</v>
      </c>
      <c r="DJ39">
        <v>3.3333333333333361E-3</v>
      </c>
      <c r="DK39">
        <v>3.3333333333333361E-3</v>
      </c>
      <c r="DL39">
        <v>3.3333333333333361E-3</v>
      </c>
      <c r="DM39">
        <v>3.3333333333333361E-3</v>
      </c>
      <c r="DN39">
        <v>3.3333333333333361E-3</v>
      </c>
      <c r="DO39">
        <v>3.3333333333333361E-3</v>
      </c>
    </row>
    <row r="40" spans="61:119">
      <c r="BI40" t="str">
        <f t="shared" si="54"/>
        <v>42734ESCROW</v>
      </c>
      <c r="BJ40" s="426">
        <v>42734</v>
      </c>
      <c r="BM40" t="s">
        <v>1339</v>
      </c>
      <c r="BN40" s="438">
        <v>1</v>
      </c>
      <c r="BO40" s="438">
        <v>1</v>
      </c>
      <c r="BR40">
        <v>3.2000000000000001E-2</v>
      </c>
      <c r="BS40">
        <v>2.4E-2</v>
      </c>
      <c r="BT40">
        <v>2.4E-2</v>
      </c>
      <c r="BU40">
        <v>0.04</v>
      </c>
      <c r="BV40">
        <v>0.04</v>
      </c>
      <c r="BW40">
        <v>3.9999999999999994E-2</v>
      </c>
      <c r="BX40">
        <v>3.9999999999999994E-2</v>
      </c>
      <c r="BY40">
        <v>8.8888888888888906E-3</v>
      </c>
      <c r="BZ40">
        <v>8.8888888888888906E-3</v>
      </c>
      <c r="CA40">
        <v>8.8888888888888906E-3</v>
      </c>
      <c r="CB40">
        <v>8.8888888888888906E-3</v>
      </c>
      <c r="CC40">
        <v>8.8888888888888906E-3</v>
      </c>
      <c r="CD40">
        <v>8.8888888888888906E-3</v>
      </c>
      <c r="CE40">
        <v>8.8888888888888906E-3</v>
      </c>
      <c r="CF40">
        <v>8.8888888888888906E-3</v>
      </c>
      <c r="CG40">
        <v>8.8888888888888906E-3</v>
      </c>
      <c r="CI40">
        <v>2.8000000000000004E-2</v>
      </c>
      <c r="CJ40">
        <v>2.1000000000000001E-2</v>
      </c>
      <c r="CK40">
        <v>2.1000000000000001E-2</v>
      </c>
      <c r="CL40">
        <v>3.5000000000000003E-2</v>
      </c>
      <c r="CM40">
        <v>3.5000000000000003E-2</v>
      </c>
      <c r="CN40">
        <v>3.5000000000000003E-2</v>
      </c>
      <c r="CO40">
        <v>3.5000000000000003E-2</v>
      </c>
      <c r="CP40">
        <v>7.7777777777777784E-3</v>
      </c>
      <c r="CQ40">
        <v>7.7777777777777784E-3</v>
      </c>
      <c r="CR40">
        <v>7.7777777777777784E-3</v>
      </c>
      <c r="CS40">
        <v>7.7777777777777784E-3</v>
      </c>
      <c r="CT40">
        <v>7.7777777777777784E-3</v>
      </c>
      <c r="CU40">
        <v>7.7777777777777784E-3</v>
      </c>
      <c r="CV40">
        <v>7.7777777777777784E-3</v>
      </c>
      <c r="CW40">
        <v>7.7777777777777784E-3</v>
      </c>
      <c r="CX40">
        <v>7.7777777777777784E-3</v>
      </c>
      <c r="CZ40">
        <v>2.0000000000000004E-2</v>
      </c>
      <c r="DA40">
        <v>1.4999999999999999E-2</v>
      </c>
      <c r="DB40">
        <v>1.4999999999999999E-2</v>
      </c>
      <c r="DC40">
        <v>2.5000000000000001E-2</v>
      </c>
      <c r="DD40">
        <v>2.5000000000000001E-2</v>
      </c>
      <c r="DE40">
        <v>2.5000000000000008E-2</v>
      </c>
      <c r="DF40">
        <v>2.5000000000000008E-2</v>
      </c>
      <c r="DG40">
        <v>5.555555555555554E-3</v>
      </c>
      <c r="DH40">
        <v>5.555555555555554E-3</v>
      </c>
      <c r="DI40">
        <v>5.555555555555554E-3</v>
      </c>
      <c r="DJ40">
        <v>5.555555555555554E-3</v>
      </c>
      <c r="DK40">
        <v>5.555555555555554E-3</v>
      </c>
      <c r="DL40">
        <v>5.555555555555554E-3</v>
      </c>
      <c r="DM40">
        <v>5.555555555555554E-3</v>
      </c>
      <c r="DN40">
        <v>5.555555555555554E-3</v>
      </c>
      <c r="DO40">
        <v>5.555555555555554E-3</v>
      </c>
    </row>
    <row r="41" spans="61:119">
      <c r="BI41" t="str">
        <f t="shared" si="54"/>
        <v>42734FI</v>
      </c>
      <c r="BJ41" s="426">
        <v>42734</v>
      </c>
      <c r="BM41" t="s">
        <v>1355</v>
      </c>
      <c r="BN41" s="438">
        <v>1</v>
      </c>
      <c r="BO41" s="438">
        <v>1</v>
      </c>
      <c r="BR41">
        <v>2.3000000000000003E-2</v>
      </c>
      <c r="BS41">
        <v>8.0500000000000016E-2</v>
      </c>
      <c r="BT41">
        <v>8.0500000000000016E-2</v>
      </c>
      <c r="BU41">
        <v>2.2999999999999993E-2</v>
      </c>
      <c r="BV41">
        <v>2.2999999999999993E-2</v>
      </c>
      <c r="BW41">
        <v>2.3000000000000007E-2</v>
      </c>
      <c r="BX41">
        <v>2.3000000000000007E-2</v>
      </c>
      <c r="BY41">
        <v>7.6666666666666671E-3</v>
      </c>
      <c r="BZ41">
        <v>7.6666666666666671E-3</v>
      </c>
      <c r="CA41">
        <v>7.6666666666666671E-3</v>
      </c>
      <c r="CB41">
        <v>7.6666666666666671E-3</v>
      </c>
      <c r="CC41">
        <v>7.6666666666666671E-3</v>
      </c>
      <c r="CD41">
        <v>7.6666666666666671E-3</v>
      </c>
      <c r="CE41">
        <v>7.6666666666666671E-3</v>
      </c>
      <c r="CF41">
        <v>7.6666666666666671E-3</v>
      </c>
      <c r="CG41">
        <v>7.6666666666666671E-3</v>
      </c>
      <c r="CI41">
        <v>2.0000000000000004E-2</v>
      </c>
      <c r="CJ41">
        <v>7.0000000000000007E-2</v>
      </c>
      <c r="CK41">
        <v>7.0000000000000007E-2</v>
      </c>
      <c r="CL41">
        <v>1.999999999999999E-2</v>
      </c>
      <c r="CM41">
        <v>1.999999999999999E-2</v>
      </c>
      <c r="CN41">
        <v>1.999999999999999E-2</v>
      </c>
      <c r="CO41">
        <v>1.999999999999999E-2</v>
      </c>
      <c r="CP41">
        <v>6.6666666666666723E-3</v>
      </c>
      <c r="CQ41">
        <v>6.6666666666666723E-3</v>
      </c>
      <c r="CR41">
        <v>6.6666666666666723E-3</v>
      </c>
      <c r="CS41">
        <v>6.6666666666666723E-3</v>
      </c>
      <c r="CT41">
        <v>6.6666666666666723E-3</v>
      </c>
      <c r="CU41">
        <v>6.6666666666666723E-3</v>
      </c>
      <c r="CV41">
        <v>6.6666666666666723E-3</v>
      </c>
      <c r="CW41">
        <v>6.6666666666666723E-3</v>
      </c>
      <c r="CX41">
        <v>6.6666666666666723E-3</v>
      </c>
      <c r="CZ41">
        <v>1.4999999999999999E-2</v>
      </c>
      <c r="DA41">
        <v>5.2499999999999998E-2</v>
      </c>
      <c r="DB41">
        <v>5.2499999999999998E-2</v>
      </c>
      <c r="DC41">
        <v>1.4999999999999999E-2</v>
      </c>
      <c r="DD41">
        <v>1.4999999999999999E-2</v>
      </c>
      <c r="DE41">
        <v>1.4999999999999999E-2</v>
      </c>
      <c r="DF41">
        <v>1.4999999999999999E-2</v>
      </c>
      <c r="DG41">
        <v>4.9999999999999984E-3</v>
      </c>
      <c r="DH41">
        <v>4.9999999999999984E-3</v>
      </c>
      <c r="DI41">
        <v>4.9999999999999984E-3</v>
      </c>
      <c r="DJ41">
        <v>4.9999999999999984E-3</v>
      </c>
      <c r="DK41">
        <v>4.9999999999999984E-3</v>
      </c>
      <c r="DL41">
        <v>4.9999999999999984E-3</v>
      </c>
      <c r="DM41">
        <v>4.9999999999999984E-3</v>
      </c>
      <c r="DN41">
        <v>4.9999999999999984E-3</v>
      </c>
      <c r="DO41">
        <v>4.9999999999999984E-3</v>
      </c>
    </row>
    <row r="42" spans="61:119">
      <c r="BI42" t="str">
        <f t="shared" si="54"/>
        <v>42734AFF</v>
      </c>
      <c r="BJ42" s="426">
        <v>42734</v>
      </c>
      <c r="BM42" t="s">
        <v>1353</v>
      </c>
      <c r="BN42" s="438">
        <v>1</v>
      </c>
      <c r="BO42" s="438">
        <v>1</v>
      </c>
      <c r="BR42">
        <v>1.4999999999999999E-2</v>
      </c>
      <c r="BS42">
        <v>5.2499999999999998E-2</v>
      </c>
      <c r="BT42">
        <v>5.2499999999999998E-2</v>
      </c>
      <c r="BU42">
        <v>1.4999999999999999E-2</v>
      </c>
      <c r="BV42">
        <v>1.4999999999999999E-2</v>
      </c>
      <c r="BW42">
        <v>1.4999999999999999E-2</v>
      </c>
      <c r="BX42">
        <v>1.4999999999999999E-2</v>
      </c>
      <c r="BY42">
        <v>4.9999999999999984E-3</v>
      </c>
      <c r="BZ42">
        <v>4.9999999999999984E-3</v>
      </c>
      <c r="CA42">
        <v>4.9999999999999984E-3</v>
      </c>
      <c r="CB42">
        <v>4.9999999999999984E-3</v>
      </c>
      <c r="CC42">
        <v>4.9999999999999984E-3</v>
      </c>
      <c r="CD42">
        <v>4.9999999999999984E-3</v>
      </c>
      <c r="CE42">
        <v>4.9999999999999984E-3</v>
      </c>
      <c r="CF42">
        <v>4.9999999999999984E-3</v>
      </c>
      <c r="CG42">
        <v>4.9999999999999984E-3</v>
      </c>
      <c r="CI42">
        <v>1.2E-2</v>
      </c>
      <c r="CJ42">
        <v>4.2000000000000003E-2</v>
      </c>
      <c r="CK42">
        <v>4.2000000000000003E-2</v>
      </c>
      <c r="CL42">
        <v>1.1999999999999997E-2</v>
      </c>
      <c r="CM42">
        <v>1.1999999999999997E-2</v>
      </c>
      <c r="CN42">
        <v>1.1999999999999997E-2</v>
      </c>
      <c r="CO42">
        <v>1.1999999999999997E-2</v>
      </c>
      <c r="CP42">
        <v>4.0000000000000001E-3</v>
      </c>
      <c r="CQ42">
        <v>4.0000000000000001E-3</v>
      </c>
      <c r="CR42">
        <v>4.0000000000000001E-3</v>
      </c>
      <c r="CS42">
        <v>4.0000000000000001E-3</v>
      </c>
      <c r="CT42">
        <v>4.0000000000000001E-3</v>
      </c>
      <c r="CU42">
        <v>4.0000000000000001E-3</v>
      </c>
      <c r="CV42">
        <v>4.0000000000000001E-3</v>
      </c>
      <c r="CW42">
        <v>4.0000000000000001E-3</v>
      </c>
      <c r="CX42">
        <v>4.0000000000000001E-3</v>
      </c>
      <c r="CZ42">
        <v>5.000000000000001E-3</v>
      </c>
      <c r="DA42">
        <v>1.7500000000000002E-2</v>
      </c>
      <c r="DB42">
        <v>1.7500000000000002E-2</v>
      </c>
      <c r="DC42">
        <v>4.9999999999999975E-3</v>
      </c>
      <c r="DD42">
        <v>4.9999999999999975E-3</v>
      </c>
      <c r="DE42">
        <v>4.9999999999999975E-3</v>
      </c>
      <c r="DF42">
        <v>4.9999999999999975E-3</v>
      </c>
      <c r="DG42">
        <v>1.6666666666666681E-3</v>
      </c>
      <c r="DH42">
        <v>1.6666666666666681E-3</v>
      </c>
      <c r="DI42">
        <v>1.6666666666666681E-3</v>
      </c>
      <c r="DJ42">
        <v>1.6666666666666681E-3</v>
      </c>
      <c r="DK42">
        <v>1.6666666666666681E-3</v>
      </c>
      <c r="DL42">
        <v>1.6666666666666681E-3</v>
      </c>
      <c r="DM42">
        <v>1.6666666666666681E-3</v>
      </c>
      <c r="DN42">
        <v>1.6666666666666681E-3</v>
      </c>
      <c r="DO42">
        <v>1.6666666666666681E-3</v>
      </c>
    </row>
    <row r="43" spans="61:119">
      <c r="BI43" t="str">
        <f t="shared" si="54"/>
        <v>42734IB</v>
      </c>
      <c r="BJ43" s="426">
        <v>42734</v>
      </c>
      <c r="BM43" t="s">
        <v>1354</v>
      </c>
      <c r="BN43" s="438">
        <v>1</v>
      </c>
      <c r="BO43" s="438">
        <v>1</v>
      </c>
      <c r="BR43">
        <v>1.2E-2</v>
      </c>
      <c r="BS43">
        <v>4.2000000000000003E-2</v>
      </c>
      <c r="BT43">
        <v>4.2000000000000003E-2</v>
      </c>
      <c r="BU43">
        <v>1.1999999999999997E-2</v>
      </c>
      <c r="BV43">
        <v>1.1999999999999997E-2</v>
      </c>
      <c r="BW43">
        <v>1.1999999999999997E-2</v>
      </c>
      <c r="BX43">
        <v>1.1999999999999997E-2</v>
      </c>
      <c r="BY43">
        <v>4.0000000000000001E-3</v>
      </c>
      <c r="BZ43">
        <v>4.0000000000000001E-3</v>
      </c>
      <c r="CA43">
        <v>4.0000000000000001E-3</v>
      </c>
      <c r="CB43">
        <v>4.0000000000000001E-3</v>
      </c>
      <c r="CC43">
        <v>4.0000000000000001E-3</v>
      </c>
      <c r="CD43">
        <v>4.0000000000000001E-3</v>
      </c>
      <c r="CE43">
        <v>4.0000000000000001E-3</v>
      </c>
      <c r="CF43">
        <v>4.0000000000000001E-3</v>
      </c>
      <c r="CG43">
        <v>4.0000000000000001E-3</v>
      </c>
      <c r="CI43">
        <v>3.0000000000000001E-3</v>
      </c>
      <c r="CJ43">
        <v>1.0500000000000001E-2</v>
      </c>
      <c r="CK43">
        <v>1.0500000000000001E-2</v>
      </c>
      <c r="CL43">
        <v>2.9999999999999992E-3</v>
      </c>
      <c r="CM43">
        <v>2.9999999999999992E-3</v>
      </c>
      <c r="CN43">
        <v>2.9999999999999992E-3</v>
      </c>
      <c r="CO43">
        <v>2.9999999999999992E-3</v>
      </c>
      <c r="CP43">
        <v>1E-3</v>
      </c>
      <c r="CQ43">
        <v>1E-3</v>
      </c>
      <c r="CR43">
        <v>1E-3</v>
      </c>
      <c r="CS43">
        <v>1E-3</v>
      </c>
      <c r="CT43">
        <v>1E-3</v>
      </c>
      <c r="CU43">
        <v>1E-3</v>
      </c>
      <c r="CV43">
        <v>1E-3</v>
      </c>
      <c r="CW43">
        <v>1E-3</v>
      </c>
      <c r="CX43">
        <v>1E-3</v>
      </c>
      <c r="CZ43">
        <v>1.0000000000000002E-2</v>
      </c>
      <c r="DA43">
        <v>3.5000000000000003E-2</v>
      </c>
      <c r="DB43">
        <v>3.5000000000000003E-2</v>
      </c>
      <c r="DC43">
        <v>9.999999999999995E-3</v>
      </c>
      <c r="DD43">
        <v>9.999999999999995E-3</v>
      </c>
      <c r="DE43">
        <v>9.999999999999995E-3</v>
      </c>
      <c r="DF43">
        <v>9.999999999999995E-3</v>
      </c>
      <c r="DG43">
        <v>3.3333333333333361E-3</v>
      </c>
      <c r="DH43">
        <v>3.3333333333333361E-3</v>
      </c>
      <c r="DI43">
        <v>3.3333333333333361E-3</v>
      </c>
      <c r="DJ43">
        <v>3.3333333333333361E-3</v>
      </c>
      <c r="DK43">
        <v>3.3333333333333361E-3</v>
      </c>
      <c r="DL43">
        <v>3.3333333333333361E-3</v>
      </c>
      <c r="DM43">
        <v>3.3333333333333361E-3</v>
      </c>
      <c r="DN43">
        <v>3.3333333333333361E-3</v>
      </c>
      <c r="DO43">
        <v>3.3333333333333361E-3</v>
      </c>
    </row>
    <row r="44" spans="61:119">
      <c r="BI44" t="str">
        <f t="shared" si="54"/>
        <v>427661000526FI</v>
      </c>
      <c r="BJ44" s="426">
        <v>42766</v>
      </c>
      <c r="BK44" t="s">
        <v>1363</v>
      </c>
      <c r="BL44" t="s">
        <v>1368</v>
      </c>
      <c r="BM44" t="s">
        <v>1355</v>
      </c>
      <c r="BN44" s="438">
        <v>2</v>
      </c>
      <c r="BO44" s="438">
        <v>1</v>
      </c>
      <c r="BR44">
        <v>4.6000000000000006E-2</v>
      </c>
      <c r="BS44">
        <v>0.16100000000000003</v>
      </c>
      <c r="BT44">
        <v>0.16100000000000003</v>
      </c>
      <c r="BU44">
        <v>4.5999999999999985E-2</v>
      </c>
      <c r="BV44">
        <v>4.5999999999999985E-2</v>
      </c>
      <c r="BW44">
        <v>4.6000000000000013E-2</v>
      </c>
      <c r="BX44">
        <v>4.6000000000000013E-2</v>
      </c>
      <c r="BY44">
        <v>1.5333333333333334E-2</v>
      </c>
      <c r="BZ44">
        <v>1.5333333333333334E-2</v>
      </c>
      <c r="CA44">
        <v>1.5333333333333334E-2</v>
      </c>
      <c r="CB44">
        <v>1.5333333333333334E-2</v>
      </c>
      <c r="CC44">
        <v>1.5333333333333334E-2</v>
      </c>
      <c r="CD44">
        <v>1.5333333333333334E-2</v>
      </c>
      <c r="CE44">
        <v>1.5333333333333334E-2</v>
      </c>
      <c r="CF44">
        <v>1.5333333333333334E-2</v>
      </c>
      <c r="CG44">
        <v>1.5333333333333334E-2</v>
      </c>
      <c r="CI44">
        <v>4.0000000000000008E-2</v>
      </c>
      <c r="CJ44">
        <v>0.14000000000000001</v>
      </c>
      <c r="CK44">
        <v>0.14000000000000001</v>
      </c>
      <c r="CL44">
        <v>3.999999999999998E-2</v>
      </c>
      <c r="CM44">
        <v>3.999999999999998E-2</v>
      </c>
      <c r="CN44">
        <v>3.999999999999998E-2</v>
      </c>
      <c r="CO44">
        <v>3.999999999999998E-2</v>
      </c>
      <c r="CP44">
        <v>1.3333333333333345E-2</v>
      </c>
      <c r="CQ44">
        <v>1.3333333333333345E-2</v>
      </c>
      <c r="CR44">
        <v>1.3333333333333345E-2</v>
      </c>
      <c r="CS44">
        <v>1.3333333333333345E-2</v>
      </c>
      <c r="CT44">
        <v>1.3333333333333345E-2</v>
      </c>
      <c r="CU44">
        <v>1.3333333333333345E-2</v>
      </c>
      <c r="CV44">
        <v>1.3333333333333345E-2</v>
      </c>
      <c r="CW44">
        <v>1.3333333333333345E-2</v>
      </c>
      <c r="CX44">
        <v>1.3333333333333345E-2</v>
      </c>
      <c r="CZ44">
        <v>0.03</v>
      </c>
      <c r="DA44">
        <v>0.105</v>
      </c>
      <c r="DB44">
        <v>0.105</v>
      </c>
      <c r="DC44">
        <v>0.03</v>
      </c>
      <c r="DD44">
        <v>0.03</v>
      </c>
      <c r="DE44">
        <v>0.03</v>
      </c>
      <c r="DF44">
        <v>0.03</v>
      </c>
      <c r="DG44">
        <v>9.9999999999999967E-3</v>
      </c>
      <c r="DH44">
        <v>9.9999999999999967E-3</v>
      </c>
      <c r="DI44">
        <v>9.9999999999999967E-3</v>
      </c>
      <c r="DJ44">
        <v>9.9999999999999967E-3</v>
      </c>
      <c r="DK44">
        <v>9.9999999999999967E-3</v>
      </c>
      <c r="DL44">
        <v>9.9999999999999967E-3</v>
      </c>
      <c r="DM44">
        <v>9.9999999999999967E-3</v>
      </c>
      <c r="DN44">
        <v>9.9999999999999967E-3</v>
      </c>
      <c r="DO44">
        <v>9.9999999999999967E-3</v>
      </c>
    </row>
    <row r="45" spans="61:119">
      <c r="BI45" t="str">
        <f t="shared" si="54"/>
        <v>427661030623FI</v>
      </c>
      <c r="BJ45" s="426">
        <v>42766</v>
      </c>
      <c r="BK45" t="s">
        <v>1360</v>
      </c>
      <c r="BL45" t="s">
        <v>1369</v>
      </c>
      <c r="BM45" t="s">
        <v>1355</v>
      </c>
      <c r="BN45" s="438">
        <v>2</v>
      </c>
      <c r="BO45" s="438">
        <v>1</v>
      </c>
      <c r="BR45">
        <v>4.6000000000000006E-2</v>
      </c>
      <c r="BS45">
        <v>0.16100000000000003</v>
      </c>
      <c r="BT45">
        <v>0.16100000000000003</v>
      </c>
      <c r="BU45">
        <v>4.5999999999999985E-2</v>
      </c>
      <c r="BV45">
        <v>4.5999999999999985E-2</v>
      </c>
      <c r="BW45">
        <v>4.6000000000000013E-2</v>
      </c>
      <c r="BX45">
        <v>4.6000000000000013E-2</v>
      </c>
      <c r="BY45">
        <v>1.5333333333333334E-2</v>
      </c>
      <c r="BZ45">
        <v>1.5333333333333334E-2</v>
      </c>
      <c r="CA45">
        <v>1.5333333333333334E-2</v>
      </c>
      <c r="CB45">
        <v>1.5333333333333334E-2</v>
      </c>
      <c r="CC45">
        <v>1.5333333333333334E-2</v>
      </c>
      <c r="CD45">
        <v>1.5333333333333334E-2</v>
      </c>
      <c r="CE45">
        <v>1.5333333333333334E-2</v>
      </c>
      <c r="CF45">
        <v>1.5333333333333334E-2</v>
      </c>
      <c r="CG45">
        <v>1.5333333333333334E-2</v>
      </c>
      <c r="CI45">
        <v>4.0000000000000008E-2</v>
      </c>
      <c r="CJ45">
        <v>0.14000000000000001</v>
      </c>
      <c r="CK45">
        <v>0.14000000000000001</v>
      </c>
      <c r="CL45">
        <v>3.999999999999998E-2</v>
      </c>
      <c r="CM45">
        <v>3.999999999999998E-2</v>
      </c>
      <c r="CN45">
        <v>3.999999999999998E-2</v>
      </c>
      <c r="CO45">
        <v>3.999999999999998E-2</v>
      </c>
      <c r="CP45">
        <v>1.3333333333333345E-2</v>
      </c>
      <c r="CQ45">
        <v>1.3333333333333345E-2</v>
      </c>
      <c r="CR45">
        <v>1.3333333333333345E-2</v>
      </c>
      <c r="CS45">
        <v>1.3333333333333345E-2</v>
      </c>
      <c r="CT45">
        <v>1.3333333333333345E-2</v>
      </c>
      <c r="CU45">
        <v>1.3333333333333345E-2</v>
      </c>
      <c r="CV45">
        <v>1.3333333333333345E-2</v>
      </c>
      <c r="CW45">
        <v>1.3333333333333345E-2</v>
      </c>
      <c r="CX45">
        <v>1.3333333333333345E-2</v>
      </c>
      <c r="CZ45">
        <v>0.03</v>
      </c>
      <c r="DA45">
        <v>0.105</v>
      </c>
      <c r="DB45">
        <v>0.105</v>
      </c>
      <c r="DC45">
        <v>0.03</v>
      </c>
      <c r="DD45">
        <v>0.03</v>
      </c>
      <c r="DE45">
        <v>0.03</v>
      </c>
      <c r="DF45">
        <v>0.03</v>
      </c>
      <c r="DG45">
        <v>9.9999999999999967E-3</v>
      </c>
      <c r="DH45">
        <v>9.9999999999999967E-3</v>
      </c>
      <c r="DI45">
        <v>9.9999999999999967E-3</v>
      </c>
      <c r="DJ45">
        <v>9.9999999999999967E-3</v>
      </c>
      <c r="DK45">
        <v>9.9999999999999967E-3</v>
      </c>
      <c r="DL45">
        <v>9.9999999999999967E-3</v>
      </c>
      <c r="DM45">
        <v>9.9999999999999967E-3</v>
      </c>
      <c r="DN45">
        <v>9.9999999999999967E-3</v>
      </c>
      <c r="DO45">
        <v>9.9999999999999967E-3</v>
      </c>
    </row>
    <row r="46" spans="61:119">
      <c r="BI46" t="str">
        <f t="shared" si="54"/>
        <v>427661147542CME</v>
      </c>
      <c r="BJ46" s="426">
        <v>42766</v>
      </c>
      <c r="BK46" t="s">
        <v>1361</v>
      </c>
      <c r="BL46" t="s">
        <v>1370</v>
      </c>
      <c r="BM46" t="s">
        <v>1321</v>
      </c>
      <c r="BN46" s="438">
        <v>1.8777021001283185</v>
      </c>
      <c r="BO46" s="438">
        <v>1</v>
      </c>
      <c r="BR46">
        <v>0.15021616801026549</v>
      </c>
      <c r="BS46">
        <v>0.30043233602053099</v>
      </c>
      <c r="BT46">
        <v>0.30043233602053099</v>
      </c>
      <c r="BU46">
        <v>0</v>
      </c>
      <c r="BV46">
        <v>0</v>
      </c>
      <c r="BW46">
        <v>7.5108084005132747E-2</v>
      </c>
      <c r="BX46">
        <v>7.5108084005132747E-2</v>
      </c>
      <c r="BY46">
        <v>1.0966999104267449E-2</v>
      </c>
      <c r="BZ46">
        <v>1.0966999104267449E-2</v>
      </c>
      <c r="CA46">
        <v>1.0966999104267449E-2</v>
      </c>
      <c r="CB46">
        <v>1.0966999104267449E-2</v>
      </c>
      <c r="CC46">
        <v>1.0966999104267449E-2</v>
      </c>
      <c r="CD46">
        <v>1.0966999104267449E-2</v>
      </c>
      <c r="CE46">
        <v>1.0966999104267449E-2</v>
      </c>
      <c r="CF46">
        <v>1.0966999104267449E-2</v>
      </c>
      <c r="CG46">
        <v>1.0966999104267449E-2</v>
      </c>
      <c r="CI46">
        <v>0.13143914700898229</v>
      </c>
      <c r="CJ46">
        <v>0.26287829401796459</v>
      </c>
      <c r="CK46">
        <v>0.26287829401796459</v>
      </c>
      <c r="CL46">
        <v>0</v>
      </c>
      <c r="CM46">
        <v>0</v>
      </c>
      <c r="CN46">
        <v>6.5719573504491147E-2</v>
      </c>
      <c r="CO46">
        <v>6.5719573504491147E-2</v>
      </c>
      <c r="CP46">
        <v>2.1906524501497056E-2</v>
      </c>
      <c r="CQ46">
        <v>2.1906524501497056E-2</v>
      </c>
      <c r="CR46">
        <v>2.1906524501497056E-2</v>
      </c>
      <c r="CS46">
        <v>2.1906524501497056E-2</v>
      </c>
      <c r="CT46">
        <v>2.1906524501497056E-2</v>
      </c>
      <c r="CU46">
        <v>2.1906524501497056E-2</v>
      </c>
      <c r="CV46">
        <v>2.1906524501497056E-2</v>
      </c>
      <c r="CW46">
        <v>2.1906524501497056E-2</v>
      </c>
      <c r="CX46">
        <v>2.1906524501497056E-2</v>
      </c>
      <c r="CZ46">
        <v>7.5108084005132747E-2</v>
      </c>
      <c r="DA46">
        <v>0.15021616801026549</v>
      </c>
      <c r="DB46">
        <v>0.15021616801026549</v>
      </c>
      <c r="DC46">
        <v>0</v>
      </c>
      <c r="DD46">
        <v>0</v>
      </c>
      <c r="DE46">
        <v>3.7554042002566373E-2</v>
      </c>
      <c r="DF46">
        <v>3.7554042002566373E-2</v>
      </c>
      <c r="DG46">
        <v>1.2518014000855456E-2</v>
      </c>
      <c r="DH46">
        <v>1.2518014000855456E-2</v>
      </c>
      <c r="DI46">
        <v>1.2518014000855456E-2</v>
      </c>
      <c r="DJ46">
        <v>1.2518014000855456E-2</v>
      </c>
      <c r="DK46">
        <v>1.2518014000855456E-2</v>
      </c>
      <c r="DL46">
        <v>1.2518014000855456E-2</v>
      </c>
      <c r="DM46">
        <v>1.2518014000855456E-2</v>
      </c>
      <c r="DN46">
        <v>1.2518014000855456E-2</v>
      </c>
      <c r="DO46">
        <v>1.2518014000855456E-2</v>
      </c>
    </row>
    <row r="47" spans="61:119">
      <c r="BI47" t="str">
        <f t="shared" si="54"/>
        <v>427661000790IB</v>
      </c>
      <c r="BJ47" s="426">
        <v>42766</v>
      </c>
      <c r="BK47" t="s">
        <v>1358</v>
      </c>
      <c r="BL47" t="s">
        <v>1371</v>
      </c>
      <c r="BM47" t="s">
        <v>1354</v>
      </c>
      <c r="BN47" s="438">
        <v>1.5422175238193838</v>
      </c>
      <c r="BO47" s="438">
        <v>1</v>
      </c>
      <c r="BR47">
        <v>1.8506610285832607E-2</v>
      </c>
      <c r="BS47">
        <v>6.4773136000414122E-2</v>
      </c>
      <c r="BT47">
        <v>6.4773136000414122E-2</v>
      </c>
      <c r="BU47">
        <v>1.85066102858326E-2</v>
      </c>
      <c r="BV47">
        <v>1.85066102858326E-2</v>
      </c>
      <c r="BW47">
        <v>1.85066102858326E-2</v>
      </c>
      <c r="BX47">
        <v>1.85066102858326E-2</v>
      </c>
      <c r="BY47">
        <v>6.1688700952775384E-3</v>
      </c>
      <c r="BZ47">
        <v>6.1688700952775384E-3</v>
      </c>
      <c r="CA47">
        <v>6.1688700952775384E-3</v>
      </c>
      <c r="CB47">
        <v>6.1688700952775384E-3</v>
      </c>
      <c r="CC47">
        <v>6.1688700952775384E-3</v>
      </c>
      <c r="CD47">
        <v>6.1688700952775384E-3</v>
      </c>
      <c r="CE47">
        <v>6.1688700952775384E-3</v>
      </c>
      <c r="CF47">
        <v>6.1688700952775384E-3</v>
      </c>
      <c r="CG47">
        <v>6.1688700952775384E-3</v>
      </c>
      <c r="CI47">
        <v>4.6266525714581518E-3</v>
      </c>
      <c r="CJ47">
        <v>1.6193284000103531E-2</v>
      </c>
      <c r="CK47">
        <v>1.6193284000103531E-2</v>
      </c>
      <c r="CL47">
        <v>4.6266525714581501E-3</v>
      </c>
      <c r="CM47">
        <v>4.6266525714581501E-3</v>
      </c>
      <c r="CN47">
        <v>4.6266525714581501E-3</v>
      </c>
      <c r="CO47">
        <v>4.6266525714581501E-3</v>
      </c>
      <c r="CP47">
        <v>1.5422175238193846E-3</v>
      </c>
      <c r="CQ47">
        <v>1.5422175238193846E-3</v>
      </c>
      <c r="CR47">
        <v>1.5422175238193846E-3</v>
      </c>
      <c r="CS47">
        <v>1.5422175238193846E-3</v>
      </c>
      <c r="CT47">
        <v>1.5422175238193846E-3</v>
      </c>
      <c r="CU47">
        <v>1.5422175238193846E-3</v>
      </c>
      <c r="CV47">
        <v>1.5422175238193846E-3</v>
      </c>
      <c r="CW47">
        <v>1.5422175238193846E-3</v>
      </c>
      <c r="CX47">
        <v>1.5422175238193846E-3</v>
      </c>
      <c r="CZ47">
        <v>1.5422175238193839E-2</v>
      </c>
      <c r="DA47">
        <v>5.397761333367844E-2</v>
      </c>
      <c r="DB47">
        <v>5.397761333367844E-2</v>
      </c>
      <c r="DC47">
        <v>1.5422175238193836E-2</v>
      </c>
      <c r="DD47">
        <v>1.5422175238193836E-2</v>
      </c>
      <c r="DE47">
        <v>1.5422175238193836E-2</v>
      </c>
      <c r="DF47">
        <v>1.5422175238193836E-2</v>
      </c>
      <c r="DG47">
        <v>5.1407250793979488E-3</v>
      </c>
      <c r="DH47">
        <v>5.1407250793979488E-3</v>
      </c>
      <c r="DI47">
        <v>5.1407250793979488E-3</v>
      </c>
      <c r="DJ47">
        <v>5.1407250793979488E-3</v>
      </c>
      <c r="DK47">
        <v>5.1407250793979488E-3</v>
      </c>
      <c r="DL47">
        <v>5.1407250793979488E-3</v>
      </c>
      <c r="DM47">
        <v>5.1407250793979488E-3</v>
      </c>
      <c r="DN47">
        <v>5.1407250793979488E-3</v>
      </c>
      <c r="DO47">
        <v>5.1407250793979488E-3</v>
      </c>
    </row>
    <row r="48" spans="61:119">
      <c r="BI48" t="str">
        <f t="shared" si="54"/>
        <v>427661126198FI</v>
      </c>
      <c r="BJ48" s="426">
        <v>42766</v>
      </c>
      <c r="BK48" t="s">
        <v>1359</v>
      </c>
      <c r="BL48" t="s">
        <v>1367</v>
      </c>
      <c r="BM48" t="s">
        <v>1355</v>
      </c>
      <c r="BN48" s="438">
        <v>1.4233757706714472</v>
      </c>
      <c r="BO48" s="438">
        <v>1</v>
      </c>
      <c r="BR48">
        <v>3.2737642725443286E-2</v>
      </c>
      <c r="BS48">
        <v>0.11458174953905151</v>
      </c>
      <c r="BT48">
        <v>0.11458174953905151</v>
      </c>
      <c r="BU48">
        <v>3.2737642725443272E-2</v>
      </c>
      <c r="BV48">
        <v>3.2737642725443272E-2</v>
      </c>
      <c r="BW48">
        <v>3.2737642725443272E-2</v>
      </c>
      <c r="BX48">
        <v>3.2737642725443272E-2</v>
      </c>
      <c r="BY48">
        <v>1.0912547575147764E-2</v>
      </c>
      <c r="BZ48">
        <v>1.0912547575147764E-2</v>
      </c>
      <c r="CA48">
        <v>1.0912547575147764E-2</v>
      </c>
      <c r="CB48">
        <v>1.0912547575147764E-2</v>
      </c>
      <c r="CC48">
        <v>1.0912547575147764E-2</v>
      </c>
      <c r="CD48">
        <v>1.0912547575147764E-2</v>
      </c>
      <c r="CE48">
        <v>1.0912547575147764E-2</v>
      </c>
      <c r="CF48">
        <v>1.0912547575147764E-2</v>
      </c>
      <c r="CG48">
        <v>1.0912547575147764E-2</v>
      </c>
      <c r="CI48">
        <v>2.8467515413428946E-2</v>
      </c>
      <c r="CJ48">
        <v>9.9636303947001306E-2</v>
      </c>
      <c r="CK48">
        <v>9.9636303947001306E-2</v>
      </c>
      <c r="CL48">
        <v>2.8467515413428943E-2</v>
      </c>
      <c r="CM48">
        <v>2.8467515413428943E-2</v>
      </c>
      <c r="CN48">
        <v>2.8467515413428929E-2</v>
      </c>
      <c r="CO48">
        <v>2.8467515413428929E-2</v>
      </c>
      <c r="CP48">
        <v>9.4891718044763183E-3</v>
      </c>
      <c r="CQ48">
        <v>9.4891718044763183E-3</v>
      </c>
      <c r="CR48">
        <v>9.4891718044763183E-3</v>
      </c>
      <c r="CS48">
        <v>9.4891718044763183E-3</v>
      </c>
      <c r="CT48">
        <v>9.4891718044763183E-3</v>
      </c>
      <c r="CU48">
        <v>9.4891718044763183E-3</v>
      </c>
      <c r="CV48">
        <v>9.4891718044763183E-3</v>
      </c>
      <c r="CW48">
        <v>9.4891718044763183E-3</v>
      </c>
      <c r="CX48">
        <v>9.4891718044763183E-3</v>
      </c>
      <c r="CZ48">
        <v>2.1350636560071707E-2</v>
      </c>
      <c r="DA48">
        <v>7.4727227960250969E-2</v>
      </c>
      <c r="DB48">
        <v>7.4727227960250969E-2</v>
      </c>
      <c r="DC48">
        <v>2.1350636560071704E-2</v>
      </c>
      <c r="DD48">
        <v>2.1350636560071704E-2</v>
      </c>
      <c r="DE48">
        <v>2.135063656007169E-2</v>
      </c>
      <c r="DF48">
        <v>2.135063656007169E-2</v>
      </c>
      <c r="DG48">
        <v>7.1168788533572426E-3</v>
      </c>
      <c r="DH48">
        <v>7.1168788533572426E-3</v>
      </c>
      <c r="DI48">
        <v>7.1168788533572426E-3</v>
      </c>
      <c r="DJ48">
        <v>7.1168788533572426E-3</v>
      </c>
      <c r="DK48">
        <v>7.1168788533572426E-3</v>
      </c>
      <c r="DL48">
        <v>7.1168788533572426E-3</v>
      </c>
      <c r="DM48">
        <v>7.1168788533572426E-3</v>
      </c>
      <c r="DN48">
        <v>7.1168788533572426E-3</v>
      </c>
      <c r="DO48">
        <v>7.1168788533572426E-3</v>
      </c>
    </row>
    <row r="49" spans="61:119">
      <c r="BI49" t="str">
        <f t="shared" si="54"/>
        <v>427661151227FI</v>
      </c>
      <c r="BJ49" s="426">
        <v>42766</v>
      </c>
      <c r="BK49" t="s">
        <v>1362</v>
      </c>
      <c r="BL49" t="s">
        <v>1372</v>
      </c>
      <c r="BM49" t="s">
        <v>1355</v>
      </c>
      <c r="BN49" s="438">
        <v>1.2254045407372454</v>
      </c>
      <c r="BO49" s="438">
        <v>0.57264437139872004</v>
      </c>
      <c r="BR49">
        <v>7.6886872522136065E-2</v>
      </c>
      <c r="BS49">
        <v>0.17798311999068891</v>
      </c>
      <c r="BT49">
        <v>0.17798311999068891</v>
      </c>
      <c r="BU49">
        <v>1.6139583297611199E-2</v>
      </c>
      <c r="BV49">
        <v>1.6139583297611199E-2</v>
      </c>
      <c r="BW49">
        <v>4.6513227909873639E-2</v>
      </c>
      <c r="BX49">
        <v>4.6513227909873639E-2</v>
      </c>
      <c r="BY49">
        <v>1.236562701632936E-2</v>
      </c>
      <c r="BZ49">
        <v>1.236562701632936E-2</v>
      </c>
      <c r="CA49">
        <v>1.236562701632936E-2</v>
      </c>
      <c r="CB49">
        <v>1.236562701632936E-2</v>
      </c>
      <c r="CC49">
        <v>1.236562701632936E-2</v>
      </c>
      <c r="CD49">
        <v>1.236562701632936E-2</v>
      </c>
      <c r="CE49">
        <v>1.236562701632936E-2</v>
      </c>
      <c r="CF49">
        <v>1.236562701632936E-2</v>
      </c>
      <c r="CG49">
        <v>1.236562701632936E-2</v>
      </c>
      <c r="CI49">
        <v>7.1639608316531461E-2</v>
      </c>
      <c r="CJ49">
        <v>0.16433084702125145</v>
      </c>
      <c r="CK49">
        <v>0.16433084702125145</v>
      </c>
      <c r="CL49">
        <v>1.4034420258792313E-2</v>
      </c>
      <c r="CM49">
        <v>1.4034420258792313E-2</v>
      </c>
      <c r="CN49">
        <v>4.2837014287661901E-2</v>
      </c>
      <c r="CO49">
        <v>4.2837014287661901E-2</v>
      </c>
      <c r="CP49">
        <v>1.3758640114580254E-2</v>
      </c>
      <c r="CQ49">
        <v>1.3758640114580254E-2</v>
      </c>
      <c r="CR49">
        <v>1.3758640114580254E-2</v>
      </c>
      <c r="CS49">
        <v>1.3758640114580254E-2</v>
      </c>
      <c r="CT49">
        <v>1.3758640114580254E-2</v>
      </c>
      <c r="CU49">
        <v>1.3758640114580254E-2</v>
      </c>
      <c r="CV49">
        <v>1.3758640114580254E-2</v>
      </c>
      <c r="CW49">
        <v>1.3758640114580254E-2</v>
      </c>
      <c r="CX49">
        <v>1.3758640114580254E-2</v>
      </c>
      <c r="CZ49">
        <v>3.6709991583975671E-2</v>
      </c>
      <c r="DA49">
        <v>8.9208705959092721E-2</v>
      </c>
      <c r="DB49">
        <v>8.9208705959092721E-2</v>
      </c>
      <c r="DC49">
        <v>1.0525815194094248E-2</v>
      </c>
      <c r="DD49">
        <v>1.0525815194094248E-2</v>
      </c>
      <c r="DE49">
        <v>2.3617903389034967E-2</v>
      </c>
      <c r="DF49">
        <v>2.3617903389034967E-2</v>
      </c>
      <c r="DG49">
        <v>7.8726344630116549E-3</v>
      </c>
      <c r="DH49">
        <v>7.8726344630116549E-3</v>
      </c>
      <c r="DI49">
        <v>7.8726344630116549E-3</v>
      </c>
      <c r="DJ49">
        <v>7.8726344630116549E-3</v>
      </c>
      <c r="DK49">
        <v>7.8726344630116549E-3</v>
      </c>
      <c r="DL49">
        <v>7.8726344630116549E-3</v>
      </c>
      <c r="DM49">
        <v>7.8726344630116549E-3</v>
      </c>
      <c r="DN49">
        <v>7.8726344630116549E-3</v>
      </c>
      <c r="DO49">
        <v>7.8726344630116549E-3</v>
      </c>
    </row>
    <row r="50" spans="61:119">
      <c r="BI50" t="str">
        <f t="shared" si="54"/>
        <v>427661141467FI</v>
      </c>
      <c r="BJ50" s="426">
        <v>42766</v>
      </c>
      <c r="BK50" t="s">
        <v>1375</v>
      </c>
      <c r="BL50" t="s">
        <v>1376</v>
      </c>
      <c r="BM50" t="s">
        <v>1355</v>
      </c>
      <c r="BN50" s="438">
        <v>2</v>
      </c>
      <c r="BO50" s="438">
        <v>1</v>
      </c>
      <c r="BR50">
        <v>4.6000000000000006E-2</v>
      </c>
      <c r="BS50">
        <v>0.16100000000000003</v>
      </c>
      <c r="BT50">
        <v>0.16100000000000003</v>
      </c>
      <c r="BU50">
        <v>4.5999999999999985E-2</v>
      </c>
      <c r="BV50">
        <v>4.5999999999999985E-2</v>
      </c>
      <c r="BW50">
        <v>4.6000000000000013E-2</v>
      </c>
      <c r="BX50">
        <v>4.6000000000000013E-2</v>
      </c>
      <c r="BY50">
        <v>1.5333333333333334E-2</v>
      </c>
      <c r="BZ50">
        <v>1.5333333333333334E-2</v>
      </c>
      <c r="CA50">
        <v>1.5333333333333334E-2</v>
      </c>
      <c r="CB50">
        <v>1.5333333333333334E-2</v>
      </c>
      <c r="CC50">
        <v>1.5333333333333334E-2</v>
      </c>
      <c r="CD50">
        <v>1.5333333333333334E-2</v>
      </c>
      <c r="CE50">
        <v>1.5333333333333334E-2</v>
      </c>
      <c r="CF50">
        <v>1.5333333333333334E-2</v>
      </c>
      <c r="CG50">
        <v>1.5333333333333334E-2</v>
      </c>
      <c r="CI50">
        <v>4.0000000000000008E-2</v>
      </c>
      <c r="CJ50">
        <v>0.14000000000000001</v>
      </c>
      <c r="CK50">
        <v>0.14000000000000001</v>
      </c>
      <c r="CL50">
        <v>3.999999999999998E-2</v>
      </c>
      <c r="CM50">
        <v>3.999999999999998E-2</v>
      </c>
      <c r="CN50">
        <v>3.999999999999998E-2</v>
      </c>
      <c r="CO50">
        <v>3.999999999999998E-2</v>
      </c>
      <c r="CP50">
        <v>1.3333333333333345E-2</v>
      </c>
      <c r="CQ50">
        <v>1.3333333333333345E-2</v>
      </c>
      <c r="CR50">
        <v>1.3333333333333345E-2</v>
      </c>
      <c r="CS50">
        <v>1.3333333333333345E-2</v>
      </c>
      <c r="CT50">
        <v>1.3333333333333345E-2</v>
      </c>
      <c r="CU50">
        <v>1.3333333333333345E-2</v>
      </c>
      <c r="CV50">
        <v>1.3333333333333345E-2</v>
      </c>
      <c r="CW50">
        <v>1.3333333333333345E-2</v>
      </c>
      <c r="CX50">
        <v>1.3333333333333345E-2</v>
      </c>
      <c r="CZ50">
        <v>0.03</v>
      </c>
      <c r="DA50">
        <v>0.105</v>
      </c>
      <c r="DB50">
        <v>0.105</v>
      </c>
      <c r="DC50">
        <v>0.03</v>
      </c>
      <c r="DD50">
        <v>0.03</v>
      </c>
      <c r="DE50">
        <v>0.03</v>
      </c>
      <c r="DF50">
        <v>0.03</v>
      </c>
      <c r="DG50">
        <v>9.9999999999999967E-3</v>
      </c>
      <c r="DH50">
        <v>9.9999999999999967E-3</v>
      </c>
      <c r="DI50">
        <v>9.9999999999999967E-3</v>
      </c>
      <c r="DJ50">
        <v>9.9999999999999967E-3</v>
      </c>
      <c r="DK50">
        <v>9.9999999999999967E-3</v>
      </c>
      <c r="DL50">
        <v>9.9999999999999967E-3</v>
      </c>
      <c r="DM50">
        <v>9.9999999999999967E-3</v>
      </c>
      <c r="DN50">
        <v>9.9999999999999967E-3</v>
      </c>
      <c r="DO50">
        <v>9.9999999999999967E-3</v>
      </c>
    </row>
    <row r="51" spans="61:119">
      <c r="BI51" t="str">
        <f t="shared" si="54"/>
        <v>42766FI</v>
      </c>
      <c r="BJ51" s="426">
        <v>42766</v>
      </c>
      <c r="BM51" t="s">
        <v>1355</v>
      </c>
      <c r="BN51" s="438">
        <v>1</v>
      </c>
      <c r="BO51" s="438">
        <v>1</v>
      </c>
      <c r="BR51">
        <v>2.3000000000000003E-2</v>
      </c>
      <c r="BS51">
        <v>8.0500000000000016E-2</v>
      </c>
      <c r="BT51">
        <v>8.0500000000000016E-2</v>
      </c>
      <c r="BU51">
        <v>2.2999999999999993E-2</v>
      </c>
      <c r="BV51">
        <v>2.2999999999999993E-2</v>
      </c>
      <c r="BW51">
        <v>2.3000000000000007E-2</v>
      </c>
      <c r="BX51">
        <v>2.3000000000000007E-2</v>
      </c>
      <c r="BY51">
        <v>7.6666666666666671E-3</v>
      </c>
      <c r="BZ51">
        <v>7.6666666666666671E-3</v>
      </c>
      <c r="CA51">
        <v>7.6666666666666671E-3</v>
      </c>
      <c r="CB51">
        <v>7.6666666666666671E-3</v>
      </c>
      <c r="CC51">
        <v>7.6666666666666671E-3</v>
      </c>
      <c r="CD51">
        <v>7.6666666666666671E-3</v>
      </c>
      <c r="CE51">
        <v>7.6666666666666671E-3</v>
      </c>
      <c r="CF51">
        <v>7.6666666666666671E-3</v>
      </c>
      <c r="CG51">
        <v>7.6666666666666671E-3</v>
      </c>
      <c r="CI51">
        <v>2.0000000000000004E-2</v>
      </c>
      <c r="CJ51">
        <v>7.0000000000000007E-2</v>
      </c>
      <c r="CK51">
        <v>7.0000000000000007E-2</v>
      </c>
      <c r="CL51">
        <v>1.999999999999999E-2</v>
      </c>
      <c r="CM51">
        <v>1.999999999999999E-2</v>
      </c>
      <c r="CN51">
        <v>1.999999999999999E-2</v>
      </c>
      <c r="CO51">
        <v>1.999999999999999E-2</v>
      </c>
      <c r="CP51">
        <v>6.6666666666666723E-3</v>
      </c>
      <c r="CQ51">
        <v>6.6666666666666723E-3</v>
      </c>
      <c r="CR51">
        <v>6.6666666666666723E-3</v>
      </c>
      <c r="CS51">
        <v>6.6666666666666723E-3</v>
      </c>
      <c r="CT51">
        <v>6.6666666666666723E-3</v>
      </c>
      <c r="CU51">
        <v>6.6666666666666723E-3</v>
      </c>
      <c r="CV51">
        <v>6.6666666666666723E-3</v>
      </c>
      <c r="CW51">
        <v>6.6666666666666723E-3</v>
      </c>
      <c r="CX51">
        <v>6.6666666666666723E-3</v>
      </c>
      <c r="CZ51">
        <v>1.4999999999999999E-2</v>
      </c>
      <c r="DA51">
        <v>5.2499999999999998E-2</v>
      </c>
      <c r="DB51">
        <v>5.2499999999999998E-2</v>
      </c>
      <c r="DC51">
        <v>1.4999999999999999E-2</v>
      </c>
      <c r="DD51">
        <v>1.4999999999999999E-2</v>
      </c>
      <c r="DE51">
        <v>1.4999999999999999E-2</v>
      </c>
      <c r="DF51">
        <v>1.4999999999999999E-2</v>
      </c>
      <c r="DG51">
        <v>4.9999999999999984E-3</v>
      </c>
      <c r="DH51">
        <v>4.9999999999999984E-3</v>
      </c>
      <c r="DI51">
        <v>4.9999999999999984E-3</v>
      </c>
      <c r="DJ51">
        <v>4.9999999999999984E-3</v>
      </c>
      <c r="DK51">
        <v>4.9999999999999984E-3</v>
      </c>
      <c r="DL51">
        <v>4.9999999999999984E-3</v>
      </c>
      <c r="DM51">
        <v>4.9999999999999984E-3</v>
      </c>
      <c r="DN51">
        <v>4.9999999999999984E-3</v>
      </c>
      <c r="DO51">
        <v>4.9999999999999984E-3</v>
      </c>
    </row>
    <row r="52" spans="61:119">
      <c r="BI52" t="str">
        <f t="shared" si="54"/>
        <v>42766CORP</v>
      </c>
      <c r="BJ52" s="426">
        <v>42766</v>
      </c>
      <c r="BM52" t="s">
        <v>1356</v>
      </c>
      <c r="BN52" s="438">
        <v>1</v>
      </c>
      <c r="BO52" s="438">
        <v>0.99618253748627528</v>
      </c>
      <c r="BR52">
        <v>8.0763492502744939E-3</v>
      </c>
      <c r="BS52">
        <v>4.4206142975741138E-2</v>
      </c>
      <c r="BT52">
        <v>4.4206142975741138E-2</v>
      </c>
      <c r="BU52">
        <v>3.1984730149945101E-2</v>
      </c>
      <c r="BV52">
        <v>3.1984730149945101E-2</v>
      </c>
      <c r="BW52">
        <v>1.60458095501647E-2</v>
      </c>
      <c r="BX52">
        <v>1.60458095501647E-2</v>
      </c>
      <c r="BY52">
        <v>5.3486031833882321E-3</v>
      </c>
      <c r="BZ52">
        <v>5.3486031833882321E-3</v>
      </c>
      <c r="CA52">
        <v>5.3486031833882321E-3</v>
      </c>
      <c r="CB52">
        <v>5.3486031833882321E-3</v>
      </c>
      <c r="CC52">
        <v>5.3486031833882321E-3</v>
      </c>
      <c r="CD52">
        <v>5.3486031833882321E-3</v>
      </c>
      <c r="CE52">
        <v>5.3486031833882321E-3</v>
      </c>
      <c r="CF52">
        <v>5.3486031833882321E-3</v>
      </c>
      <c r="CG52">
        <v>5.3486031833882321E-3</v>
      </c>
      <c r="CI52">
        <v>7.0648968627333216E-3</v>
      </c>
      <c r="CJ52">
        <v>3.8673694544374478E-2</v>
      </c>
      <c r="CK52">
        <v>3.8673694544374478E-2</v>
      </c>
      <c r="CL52">
        <v>2.7984730149945104E-2</v>
      </c>
      <c r="CM52">
        <v>2.7984730149945104E-2</v>
      </c>
      <c r="CN52">
        <v>1.4038174625137248E-2</v>
      </c>
      <c r="CO52">
        <v>1.4038174625137248E-2</v>
      </c>
      <c r="CP52">
        <v>4.6793915417124177E-3</v>
      </c>
      <c r="CQ52">
        <v>4.6793915417124177E-3</v>
      </c>
      <c r="CR52">
        <v>4.6793915417124177E-3</v>
      </c>
      <c r="CS52">
        <v>4.6793915417124177E-3</v>
      </c>
      <c r="CT52">
        <v>4.6793915417124177E-3</v>
      </c>
      <c r="CU52">
        <v>4.6793915417124177E-3</v>
      </c>
      <c r="CV52">
        <v>4.6793915417124177E-3</v>
      </c>
      <c r="CW52">
        <v>4.6793915417124177E-3</v>
      </c>
      <c r="CX52">
        <v>4.6793915417124177E-3</v>
      </c>
      <c r="CZ52">
        <v>5.0381746251372478E-3</v>
      </c>
      <c r="DA52">
        <v>2.7595436562843117E-2</v>
      </c>
      <c r="DB52">
        <v>2.7595436562843117E-2</v>
      </c>
      <c r="DC52">
        <v>1.9980912687431386E-2</v>
      </c>
      <c r="DD52">
        <v>1.9980912687431386E-2</v>
      </c>
      <c r="DE52">
        <v>1.0019087312568613E-2</v>
      </c>
      <c r="DF52">
        <v>1.0019087312568613E-2</v>
      </c>
      <c r="DG52">
        <v>3.3396957708562111E-3</v>
      </c>
      <c r="DH52">
        <v>3.3396957708562111E-3</v>
      </c>
      <c r="DI52">
        <v>3.3396957708562111E-3</v>
      </c>
      <c r="DJ52">
        <v>3.3396957708562111E-3</v>
      </c>
      <c r="DK52">
        <v>3.3396957708562111E-3</v>
      </c>
      <c r="DL52">
        <v>3.3396957708562111E-3</v>
      </c>
      <c r="DM52">
        <v>3.3396957708562111E-3</v>
      </c>
      <c r="DN52">
        <v>3.3396957708562111E-3</v>
      </c>
      <c r="DO52">
        <v>3.3396957708562111E-3</v>
      </c>
    </row>
    <row r="53" spans="61:119">
      <c r="BI53" t="str">
        <f t="shared" si="54"/>
        <v>42766ESCROW</v>
      </c>
      <c r="BJ53" s="426">
        <v>42766</v>
      </c>
      <c r="BM53" t="s">
        <v>1339</v>
      </c>
      <c r="BN53" s="438">
        <v>1</v>
      </c>
      <c r="BO53" s="438">
        <v>1</v>
      </c>
      <c r="BR53">
        <v>3.2000000000000001E-2</v>
      </c>
      <c r="BS53">
        <v>2.4E-2</v>
      </c>
      <c r="BT53">
        <v>2.4E-2</v>
      </c>
      <c r="BU53">
        <v>0.04</v>
      </c>
      <c r="BV53">
        <v>0.04</v>
      </c>
      <c r="BW53">
        <v>3.9999999999999994E-2</v>
      </c>
      <c r="BX53">
        <v>3.9999999999999994E-2</v>
      </c>
      <c r="BY53">
        <v>8.8888888888888906E-3</v>
      </c>
      <c r="BZ53">
        <v>8.8888888888888906E-3</v>
      </c>
      <c r="CA53">
        <v>8.8888888888888906E-3</v>
      </c>
      <c r="CB53">
        <v>8.8888888888888906E-3</v>
      </c>
      <c r="CC53">
        <v>8.8888888888888906E-3</v>
      </c>
      <c r="CD53">
        <v>8.8888888888888906E-3</v>
      </c>
      <c r="CE53">
        <v>8.8888888888888906E-3</v>
      </c>
      <c r="CF53">
        <v>8.8888888888888906E-3</v>
      </c>
      <c r="CG53">
        <v>8.8888888888888906E-3</v>
      </c>
      <c r="CI53">
        <v>2.8000000000000004E-2</v>
      </c>
      <c r="CJ53">
        <v>2.1000000000000001E-2</v>
      </c>
      <c r="CK53">
        <v>2.1000000000000001E-2</v>
      </c>
      <c r="CL53">
        <v>3.5000000000000003E-2</v>
      </c>
      <c r="CM53">
        <v>3.5000000000000003E-2</v>
      </c>
      <c r="CN53">
        <v>3.5000000000000003E-2</v>
      </c>
      <c r="CO53">
        <v>3.5000000000000003E-2</v>
      </c>
      <c r="CP53">
        <v>7.7777777777777784E-3</v>
      </c>
      <c r="CQ53">
        <v>7.7777777777777784E-3</v>
      </c>
      <c r="CR53">
        <v>7.7777777777777784E-3</v>
      </c>
      <c r="CS53">
        <v>7.7777777777777784E-3</v>
      </c>
      <c r="CT53">
        <v>7.7777777777777784E-3</v>
      </c>
      <c r="CU53">
        <v>7.7777777777777784E-3</v>
      </c>
      <c r="CV53">
        <v>7.7777777777777784E-3</v>
      </c>
      <c r="CW53">
        <v>7.7777777777777784E-3</v>
      </c>
      <c r="CX53">
        <v>7.7777777777777784E-3</v>
      </c>
      <c r="CZ53">
        <v>2.0000000000000004E-2</v>
      </c>
      <c r="DA53">
        <v>1.4999999999999999E-2</v>
      </c>
      <c r="DB53">
        <v>1.4999999999999999E-2</v>
      </c>
      <c r="DC53">
        <v>2.5000000000000001E-2</v>
      </c>
      <c r="DD53">
        <v>2.5000000000000001E-2</v>
      </c>
      <c r="DE53">
        <v>2.5000000000000008E-2</v>
      </c>
      <c r="DF53">
        <v>2.5000000000000008E-2</v>
      </c>
      <c r="DG53">
        <v>5.555555555555554E-3</v>
      </c>
      <c r="DH53">
        <v>5.555555555555554E-3</v>
      </c>
      <c r="DI53">
        <v>5.555555555555554E-3</v>
      </c>
      <c r="DJ53">
        <v>5.555555555555554E-3</v>
      </c>
      <c r="DK53">
        <v>5.555555555555554E-3</v>
      </c>
      <c r="DL53">
        <v>5.555555555555554E-3</v>
      </c>
      <c r="DM53">
        <v>5.555555555555554E-3</v>
      </c>
      <c r="DN53">
        <v>5.555555555555554E-3</v>
      </c>
      <c r="DO53">
        <v>5.555555555555554E-3</v>
      </c>
    </row>
    <row r="54" spans="61:119">
      <c r="BI54" t="str">
        <f t="shared" si="54"/>
        <v>42766IB</v>
      </c>
      <c r="BJ54" s="426">
        <v>42766</v>
      </c>
      <c r="BM54" t="s">
        <v>1354</v>
      </c>
      <c r="BN54" s="438">
        <v>1</v>
      </c>
      <c r="BO54" s="438">
        <v>1</v>
      </c>
      <c r="BR54">
        <v>1.2E-2</v>
      </c>
      <c r="BS54">
        <v>4.2000000000000003E-2</v>
      </c>
      <c r="BT54">
        <v>4.2000000000000003E-2</v>
      </c>
      <c r="BU54">
        <v>1.1999999999999997E-2</v>
      </c>
      <c r="BV54">
        <v>1.1999999999999997E-2</v>
      </c>
      <c r="BW54">
        <v>1.1999999999999997E-2</v>
      </c>
      <c r="BX54">
        <v>1.1999999999999997E-2</v>
      </c>
      <c r="BY54">
        <v>4.0000000000000001E-3</v>
      </c>
      <c r="BZ54">
        <v>4.0000000000000001E-3</v>
      </c>
      <c r="CA54">
        <v>4.0000000000000001E-3</v>
      </c>
      <c r="CB54">
        <v>4.0000000000000001E-3</v>
      </c>
      <c r="CC54">
        <v>4.0000000000000001E-3</v>
      </c>
      <c r="CD54">
        <v>4.0000000000000001E-3</v>
      </c>
      <c r="CE54">
        <v>4.0000000000000001E-3</v>
      </c>
      <c r="CF54">
        <v>4.0000000000000001E-3</v>
      </c>
      <c r="CG54">
        <v>4.0000000000000001E-3</v>
      </c>
      <c r="CI54">
        <v>3.0000000000000001E-3</v>
      </c>
      <c r="CJ54">
        <v>1.0500000000000001E-2</v>
      </c>
      <c r="CK54">
        <v>1.0500000000000001E-2</v>
      </c>
      <c r="CL54">
        <v>2.9999999999999992E-3</v>
      </c>
      <c r="CM54">
        <v>2.9999999999999992E-3</v>
      </c>
      <c r="CN54">
        <v>2.9999999999999992E-3</v>
      </c>
      <c r="CO54">
        <v>2.9999999999999992E-3</v>
      </c>
      <c r="CP54">
        <v>1E-3</v>
      </c>
      <c r="CQ54">
        <v>1E-3</v>
      </c>
      <c r="CR54">
        <v>1E-3</v>
      </c>
      <c r="CS54">
        <v>1E-3</v>
      </c>
      <c r="CT54">
        <v>1E-3</v>
      </c>
      <c r="CU54">
        <v>1E-3</v>
      </c>
      <c r="CV54">
        <v>1E-3</v>
      </c>
      <c r="CW54">
        <v>1E-3</v>
      </c>
      <c r="CX54">
        <v>1E-3</v>
      </c>
      <c r="CZ54">
        <v>1.0000000000000002E-2</v>
      </c>
      <c r="DA54">
        <v>3.5000000000000003E-2</v>
      </c>
      <c r="DB54">
        <v>3.5000000000000003E-2</v>
      </c>
      <c r="DC54">
        <v>9.999999999999995E-3</v>
      </c>
      <c r="DD54">
        <v>9.999999999999995E-3</v>
      </c>
      <c r="DE54">
        <v>9.999999999999995E-3</v>
      </c>
      <c r="DF54">
        <v>9.999999999999995E-3</v>
      </c>
      <c r="DG54">
        <v>3.3333333333333361E-3</v>
      </c>
      <c r="DH54">
        <v>3.3333333333333361E-3</v>
      </c>
      <c r="DI54">
        <v>3.3333333333333361E-3</v>
      </c>
      <c r="DJ54">
        <v>3.3333333333333361E-3</v>
      </c>
      <c r="DK54">
        <v>3.3333333333333361E-3</v>
      </c>
      <c r="DL54">
        <v>3.3333333333333361E-3</v>
      </c>
      <c r="DM54">
        <v>3.3333333333333361E-3</v>
      </c>
      <c r="DN54">
        <v>3.3333333333333361E-3</v>
      </c>
      <c r="DO54">
        <v>3.3333333333333361E-3</v>
      </c>
    </row>
    <row r="55" spans="61:119">
      <c r="BI55" t="str">
        <f t="shared" si="54"/>
        <v>42766AFF</v>
      </c>
      <c r="BJ55" s="426">
        <v>42766</v>
      </c>
      <c r="BM55" t="s">
        <v>1353</v>
      </c>
      <c r="BN55" s="438">
        <v>1</v>
      </c>
      <c r="BO55" s="438">
        <v>1</v>
      </c>
      <c r="BR55">
        <v>1.4999999999999999E-2</v>
      </c>
      <c r="BS55">
        <v>5.2499999999999998E-2</v>
      </c>
      <c r="BT55">
        <v>5.2499999999999998E-2</v>
      </c>
      <c r="BU55">
        <v>1.4999999999999999E-2</v>
      </c>
      <c r="BV55">
        <v>1.4999999999999999E-2</v>
      </c>
      <c r="BW55">
        <v>1.4999999999999999E-2</v>
      </c>
      <c r="BX55">
        <v>1.4999999999999999E-2</v>
      </c>
      <c r="BY55">
        <v>4.9999999999999984E-3</v>
      </c>
      <c r="BZ55">
        <v>4.9999999999999984E-3</v>
      </c>
      <c r="CA55">
        <v>4.9999999999999984E-3</v>
      </c>
      <c r="CB55">
        <v>4.9999999999999984E-3</v>
      </c>
      <c r="CC55">
        <v>4.9999999999999984E-3</v>
      </c>
      <c r="CD55">
        <v>4.9999999999999984E-3</v>
      </c>
      <c r="CE55">
        <v>4.9999999999999984E-3</v>
      </c>
      <c r="CF55">
        <v>4.9999999999999984E-3</v>
      </c>
      <c r="CG55">
        <v>4.9999999999999984E-3</v>
      </c>
      <c r="CI55">
        <v>1.2E-2</v>
      </c>
      <c r="CJ55">
        <v>4.2000000000000003E-2</v>
      </c>
      <c r="CK55">
        <v>4.2000000000000003E-2</v>
      </c>
      <c r="CL55">
        <v>1.1999999999999997E-2</v>
      </c>
      <c r="CM55">
        <v>1.1999999999999997E-2</v>
      </c>
      <c r="CN55">
        <v>1.1999999999999997E-2</v>
      </c>
      <c r="CO55">
        <v>1.1999999999999997E-2</v>
      </c>
      <c r="CP55">
        <v>4.0000000000000001E-3</v>
      </c>
      <c r="CQ55">
        <v>4.0000000000000001E-3</v>
      </c>
      <c r="CR55">
        <v>4.0000000000000001E-3</v>
      </c>
      <c r="CS55">
        <v>4.0000000000000001E-3</v>
      </c>
      <c r="CT55">
        <v>4.0000000000000001E-3</v>
      </c>
      <c r="CU55">
        <v>4.0000000000000001E-3</v>
      </c>
      <c r="CV55">
        <v>4.0000000000000001E-3</v>
      </c>
      <c r="CW55">
        <v>4.0000000000000001E-3</v>
      </c>
      <c r="CX55">
        <v>4.0000000000000001E-3</v>
      </c>
      <c r="CZ55">
        <v>5.000000000000001E-3</v>
      </c>
      <c r="DA55">
        <v>1.7500000000000002E-2</v>
      </c>
      <c r="DB55">
        <v>1.7500000000000002E-2</v>
      </c>
      <c r="DC55">
        <v>4.9999999999999975E-3</v>
      </c>
      <c r="DD55">
        <v>4.9999999999999975E-3</v>
      </c>
      <c r="DE55">
        <v>4.9999999999999975E-3</v>
      </c>
      <c r="DF55">
        <v>4.9999999999999975E-3</v>
      </c>
      <c r="DG55">
        <v>1.6666666666666681E-3</v>
      </c>
      <c r="DH55">
        <v>1.6666666666666681E-3</v>
      </c>
      <c r="DI55">
        <v>1.6666666666666681E-3</v>
      </c>
      <c r="DJ55">
        <v>1.6666666666666681E-3</v>
      </c>
      <c r="DK55">
        <v>1.6666666666666681E-3</v>
      </c>
      <c r="DL55">
        <v>1.6666666666666681E-3</v>
      </c>
      <c r="DM55">
        <v>1.6666666666666681E-3</v>
      </c>
      <c r="DN55">
        <v>1.6666666666666681E-3</v>
      </c>
      <c r="DO55">
        <v>1.6666666666666681E-3</v>
      </c>
    </row>
    <row r="56" spans="61:119">
      <c r="BI56" t="str">
        <f t="shared" si="54"/>
        <v>427941000526FI</v>
      </c>
      <c r="BJ56" s="426">
        <v>42794</v>
      </c>
      <c r="BK56" t="s">
        <v>1363</v>
      </c>
      <c r="BL56" t="s">
        <v>1368</v>
      </c>
      <c r="BM56" t="s">
        <v>1355</v>
      </c>
      <c r="BN56" s="438">
        <v>2</v>
      </c>
      <c r="BO56" s="438">
        <v>1</v>
      </c>
      <c r="BR56">
        <v>4.6000000000000006E-2</v>
      </c>
      <c r="BS56">
        <v>0.16100000000000003</v>
      </c>
      <c r="BT56">
        <v>0.16100000000000003</v>
      </c>
      <c r="BU56">
        <v>4.5999999999999985E-2</v>
      </c>
      <c r="BV56">
        <v>4.5999999999999985E-2</v>
      </c>
      <c r="BW56">
        <v>4.6000000000000013E-2</v>
      </c>
      <c r="BX56">
        <v>4.6000000000000013E-2</v>
      </c>
      <c r="BY56">
        <v>1.5333333333333334E-2</v>
      </c>
      <c r="BZ56">
        <v>1.5333333333333334E-2</v>
      </c>
      <c r="CA56">
        <v>1.5333333333333334E-2</v>
      </c>
      <c r="CB56">
        <v>1.5333333333333334E-2</v>
      </c>
      <c r="CC56">
        <v>1.5333333333333334E-2</v>
      </c>
      <c r="CD56">
        <v>1.5333333333333334E-2</v>
      </c>
      <c r="CE56">
        <v>1.5333333333333334E-2</v>
      </c>
      <c r="CF56">
        <v>1.5333333333333334E-2</v>
      </c>
      <c r="CG56">
        <v>1.5333333333333334E-2</v>
      </c>
      <c r="CI56">
        <v>4.0000000000000008E-2</v>
      </c>
      <c r="CJ56">
        <v>0.14000000000000001</v>
      </c>
      <c r="CK56">
        <v>0.14000000000000001</v>
      </c>
      <c r="CL56">
        <v>3.999999999999998E-2</v>
      </c>
      <c r="CM56">
        <v>3.999999999999998E-2</v>
      </c>
      <c r="CN56">
        <v>3.999999999999998E-2</v>
      </c>
      <c r="CO56">
        <v>3.999999999999998E-2</v>
      </c>
      <c r="CP56">
        <v>1.3333333333333345E-2</v>
      </c>
      <c r="CQ56">
        <v>1.3333333333333345E-2</v>
      </c>
      <c r="CR56">
        <v>1.3333333333333345E-2</v>
      </c>
      <c r="CS56">
        <v>1.3333333333333345E-2</v>
      </c>
      <c r="CT56">
        <v>1.3333333333333345E-2</v>
      </c>
      <c r="CU56">
        <v>1.3333333333333345E-2</v>
      </c>
      <c r="CV56">
        <v>1.3333333333333345E-2</v>
      </c>
      <c r="CW56">
        <v>1.3333333333333345E-2</v>
      </c>
      <c r="CX56">
        <v>1.3333333333333345E-2</v>
      </c>
      <c r="CZ56">
        <v>0.03</v>
      </c>
      <c r="DA56">
        <v>0.105</v>
      </c>
      <c r="DB56">
        <v>0.105</v>
      </c>
      <c r="DC56">
        <v>0.03</v>
      </c>
      <c r="DD56">
        <v>0.03</v>
      </c>
      <c r="DE56">
        <v>0.03</v>
      </c>
      <c r="DF56">
        <v>0.03</v>
      </c>
      <c r="DG56">
        <v>9.9999999999999967E-3</v>
      </c>
      <c r="DH56">
        <v>9.9999999999999967E-3</v>
      </c>
      <c r="DI56">
        <v>9.9999999999999967E-3</v>
      </c>
      <c r="DJ56">
        <v>9.9999999999999967E-3</v>
      </c>
      <c r="DK56">
        <v>9.9999999999999967E-3</v>
      </c>
      <c r="DL56">
        <v>9.9999999999999967E-3</v>
      </c>
      <c r="DM56">
        <v>9.9999999999999967E-3</v>
      </c>
      <c r="DN56">
        <v>9.9999999999999967E-3</v>
      </c>
      <c r="DO56">
        <v>9.9999999999999967E-3</v>
      </c>
    </row>
    <row r="57" spans="61:119">
      <c r="BI57" t="str">
        <f t="shared" si="54"/>
        <v>427941030623FI</v>
      </c>
      <c r="BJ57" s="426">
        <v>42794</v>
      </c>
      <c r="BK57" t="s">
        <v>1360</v>
      </c>
      <c r="BL57" t="s">
        <v>1369</v>
      </c>
      <c r="BM57" t="s">
        <v>1355</v>
      </c>
      <c r="BN57" s="438">
        <v>2</v>
      </c>
      <c r="BO57" s="438">
        <v>1</v>
      </c>
      <c r="BR57">
        <v>4.6000000000000006E-2</v>
      </c>
      <c r="BS57">
        <v>0.16100000000000003</v>
      </c>
      <c r="BT57">
        <v>0.16100000000000003</v>
      </c>
      <c r="BU57">
        <v>4.5999999999999985E-2</v>
      </c>
      <c r="BV57">
        <v>4.5999999999999985E-2</v>
      </c>
      <c r="BW57">
        <v>4.6000000000000013E-2</v>
      </c>
      <c r="BX57">
        <v>4.6000000000000013E-2</v>
      </c>
      <c r="BY57">
        <v>1.5333333333333334E-2</v>
      </c>
      <c r="BZ57">
        <v>1.5333333333333334E-2</v>
      </c>
      <c r="CA57">
        <v>1.5333333333333334E-2</v>
      </c>
      <c r="CB57">
        <v>1.5333333333333334E-2</v>
      </c>
      <c r="CC57">
        <v>1.5333333333333334E-2</v>
      </c>
      <c r="CD57">
        <v>1.5333333333333334E-2</v>
      </c>
      <c r="CE57">
        <v>1.5333333333333334E-2</v>
      </c>
      <c r="CF57">
        <v>1.5333333333333334E-2</v>
      </c>
      <c r="CG57">
        <v>1.5333333333333334E-2</v>
      </c>
      <c r="CI57">
        <v>4.0000000000000008E-2</v>
      </c>
      <c r="CJ57">
        <v>0.14000000000000001</v>
      </c>
      <c r="CK57">
        <v>0.14000000000000001</v>
      </c>
      <c r="CL57">
        <v>3.999999999999998E-2</v>
      </c>
      <c r="CM57">
        <v>3.999999999999998E-2</v>
      </c>
      <c r="CN57">
        <v>3.999999999999998E-2</v>
      </c>
      <c r="CO57">
        <v>3.999999999999998E-2</v>
      </c>
      <c r="CP57">
        <v>1.3333333333333345E-2</v>
      </c>
      <c r="CQ57">
        <v>1.3333333333333345E-2</v>
      </c>
      <c r="CR57">
        <v>1.3333333333333345E-2</v>
      </c>
      <c r="CS57">
        <v>1.3333333333333345E-2</v>
      </c>
      <c r="CT57">
        <v>1.3333333333333345E-2</v>
      </c>
      <c r="CU57">
        <v>1.3333333333333345E-2</v>
      </c>
      <c r="CV57">
        <v>1.3333333333333345E-2</v>
      </c>
      <c r="CW57">
        <v>1.3333333333333345E-2</v>
      </c>
      <c r="CX57">
        <v>1.3333333333333345E-2</v>
      </c>
      <c r="CZ57">
        <v>0.03</v>
      </c>
      <c r="DA57">
        <v>0.105</v>
      </c>
      <c r="DB57">
        <v>0.105</v>
      </c>
      <c r="DC57">
        <v>0.03</v>
      </c>
      <c r="DD57">
        <v>0.03</v>
      </c>
      <c r="DE57">
        <v>0.03</v>
      </c>
      <c r="DF57">
        <v>0.03</v>
      </c>
      <c r="DG57">
        <v>9.9999999999999967E-3</v>
      </c>
      <c r="DH57">
        <v>9.9999999999999967E-3</v>
      </c>
      <c r="DI57">
        <v>9.9999999999999967E-3</v>
      </c>
      <c r="DJ57">
        <v>9.9999999999999967E-3</v>
      </c>
      <c r="DK57">
        <v>9.9999999999999967E-3</v>
      </c>
      <c r="DL57">
        <v>9.9999999999999967E-3</v>
      </c>
      <c r="DM57">
        <v>9.9999999999999967E-3</v>
      </c>
      <c r="DN57">
        <v>9.9999999999999967E-3</v>
      </c>
      <c r="DO57">
        <v>9.9999999999999967E-3</v>
      </c>
    </row>
    <row r="58" spans="61:119">
      <c r="BI58" t="str">
        <f t="shared" si="54"/>
        <v>427941147542CME</v>
      </c>
      <c r="BJ58" s="426">
        <v>42794</v>
      </c>
      <c r="BK58" t="s">
        <v>1361</v>
      </c>
      <c r="BL58" t="s">
        <v>1370</v>
      </c>
      <c r="BM58" t="s">
        <v>1321</v>
      </c>
      <c r="BN58" s="438">
        <v>1.9388823071328143</v>
      </c>
      <c r="BO58" s="438">
        <v>1</v>
      </c>
      <c r="BR58">
        <v>0.15511058457062515</v>
      </c>
      <c r="BS58">
        <v>0.31022116914125031</v>
      </c>
      <c r="BT58">
        <v>0.31022116914125031</v>
      </c>
      <c r="BU58">
        <v>0</v>
      </c>
      <c r="BV58">
        <v>0</v>
      </c>
      <c r="BW58">
        <v>7.7555292285312549E-2</v>
      </c>
      <c r="BX58">
        <v>7.7555292285312549E-2</v>
      </c>
      <c r="BY58">
        <v>7.7040547306943541E-3</v>
      </c>
      <c r="BZ58">
        <v>7.7040547306943541E-3</v>
      </c>
      <c r="CA58">
        <v>7.7040547306943541E-3</v>
      </c>
      <c r="CB58">
        <v>7.7040547306943541E-3</v>
      </c>
      <c r="CC58">
        <v>7.7040547306943541E-3</v>
      </c>
      <c r="CD58">
        <v>7.7040547306943541E-3</v>
      </c>
      <c r="CE58">
        <v>7.7040547306943541E-3</v>
      </c>
      <c r="CF58">
        <v>7.7040547306943541E-3</v>
      </c>
      <c r="CG58">
        <v>7.7040547306943541E-3</v>
      </c>
      <c r="CI58">
        <v>0.13572176149929702</v>
      </c>
      <c r="CJ58">
        <v>0.27144352299859398</v>
      </c>
      <c r="CK58">
        <v>0.27144352299859398</v>
      </c>
      <c r="CL58">
        <v>0</v>
      </c>
      <c r="CM58">
        <v>0</v>
      </c>
      <c r="CN58">
        <v>6.7860880749648467E-2</v>
      </c>
      <c r="CO58">
        <v>6.7860880749648467E-2</v>
      </c>
      <c r="CP58">
        <v>2.0629936778246451E-2</v>
      </c>
      <c r="CQ58">
        <v>2.0629936778246451E-2</v>
      </c>
      <c r="CR58">
        <v>2.0629936778246451E-2</v>
      </c>
      <c r="CS58">
        <v>2.0629936778246451E-2</v>
      </c>
      <c r="CT58">
        <v>2.0629936778246451E-2</v>
      </c>
      <c r="CU58">
        <v>2.0629936778246451E-2</v>
      </c>
      <c r="CV58">
        <v>2.0629936778246451E-2</v>
      </c>
      <c r="CW58">
        <v>2.0629936778246451E-2</v>
      </c>
      <c r="CX58">
        <v>2.0629936778246451E-2</v>
      </c>
      <c r="CZ58">
        <v>7.7555292285312577E-2</v>
      </c>
      <c r="DA58">
        <v>0.15511058457062515</v>
      </c>
      <c r="DB58">
        <v>0.15511058457062515</v>
      </c>
      <c r="DC58">
        <v>0</v>
      </c>
      <c r="DD58">
        <v>0</v>
      </c>
      <c r="DE58">
        <v>3.8777646142656275E-2</v>
      </c>
      <c r="DF58">
        <v>3.8777646142656275E-2</v>
      </c>
      <c r="DG58">
        <v>1.2925882047552097E-2</v>
      </c>
      <c r="DH58">
        <v>1.2925882047552097E-2</v>
      </c>
      <c r="DI58">
        <v>1.2925882047552097E-2</v>
      </c>
      <c r="DJ58">
        <v>1.2925882047552097E-2</v>
      </c>
      <c r="DK58">
        <v>1.2925882047552097E-2</v>
      </c>
      <c r="DL58">
        <v>1.2925882047552097E-2</v>
      </c>
      <c r="DM58">
        <v>1.2925882047552097E-2</v>
      </c>
      <c r="DN58">
        <v>1.2925882047552097E-2</v>
      </c>
      <c r="DO58">
        <v>1.2925882047552097E-2</v>
      </c>
    </row>
    <row r="59" spans="61:119">
      <c r="BI59" t="str">
        <f t="shared" si="54"/>
        <v>427941126198FI</v>
      </c>
      <c r="BJ59" s="426">
        <v>42794</v>
      </c>
      <c r="BK59" t="s">
        <v>1359</v>
      </c>
      <c r="BL59" t="s">
        <v>1367</v>
      </c>
      <c r="BM59" t="s">
        <v>1355</v>
      </c>
      <c r="BN59" s="438">
        <v>1.647108137373523</v>
      </c>
      <c r="BO59" s="438">
        <v>1</v>
      </c>
      <c r="BR59">
        <v>3.7883487159591028E-2</v>
      </c>
      <c r="BS59">
        <v>0.13259220505856861</v>
      </c>
      <c r="BT59">
        <v>0.13259220505856861</v>
      </c>
      <c r="BU59">
        <v>3.7883487159591028E-2</v>
      </c>
      <c r="BV59">
        <v>3.7883487159591028E-2</v>
      </c>
      <c r="BW59">
        <v>3.7883487159591028E-2</v>
      </c>
      <c r="BX59">
        <v>3.7883487159591028E-2</v>
      </c>
      <c r="BY59">
        <v>1.2627829053197013E-2</v>
      </c>
      <c r="BZ59">
        <v>1.2627829053197013E-2</v>
      </c>
      <c r="CA59">
        <v>1.2627829053197013E-2</v>
      </c>
      <c r="CB59">
        <v>1.2627829053197013E-2</v>
      </c>
      <c r="CC59">
        <v>1.2627829053197013E-2</v>
      </c>
      <c r="CD59">
        <v>1.2627829053197013E-2</v>
      </c>
      <c r="CE59">
        <v>1.2627829053197013E-2</v>
      </c>
      <c r="CF59">
        <v>1.2627829053197013E-2</v>
      </c>
      <c r="CG59">
        <v>1.2627829053197013E-2</v>
      </c>
      <c r="CI59">
        <v>3.2942162747470465E-2</v>
      </c>
      <c r="CJ59">
        <v>0.11529756961614662</v>
      </c>
      <c r="CK59">
        <v>0.11529756961614662</v>
      </c>
      <c r="CL59">
        <v>3.2942162747470444E-2</v>
      </c>
      <c r="CM59">
        <v>3.2942162747470444E-2</v>
      </c>
      <c r="CN59">
        <v>3.2942162747470444E-2</v>
      </c>
      <c r="CO59">
        <v>3.2942162747470444E-2</v>
      </c>
      <c r="CP59">
        <v>1.0980720915823491E-2</v>
      </c>
      <c r="CQ59">
        <v>1.0980720915823491E-2</v>
      </c>
      <c r="CR59">
        <v>1.0980720915823491E-2</v>
      </c>
      <c r="CS59">
        <v>1.0980720915823491E-2</v>
      </c>
      <c r="CT59">
        <v>1.0980720915823491E-2</v>
      </c>
      <c r="CU59">
        <v>1.0980720915823491E-2</v>
      </c>
      <c r="CV59">
        <v>1.0980720915823491E-2</v>
      </c>
      <c r="CW59">
        <v>1.0980720915823491E-2</v>
      </c>
      <c r="CX59">
        <v>1.0980720915823491E-2</v>
      </c>
      <c r="CZ59">
        <v>2.4706622060602847E-2</v>
      </c>
      <c r="DA59">
        <v>8.6473177212109967E-2</v>
      </c>
      <c r="DB59">
        <v>8.6473177212109967E-2</v>
      </c>
      <c r="DC59">
        <v>2.470662206060284E-2</v>
      </c>
      <c r="DD59">
        <v>2.470662206060284E-2</v>
      </c>
      <c r="DE59">
        <v>2.470662206060284E-2</v>
      </c>
      <c r="DF59">
        <v>2.470662206060284E-2</v>
      </c>
      <c r="DG59">
        <v>8.2355406868676161E-3</v>
      </c>
      <c r="DH59">
        <v>8.2355406868676161E-3</v>
      </c>
      <c r="DI59">
        <v>8.2355406868676161E-3</v>
      </c>
      <c r="DJ59">
        <v>8.2355406868676161E-3</v>
      </c>
      <c r="DK59">
        <v>8.2355406868676161E-3</v>
      </c>
      <c r="DL59">
        <v>8.2355406868676161E-3</v>
      </c>
      <c r="DM59">
        <v>8.2355406868676161E-3</v>
      </c>
      <c r="DN59">
        <v>8.2355406868676161E-3</v>
      </c>
      <c r="DO59">
        <v>8.2355406868676161E-3</v>
      </c>
    </row>
    <row r="60" spans="61:119">
      <c r="BI60" t="str">
        <f t="shared" si="54"/>
        <v>427941000790IB</v>
      </c>
      <c r="BJ60" s="426">
        <v>42794</v>
      </c>
      <c r="BK60" t="s">
        <v>1358</v>
      </c>
      <c r="BL60" t="s">
        <v>1371</v>
      </c>
      <c r="BM60" t="s">
        <v>1354</v>
      </c>
      <c r="BN60" s="438">
        <v>1.5065010124785903</v>
      </c>
      <c r="BO60" s="438">
        <v>1</v>
      </c>
      <c r="BR60">
        <v>1.8078012149743083E-2</v>
      </c>
      <c r="BS60">
        <v>6.3273042524100792E-2</v>
      </c>
      <c r="BT60">
        <v>6.3273042524100792E-2</v>
      </c>
      <c r="BU60">
        <v>1.8078012149743083E-2</v>
      </c>
      <c r="BV60">
        <v>1.8078012149743083E-2</v>
      </c>
      <c r="BW60">
        <v>1.8078012149743083E-2</v>
      </c>
      <c r="BX60">
        <v>1.8078012149743083E-2</v>
      </c>
      <c r="BY60">
        <v>6.0260040499143614E-3</v>
      </c>
      <c r="BZ60">
        <v>6.0260040499143614E-3</v>
      </c>
      <c r="CA60">
        <v>6.0260040499143614E-3</v>
      </c>
      <c r="CB60">
        <v>6.0260040499143614E-3</v>
      </c>
      <c r="CC60">
        <v>6.0260040499143614E-3</v>
      </c>
      <c r="CD60">
        <v>6.0260040499143614E-3</v>
      </c>
      <c r="CE60">
        <v>6.0260040499143614E-3</v>
      </c>
      <c r="CF60">
        <v>6.0260040499143614E-3</v>
      </c>
      <c r="CG60">
        <v>6.0260040499143614E-3</v>
      </c>
      <c r="CI60">
        <v>4.5195030374357709E-3</v>
      </c>
      <c r="CJ60">
        <v>1.5818260631025198E-2</v>
      </c>
      <c r="CK60">
        <v>1.5818260631025198E-2</v>
      </c>
      <c r="CL60">
        <v>4.5195030374357709E-3</v>
      </c>
      <c r="CM60">
        <v>4.5195030374357709E-3</v>
      </c>
      <c r="CN60">
        <v>4.5195030374357709E-3</v>
      </c>
      <c r="CO60">
        <v>4.5195030374357709E-3</v>
      </c>
      <c r="CP60">
        <v>1.5065010124785904E-3</v>
      </c>
      <c r="CQ60">
        <v>1.5065010124785904E-3</v>
      </c>
      <c r="CR60">
        <v>1.5065010124785904E-3</v>
      </c>
      <c r="CS60">
        <v>1.5065010124785904E-3</v>
      </c>
      <c r="CT60">
        <v>1.5065010124785904E-3</v>
      </c>
      <c r="CU60">
        <v>1.5065010124785904E-3</v>
      </c>
      <c r="CV60">
        <v>1.5065010124785904E-3</v>
      </c>
      <c r="CW60">
        <v>1.5065010124785904E-3</v>
      </c>
      <c r="CX60">
        <v>1.5065010124785904E-3</v>
      </c>
      <c r="CZ60">
        <v>1.5065010124785906E-2</v>
      </c>
      <c r="DA60">
        <v>5.2727535436750669E-2</v>
      </c>
      <c r="DB60">
        <v>5.2727535436750669E-2</v>
      </c>
      <c r="DC60">
        <v>1.5065010124785901E-2</v>
      </c>
      <c r="DD60">
        <v>1.5065010124785901E-2</v>
      </c>
      <c r="DE60">
        <v>1.5065010124785908E-2</v>
      </c>
      <c r="DF60">
        <v>1.5065010124785908E-2</v>
      </c>
      <c r="DG60">
        <v>5.0216700415953008E-3</v>
      </c>
      <c r="DH60">
        <v>5.0216700415953008E-3</v>
      </c>
      <c r="DI60">
        <v>5.0216700415953008E-3</v>
      </c>
      <c r="DJ60">
        <v>5.0216700415953008E-3</v>
      </c>
      <c r="DK60">
        <v>5.0216700415953008E-3</v>
      </c>
      <c r="DL60">
        <v>5.0216700415953008E-3</v>
      </c>
      <c r="DM60">
        <v>5.0216700415953008E-3</v>
      </c>
      <c r="DN60">
        <v>5.0216700415953008E-3</v>
      </c>
      <c r="DO60">
        <v>5.0216700415953008E-3</v>
      </c>
    </row>
    <row r="61" spans="61:119">
      <c r="BI61" t="str">
        <f t="shared" si="54"/>
        <v>427941151227FI</v>
      </c>
      <c r="BJ61" s="426">
        <v>42794</v>
      </c>
      <c r="BK61" t="s">
        <v>1362</v>
      </c>
      <c r="BL61" t="s">
        <v>1372</v>
      </c>
      <c r="BM61" t="s">
        <v>1355</v>
      </c>
      <c r="BN61" s="438">
        <v>1.2029976522983015</v>
      </c>
      <c r="BO61" s="438">
        <v>0.35453905381543116</v>
      </c>
      <c r="BR61">
        <v>9.9882330273516645E-2</v>
      </c>
      <c r="BS61">
        <v>0.21447924345092012</v>
      </c>
      <c r="BT61">
        <v>0.21447924345092012</v>
      </c>
      <c r="BU61">
        <v>9.8097219359246091E-3</v>
      </c>
      <c r="BV61">
        <v>9.8097219359246091E-3</v>
      </c>
      <c r="BW61">
        <v>5.4846026104720613E-2</v>
      </c>
      <c r="BX61">
        <v>5.4846026104720613E-2</v>
      </c>
      <c r="BY61">
        <v>1.4939384662976667E-2</v>
      </c>
      <c r="BZ61">
        <v>1.4939384662976667E-2</v>
      </c>
      <c r="CA61">
        <v>1.4939384662976667E-2</v>
      </c>
      <c r="CB61">
        <v>1.4939384662976667E-2</v>
      </c>
      <c r="CC61">
        <v>1.4939384662976667E-2</v>
      </c>
      <c r="CD61">
        <v>1.4939384662976667E-2</v>
      </c>
      <c r="CE61">
        <v>1.4939384662976667E-2</v>
      </c>
      <c r="CF61">
        <v>1.4939384662976667E-2</v>
      </c>
      <c r="CG61">
        <v>1.4939384662976667E-2</v>
      </c>
      <c r="CI61">
        <v>9.3943873307890946E-2</v>
      </c>
      <c r="CJ61">
        <v>0.20068303609742261</v>
      </c>
      <c r="CK61">
        <v>0.20068303609742261</v>
      </c>
      <c r="CL61">
        <v>8.5301929877605043E-3</v>
      </c>
      <c r="CM61">
        <v>8.5301929877605043E-3</v>
      </c>
      <c r="CN61">
        <v>5.1237033147825739E-2</v>
      </c>
      <c r="CO61">
        <v>5.1237033147825739E-2</v>
      </c>
      <c r="CP61">
        <v>1.7079011049275242E-2</v>
      </c>
      <c r="CQ61">
        <v>1.7079011049275242E-2</v>
      </c>
      <c r="CR61">
        <v>1.7079011049275242E-2</v>
      </c>
      <c r="CS61">
        <v>1.7079011049275242E-2</v>
      </c>
      <c r="CT61">
        <v>1.7079011049275242E-2</v>
      </c>
      <c r="CU61">
        <v>1.7079011049275242E-2</v>
      </c>
      <c r="CV61">
        <v>1.7079011049275242E-2</v>
      </c>
      <c r="CW61">
        <v>1.7079011049275242E-2</v>
      </c>
      <c r="CX61">
        <v>1.7079011049275242E-2</v>
      </c>
      <c r="CZ61">
        <v>4.5222044886334203E-2</v>
      </c>
      <c r="DA61">
        <v>0.10004055688389896</v>
      </c>
      <c r="DB61">
        <v>0.10004055688389896</v>
      </c>
      <c r="DC61">
        <v>6.3976447408203713E-3</v>
      </c>
      <c r="DD61">
        <v>6.3976447408203713E-3</v>
      </c>
      <c r="DE61">
        <v>2.5809844813577287E-2</v>
      </c>
      <c r="DF61">
        <v>2.5809844813577287E-2</v>
      </c>
      <c r="DG61">
        <v>8.6032816045257619E-3</v>
      </c>
      <c r="DH61">
        <v>8.6032816045257619E-3</v>
      </c>
      <c r="DI61">
        <v>8.6032816045257619E-3</v>
      </c>
      <c r="DJ61">
        <v>8.6032816045257619E-3</v>
      </c>
      <c r="DK61">
        <v>8.6032816045257619E-3</v>
      </c>
      <c r="DL61">
        <v>8.6032816045257619E-3</v>
      </c>
      <c r="DM61">
        <v>8.6032816045257619E-3</v>
      </c>
      <c r="DN61">
        <v>8.6032816045257619E-3</v>
      </c>
      <c r="DO61">
        <v>8.6032816045257619E-3</v>
      </c>
    </row>
    <row r="62" spans="61:119">
      <c r="BI62" t="str">
        <f t="shared" si="54"/>
        <v>427941155314FI</v>
      </c>
      <c r="BJ62" s="426">
        <v>42794</v>
      </c>
      <c r="BK62" t="s">
        <v>1364</v>
      </c>
      <c r="BL62" t="s">
        <v>1386</v>
      </c>
      <c r="BM62" t="s">
        <v>1355</v>
      </c>
      <c r="BN62" s="438">
        <v>1.1206825293324556</v>
      </c>
      <c r="BO62" s="438">
        <v>1</v>
      </c>
      <c r="BR62">
        <v>2.5775698174646478E-2</v>
      </c>
      <c r="BS62">
        <v>9.0214943611262671E-2</v>
      </c>
      <c r="BT62">
        <v>9.0214943611262671E-2</v>
      </c>
      <c r="BU62">
        <v>2.5775698174646478E-2</v>
      </c>
      <c r="BV62">
        <v>2.5775698174646478E-2</v>
      </c>
      <c r="BW62">
        <v>2.5775698174646478E-2</v>
      </c>
      <c r="BX62">
        <v>2.5775698174646478E-2</v>
      </c>
      <c r="BY62">
        <v>8.5918993915488264E-3</v>
      </c>
      <c r="BZ62">
        <v>8.5918993915488264E-3</v>
      </c>
      <c r="CA62">
        <v>8.5918993915488264E-3</v>
      </c>
      <c r="CB62">
        <v>8.5918993915488264E-3</v>
      </c>
      <c r="CC62">
        <v>8.5918993915488264E-3</v>
      </c>
      <c r="CD62">
        <v>8.5918993915488264E-3</v>
      </c>
      <c r="CE62">
        <v>8.5918993915488264E-3</v>
      </c>
      <c r="CF62">
        <v>8.5918993915488264E-3</v>
      </c>
      <c r="CG62">
        <v>8.5918993915488264E-3</v>
      </c>
      <c r="CI62">
        <v>2.2413650586649115E-2</v>
      </c>
      <c r="CJ62">
        <v>7.8447777053271897E-2</v>
      </c>
      <c r="CK62">
        <v>7.8447777053271897E-2</v>
      </c>
      <c r="CL62">
        <v>2.2413650586649111E-2</v>
      </c>
      <c r="CM62">
        <v>2.2413650586649111E-2</v>
      </c>
      <c r="CN62">
        <v>2.2413650586649098E-2</v>
      </c>
      <c r="CO62">
        <v>2.2413650586649098E-2</v>
      </c>
      <c r="CP62">
        <v>7.4712168622163748E-3</v>
      </c>
      <c r="CQ62">
        <v>7.4712168622163748E-3</v>
      </c>
      <c r="CR62">
        <v>7.4712168622163748E-3</v>
      </c>
      <c r="CS62">
        <v>7.4712168622163748E-3</v>
      </c>
      <c r="CT62">
        <v>7.4712168622163748E-3</v>
      </c>
      <c r="CU62">
        <v>7.4712168622163748E-3</v>
      </c>
      <c r="CV62">
        <v>7.4712168622163748E-3</v>
      </c>
      <c r="CW62">
        <v>7.4712168622163748E-3</v>
      </c>
      <c r="CX62">
        <v>7.4712168622163748E-3</v>
      </c>
      <c r="CZ62">
        <v>1.6810237939986834E-2</v>
      </c>
      <c r="DA62">
        <v>5.8835832789953919E-2</v>
      </c>
      <c r="DB62">
        <v>5.8835832789953919E-2</v>
      </c>
      <c r="DC62">
        <v>1.681023793998683E-2</v>
      </c>
      <c r="DD62">
        <v>1.681023793998683E-2</v>
      </c>
      <c r="DE62">
        <v>1.681023793998683E-2</v>
      </c>
      <c r="DF62">
        <v>1.681023793998683E-2</v>
      </c>
      <c r="DG62">
        <v>5.6034126466622753E-3</v>
      </c>
      <c r="DH62">
        <v>5.6034126466622753E-3</v>
      </c>
      <c r="DI62">
        <v>5.6034126466622753E-3</v>
      </c>
      <c r="DJ62">
        <v>5.6034126466622753E-3</v>
      </c>
      <c r="DK62">
        <v>5.6034126466622753E-3</v>
      </c>
      <c r="DL62">
        <v>5.6034126466622753E-3</v>
      </c>
      <c r="DM62">
        <v>5.6034126466622753E-3</v>
      </c>
      <c r="DN62">
        <v>5.6034126466622753E-3</v>
      </c>
      <c r="DO62">
        <v>5.6034126466622753E-3</v>
      </c>
    </row>
    <row r="63" spans="61:119">
      <c r="BI63" t="str">
        <f t="shared" si="54"/>
        <v>427941141467FI</v>
      </c>
      <c r="BJ63" s="426">
        <v>42794</v>
      </c>
      <c r="BK63" t="s">
        <v>1375</v>
      </c>
      <c r="BL63" t="s">
        <v>1376</v>
      </c>
      <c r="BM63" t="s">
        <v>1355</v>
      </c>
      <c r="BN63" s="438">
        <v>2</v>
      </c>
      <c r="BO63" s="438">
        <v>1</v>
      </c>
      <c r="BR63">
        <v>4.6000000000000006E-2</v>
      </c>
      <c r="BS63">
        <v>0.16100000000000003</v>
      </c>
      <c r="BT63">
        <v>0.16100000000000003</v>
      </c>
      <c r="BU63">
        <v>4.5999999999999985E-2</v>
      </c>
      <c r="BV63">
        <v>4.5999999999999985E-2</v>
      </c>
      <c r="BW63">
        <v>4.6000000000000013E-2</v>
      </c>
      <c r="BX63">
        <v>4.6000000000000013E-2</v>
      </c>
      <c r="BY63">
        <v>1.5333333333333334E-2</v>
      </c>
      <c r="BZ63">
        <v>1.5333333333333334E-2</v>
      </c>
      <c r="CA63">
        <v>1.5333333333333334E-2</v>
      </c>
      <c r="CB63">
        <v>1.5333333333333334E-2</v>
      </c>
      <c r="CC63">
        <v>1.5333333333333334E-2</v>
      </c>
      <c r="CD63">
        <v>1.5333333333333334E-2</v>
      </c>
      <c r="CE63">
        <v>1.5333333333333334E-2</v>
      </c>
      <c r="CF63">
        <v>1.5333333333333334E-2</v>
      </c>
      <c r="CG63">
        <v>1.5333333333333334E-2</v>
      </c>
      <c r="CI63">
        <v>4.0000000000000008E-2</v>
      </c>
      <c r="CJ63">
        <v>0.14000000000000001</v>
      </c>
      <c r="CK63">
        <v>0.14000000000000001</v>
      </c>
      <c r="CL63">
        <v>3.999999999999998E-2</v>
      </c>
      <c r="CM63">
        <v>3.999999999999998E-2</v>
      </c>
      <c r="CN63">
        <v>3.999999999999998E-2</v>
      </c>
      <c r="CO63">
        <v>3.999999999999998E-2</v>
      </c>
      <c r="CP63">
        <v>1.3333333333333345E-2</v>
      </c>
      <c r="CQ63">
        <v>1.3333333333333345E-2</v>
      </c>
      <c r="CR63">
        <v>1.3333333333333345E-2</v>
      </c>
      <c r="CS63">
        <v>1.3333333333333345E-2</v>
      </c>
      <c r="CT63">
        <v>1.3333333333333345E-2</v>
      </c>
      <c r="CU63">
        <v>1.3333333333333345E-2</v>
      </c>
      <c r="CV63">
        <v>1.3333333333333345E-2</v>
      </c>
      <c r="CW63">
        <v>1.3333333333333345E-2</v>
      </c>
      <c r="CX63">
        <v>1.3333333333333345E-2</v>
      </c>
      <c r="CZ63">
        <v>0.03</v>
      </c>
      <c r="DA63">
        <v>0.105</v>
      </c>
      <c r="DB63">
        <v>0.105</v>
      </c>
      <c r="DC63">
        <v>0.03</v>
      </c>
      <c r="DD63">
        <v>0.03</v>
      </c>
      <c r="DE63">
        <v>0.03</v>
      </c>
      <c r="DF63">
        <v>0.03</v>
      </c>
      <c r="DG63">
        <v>9.9999999999999967E-3</v>
      </c>
      <c r="DH63">
        <v>9.9999999999999967E-3</v>
      </c>
      <c r="DI63">
        <v>9.9999999999999967E-3</v>
      </c>
      <c r="DJ63">
        <v>9.9999999999999967E-3</v>
      </c>
      <c r="DK63">
        <v>9.9999999999999967E-3</v>
      </c>
      <c r="DL63">
        <v>9.9999999999999967E-3</v>
      </c>
      <c r="DM63">
        <v>9.9999999999999967E-3</v>
      </c>
      <c r="DN63">
        <v>9.9999999999999967E-3</v>
      </c>
      <c r="DO63">
        <v>9.9999999999999967E-3</v>
      </c>
    </row>
    <row r="64" spans="61:119">
      <c r="BI64" t="str">
        <f t="shared" si="54"/>
        <v>42794FI</v>
      </c>
      <c r="BJ64" s="426">
        <v>42794</v>
      </c>
      <c r="BM64" t="s">
        <v>1355</v>
      </c>
      <c r="BN64" s="438">
        <v>1</v>
      </c>
      <c r="BO64" s="438">
        <v>1</v>
      </c>
      <c r="BR64">
        <v>2.3000000000000003E-2</v>
      </c>
      <c r="BS64">
        <v>8.0500000000000016E-2</v>
      </c>
      <c r="BT64">
        <v>8.0500000000000016E-2</v>
      </c>
      <c r="BU64">
        <v>2.2999999999999993E-2</v>
      </c>
      <c r="BV64">
        <v>2.2999999999999993E-2</v>
      </c>
      <c r="BW64">
        <v>2.3000000000000007E-2</v>
      </c>
      <c r="BX64">
        <v>2.3000000000000007E-2</v>
      </c>
      <c r="BY64">
        <v>7.6666666666666671E-3</v>
      </c>
      <c r="BZ64">
        <v>7.6666666666666671E-3</v>
      </c>
      <c r="CA64">
        <v>7.6666666666666671E-3</v>
      </c>
      <c r="CB64">
        <v>7.6666666666666671E-3</v>
      </c>
      <c r="CC64">
        <v>7.6666666666666671E-3</v>
      </c>
      <c r="CD64">
        <v>7.6666666666666671E-3</v>
      </c>
      <c r="CE64">
        <v>7.6666666666666671E-3</v>
      </c>
      <c r="CF64">
        <v>7.6666666666666671E-3</v>
      </c>
      <c r="CG64">
        <v>7.6666666666666671E-3</v>
      </c>
      <c r="CI64">
        <v>2.0000000000000004E-2</v>
      </c>
      <c r="CJ64">
        <v>7.0000000000000007E-2</v>
      </c>
      <c r="CK64">
        <v>7.0000000000000007E-2</v>
      </c>
      <c r="CL64">
        <v>1.999999999999999E-2</v>
      </c>
      <c r="CM64">
        <v>1.999999999999999E-2</v>
      </c>
      <c r="CN64">
        <v>1.999999999999999E-2</v>
      </c>
      <c r="CO64">
        <v>1.999999999999999E-2</v>
      </c>
      <c r="CP64">
        <v>6.6666666666666723E-3</v>
      </c>
      <c r="CQ64">
        <v>6.6666666666666723E-3</v>
      </c>
      <c r="CR64">
        <v>6.6666666666666723E-3</v>
      </c>
      <c r="CS64">
        <v>6.6666666666666723E-3</v>
      </c>
      <c r="CT64">
        <v>6.6666666666666723E-3</v>
      </c>
      <c r="CU64">
        <v>6.6666666666666723E-3</v>
      </c>
      <c r="CV64">
        <v>6.6666666666666723E-3</v>
      </c>
      <c r="CW64">
        <v>6.6666666666666723E-3</v>
      </c>
      <c r="CX64">
        <v>6.6666666666666723E-3</v>
      </c>
      <c r="CZ64">
        <v>1.4999999999999999E-2</v>
      </c>
      <c r="DA64">
        <v>5.2499999999999998E-2</v>
      </c>
      <c r="DB64">
        <v>5.2499999999999998E-2</v>
      </c>
      <c r="DC64">
        <v>1.4999999999999999E-2</v>
      </c>
      <c r="DD64">
        <v>1.4999999999999999E-2</v>
      </c>
      <c r="DE64">
        <v>1.4999999999999999E-2</v>
      </c>
      <c r="DF64">
        <v>1.4999999999999999E-2</v>
      </c>
      <c r="DG64">
        <v>4.9999999999999984E-3</v>
      </c>
      <c r="DH64">
        <v>4.9999999999999984E-3</v>
      </c>
      <c r="DI64">
        <v>4.9999999999999984E-3</v>
      </c>
      <c r="DJ64">
        <v>4.9999999999999984E-3</v>
      </c>
      <c r="DK64">
        <v>4.9999999999999984E-3</v>
      </c>
      <c r="DL64">
        <v>4.9999999999999984E-3</v>
      </c>
      <c r="DM64">
        <v>4.9999999999999984E-3</v>
      </c>
      <c r="DN64">
        <v>4.9999999999999984E-3</v>
      </c>
      <c r="DO64">
        <v>4.9999999999999984E-3</v>
      </c>
    </row>
    <row r="65" spans="61:119">
      <c r="BI65" t="str">
        <f t="shared" si="54"/>
        <v>42794CORP</v>
      </c>
      <c r="BJ65" s="426">
        <v>42794</v>
      </c>
      <c r="BM65" t="s">
        <v>1356</v>
      </c>
      <c r="BN65" s="438">
        <v>1</v>
      </c>
      <c r="BO65" s="438">
        <v>0.9175361309898098</v>
      </c>
      <c r="BR65">
        <v>9.6492773802038054E-3</v>
      </c>
      <c r="BS65">
        <v>4.8453048926550266E-2</v>
      </c>
      <c r="BT65">
        <v>4.8453048926550266E-2</v>
      </c>
      <c r="BU65">
        <v>3.1670144523959241E-2</v>
      </c>
      <c r="BV65">
        <v>3.1670144523959241E-2</v>
      </c>
      <c r="BW65">
        <v>1.6989566428122285E-2</v>
      </c>
      <c r="BX65">
        <v>1.6989566428122285E-2</v>
      </c>
      <c r="BY65">
        <v>5.6631888093740933E-3</v>
      </c>
      <c r="BZ65">
        <v>5.6631888093740933E-3</v>
      </c>
      <c r="CA65">
        <v>5.6631888093740933E-3</v>
      </c>
      <c r="CB65">
        <v>5.6631888093740933E-3</v>
      </c>
      <c r="CC65">
        <v>5.6631888093740933E-3</v>
      </c>
      <c r="CD65">
        <v>5.6631888093740933E-3</v>
      </c>
      <c r="CE65">
        <v>5.6631888093740933E-3</v>
      </c>
      <c r="CF65">
        <v>5.6631888093740933E-3</v>
      </c>
      <c r="CG65">
        <v>5.6631888093740933E-3</v>
      </c>
      <c r="CI65">
        <v>8.4018857731732351E-3</v>
      </c>
      <c r="CJ65">
        <v>4.2252106039963655E-2</v>
      </c>
      <c r="CK65">
        <v>4.2252106039963655E-2</v>
      </c>
      <c r="CL65">
        <v>2.7670144523959238E-2</v>
      </c>
      <c r="CM65">
        <v>2.7670144523959238E-2</v>
      </c>
      <c r="CN65">
        <v>1.4824638690101907E-2</v>
      </c>
      <c r="CO65">
        <v>1.4824638690101907E-2</v>
      </c>
      <c r="CP65">
        <v>4.9415462300339674E-3</v>
      </c>
      <c r="CQ65">
        <v>4.9415462300339674E-3</v>
      </c>
      <c r="CR65">
        <v>4.9415462300339674E-3</v>
      </c>
      <c r="CS65">
        <v>4.9415462300339674E-3</v>
      </c>
      <c r="CT65">
        <v>4.9415462300339674E-3</v>
      </c>
      <c r="CU65">
        <v>4.9415462300339674E-3</v>
      </c>
      <c r="CV65">
        <v>4.9415462300339674E-3</v>
      </c>
      <c r="CW65">
        <v>4.9415462300339674E-3</v>
      </c>
      <c r="CX65">
        <v>4.9415462300339674E-3</v>
      </c>
      <c r="CZ65">
        <v>5.8246386901019027E-3</v>
      </c>
      <c r="DA65">
        <v>2.9561596725254755E-2</v>
      </c>
      <c r="DB65">
        <v>2.9561596725254755E-2</v>
      </c>
      <c r="DC65">
        <v>1.9587680654949056E-2</v>
      </c>
      <c r="DD65">
        <v>1.9587680654949056E-2</v>
      </c>
      <c r="DE65">
        <v>1.0412319345050942E-2</v>
      </c>
      <c r="DF65">
        <v>1.0412319345050942E-2</v>
      </c>
      <c r="DG65">
        <v>3.4707731150169893E-3</v>
      </c>
      <c r="DH65">
        <v>3.4707731150169893E-3</v>
      </c>
      <c r="DI65">
        <v>3.4707731150169893E-3</v>
      </c>
      <c r="DJ65">
        <v>3.4707731150169893E-3</v>
      </c>
      <c r="DK65">
        <v>3.4707731150169893E-3</v>
      </c>
      <c r="DL65">
        <v>3.4707731150169893E-3</v>
      </c>
      <c r="DM65">
        <v>3.4707731150169893E-3</v>
      </c>
      <c r="DN65">
        <v>3.4707731150169893E-3</v>
      </c>
      <c r="DO65">
        <v>3.4707731150169893E-3</v>
      </c>
    </row>
    <row r="66" spans="61:119">
      <c r="BI66" t="str">
        <f t="shared" si="54"/>
        <v>42794ESCROW</v>
      </c>
      <c r="BJ66" s="426">
        <v>42794</v>
      </c>
      <c r="BM66" t="s">
        <v>1339</v>
      </c>
      <c r="BN66" s="438">
        <v>1</v>
      </c>
      <c r="BO66" s="438">
        <v>1</v>
      </c>
      <c r="BR66">
        <v>3.2000000000000001E-2</v>
      </c>
      <c r="BS66">
        <v>2.4E-2</v>
      </c>
      <c r="BT66">
        <v>2.4E-2</v>
      </c>
      <c r="BU66">
        <v>0.04</v>
      </c>
      <c r="BV66">
        <v>0.04</v>
      </c>
      <c r="BW66">
        <v>3.9999999999999994E-2</v>
      </c>
      <c r="BX66">
        <v>3.9999999999999994E-2</v>
      </c>
      <c r="BY66">
        <v>8.8888888888888906E-3</v>
      </c>
      <c r="BZ66">
        <v>8.8888888888888906E-3</v>
      </c>
      <c r="CA66">
        <v>8.8888888888888906E-3</v>
      </c>
      <c r="CB66">
        <v>8.8888888888888906E-3</v>
      </c>
      <c r="CC66">
        <v>8.8888888888888906E-3</v>
      </c>
      <c r="CD66">
        <v>8.8888888888888906E-3</v>
      </c>
      <c r="CE66">
        <v>8.8888888888888906E-3</v>
      </c>
      <c r="CF66">
        <v>8.8888888888888906E-3</v>
      </c>
      <c r="CG66">
        <v>8.8888888888888906E-3</v>
      </c>
      <c r="CI66">
        <v>2.8000000000000004E-2</v>
      </c>
      <c r="CJ66">
        <v>2.1000000000000001E-2</v>
      </c>
      <c r="CK66">
        <v>2.1000000000000001E-2</v>
      </c>
      <c r="CL66">
        <v>3.5000000000000003E-2</v>
      </c>
      <c r="CM66">
        <v>3.5000000000000003E-2</v>
      </c>
      <c r="CN66">
        <v>3.5000000000000003E-2</v>
      </c>
      <c r="CO66">
        <v>3.5000000000000003E-2</v>
      </c>
      <c r="CP66">
        <v>7.7777777777777784E-3</v>
      </c>
      <c r="CQ66">
        <v>7.7777777777777784E-3</v>
      </c>
      <c r="CR66">
        <v>7.7777777777777784E-3</v>
      </c>
      <c r="CS66">
        <v>7.7777777777777784E-3</v>
      </c>
      <c r="CT66">
        <v>7.7777777777777784E-3</v>
      </c>
      <c r="CU66">
        <v>7.7777777777777784E-3</v>
      </c>
      <c r="CV66">
        <v>7.7777777777777784E-3</v>
      </c>
      <c r="CW66">
        <v>7.7777777777777784E-3</v>
      </c>
      <c r="CX66">
        <v>7.7777777777777784E-3</v>
      </c>
      <c r="CZ66">
        <v>2.0000000000000004E-2</v>
      </c>
      <c r="DA66">
        <v>1.4999999999999999E-2</v>
      </c>
      <c r="DB66">
        <v>1.4999999999999999E-2</v>
      </c>
      <c r="DC66">
        <v>2.5000000000000001E-2</v>
      </c>
      <c r="DD66">
        <v>2.5000000000000001E-2</v>
      </c>
      <c r="DE66">
        <v>2.5000000000000008E-2</v>
      </c>
      <c r="DF66">
        <v>2.5000000000000008E-2</v>
      </c>
      <c r="DG66">
        <v>5.555555555555554E-3</v>
      </c>
      <c r="DH66">
        <v>5.555555555555554E-3</v>
      </c>
      <c r="DI66">
        <v>5.555555555555554E-3</v>
      </c>
      <c r="DJ66">
        <v>5.555555555555554E-3</v>
      </c>
      <c r="DK66">
        <v>5.555555555555554E-3</v>
      </c>
      <c r="DL66">
        <v>5.555555555555554E-3</v>
      </c>
      <c r="DM66">
        <v>5.555555555555554E-3</v>
      </c>
      <c r="DN66">
        <v>5.555555555555554E-3</v>
      </c>
      <c r="DO66">
        <v>5.555555555555554E-3</v>
      </c>
    </row>
    <row r="67" spans="61:119">
      <c r="BI67" t="str">
        <f t="shared" si="54"/>
        <v>42794IB</v>
      </c>
      <c r="BJ67" s="426">
        <v>42794</v>
      </c>
      <c r="BM67" t="s">
        <v>1354</v>
      </c>
      <c r="BN67" s="438">
        <v>1</v>
      </c>
      <c r="BO67" s="438">
        <v>1</v>
      </c>
      <c r="BR67">
        <v>1.2E-2</v>
      </c>
      <c r="BS67">
        <v>4.2000000000000003E-2</v>
      </c>
      <c r="BT67">
        <v>4.2000000000000003E-2</v>
      </c>
      <c r="BU67">
        <v>1.1999999999999997E-2</v>
      </c>
      <c r="BV67">
        <v>1.1999999999999997E-2</v>
      </c>
      <c r="BW67">
        <v>1.1999999999999997E-2</v>
      </c>
      <c r="BX67">
        <v>1.1999999999999997E-2</v>
      </c>
      <c r="BY67">
        <v>4.0000000000000001E-3</v>
      </c>
      <c r="BZ67">
        <v>4.0000000000000001E-3</v>
      </c>
      <c r="CA67">
        <v>4.0000000000000001E-3</v>
      </c>
      <c r="CB67">
        <v>4.0000000000000001E-3</v>
      </c>
      <c r="CC67">
        <v>4.0000000000000001E-3</v>
      </c>
      <c r="CD67">
        <v>4.0000000000000001E-3</v>
      </c>
      <c r="CE67">
        <v>4.0000000000000001E-3</v>
      </c>
      <c r="CF67">
        <v>4.0000000000000001E-3</v>
      </c>
      <c r="CG67">
        <v>4.0000000000000001E-3</v>
      </c>
      <c r="CI67">
        <v>3.0000000000000001E-3</v>
      </c>
      <c r="CJ67">
        <v>1.0500000000000001E-2</v>
      </c>
      <c r="CK67">
        <v>1.0500000000000001E-2</v>
      </c>
      <c r="CL67">
        <v>2.9999999999999992E-3</v>
      </c>
      <c r="CM67">
        <v>2.9999999999999992E-3</v>
      </c>
      <c r="CN67">
        <v>2.9999999999999992E-3</v>
      </c>
      <c r="CO67">
        <v>2.9999999999999992E-3</v>
      </c>
      <c r="CP67">
        <v>1E-3</v>
      </c>
      <c r="CQ67">
        <v>1E-3</v>
      </c>
      <c r="CR67">
        <v>1E-3</v>
      </c>
      <c r="CS67">
        <v>1E-3</v>
      </c>
      <c r="CT67">
        <v>1E-3</v>
      </c>
      <c r="CU67">
        <v>1E-3</v>
      </c>
      <c r="CV67">
        <v>1E-3</v>
      </c>
      <c r="CW67">
        <v>1E-3</v>
      </c>
      <c r="CX67">
        <v>1E-3</v>
      </c>
      <c r="CZ67">
        <v>1.0000000000000002E-2</v>
      </c>
      <c r="DA67">
        <v>3.5000000000000003E-2</v>
      </c>
      <c r="DB67">
        <v>3.5000000000000003E-2</v>
      </c>
      <c r="DC67">
        <v>9.999999999999995E-3</v>
      </c>
      <c r="DD67">
        <v>9.999999999999995E-3</v>
      </c>
      <c r="DE67">
        <v>9.999999999999995E-3</v>
      </c>
      <c r="DF67">
        <v>9.999999999999995E-3</v>
      </c>
      <c r="DG67">
        <v>3.3333333333333361E-3</v>
      </c>
      <c r="DH67">
        <v>3.3333333333333361E-3</v>
      </c>
      <c r="DI67">
        <v>3.3333333333333361E-3</v>
      </c>
      <c r="DJ67">
        <v>3.3333333333333361E-3</v>
      </c>
      <c r="DK67">
        <v>3.3333333333333361E-3</v>
      </c>
      <c r="DL67">
        <v>3.3333333333333361E-3</v>
      </c>
      <c r="DM67">
        <v>3.3333333333333361E-3</v>
      </c>
      <c r="DN67">
        <v>3.3333333333333361E-3</v>
      </c>
      <c r="DO67">
        <v>3.3333333333333361E-3</v>
      </c>
    </row>
    <row r="68" spans="61:119">
      <c r="BI68" t="str">
        <f>BJ68&amp;BK68&amp;BM68</f>
        <v>42794AFF</v>
      </c>
      <c r="BJ68" s="426">
        <v>42794</v>
      </c>
      <c r="BM68" t="s">
        <v>1353</v>
      </c>
      <c r="BN68" s="438">
        <v>1</v>
      </c>
      <c r="BO68" s="438">
        <v>1</v>
      </c>
      <c r="BR68">
        <v>1.4999999999999999E-2</v>
      </c>
      <c r="BS68">
        <v>5.2499999999999998E-2</v>
      </c>
      <c r="BT68">
        <v>5.2499999999999998E-2</v>
      </c>
      <c r="BU68">
        <v>1.4999999999999999E-2</v>
      </c>
      <c r="BV68">
        <v>1.4999999999999999E-2</v>
      </c>
      <c r="BW68">
        <v>1.4999999999999999E-2</v>
      </c>
      <c r="BX68">
        <v>1.4999999999999999E-2</v>
      </c>
      <c r="BY68">
        <v>4.9999999999999984E-3</v>
      </c>
      <c r="BZ68">
        <v>4.9999999999999984E-3</v>
      </c>
      <c r="CA68">
        <v>4.9999999999999984E-3</v>
      </c>
      <c r="CB68">
        <v>4.9999999999999984E-3</v>
      </c>
      <c r="CC68">
        <v>4.9999999999999984E-3</v>
      </c>
      <c r="CD68">
        <v>4.9999999999999984E-3</v>
      </c>
      <c r="CE68">
        <v>4.9999999999999984E-3</v>
      </c>
      <c r="CF68">
        <v>4.9999999999999984E-3</v>
      </c>
      <c r="CG68">
        <v>4.9999999999999984E-3</v>
      </c>
      <c r="CI68">
        <v>1.2E-2</v>
      </c>
      <c r="CJ68">
        <v>4.2000000000000003E-2</v>
      </c>
      <c r="CK68">
        <v>4.2000000000000003E-2</v>
      </c>
      <c r="CL68">
        <v>1.1999999999999997E-2</v>
      </c>
      <c r="CM68">
        <v>1.1999999999999997E-2</v>
      </c>
      <c r="CN68">
        <v>1.1999999999999997E-2</v>
      </c>
      <c r="CO68">
        <v>1.1999999999999997E-2</v>
      </c>
      <c r="CP68">
        <v>4.0000000000000001E-3</v>
      </c>
      <c r="CQ68">
        <v>4.0000000000000001E-3</v>
      </c>
      <c r="CR68">
        <v>4.0000000000000001E-3</v>
      </c>
      <c r="CS68">
        <v>4.0000000000000001E-3</v>
      </c>
      <c r="CT68">
        <v>4.0000000000000001E-3</v>
      </c>
      <c r="CU68">
        <v>4.0000000000000001E-3</v>
      </c>
      <c r="CV68">
        <v>4.0000000000000001E-3</v>
      </c>
      <c r="CW68">
        <v>4.0000000000000001E-3</v>
      </c>
      <c r="CX68">
        <v>4.0000000000000001E-3</v>
      </c>
      <c r="CZ68">
        <v>5.000000000000001E-3</v>
      </c>
      <c r="DA68">
        <v>1.7500000000000002E-2</v>
      </c>
      <c r="DB68">
        <v>1.7500000000000002E-2</v>
      </c>
      <c r="DC68">
        <v>4.9999999999999975E-3</v>
      </c>
      <c r="DD68">
        <v>4.9999999999999975E-3</v>
      </c>
      <c r="DE68">
        <v>4.9999999999999975E-3</v>
      </c>
      <c r="DF68">
        <v>4.9999999999999975E-3</v>
      </c>
      <c r="DG68">
        <v>1.6666666666666681E-3</v>
      </c>
      <c r="DH68">
        <v>1.6666666666666681E-3</v>
      </c>
      <c r="DI68">
        <v>1.6666666666666681E-3</v>
      </c>
      <c r="DJ68">
        <v>1.6666666666666681E-3</v>
      </c>
      <c r="DK68">
        <v>1.6666666666666681E-3</v>
      </c>
      <c r="DL68">
        <v>1.6666666666666681E-3</v>
      </c>
      <c r="DM68">
        <v>1.6666666666666681E-3</v>
      </c>
      <c r="DN68">
        <v>1.6666666666666681E-3</v>
      </c>
      <c r="DO68">
        <v>1.6666666666666681E-3</v>
      </c>
    </row>
    <row r="69" spans="61:119">
      <c r="BI69" t="str">
        <f t="shared" ref="BI69:BI132" si="55">BJ69&amp;BK69&amp;BM69</f>
        <v>428251030623FI</v>
      </c>
      <c r="BJ69" s="426">
        <v>42825</v>
      </c>
      <c r="BK69" t="s">
        <v>1360</v>
      </c>
      <c r="BL69" t="s">
        <v>1369</v>
      </c>
      <c r="BM69" t="s">
        <v>1355</v>
      </c>
      <c r="BN69" s="438">
        <v>2</v>
      </c>
      <c r="BO69" s="438">
        <v>1</v>
      </c>
      <c r="BR69">
        <v>4.6000000000000006E-2</v>
      </c>
      <c r="BS69">
        <v>0.16100000000000003</v>
      </c>
      <c r="BT69">
        <v>0.16100000000000003</v>
      </c>
      <c r="BU69">
        <v>4.5999999999999985E-2</v>
      </c>
      <c r="BV69">
        <v>4.5999999999999985E-2</v>
      </c>
      <c r="BW69">
        <v>4.6000000000000013E-2</v>
      </c>
      <c r="BX69">
        <v>4.6000000000000013E-2</v>
      </c>
      <c r="BY69">
        <v>1.5333333333333334E-2</v>
      </c>
      <c r="BZ69">
        <v>1.5333333333333334E-2</v>
      </c>
      <c r="CA69">
        <v>1.5333333333333334E-2</v>
      </c>
      <c r="CB69">
        <v>1.5333333333333334E-2</v>
      </c>
      <c r="CC69">
        <v>1.5333333333333334E-2</v>
      </c>
      <c r="CD69">
        <v>1.5333333333333334E-2</v>
      </c>
      <c r="CE69">
        <v>1.5333333333333334E-2</v>
      </c>
      <c r="CF69">
        <v>1.5333333333333334E-2</v>
      </c>
      <c r="CG69">
        <v>1.5333333333333334E-2</v>
      </c>
      <c r="CI69">
        <v>4.0000000000000008E-2</v>
      </c>
      <c r="CJ69">
        <v>0.14000000000000001</v>
      </c>
      <c r="CK69">
        <v>0.14000000000000001</v>
      </c>
      <c r="CL69">
        <v>3.999999999999998E-2</v>
      </c>
      <c r="CM69">
        <v>3.999999999999998E-2</v>
      </c>
      <c r="CN69">
        <v>3.999999999999998E-2</v>
      </c>
      <c r="CO69">
        <v>3.999999999999998E-2</v>
      </c>
      <c r="CP69">
        <v>1.3333333333333345E-2</v>
      </c>
      <c r="CQ69">
        <v>1.3333333333333345E-2</v>
      </c>
      <c r="CR69">
        <v>1.3333333333333345E-2</v>
      </c>
      <c r="CS69">
        <v>1.3333333333333345E-2</v>
      </c>
      <c r="CT69">
        <v>1.3333333333333345E-2</v>
      </c>
      <c r="CU69">
        <v>1.3333333333333345E-2</v>
      </c>
      <c r="CV69">
        <v>1.3333333333333345E-2</v>
      </c>
      <c r="CW69">
        <v>1.3333333333333345E-2</v>
      </c>
      <c r="CX69">
        <v>1.3333333333333345E-2</v>
      </c>
      <c r="CZ69">
        <v>0.03</v>
      </c>
      <c r="DA69">
        <v>0.105</v>
      </c>
      <c r="DB69">
        <v>0.105</v>
      </c>
      <c r="DC69">
        <v>0.03</v>
      </c>
      <c r="DD69">
        <v>0.03</v>
      </c>
      <c r="DE69">
        <v>0.03</v>
      </c>
      <c r="DF69">
        <v>0.03</v>
      </c>
      <c r="DG69">
        <v>9.9999999999999967E-3</v>
      </c>
      <c r="DH69">
        <v>9.9999999999999967E-3</v>
      </c>
      <c r="DI69">
        <v>9.9999999999999967E-3</v>
      </c>
      <c r="DJ69">
        <v>9.9999999999999967E-3</v>
      </c>
      <c r="DK69">
        <v>9.9999999999999967E-3</v>
      </c>
      <c r="DL69">
        <v>9.9999999999999967E-3</v>
      </c>
      <c r="DM69">
        <v>9.9999999999999967E-3</v>
      </c>
      <c r="DN69">
        <v>9.9999999999999967E-3</v>
      </c>
      <c r="DO69">
        <v>9.9999999999999967E-3</v>
      </c>
    </row>
    <row r="70" spans="61:119">
      <c r="BI70" t="str">
        <f t="shared" si="55"/>
        <v>428251126198FI</v>
      </c>
      <c r="BJ70" s="426">
        <v>42825</v>
      </c>
      <c r="BK70" t="s">
        <v>1359</v>
      </c>
      <c r="BL70" t="s">
        <v>1367</v>
      </c>
      <c r="BM70" t="s">
        <v>1355</v>
      </c>
      <c r="BN70" s="438">
        <v>1.9746179150110514</v>
      </c>
      <c r="BO70" s="438">
        <v>1</v>
      </c>
      <c r="BR70">
        <v>4.5416212045254187E-2</v>
      </c>
      <c r="BS70">
        <v>0.15895674215838965</v>
      </c>
      <c r="BT70">
        <v>0.15895674215838965</v>
      </c>
      <c r="BU70">
        <v>4.5416212045254173E-2</v>
      </c>
      <c r="BV70">
        <v>4.5416212045254173E-2</v>
      </c>
      <c r="BW70">
        <v>4.5416212045254173E-2</v>
      </c>
      <c r="BX70">
        <v>4.5416212045254173E-2</v>
      </c>
      <c r="BY70">
        <v>1.5138737348418061E-2</v>
      </c>
      <c r="BZ70">
        <v>1.5138737348418061E-2</v>
      </c>
      <c r="CA70">
        <v>1.5138737348418061E-2</v>
      </c>
      <c r="CB70">
        <v>1.5138737348418061E-2</v>
      </c>
      <c r="CC70">
        <v>1.5138737348418061E-2</v>
      </c>
      <c r="CD70">
        <v>1.5138737348418061E-2</v>
      </c>
      <c r="CE70">
        <v>1.5138737348418061E-2</v>
      </c>
      <c r="CF70">
        <v>1.5138737348418061E-2</v>
      </c>
      <c r="CG70">
        <v>1.5138737348418061E-2</v>
      </c>
      <c r="CI70">
        <v>3.9492358300221034E-2</v>
      </c>
      <c r="CJ70">
        <v>0.13822325405077363</v>
      </c>
      <c r="CK70">
        <v>0.13822325405077363</v>
      </c>
      <c r="CL70">
        <v>3.949235830022102E-2</v>
      </c>
      <c r="CM70">
        <v>3.949235830022102E-2</v>
      </c>
      <c r="CN70">
        <v>3.949235830022102E-2</v>
      </c>
      <c r="CO70">
        <v>3.949235830022102E-2</v>
      </c>
      <c r="CP70">
        <v>1.3164119433407007E-2</v>
      </c>
      <c r="CQ70">
        <v>1.3164119433407007E-2</v>
      </c>
      <c r="CR70">
        <v>1.3164119433407007E-2</v>
      </c>
      <c r="CS70">
        <v>1.3164119433407007E-2</v>
      </c>
      <c r="CT70">
        <v>1.3164119433407007E-2</v>
      </c>
      <c r="CU70">
        <v>1.3164119433407007E-2</v>
      </c>
      <c r="CV70">
        <v>1.3164119433407007E-2</v>
      </c>
      <c r="CW70">
        <v>1.3164119433407007E-2</v>
      </c>
      <c r="CX70">
        <v>1.3164119433407007E-2</v>
      </c>
      <c r="CZ70">
        <v>2.9619268725165772E-2</v>
      </c>
      <c r="DA70">
        <v>0.1036674405380802</v>
      </c>
      <c r="DB70">
        <v>0.1036674405380802</v>
      </c>
      <c r="DC70">
        <v>2.9619268725165765E-2</v>
      </c>
      <c r="DD70">
        <v>2.9619268725165765E-2</v>
      </c>
      <c r="DE70">
        <v>2.9619268725165765E-2</v>
      </c>
      <c r="DF70">
        <v>2.9619268725165765E-2</v>
      </c>
      <c r="DG70">
        <v>9.8730895750552584E-3</v>
      </c>
      <c r="DH70">
        <v>9.8730895750552584E-3</v>
      </c>
      <c r="DI70">
        <v>9.8730895750552584E-3</v>
      </c>
      <c r="DJ70">
        <v>9.8730895750552584E-3</v>
      </c>
      <c r="DK70">
        <v>9.8730895750552584E-3</v>
      </c>
      <c r="DL70">
        <v>9.8730895750552584E-3</v>
      </c>
      <c r="DM70">
        <v>9.8730895750552584E-3</v>
      </c>
      <c r="DN70">
        <v>9.8730895750552584E-3</v>
      </c>
      <c r="DO70">
        <v>9.8730895750552584E-3</v>
      </c>
    </row>
    <row r="71" spans="61:119">
      <c r="BI71" t="str">
        <f t="shared" si="55"/>
        <v>428251000798AFF</v>
      </c>
      <c r="BJ71" s="426">
        <v>42825</v>
      </c>
      <c r="BK71" t="s">
        <v>1366</v>
      </c>
      <c r="BL71" t="s">
        <v>1374</v>
      </c>
      <c r="BM71" t="s">
        <v>1353</v>
      </c>
      <c r="BN71" s="438">
        <v>1.9522317400047891</v>
      </c>
      <c r="BO71" s="438">
        <v>1</v>
      </c>
      <c r="BR71">
        <v>2.9283476100071839E-2</v>
      </c>
      <c r="BS71">
        <v>0.10249216635025143</v>
      </c>
      <c r="BT71">
        <v>0.10249216635025143</v>
      </c>
      <c r="BU71">
        <v>2.9283476100071829E-2</v>
      </c>
      <c r="BV71">
        <v>2.9283476100071829E-2</v>
      </c>
      <c r="BW71">
        <v>2.9283476100071842E-2</v>
      </c>
      <c r="BX71">
        <v>2.9283476100071842E-2</v>
      </c>
      <c r="BY71">
        <v>9.761158700023944E-3</v>
      </c>
      <c r="BZ71">
        <v>9.761158700023944E-3</v>
      </c>
      <c r="CA71">
        <v>9.761158700023944E-3</v>
      </c>
      <c r="CB71">
        <v>9.761158700023944E-3</v>
      </c>
      <c r="CC71">
        <v>9.761158700023944E-3</v>
      </c>
      <c r="CD71">
        <v>9.761158700023944E-3</v>
      </c>
      <c r="CE71">
        <v>9.761158700023944E-3</v>
      </c>
      <c r="CF71">
        <v>9.761158700023944E-3</v>
      </c>
      <c r="CG71">
        <v>9.761158700023944E-3</v>
      </c>
      <c r="CI71">
        <v>2.3426780880057469E-2</v>
      </c>
      <c r="CJ71">
        <v>8.1993733080201137E-2</v>
      </c>
      <c r="CK71">
        <v>8.1993733080201137E-2</v>
      </c>
      <c r="CL71">
        <v>2.3426780880057466E-2</v>
      </c>
      <c r="CM71">
        <v>2.3426780880057466E-2</v>
      </c>
      <c r="CN71">
        <v>2.3426780880057452E-2</v>
      </c>
      <c r="CO71">
        <v>2.3426780880057452E-2</v>
      </c>
      <c r="CP71">
        <v>7.8089269600191569E-3</v>
      </c>
      <c r="CQ71">
        <v>7.8089269600191569E-3</v>
      </c>
      <c r="CR71">
        <v>7.8089269600191569E-3</v>
      </c>
      <c r="CS71">
        <v>7.8089269600191569E-3</v>
      </c>
      <c r="CT71">
        <v>7.8089269600191569E-3</v>
      </c>
      <c r="CU71">
        <v>7.8089269600191569E-3</v>
      </c>
      <c r="CV71">
        <v>7.8089269600191569E-3</v>
      </c>
      <c r="CW71">
        <v>7.8089269600191569E-3</v>
      </c>
      <c r="CX71">
        <v>7.8089269600191569E-3</v>
      </c>
      <c r="CZ71">
        <v>9.7611587000239475E-3</v>
      </c>
      <c r="DA71">
        <v>3.4164055450083816E-2</v>
      </c>
      <c r="DB71">
        <v>3.4164055450083816E-2</v>
      </c>
      <c r="DC71">
        <v>9.7611587000239405E-3</v>
      </c>
      <c r="DD71">
        <v>9.7611587000239405E-3</v>
      </c>
      <c r="DE71">
        <v>9.7611587000239405E-3</v>
      </c>
      <c r="DF71">
        <v>9.7611587000239405E-3</v>
      </c>
      <c r="DG71">
        <v>3.253719566674649E-3</v>
      </c>
      <c r="DH71">
        <v>3.253719566674649E-3</v>
      </c>
      <c r="DI71">
        <v>3.253719566674649E-3</v>
      </c>
      <c r="DJ71">
        <v>3.253719566674649E-3</v>
      </c>
      <c r="DK71">
        <v>3.253719566674649E-3</v>
      </c>
      <c r="DL71">
        <v>3.253719566674649E-3</v>
      </c>
      <c r="DM71">
        <v>3.253719566674649E-3</v>
      </c>
      <c r="DN71">
        <v>3.253719566674649E-3</v>
      </c>
      <c r="DO71">
        <v>3.253719566674649E-3</v>
      </c>
    </row>
    <row r="72" spans="61:119">
      <c r="BI72" t="str">
        <f t="shared" si="55"/>
        <v>428251000526FI</v>
      </c>
      <c r="BJ72" s="426">
        <v>42825</v>
      </c>
      <c r="BK72" t="s">
        <v>1363</v>
      </c>
      <c r="BL72" t="s">
        <v>1368</v>
      </c>
      <c r="BM72" t="s">
        <v>1355</v>
      </c>
      <c r="BN72" s="438">
        <v>1.717504864026258</v>
      </c>
      <c r="BO72" s="438">
        <v>1</v>
      </c>
      <c r="BR72">
        <v>3.950261187260394E-2</v>
      </c>
      <c r="BS72">
        <v>0.13825914155411378</v>
      </c>
      <c r="BT72">
        <v>0.13825914155411378</v>
      </c>
      <c r="BU72">
        <v>3.9502611872603927E-2</v>
      </c>
      <c r="BV72">
        <v>3.9502611872603927E-2</v>
      </c>
      <c r="BW72">
        <v>3.9502611872603927E-2</v>
      </c>
      <c r="BX72">
        <v>3.9502611872603927E-2</v>
      </c>
      <c r="BY72">
        <v>1.3167537290867984E-2</v>
      </c>
      <c r="BZ72">
        <v>1.3167537290867984E-2</v>
      </c>
      <c r="CA72">
        <v>1.3167537290867984E-2</v>
      </c>
      <c r="CB72">
        <v>1.3167537290867984E-2</v>
      </c>
      <c r="CC72">
        <v>1.3167537290867984E-2</v>
      </c>
      <c r="CD72">
        <v>1.3167537290867984E-2</v>
      </c>
      <c r="CE72">
        <v>1.3167537290867984E-2</v>
      </c>
      <c r="CF72">
        <v>1.3167537290867984E-2</v>
      </c>
      <c r="CG72">
        <v>1.3167537290867984E-2</v>
      </c>
      <c r="CI72">
        <v>3.4350097280525162E-2</v>
      </c>
      <c r="CJ72">
        <v>0.12022534048183807</v>
      </c>
      <c r="CK72">
        <v>0.12022534048183807</v>
      </c>
      <c r="CL72">
        <v>3.4350097280525155E-2</v>
      </c>
      <c r="CM72">
        <v>3.4350097280525155E-2</v>
      </c>
      <c r="CN72">
        <v>3.4350097280525155E-2</v>
      </c>
      <c r="CO72">
        <v>3.4350097280525155E-2</v>
      </c>
      <c r="CP72">
        <v>1.1450032426841721E-2</v>
      </c>
      <c r="CQ72">
        <v>1.1450032426841721E-2</v>
      </c>
      <c r="CR72">
        <v>1.1450032426841721E-2</v>
      </c>
      <c r="CS72">
        <v>1.1450032426841721E-2</v>
      </c>
      <c r="CT72">
        <v>1.1450032426841721E-2</v>
      </c>
      <c r="CU72">
        <v>1.1450032426841721E-2</v>
      </c>
      <c r="CV72">
        <v>1.1450032426841721E-2</v>
      </c>
      <c r="CW72">
        <v>1.1450032426841721E-2</v>
      </c>
      <c r="CX72">
        <v>1.1450032426841721E-2</v>
      </c>
      <c r="CZ72">
        <v>2.5762572960393873E-2</v>
      </c>
      <c r="DA72">
        <v>9.0169005361378562E-2</v>
      </c>
      <c r="DB72">
        <v>9.0169005361378562E-2</v>
      </c>
      <c r="DC72">
        <v>2.5762572960393859E-2</v>
      </c>
      <c r="DD72">
        <v>2.5762572960393859E-2</v>
      </c>
      <c r="DE72">
        <v>2.5762572960393859E-2</v>
      </c>
      <c r="DF72">
        <v>2.5762572960393859E-2</v>
      </c>
      <c r="DG72">
        <v>8.5875243201312922E-3</v>
      </c>
      <c r="DH72">
        <v>8.5875243201312922E-3</v>
      </c>
      <c r="DI72">
        <v>8.5875243201312922E-3</v>
      </c>
      <c r="DJ72">
        <v>8.5875243201312922E-3</v>
      </c>
      <c r="DK72">
        <v>8.5875243201312922E-3</v>
      </c>
      <c r="DL72">
        <v>8.5875243201312922E-3</v>
      </c>
      <c r="DM72">
        <v>8.5875243201312922E-3</v>
      </c>
      <c r="DN72">
        <v>8.5875243201312922E-3</v>
      </c>
      <c r="DO72">
        <v>8.5875243201312922E-3</v>
      </c>
    </row>
    <row r="73" spans="61:119">
      <c r="BI73" t="str">
        <f t="shared" si="55"/>
        <v>428251000790IB</v>
      </c>
      <c r="BJ73" s="426">
        <v>42825</v>
      </c>
      <c r="BK73" t="s">
        <v>1358</v>
      </c>
      <c r="BL73" t="s">
        <v>1371</v>
      </c>
      <c r="BM73" t="s">
        <v>1354</v>
      </c>
      <c r="BN73" s="438">
        <v>1.5328995550804922</v>
      </c>
      <c r="BO73" s="438">
        <v>1</v>
      </c>
      <c r="BR73">
        <v>1.839479466096591E-2</v>
      </c>
      <c r="BS73">
        <v>6.4381781313380682E-2</v>
      </c>
      <c r="BT73">
        <v>6.4381781313380682E-2</v>
      </c>
      <c r="BU73">
        <v>1.8394794660965899E-2</v>
      </c>
      <c r="BV73">
        <v>1.8394794660965899E-2</v>
      </c>
      <c r="BW73">
        <v>1.8394794660965899E-2</v>
      </c>
      <c r="BX73">
        <v>1.8394794660965899E-2</v>
      </c>
      <c r="BY73">
        <v>6.131598220321971E-3</v>
      </c>
      <c r="BZ73">
        <v>6.131598220321971E-3</v>
      </c>
      <c r="CA73">
        <v>6.131598220321971E-3</v>
      </c>
      <c r="CB73">
        <v>6.131598220321971E-3</v>
      </c>
      <c r="CC73">
        <v>6.131598220321971E-3</v>
      </c>
      <c r="CD73">
        <v>6.131598220321971E-3</v>
      </c>
      <c r="CE73">
        <v>6.131598220321971E-3</v>
      </c>
      <c r="CF73">
        <v>6.131598220321971E-3</v>
      </c>
      <c r="CG73">
        <v>6.131598220321971E-3</v>
      </c>
      <c r="CI73">
        <v>4.5986986652414774E-3</v>
      </c>
      <c r="CJ73">
        <v>1.609544532834517E-2</v>
      </c>
      <c r="CK73">
        <v>1.609544532834517E-2</v>
      </c>
      <c r="CL73">
        <v>4.5986986652414748E-3</v>
      </c>
      <c r="CM73">
        <v>4.5986986652414748E-3</v>
      </c>
      <c r="CN73">
        <v>4.5986986652414748E-3</v>
      </c>
      <c r="CO73">
        <v>4.5986986652414748E-3</v>
      </c>
      <c r="CP73">
        <v>1.5328995550804927E-3</v>
      </c>
      <c r="CQ73">
        <v>1.5328995550804927E-3</v>
      </c>
      <c r="CR73">
        <v>1.5328995550804927E-3</v>
      </c>
      <c r="CS73">
        <v>1.5328995550804927E-3</v>
      </c>
      <c r="CT73">
        <v>1.5328995550804927E-3</v>
      </c>
      <c r="CU73">
        <v>1.5328995550804927E-3</v>
      </c>
      <c r="CV73">
        <v>1.5328995550804927E-3</v>
      </c>
      <c r="CW73">
        <v>1.5328995550804927E-3</v>
      </c>
      <c r="CX73">
        <v>1.5328995550804927E-3</v>
      </c>
      <c r="CZ73">
        <v>1.5328995550804926E-2</v>
      </c>
      <c r="DA73">
        <v>5.3651484427817239E-2</v>
      </c>
      <c r="DB73">
        <v>5.3651484427817239E-2</v>
      </c>
      <c r="DC73">
        <v>1.5328995550804921E-2</v>
      </c>
      <c r="DD73">
        <v>1.5328995550804921E-2</v>
      </c>
      <c r="DE73">
        <v>1.5328995550804927E-2</v>
      </c>
      <c r="DF73">
        <v>1.5328995550804927E-2</v>
      </c>
      <c r="DG73">
        <v>5.109665183601641E-3</v>
      </c>
      <c r="DH73">
        <v>5.109665183601641E-3</v>
      </c>
      <c r="DI73">
        <v>5.109665183601641E-3</v>
      </c>
      <c r="DJ73">
        <v>5.109665183601641E-3</v>
      </c>
      <c r="DK73">
        <v>5.109665183601641E-3</v>
      </c>
      <c r="DL73">
        <v>5.109665183601641E-3</v>
      </c>
      <c r="DM73">
        <v>5.109665183601641E-3</v>
      </c>
      <c r="DN73">
        <v>5.109665183601641E-3</v>
      </c>
      <c r="DO73">
        <v>5.109665183601641E-3</v>
      </c>
    </row>
    <row r="74" spans="61:119">
      <c r="BI74" t="str">
        <f t="shared" si="55"/>
        <v>428251151227FI</v>
      </c>
      <c r="BJ74" s="426">
        <v>42825</v>
      </c>
      <c r="BK74" t="s">
        <v>1362</v>
      </c>
      <c r="BL74" t="s">
        <v>1372</v>
      </c>
      <c r="BM74" t="s">
        <v>1355</v>
      </c>
      <c r="BN74" s="438">
        <v>1.222010102985704</v>
      </c>
      <c r="BO74" s="438">
        <v>5.5109505192895959E-2</v>
      </c>
      <c r="BR74">
        <v>0.1354901453395293</v>
      </c>
      <c r="BS74">
        <v>0.27330367151706958</v>
      </c>
      <c r="BT74">
        <v>0.27330367151706958</v>
      </c>
      <c r="BU74">
        <v>1.5489205586740606E-3</v>
      </c>
      <c r="BV74">
        <v>1.5489205586740606E-3</v>
      </c>
      <c r="BW74">
        <v>6.8519532949101625E-2</v>
      </c>
      <c r="BX74">
        <v>6.8519532949101625E-2</v>
      </c>
      <c r="BY74">
        <v>1.6209989755332735E-2</v>
      </c>
      <c r="BZ74">
        <v>1.6209989755332735E-2</v>
      </c>
      <c r="CA74">
        <v>1.6209989755332735E-2</v>
      </c>
      <c r="CB74">
        <v>1.6209989755332735E-2</v>
      </c>
      <c r="CC74">
        <v>1.6209989755332735E-2</v>
      </c>
      <c r="CD74">
        <v>1.6209989755332735E-2</v>
      </c>
      <c r="CE74">
        <v>1.6209989755332735E-2</v>
      </c>
      <c r="CF74">
        <v>1.6209989755332735E-2</v>
      </c>
      <c r="CG74">
        <v>1.6209989755332735E-2</v>
      </c>
      <c r="CI74">
        <v>0.12836011783796389</v>
      </c>
      <c r="CJ74">
        <v>0.2587405668394156</v>
      </c>
      <c r="CK74">
        <v>0.2587405668394156</v>
      </c>
      <c r="CL74">
        <v>1.3468874423252508E-3</v>
      </c>
      <c r="CM74">
        <v>1.3468874423252508E-3</v>
      </c>
      <c r="CN74">
        <v>6.4853502640144556E-2</v>
      </c>
      <c r="CO74">
        <v>6.4853502640144556E-2</v>
      </c>
      <c r="CP74">
        <v>2.0761308306694228E-2</v>
      </c>
      <c r="CQ74">
        <v>2.0761308306694228E-2</v>
      </c>
      <c r="CR74">
        <v>2.0761308306694228E-2</v>
      </c>
      <c r="CS74">
        <v>2.0761308306694228E-2</v>
      </c>
      <c r="CT74">
        <v>2.0761308306694228E-2</v>
      </c>
      <c r="CU74">
        <v>2.0761308306694228E-2</v>
      </c>
      <c r="CV74">
        <v>2.0761308306694228E-2</v>
      </c>
      <c r="CW74">
        <v>2.0761308306694228E-2</v>
      </c>
      <c r="CX74">
        <v>2.0761308306694228E-2</v>
      </c>
      <c r="CZ74">
        <v>5.8743452125216034E-2</v>
      </c>
      <c r="DA74">
        <v>0.11900215262304797</v>
      </c>
      <c r="DB74">
        <v>0.11900215262304797</v>
      </c>
      <c r="DC74">
        <v>1.0101655817439104E-3</v>
      </c>
      <c r="DD74">
        <v>1.0101655817439104E-3</v>
      </c>
      <c r="DE74">
        <v>2.9876808853479958E-2</v>
      </c>
      <c r="DF74">
        <v>2.9876808853479958E-2</v>
      </c>
      <c r="DG74">
        <v>9.958936284493335E-3</v>
      </c>
      <c r="DH74">
        <v>9.958936284493335E-3</v>
      </c>
      <c r="DI74">
        <v>9.958936284493335E-3</v>
      </c>
      <c r="DJ74">
        <v>9.958936284493335E-3</v>
      </c>
      <c r="DK74">
        <v>9.958936284493335E-3</v>
      </c>
      <c r="DL74">
        <v>9.958936284493335E-3</v>
      </c>
      <c r="DM74">
        <v>9.958936284493335E-3</v>
      </c>
      <c r="DN74">
        <v>9.958936284493335E-3</v>
      </c>
      <c r="DO74">
        <v>9.958936284493335E-3</v>
      </c>
    </row>
    <row r="75" spans="61:119">
      <c r="BI75" t="str">
        <f t="shared" si="55"/>
        <v>428251000800IB</v>
      </c>
      <c r="BJ75" s="426">
        <v>42825</v>
      </c>
      <c r="BK75" t="s">
        <v>1423</v>
      </c>
      <c r="BL75" t="s">
        <v>1421</v>
      </c>
      <c r="BM75" t="s">
        <v>1354</v>
      </c>
      <c r="BN75" s="438">
        <v>1.1650414205527122</v>
      </c>
      <c r="BO75" s="438">
        <v>1</v>
      </c>
      <c r="BR75">
        <v>1.3980497046632546E-2</v>
      </c>
      <c r="BS75">
        <v>4.8931739663213916E-2</v>
      </c>
      <c r="BT75">
        <v>4.8931739663213916E-2</v>
      </c>
      <c r="BU75">
        <v>1.398049704663254E-2</v>
      </c>
      <c r="BV75">
        <v>1.398049704663254E-2</v>
      </c>
      <c r="BW75">
        <v>1.398049704663254E-2</v>
      </c>
      <c r="BX75">
        <v>1.398049704663254E-2</v>
      </c>
      <c r="BY75">
        <v>4.6601656822108494E-3</v>
      </c>
      <c r="BZ75">
        <v>4.6601656822108494E-3</v>
      </c>
      <c r="CA75">
        <v>4.6601656822108494E-3</v>
      </c>
      <c r="CB75">
        <v>4.6601656822108494E-3</v>
      </c>
      <c r="CC75">
        <v>4.6601656822108494E-3</v>
      </c>
      <c r="CD75">
        <v>4.6601656822108494E-3</v>
      </c>
      <c r="CE75">
        <v>4.6601656822108494E-3</v>
      </c>
      <c r="CF75">
        <v>4.6601656822108494E-3</v>
      </c>
      <c r="CG75">
        <v>4.6601656822108494E-3</v>
      </c>
      <c r="CI75">
        <v>3.4951242616581366E-3</v>
      </c>
      <c r="CJ75">
        <v>1.2232934915803479E-2</v>
      </c>
      <c r="CK75">
        <v>1.2232934915803479E-2</v>
      </c>
      <c r="CL75">
        <v>3.4951242616581349E-3</v>
      </c>
      <c r="CM75">
        <v>3.4951242616581349E-3</v>
      </c>
      <c r="CN75">
        <v>3.4951242616581349E-3</v>
      </c>
      <c r="CO75">
        <v>3.4951242616581349E-3</v>
      </c>
      <c r="CP75">
        <v>1.1650414205527124E-3</v>
      </c>
      <c r="CQ75">
        <v>1.1650414205527124E-3</v>
      </c>
      <c r="CR75">
        <v>1.1650414205527124E-3</v>
      </c>
      <c r="CS75">
        <v>1.1650414205527124E-3</v>
      </c>
      <c r="CT75">
        <v>1.1650414205527124E-3</v>
      </c>
      <c r="CU75">
        <v>1.1650414205527124E-3</v>
      </c>
      <c r="CV75">
        <v>1.1650414205527124E-3</v>
      </c>
      <c r="CW75">
        <v>1.1650414205527124E-3</v>
      </c>
      <c r="CX75">
        <v>1.1650414205527124E-3</v>
      </c>
      <c r="CZ75">
        <v>1.1650414205527123E-2</v>
      </c>
      <c r="DA75">
        <v>4.077644971934493E-2</v>
      </c>
      <c r="DB75">
        <v>4.077644971934493E-2</v>
      </c>
      <c r="DC75">
        <v>1.1650414205527121E-2</v>
      </c>
      <c r="DD75">
        <v>1.1650414205527121E-2</v>
      </c>
      <c r="DE75">
        <v>1.1650414205527114E-2</v>
      </c>
      <c r="DF75">
        <v>1.1650414205527114E-2</v>
      </c>
      <c r="DG75">
        <v>3.8834714018423765E-3</v>
      </c>
      <c r="DH75">
        <v>3.8834714018423765E-3</v>
      </c>
      <c r="DI75">
        <v>3.8834714018423765E-3</v>
      </c>
      <c r="DJ75">
        <v>3.8834714018423765E-3</v>
      </c>
      <c r="DK75">
        <v>3.8834714018423765E-3</v>
      </c>
      <c r="DL75">
        <v>3.8834714018423765E-3</v>
      </c>
      <c r="DM75">
        <v>3.8834714018423765E-3</v>
      </c>
      <c r="DN75">
        <v>3.8834714018423765E-3</v>
      </c>
      <c r="DO75">
        <v>3.8834714018423765E-3</v>
      </c>
    </row>
    <row r="76" spans="61:119">
      <c r="BI76" t="str">
        <f t="shared" si="55"/>
        <v>428251141467FI</v>
      </c>
      <c r="BJ76" s="426">
        <v>42825</v>
      </c>
      <c r="BK76" t="s">
        <v>1375</v>
      </c>
      <c r="BL76" t="s">
        <v>1376</v>
      </c>
      <c r="BM76" t="s">
        <v>1355</v>
      </c>
      <c r="BN76" s="438">
        <v>2</v>
      </c>
      <c r="BO76" s="438">
        <v>1</v>
      </c>
      <c r="BR76">
        <v>4.6000000000000006E-2</v>
      </c>
      <c r="BS76">
        <v>0.16100000000000003</v>
      </c>
      <c r="BT76">
        <v>0.16100000000000003</v>
      </c>
      <c r="BU76">
        <v>4.5999999999999985E-2</v>
      </c>
      <c r="BV76">
        <v>4.5999999999999985E-2</v>
      </c>
      <c r="BW76">
        <v>4.6000000000000013E-2</v>
      </c>
      <c r="BX76">
        <v>4.6000000000000013E-2</v>
      </c>
      <c r="BY76">
        <v>1.5333333333333334E-2</v>
      </c>
      <c r="BZ76">
        <v>1.5333333333333334E-2</v>
      </c>
      <c r="CA76">
        <v>1.5333333333333334E-2</v>
      </c>
      <c r="CB76">
        <v>1.5333333333333334E-2</v>
      </c>
      <c r="CC76">
        <v>1.5333333333333334E-2</v>
      </c>
      <c r="CD76">
        <v>1.5333333333333334E-2</v>
      </c>
      <c r="CE76">
        <v>1.5333333333333334E-2</v>
      </c>
      <c r="CF76">
        <v>1.5333333333333334E-2</v>
      </c>
      <c r="CG76">
        <v>1.5333333333333334E-2</v>
      </c>
      <c r="CI76">
        <v>4.0000000000000008E-2</v>
      </c>
      <c r="CJ76">
        <v>0.14000000000000001</v>
      </c>
      <c r="CK76">
        <v>0.14000000000000001</v>
      </c>
      <c r="CL76">
        <v>3.999999999999998E-2</v>
      </c>
      <c r="CM76">
        <v>3.999999999999998E-2</v>
      </c>
      <c r="CN76">
        <v>3.999999999999998E-2</v>
      </c>
      <c r="CO76">
        <v>3.999999999999998E-2</v>
      </c>
      <c r="CP76">
        <v>1.3333333333333345E-2</v>
      </c>
      <c r="CQ76">
        <v>1.3333333333333345E-2</v>
      </c>
      <c r="CR76">
        <v>1.3333333333333345E-2</v>
      </c>
      <c r="CS76">
        <v>1.3333333333333345E-2</v>
      </c>
      <c r="CT76">
        <v>1.3333333333333345E-2</v>
      </c>
      <c r="CU76">
        <v>1.3333333333333345E-2</v>
      </c>
      <c r="CV76">
        <v>1.3333333333333345E-2</v>
      </c>
      <c r="CW76">
        <v>1.3333333333333345E-2</v>
      </c>
      <c r="CX76">
        <v>1.3333333333333345E-2</v>
      </c>
      <c r="CZ76">
        <v>0.03</v>
      </c>
      <c r="DA76">
        <v>0.105</v>
      </c>
      <c r="DB76">
        <v>0.105</v>
      </c>
      <c r="DC76">
        <v>0.03</v>
      </c>
      <c r="DD76">
        <v>0.03</v>
      </c>
      <c r="DE76">
        <v>0.03</v>
      </c>
      <c r="DF76">
        <v>0.03</v>
      </c>
      <c r="DG76">
        <v>9.9999999999999967E-3</v>
      </c>
      <c r="DH76">
        <v>9.9999999999999967E-3</v>
      </c>
      <c r="DI76">
        <v>9.9999999999999967E-3</v>
      </c>
      <c r="DJ76">
        <v>9.9999999999999967E-3</v>
      </c>
      <c r="DK76">
        <v>9.9999999999999967E-3</v>
      </c>
      <c r="DL76">
        <v>9.9999999999999967E-3</v>
      </c>
      <c r="DM76">
        <v>9.9999999999999967E-3</v>
      </c>
      <c r="DN76">
        <v>9.9999999999999967E-3</v>
      </c>
      <c r="DO76">
        <v>9.9999999999999967E-3</v>
      </c>
    </row>
    <row r="77" spans="61:119">
      <c r="BI77" t="str">
        <f t="shared" ref="BI77" si="56">BJ77&amp;BK77&amp;BM77</f>
        <v>428251147542CME</v>
      </c>
      <c r="BJ77" s="426">
        <v>42825</v>
      </c>
      <c r="BK77" t="s">
        <v>1361</v>
      </c>
      <c r="BL77" t="s">
        <v>1370</v>
      </c>
      <c r="BM77" t="s">
        <v>1321</v>
      </c>
      <c r="BN77" s="438">
        <v>1</v>
      </c>
      <c r="BO77" s="438">
        <v>1</v>
      </c>
      <c r="BR77">
        <v>8.0000000000000016E-2</v>
      </c>
      <c r="BS77">
        <v>0.16</v>
      </c>
      <c r="BT77">
        <v>0.16</v>
      </c>
      <c r="BU77">
        <v>0</v>
      </c>
      <c r="BV77">
        <v>0</v>
      </c>
      <c r="BW77">
        <v>3.999999999999998E-2</v>
      </c>
      <c r="BX77">
        <v>3.999999999999998E-2</v>
      </c>
      <c r="BY77">
        <v>1.3333333333333345E-2</v>
      </c>
      <c r="BZ77">
        <v>1.3333333333333345E-2</v>
      </c>
      <c r="CA77">
        <v>1.3333333333333345E-2</v>
      </c>
      <c r="CB77">
        <v>1.3333333333333345E-2</v>
      </c>
      <c r="CC77">
        <v>1.3333333333333345E-2</v>
      </c>
      <c r="CD77">
        <v>1.3333333333333345E-2</v>
      </c>
      <c r="CE77">
        <v>1.3333333333333345E-2</v>
      </c>
      <c r="CF77">
        <v>1.3333333333333345E-2</v>
      </c>
      <c r="CG77">
        <v>1.3333333333333345E-2</v>
      </c>
      <c r="CI77">
        <v>6.9999999999999993E-2</v>
      </c>
      <c r="CJ77">
        <v>0.13999999999999999</v>
      </c>
      <c r="CK77">
        <v>0.13999999999999999</v>
      </c>
      <c r="CL77">
        <v>0</v>
      </c>
      <c r="CM77">
        <v>0</v>
      </c>
      <c r="CN77">
        <v>3.5000000000000003E-2</v>
      </c>
      <c r="CO77">
        <v>3.5000000000000003E-2</v>
      </c>
      <c r="CP77">
        <v>1.1666666666666659E-2</v>
      </c>
      <c r="CQ77">
        <v>1.1666666666666659E-2</v>
      </c>
      <c r="CR77">
        <v>1.1666666666666659E-2</v>
      </c>
      <c r="CS77">
        <v>1.1666666666666659E-2</v>
      </c>
      <c r="CT77">
        <v>1.1666666666666659E-2</v>
      </c>
      <c r="CU77">
        <v>1.1666666666666659E-2</v>
      </c>
      <c r="CV77">
        <v>1.1666666666666659E-2</v>
      </c>
      <c r="CW77">
        <v>1.1666666666666659E-2</v>
      </c>
      <c r="CX77">
        <v>1.1666666666666659E-2</v>
      </c>
      <c r="CZ77">
        <v>4.0000000000000008E-2</v>
      </c>
      <c r="DA77">
        <v>0.08</v>
      </c>
      <c r="DB77">
        <v>0.08</v>
      </c>
      <c r="DC77">
        <v>0</v>
      </c>
      <c r="DD77">
        <v>0</v>
      </c>
      <c r="DE77">
        <v>1.999999999999999E-2</v>
      </c>
      <c r="DF77">
        <v>1.999999999999999E-2</v>
      </c>
      <c r="DG77">
        <v>6.6666666666666723E-3</v>
      </c>
      <c r="DH77">
        <v>6.6666666666666723E-3</v>
      </c>
      <c r="DI77">
        <v>6.6666666666666723E-3</v>
      </c>
      <c r="DJ77">
        <v>6.6666666666666723E-3</v>
      </c>
      <c r="DK77">
        <v>6.6666666666666723E-3</v>
      </c>
      <c r="DL77">
        <v>6.6666666666666723E-3</v>
      </c>
      <c r="DM77">
        <v>6.6666666666666723E-3</v>
      </c>
      <c r="DN77">
        <v>6.6666666666666723E-3</v>
      </c>
      <c r="DO77">
        <v>6.6666666666666723E-3</v>
      </c>
    </row>
    <row r="78" spans="61:119">
      <c r="BI78" t="str">
        <f t="shared" si="55"/>
        <v>42825FI</v>
      </c>
      <c r="BJ78" s="426">
        <v>42825</v>
      </c>
      <c r="BM78" t="s">
        <v>1355</v>
      </c>
      <c r="BN78" s="438">
        <v>1</v>
      </c>
      <c r="BO78" s="438">
        <v>1</v>
      </c>
      <c r="BR78">
        <v>2.3000000000000003E-2</v>
      </c>
      <c r="BS78">
        <v>8.0500000000000016E-2</v>
      </c>
      <c r="BT78">
        <v>8.0500000000000016E-2</v>
      </c>
      <c r="BU78">
        <v>2.2999999999999993E-2</v>
      </c>
      <c r="BV78">
        <v>2.2999999999999993E-2</v>
      </c>
      <c r="BW78">
        <v>2.3000000000000007E-2</v>
      </c>
      <c r="BX78">
        <v>2.3000000000000007E-2</v>
      </c>
      <c r="BY78">
        <v>7.6666666666666671E-3</v>
      </c>
      <c r="BZ78">
        <v>7.6666666666666671E-3</v>
      </c>
      <c r="CA78">
        <v>7.6666666666666671E-3</v>
      </c>
      <c r="CB78">
        <v>7.6666666666666671E-3</v>
      </c>
      <c r="CC78">
        <v>7.6666666666666671E-3</v>
      </c>
      <c r="CD78">
        <v>7.6666666666666671E-3</v>
      </c>
      <c r="CE78">
        <v>7.6666666666666671E-3</v>
      </c>
      <c r="CF78">
        <v>7.6666666666666671E-3</v>
      </c>
      <c r="CG78">
        <v>7.6666666666666671E-3</v>
      </c>
      <c r="CI78">
        <v>2.0000000000000004E-2</v>
      </c>
      <c r="CJ78">
        <v>7.0000000000000007E-2</v>
      </c>
      <c r="CK78">
        <v>7.0000000000000007E-2</v>
      </c>
      <c r="CL78">
        <v>1.999999999999999E-2</v>
      </c>
      <c r="CM78">
        <v>1.999999999999999E-2</v>
      </c>
      <c r="CN78">
        <v>1.999999999999999E-2</v>
      </c>
      <c r="CO78">
        <v>1.999999999999999E-2</v>
      </c>
      <c r="CP78">
        <v>6.6666666666666723E-3</v>
      </c>
      <c r="CQ78">
        <v>6.6666666666666723E-3</v>
      </c>
      <c r="CR78">
        <v>6.6666666666666723E-3</v>
      </c>
      <c r="CS78">
        <v>6.6666666666666723E-3</v>
      </c>
      <c r="CT78">
        <v>6.6666666666666723E-3</v>
      </c>
      <c r="CU78">
        <v>6.6666666666666723E-3</v>
      </c>
      <c r="CV78">
        <v>6.6666666666666723E-3</v>
      </c>
      <c r="CW78">
        <v>6.6666666666666723E-3</v>
      </c>
      <c r="CX78">
        <v>6.6666666666666723E-3</v>
      </c>
      <c r="CZ78">
        <v>1.4999999999999999E-2</v>
      </c>
      <c r="DA78">
        <v>5.2499999999999998E-2</v>
      </c>
      <c r="DB78">
        <v>5.2499999999999998E-2</v>
      </c>
      <c r="DC78">
        <v>1.4999999999999999E-2</v>
      </c>
      <c r="DD78">
        <v>1.4999999999999999E-2</v>
      </c>
      <c r="DE78">
        <v>1.4999999999999999E-2</v>
      </c>
      <c r="DF78">
        <v>1.4999999999999999E-2</v>
      </c>
      <c r="DG78">
        <v>4.9999999999999984E-3</v>
      </c>
      <c r="DH78">
        <v>4.9999999999999984E-3</v>
      </c>
      <c r="DI78">
        <v>4.9999999999999984E-3</v>
      </c>
      <c r="DJ78">
        <v>4.9999999999999984E-3</v>
      </c>
      <c r="DK78">
        <v>4.9999999999999984E-3</v>
      </c>
      <c r="DL78">
        <v>4.9999999999999984E-3</v>
      </c>
      <c r="DM78">
        <v>4.9999999999999984E-3</v>
      </c>
      <c r="DN78">
        <v>4.9999999999999984E-3</v>
      </c>
      <c r="DO78">
        <v>4.9999999999999984E-3</v>
      </c>
    </row>
    <row r="79" spans="61:119">
      <c r="BI79" t="str">
        <f t="shared" si="55"/>
        <v>42825CORP</v>
      </c>
      <c r="BJ79" s="426">
        <v>42825</v>
      </c>
      <c r="BM79" t="s">
        <v>1356</v>
      </c>
      <c r="BN79" s="438">
        <v>1</v>
      </c>
      <c r="BO79" s="438">
        <v>0.78278174366205877</v>
      </c>
      <c r="BR79">
        <v>1.2344365126758825E-2</v>
      </c>
      <c r="BS79">
        <v>5.572978584224883E-2</v>
      </c>
      <c r="BT79">
        <v>5.572978584224883E-2</v>
      </c>
      <c r="BU79">
        <v>3.1131126974648232E-2</v>
      </c>
      <c r="BV79">
        <v>3.1131126974648232E-2</v>
      </c>
      <c r="BW79">
        <v>1.8606619076055306E-2</v>
      </c>
      <c r="BX79">
        <v>1.8606619076055306E-2</v>
      </c>
      <c r="BY79">
        <v>6.2022063586851008E-3</v>
      </c>
      <c r="BZ79">
        <v>6.2022063586851008E-3</v>
      </c>
      <c r="CA79">
        <v>6.2022063586851008E-3</v>
      </c>
      <c r="CB79">
        <v>6.2022063586851008E-3</v>
      </c>
      <c r="CC79">
        <v>6.2022063586851008E-3</v>
      </c>
      <c r="CD79">
        <v>6.2022063586851008E-3</v>
      </c>
      <c r="CE79">
        <v>6.2022063586851008E-3</v>
      </c>
      <c r="CF79">
        <v>6.2022063586851008E-3</v>
      </c>
      <c r="CG79">
        <v>6.2022063586851008E-3</v>
      </c>
      <c r="CI79">
        <v>1.0692710357745001E-2</v>
      </c>
      <c r="CJ79">
        <v>4.8383430663376331E-2</v>
      </c>
      <c r="CK79">
        <v>4.8383430663376331E-2</v>
      </c>
      <c r="CL79">
        <v>2.7131126974648243E-2</v>
      </c>
      <c r="CM79">
        <v>2.7131126974648243E-2</v>
      </c>
      <c r="CN79">
        <v>1.6172182563379392E-2</v>
      </c>
      <c r="CO79">
        <v>1.6172182563379392E-2</v>
      </c>
      <c r="CP79">
        <v>5.3907275211264776E-3</v>
      </c>
      <c r="CQ79">
        <v>5.3907275211264776E-3</v>
      </c>
      <c r="CR79">
        <v>5.3907275211264776E-3</v>
      </c>
      <c r="CS79">
        <v>5.3907275211264776E-3</v>
      </c>
      <c r="CT79">
        <v>5.3907275211264776E-3</v>
      </c>
      <c r="CU79">
        <v>5.3907275211264776E-3</v>
      </c>
      <c r="CV79">
        <v>5.3907275211264776E-3</v>
      </c>
      <c r="CW79">
        <v>5.3907275211264776E-3</v>
      </c>
      <c r="CX79">
        <v>5.3907275211264776E-3</v>
      </c>
      <c r="CZ79">
        <v>7.1721825633794135E-3</v>
      </c>
      <c r="DA79">
        <v>3.2930456408448529E-2</v>
      </c>
      <c r="DB79">
        <v>3.2930456408448529E-2</v>
      </c>
      <c r="DC79">
        <v>1.8913908718310293E-2</v>
      </c>
      <c r="DD79">
        <v>1.8913908718310293E-2</v>
      </c>
      <c r="DE79">
        <v>1.1086091281689706E-2</v>
      </c>
      <c r="DF79">
        <v>1.1086091281689706E-2</v>
      </c>
      <c r="DG79">
        <v>3.6953637605632366E-3</v>
      </c>
      <c r="DH79">
        <v>3.6953637605632366E-3</v>
      </c>
      <c r="DI79">
        <v>3.6953637605632366E-3</v>
      </c>
      <c r="DJ79">
        <v>3.6953637605632366E-3</v>
      </c>
      <c r="DK79">
        <v>3.6953637605632366E-3</v>
      </c>
      <c r="DL79">
        <v>3.6953637605632366E-3</v>
      </c>
      <c r="DM79">
        <v>3.6953637605632366E-3</v>
      </c>
      <c r="DN79">
        <v>3.6953637605632366E-3</v>
      </c>
      <c r="DO79">
        <v>3.6953637605632366E-3</v>
      </c>
    </row>
    <row r="80" spans="61:119">
      <c r="BI80" t="str">
        <f t="shared" si="55"/>
        <v>42825ESCROW</v>
      </c>
      <c r="BJ80" s="426">
        <v>42825</v>
      </c>
      <c r="BM80" t="s">
        <v>1339</v>
      </c>
      <c r="BN80" s="438">
        <v>1</v>
      </c>
      <c r="BO80" s="438">
        <v>1</v>
      </c>
      <c r="BR80">
        <v>3.2000000000000001E-2</v>
      </c>
      <c r="BS80">
        <v>2.4E-2</v>
      </c>
      <c r="BT80">
        <v>2.4E-2</v>
      </c>
      <c r="BU80">
        <v>0.04</v>
      </c>
      <c r="BV80">
        <v>0.04</v>
      </c>
      <c r="BW80">
        <v>3.9999999999999994E-2</v>
      </c>
      <c r="BX80">
        <v>3.9999999999999994E-2</v>
      </c>
      <c r="BY80">
        <v>8.8888888888888906E-3</v>
      </c>
      <c r="BZ80">
        <v>8.8888888888888906E-3</v>
      </c>
      <c r="CA80">
        <v>8.8888888888888906E-3</v>
      </c>
      <c r="CB80">
        <v>8.8888888888888906E-3</v>
      </c>
      <c r="CC80">
        <v>8.8888888888888906E-3</v>
      </c>
      <c r="CD80">
        <v>8.8888888888888906E-3</v>
      </c>
      <c r="CE80">
        <v>8.8888888888888906E-3</v>
      </c>
      <c r="CF80">
        <v>8.8888888888888906E-3</v>
      </c>
      <c r="CG80">
        <v>8.8888888888888906E-3</v>
      </c>
      <c r="CI80">
        <v>2.8000000000000004E-2</v>
      </c>
      <c r="CJ80">
        <v>2.1000000000000001E-2</v>
      </c>
      <c r="CK80">
        <v>2.1000000000000001E-2</v>
      </c>
      <c r="CL80">
        <v>3.5000000000000003E-2</v>
      </c>
      <c r="CM80">
        <v>3.5000000000000003E-2</v>
      </c>
      <c r="CN80">
        <v>3.5000000000000003E-2</v>
      </c>
      <c r="CO80">
        <v>3.5000000000000003E-2</v>
      </c>
      <c r="CP80">
        <v>7.7777777777777784E-3</v>
      </c>
      <c r="CQ80">
        <v>7.7777777777777784E-3</v>
      </c>
      <c r="CR80">
        <v>7.7777777777777784E-3</v>
      </c>
      <c r="CS80">
        <v>7.7777777777777784E-3</v>
      </c>
      <c r="CT80">
        <v>7.7777777777777784E-3</v>
      </c>
      <c r="CU80">
        <v>7.7777777777777784E-3</v>
      </c>
      <c r="CV80">
        <v>7.7777777777777784E-3</v>
      </c>
      <c r="CW80">
        <v>7.7777777777777784E-3</v>
      </c>
      <c r="CX80">
        <v>7.7777777777777784E-3</v>
      </c>
      <c r="CZ80">
        <v>2.0000000000000004E-2</v>
      </c>
      <c r="DA80">
        <v>1.4999999999999999E-2</v>
      </c>
      <c r="DB80">
        <v>1.4999999999999999E-2</v>
      </c>
      <c r="DC80">
        <v>2.5000000000000001E-2</v>
      </c>
      <c r="DD80">
        <v>2.5000000000000001E-2</v>
      </c>
      <c r="DE80">
        <v>2.5000000000000008E-2</v>
      </c>
      <c r="DF80">
        <v>2.5000000000000008E-2</v>
      </c>
      <c r="DG80">
        <v>5.555555555555554E-3</v>
      </c>
      <c r="DH80">
        <v>5.555555555555554E-3</v>
      </c>
      <c r="DI80">
        <v>5.555555555555554E-3</v>
      </c>
      <c r="DJ80">
        <v>5.555555555555554E-3</v>
      </c>
      <c r="DK80">
        <v>5.555555555555554E-3</v>
      </c>
      <c r="DL80">
        <v>5.555555555555554E-3</v>
      </c>
      <c r="DM80">
        <v>5.555555555555554E-3</v>
      </c>
      <c r="DN80">
        <v>5.555555555555554E-3</v>
      </c>
      <c r="DO80">
        <v>5.555555555555554E-3</v>
      </c>
    </row>
    <row r="81" spans="61:119">
      <c r="BI81" t="str">
        <f t="shared" si="55"/>
        <v>42825IB</v>
      </c>
      <c r="BJ81" s="426">
        <v>42825</v>
      </c>
      <c r="BM81" t="s">
        <v>1354</v>
      </c>
      <c r="BN81" s="438">
        <v>1</v>
      </c>
      <c r="BO81" s="438">
        <v>1</v>
      </c>
      <c r="BR81">
        <v>1.2E-2</v>
      </c>
      <c r="BS81">
        <v>4.2000000000000003E-2</v>
      </c>
      <c r="BT81">
        <v>4.2000000000000003E-2</v>
      </c>
      <c r="BU81">
        <v>1.1999999999999997E-2</v>
      </c>
      <c r="BV81">
        <v>1.1999999999999997E-2</v>
      </c>
      <c r="BW81">
        <v>1.1999999999999997E-2</v>
      </c>
      <c r="BX81">
        <v>1.1999999999999997E-2</v>
      </c>
      <c r="BY81">
        <v>4.0000000000000001E-3</v>
      </c>
      <c r="BZ81">
        <v>4.0000000000000001E-3</v>
      </c>
      <c r="CA81">
        <v>4.0000000000000001E-3</v>
      </c>
      <c r="CB81">
        <v>4.0000000000000001E-3</v>
      </c>
      <c r="CC81">
        <v>4.0000000000000001E-3</v>
      </c>
      <c r="CD81">
        <v>4.0000000000000001E-3</v>
      </c>
      <c r="CE81">
        <v>4.0000000000000001E-3</v>
      </c>
      <c r="CF81">
        <v>4.0000000000000001E-3</v>
      </c>
      <c r="CG81">
        <v>4.0000000000000001E-3</v>
      </c>
      <c r="CI81">
        <v>3.0000000000000001E-3</v>
      </c>
      <c r="CJ81">
        <v>1.0500000000000001E-2</v>
      </c>
      <c r="CK81">
        <v>1.0500000000000001E-2</v>
      </c>
      <c r="CL81">
        <v>2.9999999999999992E-3</v>
      </c>
      <c r="CM81">
        <v>2.9999999999999992E-3</v>
      </c>
      <c r="CN81">
        <v>2.9999999999999992E-3</v>
      </c>
      <c r="CO81">
        <v>2.9999999999999992E-3</v>
      </c>
      <c r="CP81">
        <v>1E-3</v>
      </c>
      <c r="CQ81">
        <v>1E-3</v>
      </c>
      <c r="CR81">
        <v>1E-3</v>
      </c>
      <c r="CS81">
        <v>1E-3</v>
      </c>
      <c r="CT81">
        <v>1E-3</v>
      </c>
      <c r="CU81">
        <v>1E-3</v>
      </c>
      <c r="CV81">
        <v>1E-3</v>
      </c>
      <c r="CW81">
        <v>1E-3</v>
      </c>
      <c r="CX81">
        <v>1E-3</v>
      </c>
      <c r="CZ81">
        <v>1.0000000000000002E-2</v>
      </c>
      <c r="DA81">
        <v>3.5000000000000003E-2</v>
      </c>
      <c r="DB81">
        <v>3.5000000000000003E-2</v>
      </c>
      <c r="DC81">
        <v>9.999999999999995E-3</v>
      </c>
      <c r="DD81">
        <v>9.999999999999995E-3</v>
      </c>
      <c r="DE81">
        <v>9.999999999999995E-3</v>
      </c>
      <c r="DF81">
        <v>9.999999999999995E-3</v>
      </c>
      <c r="DG81">
        <v>3.3333333333333361E-3</v>
      </c>
      <c r="DH81">
        <v>3.3333333333333361E-3</v>
      </c>
      <c r="DI81">
        <v>3.3333333333333361E-3</v>
      </c>
      <c r="DJ81">
        <v>3.3333333333333361E-3</v>
      </c>
      <c r="DK81">
        <v>3.3333333333333361E-3</v>
      </c>
      <c r="DL81">
        <v>3.3333333333333361E-3</v>
      </c>
      <c r="DM81">
        <v>3.3333333333333361E-3</v>
      </c>
      <c r="DN81">
        <v>3.3333333333333361E-3</v>
      </c>
      <c r="DO81">
        <v>3.3333333333333361E-3</v>
      </c>
    </row>
    <row r="82" spans="61:119">
      <c r="BI82" t="str">
        <f t="shared" si="55"/>
        <v>42825AFF</v>
      </c>
      <c r="BJ82" s="426">
        <v>42825</v>
      </c>
      <c r="BM82" t="s">
        <v>1353</v>
      </c>
      <c r="BN82" s="438">
        <v>1</v>
      </c>
      <c r="BO82" s="438">
        <v>1</v>
      </c>
      <c r="BR82">
        <v>1.4999999999999999E-2</v>
      </c>
      <c r="BS82">
        <v>5.2499999999999998E-2</v>
      </c>
      <c r="BT82">
        <v>5.2499999999999998E-2</v>
      </c>
      <c r="BU82">
        <v>1.4999999999999999E-2</v>
      </c>
      <c r="BV82">
        <v>1.4999999999999999E-2</v>
      </c>
      <c r="BW82">
        <v>1.4999999999999999E-2</v>
      </c>
      <c r="BX82">
        <v>1.4999999999999999E-2</v>
      </c>
      <c r="BY82">
        <v>4.9999999999999984E-3</v>
      </c>
      <c r="BZ82">
        <v>4.9999999999999984E-3</v>
      </c>
      <c r="CA82">
        <v>4.9999999999999984E-3</v>
      </c>
      <c r="CB82">
        <v>4.9999999999999984E-3</v>
      </c>
      <c r="CC82">
        <v>4.9999999999999984E-3</v>
      </c>
      <c r="CD82">
        <v>4.9999999999999984E-3</v>
      </c>
      <c r="CE82">
        <v>4.9999999999999984E-3</v>
      </c>
      <c r="CF82">
        <v>4.9999999999999984E-3</v>
      </c>
      <c r="CG82">
        <v>4.9999999999999984E-3</v>
      </c>
      <c r="CI82">
        <v>1.2E-2</v>
      </c>
      <c r="CJ82">
        <v>4.2000000000000003E-2</v>
      </c>
      <c r="CK82">
        <v>4.2000000000000003E-2</v>
      </c>
      <c r="CL82">
        <v>1.1999999999999997E-2</v>
      </c>
      <c r="CM82">
        <v>1.1999999999999997E-2</v>
      </c>
      <c r="CN82">
        <v>1.1999999999999997E-2</v>
      </c>
      <c r="CO82">
        <v>1.1999999999999997E-2</v>
      </c>
      <c r="CP82">
        <v>4.0000000000000001E-3</v>
      </c>
      <c r="CQ82">
        <v>4.0000000000000001E-3</v>
      </c>
      <c r="CR82">
        <v>4.0000000000000001E-3</v>
      </c>
      <c r="CS82">
        <v>4.0000000000000001E-3</v>
      </c>
      <c r="CT82">
        <v>4.0000000000000001E-3</v>
      </c>
      <c r="CU82">
        <v>4.0000000000000001E-3</v>
      </c>
      <c r="CV82">
        <v>4.0000000000000001E-3</v>
      </c>
      <c r="CW82">
        <v>4.0000000000000001E-3</v>
      </c>
      <c r="CX82">
        <v>4.0000000000000001E-3</v>
      </c>
      <c r="CZ82">
        <v>5.000000000000001E-3</v>
      </c>
      <c r="DA82">
        <v>1.7500000000000002E-2</v>
      </c>
      <c r="DB82">
        <v>1.7500000000000002E-2</v>
      </c>
      <c r="DC82">
        <v>4.9999999999999975E-3</v>
      </c>
      <c r="DD82">
        <v>4.9999999999999975E-3</v>
      </c>
      <c r="DE82">
        <v>4.9999999999999975E-3</v>
      </c>
      <c r="DF82">
        <v>4.9999999999999975E-3</v>
      </c>
      <c r="DG82">
        <v>1.6666666666666681E-3</v>
      </c>
      <c r="DH82">
        <v>1.6666666666666681E-3</v>
      </c>
      <c r="DI82">
        <v>1.6666666666666681E-3</v>
      </c>
      <c r="DJ82">
        <v>1.6666666666666681E-3</v>
      </c>
      <c r="DK82">
        <v>1.6666666666666681E-3</v>
      </c>
      <c r="DL82">
        <v>1.6666666666666681E-3</v>
      </c>
      <c r="DM82">
        <v>1.6666666666666681E-3</v>
      </c>
      <c r="DN82">
        <v>1.6666666666666681E-3</v>
      </c>
      <c r="DO82">
        <v>1.6666666666666681E-3</v>
      </c>
    </row>
    <row r="83" spans="61:119">
      <c r="BI83" t="str">
        <f t="shared" si="55"/>
        <v>428531030623FI</v>
      </c>
      <c r="BJ83" s="426">
        <v>42853</v>
      </c>
      <c r="BK83" t="s">
        <v>1360</v>
      </c>
      <c r="BL83" t="s">
        <v>1369</v>
      </c>
      <c r="BM83" t="s">
        <v>1355</v>
      </c>
      <c r="BN83" s="438">
        <v>2</v>
      </c>
      <c r="BO83" s="438">
        <v>1</v>
      </c>
      <c r="BR83">
        <v>4.6000000000000006E-2</v>
      </c>
      <c r="BS83">
        <v>0.16100000000000003</v>
      </c>
      <c r="BT83">
        <v>0.16100000000000003</v>
      </c>
      <c r="BU83">
        <v>4.5999999999999985E-2</v>
      </c>
      <c r="BV83">
        <v>4.5999999999999985E-2</v>
      </c>
      <c r="BW83">
        <v>4.6000000000000013E-2</v>
      </c>
      <c r="BX83">
        <v>4.6000000000000013E-2</v>
      </c>
      <c r="BY83">
        <v>1.5333333333333334E-2</v>
      </c>
      <c r="BZ83">
        <v>1.5333333333333334E-2</v>
      </c>
      <c r="CA83">
        <v>1.5333333333333334E-2</v>
      </c>
      <c r="CB83">
        <v>1.5333333333333334E-2</v>
      </c>
      <c r="CC83">
        <v>1.5333333333333334E-2</v>
      </c>
      <c r="CD83">
        <v>1.5333333333333334E-2</v>
      </c>
      <c r="CE83">
        <v>1.5333333333333334E-2</v>
      </c>
      <c r="CF83">
        <v>1.5333333333333334E-2</v>
      </c>
      <c r="CG83">
        <v>1.5333333333333334E-2</v>
      </c>
      <c r="CI83">
        <v>4.0000000000000008E-2</v>
      </c>
      <c r="CJ83">
        <v>0.14000000000000001</v>
      </c>
      <c r="CK83">
        <v>0.14000000000000001</v>
      </c>
      <c r="CL83">
        <v>3.999999999999998E-2</v>
      </c>
      <c r="CM83">
        <v>3.999999999999998E-2</v>
      </c>
      <c r="CN83">
        <v>3.999999999999998E-2</v>
      </c>
      <c r="CO83">
        <v>3.999999999999998E-2</v>
      </c>
      <c r="CP83">
        <v>1.3333333333333345E-2</v>
      </c>
      <c r="CQ83">
        <v>1.3333333333333345E-2</v>
      </c>
      <c r="CR83">
        <v>1.3333333333333345E-2</v>
      </c>
      <c r="CS83">
        <v>1.3333333333333345E-2</v>
      </c>
      <c r="CT83">
        <v>1.3333333333333345E-2</v>
      </c>
      <c r="CU83">
        <v>1.3333333333333345E-2</v>
      </c>
      <c r="CV83">
        <v>1.3333333333333345E-2</v>
      </c>
      <c r="CW83">
        <v>1.3333333333333345E-2</v>
      </c>
      <c r="CX83">
        <v>1.3333333333333345E-2</v>
      </c>
      <c r="CZ83">
        <v>0.03</v>
      </c>
      <c r="DA83">
        <v>0.105</v>
      </c>
      <c r="DB83">
        <v>0.105</v>
      </c>
      <c r="DC83">
        <v>0.03</v>
      </c>
      <c r="DD83">
        <v>0.03</v>
      </c>
      <c r="DE83">
        <v>0.03</v>
      </c>
      <c r="DF83">
        <v>0.03</v>
      </c>
      <c r="DG83">
        <v>9.9999999999999967E-3</v>
      </c>
      <c r="DH83">
        <v>9.9999999999999967E-3</v>
      </c>
      <c r="DI83">
        <v>9.9999999999999967E-3</v>
      </c>
      <c r="DJ83">
        <v>9.9999999999999967E-3</v>
      </c>
      <c r="DK83">
        <v>9.9999999999999967E-3</v>
      </c>
      <c r="DL83">
        <v>9.9999999999999967E-3</v>
      </c>
      <c r="DM83">
        <v>9.9999999999999967E-3</v>
      </c>
      <c r="DN83">
        <v>9.9999999999999967E-3</v>
      </c>
      <c r="DO83">
        <v>9.9999999999999967E-3</v>
      </c>
    </row>
    <row r="84" spans="61:119">
      <c r="BI84" t="str">
        <f t="shared" si="55"/>
        <v>428531000526FI</v>
      </c>
      <c r="BJ84" s="426">
        <v>42853</v>
      </c>
      <c r="BK84" t="s">
        <v>1363</v>
      </c>
      <c r="BL84" t="s">
        <v>1368</v>
      </c>
      <c r="BM84" t="s">
        <v>1355</v>
      </c>
      <c r="BN84" s="438">
        <v>1.6373874161113133</v>
      </c>
      <c r="BO84" s="438">
        <v>1</v>
      </c>
      <c r="BR84">
        <v>3.7659910570560208E-2</v>
      </c>
      <c r="BS84">
        <v>0.13180968699696072</v>
      </c>
      <c r="BT84">
        <v>0.13180968699696072</v>
      </c>
      <c r="BU84">
        <v>3.7659910570560201E-2</v>
      </c>
      <c r="BV84">
        <v>3.7659910570560201E-2</v>
      </c>
      <c r="BW84">
        <v>3.7659910570560201E-2</v>
      </c>
      <c r="BX84">
        <v>3.7659910570560201E-2</v>
      </c>
      <c r="BY84">
        <v>1.2553303523520064E-2</v>
      </c>
      <c r="BZ84">
        <v>1.2553303523520064E-2</v>
      </c>
      <c r="CA84">
        <v>1.2553303523520064E-2</v>
      </c>
      <c r="CB84">
        <v>1.2553303523520064E-2</v>
      </c>
      <c r="CC84">
        <v>1.2553303523520064E-2</v>
      </c>
      <c r="CD84">
        <v>1.2553303523520064E-2</v>
      </c>
      <c r="CE84">
        <v>1.2553303523520064E-2</v>
      </c>
      <c r="CF84">
        <v>1.2553303523520064E-2</v>
      </c>
      <c r="CG84">
        <v>1.2553303523520064E-2</v>
      </c>
      <c r="CI84">
        <v>3.2747748322226267E-2</v>
      </c>
      <c r="CJ84">
        <v>0.11461711912779193</v>
      </c>
      <c r="CK84">
        <v>0.11461711912779193</v>
      </c>
      <c r="CL84">
        <v>3.2747748322226267E-2</v>
      </c>
      <c r="CM84">
        <v>3.2747748322226267E-2</v>
      </c>
      <c r="CN84">
        <v>3.2747748322226267E-2</v>
      </c>
      <c r="CO84">
        <v>3.2747748322226267E-2</v>
      </c>
      <c r="CP84">
        <v>1.0915916107408755E-2</v>
      </c>
      <c r="CQ84">
        <v>1.0915916107408755E-2</v>
      </c>
      <c r="CR84">
        <v>1.0915916107408755E-2</v>
      </c>
      <c r="CS84">
        <v>1.0915916107408755E-2</v>
      </c>
      <c r="CT84">
        <v>1.0915916107408755E-2</v>
      </c>
      <c r="CU84">
        <v>1.0915916107408755E-2</v>
      </c>
      <c r="CV84">
        <v>1.0915916107408755E-2</v>
      </c>
      <c r="CW84">
        <v>1.0915916107408755E-2</v>
      </c>
      <c r="CX84">
        <v>1.0915916107408755E-2</v>
      </c>
      <c r="CZ84">
        <v>2.45608112416697E-2</v>
      </c>
      <c r="DA84">
        <v>8.596283934584395E-2</v>
      </c>
      <c r="DB84">
        <v>8.596283934584395E-2</v>
      </c>
      <c r="DC84">
        <v>2.45608112416697E-2</v>
      </c>
      <c r="DD84">
        <v>2.45608112416697E-2</v>
      </c>
      <c r="DE84">
        <v>2.45608112416697E-2</v>
      </c>
      <c r="DF84">
        <v>2.45608112416697E-2</v>
      </c>
      <c r="DG84">
        <v>8.1869370805565667E-3</v>
      </c>
      <c r="DH84">
        <v>8.1869370805565667E-3</v>
      </c>
      <c r="DI84">
        <v>8.1869370805565667E-3</v>
      </c>
      <c r="DJ84">
        <v>8.1869370805565667E-3</v>
      </c>
      <c r="DK84">
        <v>8.1869370805565667E-3</v>
      </c>
      <c r="DL84">
        <v>8.1869370805565667E-3</v>
      </c>
      <c r="DM84">
        <v>8.1869370805565667E-3</v>
      </c>
      <c r="DN84">
        <v>8.1869370805565667E-3</v>
      </c>
      <c r="DO84">
        <v>8.1869370805565667E-3</v>
      </c>
    </row>
    <row r="85" spans="61:119">
      <c r="BI85" t="str">
        <f t="shared" si="55"/>
        <v>428531126198FI</v>
      </c>
      <c r="BJ85" s="426">
        <v>42853</v>
      </c>
      <c r="BK85" t="s">
        <v>1359</v>
      </c>
      <c r="BL85" t="s">
        <v>1367</v>
      </c>
      <c r="BM85" t="s">
        <v>1355</v>
      </c>
      <c r="BN85" s="438">
        <v>1.5611063531423877</v>
      </c>
      <c r="BO85" s="438">
        <v>1</v>
      </c>
      <c r="BR85">
        <v>3.590544612227492E-2</v>
      </c>
      <c r="BS85">
        <v>0.12566906142796222</v>
      </c>
      <c r="BT85">
        <v>0.12566906142796222</v>
      </c>
      <c r="BU85">
        <v>3.590544612227492E-2</v>
      </c>
      <c r="BV85">
        <v>3.590544612227492E-2</v>
      </c>
      <c r="BW85">
        <v>3.590544612227492E-2</v>
      </c>
      <c r="BX85">
        <v>3.590544612227492E-2</v>
      </c>
      <c r="BY85">
        <v>1.19684820407583E-2</v>
      </c>
      <c r="BZ85">
        <v>1.19684820407583E-2</v>
      </c>
      <c r="CA85">
        <v>1.19684820407583E-2</v>
      </c>
      <c r="CB85">
        <v>1.19684820407583E-2</v>
      </c>
      <c r="CC85">
        <v>1.19684820407583E-2</v>
      </c>
      <c r="CD85">
        <v>1.19684820407583E-2</v>
      </c>
      <c r="CE85">
        <v>1.19684820407583E-2</v>
      </c>
      <c r="CF85">
        <v>1.19684820407583E-2</v>
      </c>
      <c r="CG85">
        <v>1.19684820407583E-2</v>
      </c>
      <c r="CI85">
        <v>3.1222127062847757E-2</v>
      </c>
      <c r="CJ85">
        <v>0.10927744471996714</v>
      </c>
      <c r="CK85">
        <v>0.10927744471996714</v>
      </c>
      <c r="CL85">
        <v>3.1222127062847743E-2</v>
      </c>
      <c r="CM85">
        <v>3.1222127062847743E-2</v>
      </c>
      <c r="CN85">
        <v>3.1222127062847743E-2</v>
      </c>
      <c r="CO85">
        <v>3.1222127062847743E-2</v>
      </c>
      <c r="CP85">
        <v>1.0407375687615924E-2</v>
      </c>
      <c r="CQ85">
        <v>1.0407375687615924E-2</v>
      </c>
      <c r="CR85">
        <v>1.0407375687615924E-2</v>
      </c>
      <c r="CS85">
        <v>1.0407375687615924E-2</v>
      </c>
      <c r="CT85">
        <v>1.0407375687615924E-2</v>
      </c>
      <c r="CU85">
        <v>1.0407375687615924E-2</v>
      </c>
      <c r="CV85">
        <v>1.0407375687615924E-2</v>
      </c>
      <c r="CW85">
        <v>1.0407375687615924E-2</v>
      </c>
      <c r="CX85">
        <v>1.0407375687615924E-2</v>
      </c>
      <c r="CZ85">
        <v>2.3416595297135814E-2</v>
      </c>
      <c r="DA85">
        <v>8.1958083539975357E-2</v>
      </c>
      <c r="DB85">
        <v>8.1958083539975357E-2</v>
      </c>
      <c r="DC85">
        <v>2.3416595297135814E-2</v>
      </c>
      <c r="DD85">
        <v>2.3416595297135814E-2</v>
      </c>
      <c r="DE85">
        <v>2.3416595297135814E-2</v>
      </c>
      <c r="DF85">
        <v>2.3416595297135814E-2</v>
      </c>
      <c r="DG85">
        <v>7.8055317657119393E-3</v>
      </c>
      <c r="DH85">
        <v>7.8055317657119393E-3</v>
      </c>
      <c r="DI85">
        <v>7.8055317657119393E-3</v>
      </c>
      <c r="DJ85">
        <v>7.8055317657119393E-3</v>
      </c>
      <c r="DK85">
        <v>7.8055317657119393E-3</v>
      </c>
      <c r="DL85">
        <v>7.8055317657119393E-3</v>
      </c>
      <c r="DM85">
        <v>7.8055317657119393E-3</v>
      </c>
      <c r="DN85">
        <v>7.8055317657119393E-3</v>
      </c>
      <c r="DO85">
        <v>7.8055317657119393E-3</v>
      </c>
    </row>
    <row r="86" spans="61:119">
      <c r="BI86" t="str">
        <f t="shared" si="55"/>
        <v>428531000790IB</v>
      </c>
      <c r="BJ86" s="426">
        <v>42853</v>
      </c>
      <c r="BK86" t="s">
        <v>1358</v>
      </c>
      <c r="BL86" t="s">
        <v>1371</v>
      </c>
      <c r="BM86" t="s">
        <v>1354</v>
      </c>
      <c r="BN86" s="438">
        <v>1.4745711353134094</v>
      </c>
      <c r="BO86" s="438">
        <v>1</v>
      </c>
      <c r="BR86">
        <v>1.7694853623760911E-2</v>
      </c>
      <c r="BS86">
        <v>6.1931987683163187E-2</v>
      </c>
      <c r="BT86">
        <v>6.1931987683163187E-2</v>
      </c>
      <c r="BU86">
        <v>1.7694853623760914E-2</v>
      </c>
      <c r="BV86">
        <v>1.7694853623760914E-2</v>
      </c>
      <c r="BW86">
        <v>1.7694853623760914E-2</v>
      </c>
      <c r="BX86">
        <v>1.7694853623760914E-2</v>
      </c>
      <c r="BY86">
        <v>5.8982845412536384E-3</v>
      </c>
      <c r="BZ86">
        <v>5.8982845412536384E-3</v>
      </c>
      <c r="CA86">
        <v>5.8982845412536384E-3</v>
      </c>
      <c r="CB86">
        <v>5.8982845412536384E-3</v>
      </c>
      <c r="CC86">
        <v>5.8982845412536384E-3</v>
      </c>
      <c r="CD86">
        <v>5.8982845412536384E-3</v>
      </c>
      <c r="CE86">
        <v>5.8982845412536384E-3</v>
      </c>
      <c r="CF86">
        <v>5.8982845412536384E-3</v>
      </c>
      <c r="CG86">
        <v>5.8982845412536384E-3</v>
      </c>
      <c r="CI86">
        <v>4.4237134059402277E-3</v>
      </c>
      <c r="CJ86">
        <v>1.5482996920790797E-2</v>
      </c>
      <c r="CK86">
        <v>1.5482996920790797E-2</v>
      </c>
      <c r="CL86">
        <v>4.4237134059402286E-3</v>
      </c>
      <c r="CM86">
        <v>4.4237134059402286E-3</v>
      </c>
      <c r="CN86">
        <v>4.4237134059402286E-3</v>
      </c>
      <c r="CO86">
        <v>4.4237134059402286E-3</v>
      </c>
      <c r="CP86">
        <v>1.4745711353134096E-3</v>
      </c>
      <c r="CQ86">
        <v>1.4745711353134096E-3</v>
      </c>
      <c r="CR86">
        <v>1.4745711353134096E-3</v>
      </c>
      <c r="CS86">
        <v>1.4745711353134096E-3</v>
      </c>
      <c r="CT86">
        <v>1.4745711353134096E-3</v>
      </c>
      <c r="CU86">
        <v>1.4745711353134096E-3</v>
      </c>
      <c r="CV86">
        <v>1.4745711353134096E-3</v>
      </c>
      <c r="CW86">
        <v>1.4745711353134096E-3</v>
      </c>
      <c r="CX86">
        <v>1.4745711353134096E-3</v>
      </c>
      <c r="CZ86">
        <v>1.4745711353134095E-2</v>
      </c>
      <c r="DA86">
        <v>5.1609989735969329E-2</v>
      </c>
      <c r="DB86">
        <v>5.1609989735969329E-2</v>
      </c>
      <c r="DC86">
        <v>1.4745711353134093E-2</v>
      </c>
      <c r="DD86">
        <v>1.4745711353134093E-2</v>
      </c>
      <c r="DE86">
        <v>1.4745711353134086E-2</v>
      </c>
      <c r="DF86">
        <v>1.4745711353134086E-2</v>
      </c>
      <c r="DG86">
        <v>4.9152371177113669E-3</v>
      </c>
      <c r="DH86">
        <v>4.9152371177113669E-3</v>
      </c>
      <c r="DI86">
        <v>4.9152371177113669E-3</v>
      </c>
      <c r="DJ86">
        <v>4.9152371177113669E-3</v>
      </c>
      <c r="DK86">
        <v>4.9152371177113669E-3</v>
      </c>
      <c r="DL86">
        <v>4.9152371177113669E-3</v>
      </c>
      <c r="DM86">
        <v>4.9152371177113669E-3</v>
      </c>
      <c r="DN86">
        <v>4.9152371177113669E-3</v>
      </c>
      <c r="DO86">
        <v>4.9152371177113669E-3</v>
      </c>
    </row>
    <row r="87" spans="61:119">
      <c r="BI87" t="str">
        <f t="shared" si="55"/>
        <v>428531151227FI</v>
      </c>
      <c r="BJ87" s="426">
        <v>42853</v>
      </c>
      <c r="BK87" t="s">
        <v>1362</v>
      </c>
      <c r="BL87" t="s">
        <v>1372</v>
      </c>
      <c r="BM87" t="s">
        <v>1355</v>
      </c>
      <c r="BN87" s="438">
        <v>1.1923913632823917</v>
      </c>
      <c r="BO87" s="438">
        <v>7.1066521175954878E-4</v>
      </c>
      <c r="BR87">
        <v>0.13823859077211351</v>
      </c>
      <c r="BS87">
        <v>0.27650641653582075</v>
      </c>
      <c r="BT87">
        <v>0.27650641653582075</v>
      </c>
      <c r="BU87">
        <v>1.9489994395771593E-5</v>
      </c>
      <c r="BV87">
        <v>1.9489994395771593E-5</v>
      </c>
      <c r="BW87">
        <v>6.9129040383254625E-2</v>
      </c>
      <c r="BX87">
        <v>6.9129040383254625E-2</v>
      </c>
      <c r="BY87">
        <v>1.8892577789457979E-2</v>
      </c>
      <c r="BZ87">
        <v>1.8892577789457979E-2</v>
      </c>
      <c r="CA87">
        <v>1.8892577789457979E-2</v>
      </c>
      <c r="CB87">
        <v>1.8892577789457979E-2</v>
      </c>
      <c r="CC87">
        <v>1.8892577789457979E-2</v>
      </c>
      <c r="CD87">
        <v>1.8892577789457979E-2</v>
      </c>
      <c r="CE87">
        <v>1.8892577789457979E-2</v>
      </c>
      <c r="CF87">
        <v>1.8892577789457979E-2</v>
      </c>
      <c r="CG87">
        <v>1.8892577789457979E-2</v>
      </c>
      <c r="CI87">
        <v>0.13108678476560123</v>
      </c>
      <c r="CJ87">
        <v>0.26219899126302315</v>
      </c>
      <c r="CK87">
        <v>0.26219899126302315</v>
      </c>
      <c r="CL87">
        <v>1.6947821213697534E-5</v>
      </c>
      <c r="CM87">
        <v>1.6947821213697534E-5</v>
      </c>
      <c r="CN87">
        <v>6.5551866293407479E-2</v>
      </c>
      <c r="CO87">
        <v>6.5551866293407479E-2</v>
      </c>
      <c r="CP87">
        <v>2.1850622097802492E-2</v>
      </c>
      <c r="CQ87">
        <v>2.1850622097802492E-2</v>
      </c>
      <c r="CR87">
        <v>2.1850622097802492E-2</v>
      </c>
      <c r="CS87">
        <v>2.1850622097802492E-2</v>
      </c>
      <c r="CT87">
        <v>2.1850622097802492E-2</v>
      </c>
      <c r="CU87">
        <v>2.1850622097802492E-2</v>
      </c>
      <c r="CV87">
        <v>2.1850622097802492E-2</v>
      </c>
      <c r="CW87">
        <v>2.1850622097802492E-2</v>
      </c>
      <c r="CX87">
        <v>2.1850622097802492E-2</v>
      </c>
      <c r="CZ87">
        <v>5.958990947699553E-2</v>
      </c>
      <c r="DA87">
        <v>0.1191988852528565</v>
      </c>
      <c r="DB87">
        <v>0.1191988852528565</v>
      </c>
      <c r="DC87">
        <v>1.2710865910314784E-5</v>
      </c>
      <c r="DD87">
        <v>1.2710865910314784E-5</v>
      </c>
      <c r="DE87">
        <v>2.9801310171452933E-2</v>
      </c>
      <c r="DF87">
        <v>2.9801310171452933E-2</v>
      </c>
      <c r="DG87">
        <v>9.9337700571509781E-3</v>
      </c>
      <c r="DH87">
        <v>9.9337700571509781E-3</v>
      </c>
      <c r="DI87">
        <v>9.9337700571509781E-3</v>
      </c>
      <c r="DJ87">
        <v>9.9337700571509781E-3</v>
      </c>
      <c r="DK87">
        <v>9.9337700571509781E-3</v>
      </c>
      <c r="DL87">
        <v>9.9337700571509781E-3</v>
      </c>
      <c r="DM87">
        <v>9.9337700571509781E-3</v>
      </c>
      <c r="DN87">
        <v>9.9337700571509781E-3</v>
      </c>
      <c r="DO87">
        <v>9.9337700571509781E-3</v>
      </c>
    </row>
    <row r="88" spans="61:119">
      <c r="BI88" t="str">
        <f t="shared" si="55"/>
        <v>428531141467FI</v>
      </c>
      <c r="BJ88" s="426">
        <v>42853</v>
      </c>
      <c r="BK88" t="s">
        <v>1375</v>
      </c>
      <c r="BL88" t="s">
        <v>1376</v>
      </c>
      <c r="BM88" t="s">
        <v>1355</v>
      </c>
      <c r="BN88" s="438">
        <v>2</v>
      </c>
      <c r="BO88" s="438">
        <v>1</v>
      </c>
      <c r="BR88">
        <v>4.6000000000000006E-2</v>
      </c>
      <c r="BS88">
        <v>0.16100000000000003</v>
      </c>
      <c r="BT88">
        <v>0.16100000000000003</v>
      </c>
      <c r="BU88">
        <v>4.5999999999999985E-2</v>
      </c>
      <c r="BV88">
        <v>4.5999999999999985E-2</v>
      </c>
      <c r="BW88">
        <v>4.6000000000000013E-2</v>
      </c>
      <c r="BX88">
        <v>4.6000000000000013E-2</v>
      </c>
      <c r="BY88">
        <v>1.5333333333333334E-2</v>
      </c>
      <c r="BZ88">
        <v>1.5333333333333334E-2</v>
      </c>
      <c r="CA88">
        <v>1.5333333333333334E-2</v>
      </c>
      <c r="CB88">
        <v>1.5333333333333334E-2</v>
      </c>
      <c r="CC88">
        <v>1.5333333333333334E-2</v>
      </c>
      <c r="CD88">
        <v>1.5333333333333334E-2</v>
      </c>
      <c r="CE88">
        <v>1.5333333333333334E-2</v>
      </c>
      <c r="CF88">
        <v>1.5333333333333334E-2</v>
      </c>
      <c r="CG88">
        <v>1.5333333333333334E-2</v>
      </c>
      <c r="CI88">
        <v>4.0000000000000008E-2</v>
      </c>
      <c r="CJ88">
        <v>0.14000000000000001</v>
      </c>
      <c r="CK88">
        <v>0.14000000000000001</v>
      </c>
      <c r="CL88">
        <v>3.999999999999998E-2</v>
      </c>
      <c r="CM88">
        <v>3.999999999999998E-2</v>
      </c>
      <c r="CN88">
        <v>3.999999999999998E-2</v>
      </c>
      <c r="CO88">
        <v>3.999999999999998E-2</v>
      </c>
      <c r="CP88">
        <v>1.3333333333333345E-2</v>
      </c>
      <c r="CQ88">
        <v>1.3333333333333345E-2</v>
      </c>
      <c r="CR88">
        <v>1.3333333333333345E-2</v>
      </c>
      <c r="CS88">
        <v>1.3333333333333345E-2</v>
      </c>
      <c r="CT88">
        <v>1.3333333333333345E-2</v>
      </c>
      <c r="CU88">
        <v>1.3333333333333345E-2</v>
      </c>
      <c r="CV88">
        <v>1.3333333333333345E-2</v>
      </c>
      <c r="CW88">
        <v>1.3333333333333345E-2</v>
      </c>
      <c r="CX88">
        <v>1.3333333333333345E-2</v>
      </c>
      <c r="CZ88">
        <v>0.03</v>
      </c>
      <c r="DA88">
        <v>0.105</v>
      </c>
      <c r="DB88">
        <v>0.105</v>
      </c>
      <c r="DC88">
        <v>0.03</v>
      </c>
      <c r="DD88">
        <v>0.03</v>
      </c>
      <c r="DE88">
        <v>0.03</v>
      </c>
      <c r="DF88">
        <v>0.03</v>
      </c>
      <c r="DG88">
        <v>9.9999999999999967E-3</v>
      </c>
      <c r="DH88">
        <v>9.9999999999999967E-3</v>
      </c>
      <c r="DI88">
        <v>9.9999999999999967E-3</v>
      </c>
      <c r="DJ88">
        <v>9.9999999999999967E-3</v>
      </c>
      <c r="DK88">
        <v>9.9999999999999967E-3</v>
      </c>
      <c r="DL88">
        <v>9.9999999999999967E-3</v>
      </c>
      <c r="DM88">
        <v>9.9999999999999967E-3</v>
      </c>
      <c r="DN88">
        <v>9.9999999999999967E-3</v>
      </c>
      <c r="DO88">
        <v>9.9999999999999967E-3</v>
      </c>
    </row>
    <row r="89" spans="61:119">
      <c r="BI89" t="str">
        <f t="shared" si="55"/>
        <v>428531147542CME</v>
      </c>
      <c r="BJ89" s="426">
        <v>42853</v>
      </c>
      <c r="BK89" t="s">
        <v>1361</v>
      </c>
      <c r="BL89" t="s">
        <v>1370</v>
      </c>
      <c r="BM89" t="s">
        <v>1321</v>
      </c>
      <c r="BN89" s="438">
        <v>1</v>
      </c>
      <c r="BO89" s="438">
        <v>1</v>
      </c>
      <c r="BR89">
        <v>8.0000000000000016E-2</v>
      </c>
      <c r="BS89">
        <v>0.16</v>
      </c>
      <c r="BT89">
        <v>0.16</v>
      </c>
      <c r="BU89">
        <v>0</v>
      </c>
      <c r="BV89">
        <v>0</v>
      </c>
      <c r="BW89">
        <v>3.999999999999998E-2</v>
      </c>
      <c r="BX89">
        <v>3.999999999999998E-2</v>
      </c>
      <c r="BY89">
        <v>1.3333333333333345E-2</v>
      </c>
      <c r="BZ89">
        <v>1.3333333333333345E-2</v>
      </c>
      <c r="CA89">
        <v>1.3333333333333345E-2</v>
      </c>
      <c r="CB89">
        <v>1.3333333333333345E-2</v>
      </c>
      <c r="CC89">
        <v>1.3333333333333345E-2</v>
      </c>
      <c r="CD89">
        <v>1.3333333333333345E-2</v>
      </c>
      <c r="CE89">
        <v>1.3333333333333345E-2</v>
      </c>
      <c r="CF89">
        <v>1.3333333333333345E-2</v>
      </c>
      <c r="CG89">
        <v>1.3333333333333345E-2</v>
      </c>
      <c r="CI89">
        <v>6.9999999999999993E-2</v>
      </c>
      <c r="CJ89">
        <v>0.13999999999999999</v>
      </c>
      <c r="CK89">
        <v>0.13999999999999999</v>
      </c>
      <c r="CL89">
        <v>0</v>
      </c>
      <c r="CM89">
        <v>0</v>
      </c>
      <c r="CN89">
        <v>3.5000000000000003E-2</v>
      </c>
      <c r="CO89">
        <v>3.5000000000000003E-2</v>
      </c>
      <c r="CP89">
        <v>1.1666666666666659E-2</v>
      </c>
      <c r="CQ89">
        <v>1.1666666666666659E-2</v>
      </c>
      <c r="CR89">
        <v>1.1666666666666659E-2</v>
      </c>
      <c r="CS89">
        <v>1.1666666666666659E-2</v>
      </c>
      <c r="CT89">
        <v>1.1666666666666659E-2</v>
      </c>
      <c r="CU89">
        <v>1.1666666666666659E-2</v>
      </c>
      <c r="CV89">
        <v>1.1666666666666659E-2</v>
      </c>
      <c r="CW89">
        <v>1.1666666666666659E-2</v>
      </c>
      <c r="CX89">
        <v>1.1666666666666659E-2</v>
      </c>
      <c r="CZ89">
        <v>4.0000000000000008E-2</v>
      </c>
      <c r="DA89">
        <v>0.08</v>
      </c>
      <c r="DB89">
        <v>0.08</v>
      </c>
      <c r="DC89">
        <v>0</v>
      </c>
      <c r="DD89">
        <v>0</v>
      </c>
      <c r="DE89">
        <v>1.999999999999999E-2</v>
      </c>
      <c r="DF89">
        <v>1.999999999999999E-2</v>
      </c>
      <c r="DG89">
        <v>6.6666666666666723E-3</v>
      </c>
      <c r="DH89">
        <v>6.6666666666666723E-3</v>
      </c>
      <c r="DI89">
        <v>6.6666666666666723E-3</v>
      </c>
      <c r="DJ89">
        <v>6.6666666666666723E-3</v>
      </c>
      <c r="DK89">
        <v>6.6666666666666723E-3</v>
      </c>
      <c r="DL89">
        <v>6.6666666666666723E-3</v>
      </c>
      <c r="DM89">
        <v>6.6666666666666723E-3</v>
      </c>
      <c r="DN89">
        <v>6.6666666666666723E-3</v>
      </c>
      <c r="DO89">
        <v>6.6666666666666723E-3</v>
      </c>
    </row>
    <row r="90" spans="61:119">
      <c r="BI90" t="str">
        <f t="shared" si="55"/>
        <v>42853FI</v>
      </c>
      <c r="BJ90" s="426">
        <v>42853</v>
      </c>
      <c r="BM90" t="s">
        <v>1355</v>
      </c>
      <c r="BN90" s="438">
        <v>1</v>
      </c>
      <c r="BO90" s="438">
        <v>1</v>
      </c>
      <c r="BR90">
        <v>2.3000000000000003E-2</v>
      </c>
      <c r="BS90">
        <v>8.0500000000000016E-2</v>
      </c>
      <c r="BT90">
        <v>8.0500000000000016E-2</v>
      </c>
      <c r="BU90">
        <v>2.2999999999999993E-2</v>
      </c>
      <c r="BV90">
        <v>2.2999999999999993E-2</v>
      </c>
      <c r="BW90">
        <v>2.3000000000000007E-2</v>
      </c>
      <c r="BX90">
        <v>2.3000000000000007E-2</v>
      </c>
      <c r="BY90">
        <v>7.6666666666666671E-3</v>
      </c>
      <c r="BZ90">
        <v>7.6666666666666671E-3</v>
      </c>
      <c r="CA90">
        <v>7.6666666666666671E-3</v>
      </c>
      <c r="CB90">
        <v>7.6666666666666671E-3</v>
      </c>
      <c r="CC90">
        <v>7.6666666666666671E-3</v>
      </c>
      <c r="CD90">
        <v>7.6666666666666671E-3</v>
      </c>
      <c r="CE90">
        <v>7.6666666666666671E-3</v>
      </c>
      <c r="CF90">
        <v>7.6666666666666671E-3</v>
      </c>
      <c r="CG90">
        <v>7.6666666666666671E-3</v>
      </c>
      <c r="CI90">
        <v>2.0000000000000004E-2</v>
      </c>
      <c r="CJ90">
        <v>7.0000000000000007E-2</v>
      </c>
      <c r="CK90">
        <v>7.0000000000000007E-2</v>
      </c>
      <c r="CL90">
        <v>1.999999999999999E-2</v>
      </c>
      <c r="CM90">
        <v>1.999999999999999E-2</v>
      </c>
      <c r="CN90">
        <v>1.999999999999999E-2</v>
      </c>
      <c r="CO90">
        <v>1.999999999999999E-2</v>
      </c>
      <c r="CP90">
        <v>6.6666666666666723E-3</v>
      </c>
      <c r="CQ90">
        <v>6.6666666666666723E-3</v>
      </c>
      <c r="CR90">
        <v>6.6666666666666723E-3</v>
      </c>
      <c r="CS90">
        <v>6.6666666666666723E-3</v>
      </c>
      <c r="CT90">
        <v>6.6666666666666723E-3</v>
      </c>
      <c r="CU90">
        <v>6.6666666666666723E-3</v>
      </c>
      <c r="CV90">
        <v>6.6666666666666723E-3</v>
      </c>
      <c r="CW90">
        <v>6.6666666666666723E-3</v>
      </c>
      <c r="CX90">
        <v>6.6666666666666723E-3</v>
      </c>
      <c r="CZ90">
        <v>1.4999999999999999E-2</v>
      </c>
      <c r="DA90">
        <v>5.2499999999999998E-2</v>
      </c>
      <c r="DB90">
        <v>5.2499999999999998E-2</v>
      </c>
      <c r="DC90">
        <v>1.4999999999999999E-2</v>
      </c>
      <c r="DD90">
        <v>1.4999999999999999E-2</v>
      </c>
      <c r="DE90">
        <v>1.4999999999999999E-2</v>
      </c>
      <c r="DF90">
        <v>1.4999999999999999E-2</v>
      </c>
      <c r="DG90">
        <v>4.9999999999999984E-3</v>
      </c>
      <c r="DH90">
        <v>4.9999999999999984E-3</v>
      </c>
      <c r="DI90">
        <v>4.9999999999999984E-3</v>
      </c>
      <c r="DJ90">
        <v>4.9999999999999984E-3</v>
      </c>
      <c r="DK90">
        <v>4.9999999999999984E-3</v>
      </c>
      <c r="DL90">
        <v>4.9999999999999984E-3</v>
      </c>
      <c r="DM90">
        <v>4.9999999999999984E-3</v>
      </c>
      <c r="DN90">
        <v>4.9999999999999984E-3</v>
      </c>
      <c r="DO90">
        <v>4.9999999999999984E-3</v>
      </c>
    </row>
    <row r="91" spans="61:119">
      <c r="BI91" t="str">
        <f t="shared" si="55"/>
        <v>42853CORP</v>
      </c>
      <c r="BJ91" s="426">
        <v>42853</v>
      </c>
      <c r="BM91" t="s">
        <v>1356</v>
      </c>
      <c r="BN91" s="438">
        <v>1</v>
      </c>
      <c r="BO91" s="438">
        <v>0.76797961481046728</v>
      </c>
      <c r="BR91">
        <v>1.2640407703790655E-2</v>
      </c>
      <c r="BS91">
        <v>5.6529100800234766E-2</v>
      </c>
      <c r="BT91">
        <v>5.6529100800234766E-2</v>
      </c>
      <c r="BU91">
        <v>3.1071918459241871E-2</v>
      </c>
      <c r="BV91">
        <v>3.1071918459241871E-2</v>
      </c>
      <c r="BW91">
        <v>1.878424462227439E-2</v>
      </c>
      <c r="BX91">
        <v>1.878424462227439E-2</v>
      </c>
      <c r="BY91">
        <v>6.2614148740914649E-3</v>
      </c>
      <c r="BZ91">
        <v>6.2614148740914649E-3</v>
      </c>
      <c r="CA91">
        <v>6.2614148740914649E-3</v>
      </c>
      <c r="CB91">
        <v>6.2614148740914649E-3</v>
      </c>
      <c r="CC91">
        <v>6.2614148740914649E-3</v>
      </c>
      <c r="CD91">
        <v>6.2614148740914649E-3</v>
      </c>
      <c r="CE91">
        <v>6.2614148740914649E-3</v>
      </c>
      <c r="CF91">
        <v>6.2614148740914649E-3</v>
      </c>
      <c r="CG91">
        <v>6.2614148740914649E-3</v>
      </c>
      <c r="CI91">
        <v>1.0944346548222057E-2</v>
      </c>
      <c r="CJ91">
        <v>4.9056927526123742E-2</v>
      </c>
      <c r="CK91">
        <v>4.9056927526123742E-2</v>
      </c>
      <c r="CL91">
        <v>2.7071918459241874E-2</v>
      </c>
      <c r="CM91">
        <v>2.7071918459241874E-2</v>
      </c>
      <c r="CN91">
        <v>1.6320203851895324E-2</v>
      </c>
      <c r="CO91">
        <v>1.6320203851895324E-2</v>
      </c>
      <c r="CP91">
        <v>5.4400679506317762E-3</v>
      </c>
      <c r="CQ91">
        <v>5.4400679506317762E-3</v>
      </c>
      <c r="CR91">
        <v>5.4400679506317762E-3</v>
      </c>
      <c r="CS91">
        <v>5.4400679506317762E-3</v>
      </c>
      <c r="CT91">
        <v>5.4400679506317762E-3</v>
      </c>
      <c r="CU91">
        <v>5.4400679506317762E-3</v>
      </c>
      <c r="CV91">
        <v>5.4400679506317762E-3</v>
      </c>
      <c r="CW91">
        <v>5.4400679506317762E-3</v>
      </c>
      <c r="CX91">
        <v>5.4400679506317762E-3</v>
      </c>
      <c r="CZ91">
        <v>7.3202038518953277E-3</v>
      </c>
      <c r="DA91">
        <v>3.3300509629738316E-2</v>
      </c>
      <c r="DB91">
        <v>3.3300509629738316E-2</v>
      </c>
      <c r="DC91">
        <v>1.8839898074052334E-2</v>
      </c>
      <c r="DD91">
        <v>1.8839898074052334E-2</v>
      </c>
      <c r="DE91">
        <v>1.1160101925947657E-2</v>
      </c>
      <c r="DF91">
        <v>1.1160101925947657E-2</v>
      </c>
      <c r="DG91">
        <v>3.720033975315889E-3</v>
      </c>
      <c r="DH91">
        <v>3.720033975315889E-3</v>
      </c>
      <c r="DI91">
        <v>3.720033975315889E-3</v>
      </c>
      <c r="DJ91">
        <v>3.720033975315889E-3</v>
      </c>
      <c r="DK91">
        <v>3.720033975315889E-3</v>
      </c>
      <c r="DL91">
        <v>3.720033975315889E-3</v>
      </c>
      <c r="DM91">
        <v>3.720033975315889E-3</v>
      </c>
      <c r="DN91">
        <v>3.720033975315889E-3</v>
      </c>
      <c r="DO91">
        <v>3.720033975315889E-3</v>
      </c>
    </row>
    <row r="92" spans="61:119">
      <c r="BI92" t="str">
        <f t="shared" si="55"/>
        <v>42853ESCROW</v>
      </c>
      <c r="BJ92" s="426">
        <v>42853</v>
      </c>
      <c r="BM92" t="s">
        <v>1339</v>
      </c>
      <c r="BN92" s="438">
        <v>1</v>
      </c>
      <c r="BO92" s="438">
        <v>1</v>
      </c>
      <c r="BR92">
        <v>3.2000000000000001E-2</v>
      </c>
      <c r="BS92">
        <v>2.4E-2</v>
      </c>
      <c r="BT92">
        <v>2.4E-2</v>
      </c>
      <c r="BU92">
        <v>0.04</v>
      </c>
      <c r="BV92">
        <v>0.04</v>
      </c>
      <c r="BW92">
        <v>3.9999999999999994E-2</v>
      </c>
      <c r="BX92">
        <v>3.9999999999999994E-2</v>
      </c>
      <c r="BY92">
        <v>8.8888888888888906E-3</v>
      </c>
      <c r="BZ92">
        <v>8.8888888888888906E-3</v>
      </c>
      <c r="CA92">
        <v>8.8888888888888906E-3</v>
      </c>
      <c r="CB92">
        <v>8.8888888888888906E-3</v>
      </c>
      <c r="CC92">
        <v>8.8888888888888906E-3</v>
      </c>
      <c r="CD92">
        <v>8.8888888888888906E-3</v>
      </c>
      <c r="CE92">
        <v>8.8888888888888906E-3</v>
      </c>
      <c r="CF92">
        <v>8.8888888888888906E-3</v>
      </c>
      <c r="CG92">
        <v>8.8888888888888906E-3</v>
      </c>
      <c r="CI92">
        <v>2.8000000000000004E-2</v>
      </c>
      <c r="CJ92">
        <v>2.1000000000000001E-2</v>
      </c>
      <c r="CK92">
        <v>2.1000000000000001E-2</v>
      </c>
      <c r="CL92">
        <v>3.5000000000000003E-2</v>
      </c>
      <c r="CM92">
        <v>3.5000000000000003E-2</v>
      </c>
      <c r="CN92">
        <v>3.5000000000000003E-2</v>
      </c>
      <c r="CO92">
        <v>3.5000000000000003E-2</v>
      </c>
      <c r="CP92">
        <v>7.7777777777777784E-3</v>
      </c>
      <c r="CQ92">
        <v>7.7777777777777784E-3</v>
      </c>
      <c r="CR92">
        <v>7.7777777777777784E-3</v>
      </c>
      <c r="CS92">
        <v>7.7777777777777784E-3</v>
      </c>
      <c r="CT92">
        <v>7.7777777777777784E-3</v>
      </c>
      <c r="CU92">
        <v>7.7777777777777784E-3</v>
      </c>
      <c r="CV92">
        <v>7.7777777777777784E-3</v>
      </c>
      <c r="CW92">
        <v>7.7777777777777784E-3</v>
      </c>
      <c r="CX92">
        <v>7.7777777777777784E-3</v>
      </c>
      <c r="CZ92">
        <v>2.0000000000000004E-2</v>
      </c>
      <c r="DA92">
        <v>1.4999999999999999E-2</v>
      </c>
      <c r="DB92">
        <v>1.4999999999999999E-2</v>
      </c>
      <c r="DC92">
        <v>2.5000000000000001E-2</v>
      </c>
      <c r="DD92">
        <v>2.5000000000000001E-2</v>
      </c>
      <c r="DE92">
        <v>2.5000000000000008E-2</v>
      </c>
      <c r="DF92">
        <v>2.5000000000000008E-2</v>
      </c>
      <c r="DG92">
        <v>5.555555555555554E-3</v>
      </c>
      <c r="DH92">
        <v>5.555555555555554E-3</v>
      </c>
      <c r="DI92">
        <v>5.555555555555554E-3</v>
      </c>
      <c r="DJ92">
        <v>5.555555555555554E-3</v>
      </c>
      <c r="DK92">
        <v>5.555555555555554E-3</v>
      </c>
      <c r="DL92">
        <v>5.555555555555554E-3</v>
      </c>
      <c r="DM92">
        <v>5.555555555555554E-3</v>
      </c>
      <c r="DN92">
        <v>5.555555555555554E-3</v>
      </c>
      <c r="DO92">
        <v>5.555555555555554E-3</v>
      </c>
    </row>
    <row r="93" spans="61:119">
      <c r="BI93" t="str">
        <f t="shared" si="55"/>
        <v>42853IB</v>
      </c>
      <c r="BJ93" s="426">
        <v>42853</v>
      </c>
      <c r="BM93" t="s">
        <v>1354</v>
      </c>
      <c r="BN93" s="438">
        <v>1</v>
      </c>
      <c r="BO93" s="438">
        <v>1</v>
      </c>
      <c r="BR93">
        <v>1.2E-2</v>
      </c>
      <c r="BS93">
        <v>4.2000000000000003E-2</v>
      </c>
      <c r="BT93">
        <v>4.2000000000000003E-2</v>
      </c>
      <c r="BU93">
        <v>1.1999999999999997E-2</v>
      </c>
      <c r="BV93">
        <v>1.1999999999999997E-2</v>
      </c>
      <c r="BW93">
        <v>1.1999999999999997E-2</v>
      </c>
      <c r="BX93">
        <v>1.1999999999999997E-2</v>
      </c>
      <c r="BY93">
        <v>4.0000000000000001E-3</v>
      </c>
      <c r="BZ93">
        <v>4.0000000000000001E-3</v>
      </c>
      <c r="CA93">
        <v>4.0000000000000001E-3</v>
      </c>
      <c r="CB93">
        <v>4.0000000000000001E-3</v>
      </c>
      <c r="CC93">
        <v>4.0000000000000001E-3</v>
      </c>
      <c r="CD93">
        <v>4.0000000000000001E-3</v>
      </c>
      <c r="CE93">
        <v>4.0000000000000001E-3</v>
      </c>
      <c r="CF93">
        <v>4.0000000000000001E-3</v>
      </c>
      <c r="CG93">
        <v>4.0000000000000001E-3</v>
      </c>
      <c r="CI93">
        <v>3.0000000000000001E-3</v>
      </c>
      <c r="CJ93">
        <v>1.0500000000000001E-2</v>
      </c>
      <c r="CK93">
        <v>1.0500000000000001E-2</v>
      </c>
      <c r="CL93">
        <v>2.9999999999999992E-3</v>
      </c>
      <c r="CM93">
        <v>2.9999999999999992E-3</v>
      </c>
      <c r="CN93">
        <v>2.9999999999999992E-3</v>
      </c>
      <c r="CO93">
        <v>2.9999999999999992E-3</v>
      </c>
      <c r="CP93">
        <v>1E-3</v>
      </c>
      <c r="CQ93">
        <v>1E-3</v>
      </c>
      <c r="CR93">
        <v>1E-3</v>
      </c>
      <c r="CS93">
        <v>1E-3</v>
      </c>
      <c r="CT93">
        <v>1E-3</v>
      </c>
      <c r="CU93">
        <v>1E-3</v>
      </c>
      <c r="CV93">
        <v>1E-3</v>
      </c>
      <c r="CW93">
        <v>1E-3</v>
      </c>
      <c r="CX93">
        <v>1E-3</v>
      </c>
      <c r="CZ93">
        <v>1.0000000000000002E-2</v>
      </c>
      <c r="DA93">
        <v>3.5000000000000003E-2</v>
      </c>
      <c r="DB93">
        <v>3.5000000000000003E-2</v>
      </c>
      <c r="DC93">
        <v>9.999999999999995E-3</v>
      </c>
      <c r="DD93">
        <v>9.999999999999995E-3</v>
      </c>
      <c r="DE93">
        <v>9.999999999999995E-3</v>
      </c>
      <c r="DF93">
        <v>9.999999999999995E-3</v>
      </c>
      <c r="DG93">
        <v>3.3333333333333361E-3</v>
      </c>
      <c r="DH93">
        <v>3.3333333333333361E-3</v>
      </c>
      <c r="DI93">
        <v>3.3333333333333361E-3</v>
      </c>
      <c r="DJ93">
        <v>3.3333333333333361E-3</v>
      </c>
      <c r="DK93">
        <v>3.3333333333333361E-3</v>
      </c>
      <c r="DL93">
        <v>3.3333333333333361E-3</v>
      </c>
      <c r="DM93">
        <v>3.3333333333333361E-3</v>
      </c>
      <c r="DN93">
        <v>3.3333333333333361E-3</v>
      </c>
      <c r="DO93">
        <v>3.3333333333333361E-3</v>
      </c>
    </row>
    <row r="94" spans="61:119">
      <c r="BI94" t="str">
        <f t="shared" si="55"/>
        <v>42853AFF</v>
      </c>
      <c r="BJ94" s="426">
        <v>42853</v>
      </c>
      <c r="BM94" t="s">
        <v>1353</v>
      </c>
      <c r="BN94" s="438">
        <v>1</v>
      </c>
      <c r="BO94" s="438">
        <v>1</v>
      </c>
      <c r="BR94">
        <v>1.4999999999999999E-2</v>
      </c>
      <c r="BS94">
        <v>5.2499999999999998E-2</v>
      </c>
      <c r="BT94">
        <v>5.2499999999999998E-2</v>
      </c>
      <c r="BU94">
        <v>1.4999999999999999E-2</v>
      </c>
      <c r="BV94">
        <v>1.4999999999999999E-2</v>
      </c>
      <c r="BW94">
        <v>1.4999999999999999E-2</v>
      </c>
      <c r="BX94">
        <v>1.4999999999999999E-2</v>
      </c>
      <c r="BY94">
        <v>4.9999999999999984E-3</v>
      </c>
      <c r="BZ94">
        <v>4.9999999999999984E-3</v>
      </c>
      <c r="CA94">
        <v>4.9999999999999984E-3</v>
      </c>
      <c r="CB94">
        <v>4.9999999999999984E-3</v>
      </c>
      <c r="CC94">
        <v>4.9999999999999984E-3</v>
      </c>
      <c r="CD94">
        <v>4.9999999999999984E-3</v>
      </c>
      <c r="CE94">
        <v>4.9999999999999984E-3</v>
      </c>
      <c r="CF94">
        <v>4.9999999999999984E-3</v>
      </c>
      <c r="CG94">
        <v>4.9999999999999984E-3</v>
      </c>
      <c r="CI94">
        <v>1.2E-2</v>
      </c>
      <c r="CJ94">
        <v>4.2000000000000003E-2</v>
      </c>
      <c r="CK94">
        <v>4.2000000000000003E-2</v>
      </c>
      <c r="CL94">
        <v>1.1999999999999997E-2</v>
      </c>
      <c r="CM94">
        <v>1.1999999999999997E-2</v>
      </c>
      <c r="CN94">
        <v>1.1999999999999997E-2</v>
      </c>
      <c r="CO94">
        <v>1.1999999999999997E-2</v>
      </c>
      <c r="CP94">
        <v>4.0000000000000001E-3</v>
      </c>
      <c r="CQ94">
        <v>4.0000000000000001E-3</v>
      </c>
      <c r="CR94">
        <v>4.0000000000000001E-3</v>
      </c>
      <c r="CS94">
        <v>4.0000000000000001E-3</v>
      </c>
      <c r="CT94">
        <v>4.0000000000000001E-3</v>
      </c>
      <c r="CU94">
        <v>4.0000000000000001E-3</v>
      </c>
      <c r="CV94">
        <v>4.0000000000000001E-3</v>
      </c>
      <c r="CW94">
        <v>4.0000000000000001E-3</v>
      </c>
      <c r="CX94">
        <v>4.0000000000000001E-3</v>
      </c>
      <c r="CZ94">
        <v>5.000000000000001E-3</v>
      </c>
      <c r="DA94">
        <v>1.7500000000000002E-2</v>
      </c>
      <c r="DB94">
        <v>1.7500000000000002E-2</v>
      </c>
      <c r="DC94">
        <v>4.9999999999999975E-3</v>
      </c>
      <c r="DD94">
        <v>4.9999999999999975E-3</v>
      </c>
      <c r="DE94">
        <v>4.9999999999999975E-3</v>
      </c>
      <c r="DF94">
        <v>4.9999999999999975E-3</v>
      </c>
      <c r="DG94">
        <v>1.6666666666666681E-3</v>
      </c>
      <c r="DH94">
        <v>1.6666666666666681E-3</v>
      </c>
      <c r="DI94">
        <v>1.6666666666666681E-3</v>
      </c>
      <c r="DJ94">
        <v>1.6666666666666681E-3</v>
      </c>
      <c r="DK94">
        <v>1.6666666666666681E-3</v>
      </c>
      <c r="DL94">
        <v>1.6666666666666681E-3</v>
      </c>
      <c r="DM94">
        <v>1.6666666666666681E-3</v>
      </c>
      <c r="DN94">
        <v>1.6666666666666681E-3</v>
      </c>
      <c r="DO94">
        <v>1.6666666666666681E-3</v>
      </c>
    </row>
    <row r="95" spans="61:119">
      <c r="BI95" t="str">
        <f t="shared" si="55"/>
        <v>428861126198FI</v>
      </c>
      <c r="BJ95" s="426">
        <v>42886</v>
      </c>
      <c r="BK95" t="s">
        <v>1359</v>
      </c>
      <c r="BL95" t="s">
        <v>1367</v>
      </c>
      <c r="BM95" t="s">
        <v>1355</v>
      </c>
      <c r="BN95" s="438">
        <v>2</v>
      </c>
      <c r="BO95" s="438">
        <v>1</v>
      </c>
      <c r="BR95">
        <v>4.6000000000000006E-2</v>
      </c>
      <c r="BS95">
        <v>0.16100000000000003</v>
      </c>
      <c r="BT95">
        <v>0.16100000000000003</v>
      </c>
      <c r="BU95">
        <v>4.5999999999999985E-2</v>
      </c>
      <c r="BV95">
        <v>4.5999999999999985E-2</v>
      </c>
      <c r="BW95">
        <v>4.6000000000000013E-2</v>
      </c>
      <c r="BX95">
        <v>4.6000000000000013E-2</v>
      </c>
      <c r="BY95">
        <v>1.5333333333333334E-2</v>
      </c>
      <c r="BZ95">
        <v>1.5333333333333334E-2</v>
      </c>
      <c r="CA95">
        <v>1.5333333333333334E-2</v>
      </c>
      <c r="CB95">
        <v>1.5333333333333334E-2</v>
      </c>
      <c r="CC95">
        <v>1.5333333333333334E-2</v>
      </c>
      <c r="CD95">
        <v>1.5333333333333334E-2</v>
      </c>
      <c r="CE95">
        <v>1.5333333333333334E-2</v>
      </c>
      <c r="CF95">
        <v>1.5333333333333334E-2</v>
      </c>
      <c r="CG95">
        <v>1.5333333333333334E-2</v>
      </c>
      <c r="CI95">
        <v>4.0000000000000008E-2</v>
      </c>
      <c r="CJ95">
        <v>0.14000000000000001</v>
      </c>
      <c r="CK95">
        <v>0.14000000000000001</v>
      </c>
      <c r="CL95">
        <v>3.999999999999998E-2</v>
      </c>
      <c r="CM95">
        <v>3.999999999999998E-2</v>
      </c>
      <c r="CN95">
        <v>3.999999999999998E-2</v>
      </c>
      <c r="CO95">
        <v>3.999999999999998E-2</v>
      </c>
      <c r="CP95">
        <v>1.3333333333333345E-2</v>
      </c>
      <c r="CQ95">
        <v>1.3333333333333345E-2</v>
      </c>
      <c r="CR95">
        <v>1.3333333333333345E-2</v>
      </c>
      <c r="CS95">
        <v>1.3333333333333345E-2</v>
      </c>
      <c r="CT95">
        <v>1.3333333333333345E-2</v>
      </c>
      <c r="CU95">
        <v>1.3333333333333345E-2</v>
      </c>
      <c r="CV95">
        <v>1.3333333333333345E-2</v>
      </c>
      <c r="CW95">
        <v>1.3333333333333345E-2</v>
      </c>
      <c r="CX95">
        <v>1.3333333333333345E-2</v>
      </c>
      <c r="CZ95">
        <v>0.03</v>
      </c>
      <c r="DA95">
        <v>0.105</v>
      </c>
      <c r="DB95">
        <v>0.105</v>
      </c>
      <c r="DC95">
        <v>0.03</v>
      </c>
      <c r="DD95">
        <v>0.03</v>
      </c>
      <c r="DE95">
        <v>0.03</v>
      </c>
      <c r="DF95">
        <v>0.03</v>
      </c>
      <c r="DG95">
        <v>9.9999999999999967E-3</v>
      </c>
      <c r="DH95">
        <v>9.9999999999999967E-3</v>
      </c>
      <c r="DI95">
        <v>9.9999999999999967E-3</v>
      </c>
      <c r="DJ95">
        <v>9.9999999999999967E-3</v>
      </c>
      <c r="DK95">
        <v>9.9999999999999967E-3</v>
      </c>
      <c r="DL95">
        <v>9.9999999999999967E-3</v>
      </c>
      <c r="DM95">
        <v>9.9999999999999967E-3</v>
      </c>
      <c r="DN95">
        <v>9.9999999999999967E-3</v>
      </c>
      <c r="DO95">
        <v>9.9999999999999967E-3</v>
      </c>
    </row>
    <row r="96" spans="61:119">
      <c r="BI96" t="str">
        <f t="shared" si="55"/>
        <v>428861030623FI</v>
      </c>
      <c r="BJ96" s="426">
        <v>42886</v>
      </c>
      <c r="BK96" t="s">
        <v>1360</v>
      </c>
      <c r="BL96" t="s">
        <v>1369</v>
      </c>
      <c r="BM96" t="s">
        <v>1355</v>
      </c>
      <c r="BN96" s="438">
        <v>2</v>
      </c>
      <c r="BO96" s="438">
        <v>1</v>
      </c>
      <c r="BR96">
        <v>4.6000000000000006E-2</v>
      </c>
      <c r="BS96">
        <v>0.16100000000000003</v>
      </c>
      <c r="BT96">
        <v>0.16100000000000003</v>
      </c>
      <c r="BU96">
        <v>4.5999999999999985E-2</v>
      </c>
      <c r="BV96">
        <v>4.5999999999999985E-2</v>
      </c>
      <c r="BW96">
        <v>4.6000000000000013E-2</v>
      </c>
      <c r="BX96">
        <v>4.6000000000000013E-2</v>
      </c>
      <c r="BY96">
        <v>1.5333333333333334E-2</v>
      </c>
      <c r="BZ96">
        <v>1.5333333333333334E-2</v>
      </c>
      <c r="CA96">
        <v>1.5333333333333334E-2</v>
      </c>
      <c r="CB96">
        <v>1.5333333333333334E-2</v>
      </c>
      <c r="CC96">
        <v>1.5333333333333334E-2</v>
      </c>
      <c r="CD96">
        <v>1.5333333333333334E-2</v>
      </c>
      <c r="CE96">
        <v>1.5333333333333334E-2</v>
      </c>
      <c r="CF96">
        <v>1.5333333333333334E-2</v>
      </c>
      <c r="CG96">
        <v>1.5333333333333334E-2</v>
      </c>
      <c r="CI96">
        <v>4.0000000000000008E-2</v>
      </c>
      <c r="CJ96">
        <v>0.14000000000000001</v>
      </c>
      <c r="CK96">
        <v>0.14000000000000001</v>
      </c>
      <c r="CL96">
        <v>3.999999999999998E-2</v>
      </c>
      <c r="CM96">
        <v>3.999999999999998E-2</v>
      </c>
      <c r="CN96">
        <v>3.999999999999998E-2</v>
      </c>
      <c r="CO96">
        <v>3.999999999999998E-2</v>
      </c>
      <c r="CP96">
        <v>1.3333333333333345E-2</v>
      </c>
      <c r="CQ96">
        <v>1.3333333333333345E-2</v>
      </c>
      <c r="CR96">
        <v>1.3333333333333345E-2</v>
      </c>
      <c r="CS96">
        <v>1.3333333333333345E-2</v>
      </c>
      <c r="CT96">
        <v>1.3333333333333345E-2</v>
      </c>
      <c r="CU96">
        <v>1.3333333333333345E-2</v>
      </c>
      <c r="CV96">
        <v>1.3333333333333345E-2</v>
      </c>
      <c r="CW96">
        <v>1.3333333333333345E-2</v>
      </c>
      <c r="CX96">
        <v>1.3333333333333345E-2</v>
      </c>
      <c r="CZ96">
        <v>0.03</v>
      </c>
      <c r="DA96">
        <v>0.105</v>
      </c>
      <c r="DB96">
        <v>0.105</v>
      </c>
      <c r="DC96">
        <v>0.03</v>
      </c>
      <c r="DD96">
        <v>0.03</v>
      </c>
      <c r="DE96">
        <v>0.03</v>
      </c>
      <c r="DF96">
        <v>0.03</v>
      </c>
      <c r="DG96">
        <v>9.9999999999999967E-3</v>
      </c>
      <c r="DH96">
        <v>9.9999999999999967E-3</v>
      </c>
      <c r="DI96">
        <v>9.9999999999999967E-3</v>
      </c>
      <c r="DJ96">
        <v>9.9999999999999967E-3</v>
      </c>
      <c r="DK96">
        <v>9.9999999999999967E-3</v>
      </c>
      <c r="DL96">
        <v>9.9999999999999967E-3</v>
      </c>
      <c r="DM96">
        <v>9.9999999999999967E-3</v>
      </c>
      <c r="DN96">
        <v>9.9999999999999967E-3</v>
      </c>
      <c r="DO96">
        <v>9.9999999999999967E-3</v>
      </c>
    </row>
    <row r="97" spans="61:119">
      <c r="BI97" t="str">
        <f t="shared" si="55"/>
        <v>428861151227FI</v>
      </c>
      <c r="BJ97" s="426">
        <v>42886</v>
      </c>
      <c r="BK97" t="s">
        <v>1362</v>
      </c>
      <c r="BL97" t="s">
        <v>1372</v>
      </c>
      <c r="BM97" t="s">
        <v>1355</v>
      </c>
      <c r="BN97" s="438">
        <v>1.6249000095982278</v>
      </c>
      <c r="BO97" s="438">
        <v>4.736378232852882E-4</v>
      </c>
      <c r="BR97">
        <v>0.18841682700175938</v>
      </c>
      <c r="BS97">
        <v>0.37686020569009304</v>
      </c>
      <c r="BT97">
        <v>0.37686020569009304</v>
      </c>
      <c r="BU97">
        <v>1.7701124382818456E-5</v>
      </c>
      <c r="BV97">
        <v>1.7701124382818456E-5</v>
      </c>
      <c r="BW97">
        <v>2.8783067519298933E-2</v>
      </c>
      <c r="BX97">
        <v>2.8783067519298933E-2</v>
      </c>
      <c r="BY97">
        <v>5.9003747942851546E-6</v>
      </c>
      <c r="BZ97">
        <v>5.9003747942851546E-6</v>
      </c>
      <c r="CA97">
        <v>5.9003747942851546E-6</v>
      </c>
      <c r="CB97">
        <v>5.9003747942851546E-6</v>
      </c>
      <c r="CC97">
        <v>5.9003747942851546E-6</v>
      </c>
      <c r="CD97">
        <v>5.9003747942851546E-6</v>
      </c>
      <c r="CE97">
        <v>5.9003747942851546E-6</v>
      </c>
      <c r="CF97">
        <v>5.9003747942851546E-6</v>
      </c>
      <c r="CG97">
        <v>5.9003747942851546E-6</v>
      </c>
      <c r="CI97">
        <v>0.17866973578648088</v>
      </c>
      <c r="CJ97">
        <v>0.35736255999606981</v>
      </c>
      <c r="CK97">
        <v>0.35736255999606981</v>
      </c>
      <c r="CL97">
        <v>1.5392282072035357E-5</v>
      </c>
      <c r="CM97">
        <v>1.5392282072035357E-5</v>
      </c>
      <c r="CN97">
        <v>5.3142714609407393E-2</v>
      </c>
      <c r="CO97">
        <v>5.3142714609407393E-2</v>
      </c>
      <c r="CP97">
        <v>5.130760690690788E-6</v>
      </c>
      <c r="CQ97">
        <v>5.130760690690788E-6</v>
      </c>
      <c r="CR97">
        <v>5.130760690690788E-6</v>
      </c>
      <c r="CS97">
        <v>5.130760690690788E-6</v>
      </c>
      <c r="CT97">
        <v>5.130760690690788E-6</v>
      </c>
      <c r="CU97">
        <v>5.130760690690788E-6</v>
      </c>
      <c r="CV97">
        <v>5.130760690690788E-6</v>
      </c>
      <c r="CW97">
        <v>5.130760690690788E-6</v>
      </c>
      <c r="CX97">
        <v>5.130760690690788E-6</v>
      </c>
      <c r="CZ97">
        <v>8.1218063986285324E-2</v>
      </c>
      <c r="DA97">
        <v>0.16245344428990166</v>
      </c>
      <c r="DB97">
        <v>0.16245344428990166</v>
      </c>
      <c r="DC97">
        <v>1.1544211554054273E-5</v>
      </c>
      <c r="DD97">
        <v>1.1544211554054273E-5</v>
      </c>
      <c r="DE97">
        <v>4.0614804098919627E-2</v>
      </c>
      <c r="DF97">
        <v>4.0614804098919627E-2</v>
      </c>
      <c r="DG97">
        <v>1.3538268032973219E-2</v>
      </c>
      <c r="DH97">
        <v>1.3538268032973219E-2</v>
      </c>
      <c r="DI97">
        <v>1.3538268032973219E-2</v>
      </c>
      <c r="DJ97">
        <v>1.3538268032973219E-2</v>
      </c>
      <c r="DK97">
        <v>1.3538268032973219E-2</v>
      </c>
      <c r="DL97">
        <v>1.3538268032973219E-2</v>
      </c>
      <c r="DM97">
        <v>1.3538268032973219E-2</v>
      </c>
      <c r="DN97">
        <v>1.3538268032973219E-2</v>
      </c>
      <c r="DO97">
        <v>1.3538268032973219E-2</v>
      </c>
    </row>
    <row r="98" spans="61:119">
      <c r="BI98" t="str">
        <f t="shared" si="55"/>
        <v>428861000790IB</v>
      </c>
      <c r="BJ98" s="426">
        <v>42886</v>
      </c>
      <c r="BK98" t="s">
        <v>1358</v>
      </c>
      <c r="BL98" t="s">
        <v>1371</v>
      </c>
      <c r="BM98" t="s">
        <v>1354</v>
      </c>
      <c r="BN98" s="438">
        <v>1.5498799953959552</v>
      </c>
      <c r="BO98" s="438">
        <v>1</v>
      </c>
      <c r="BR98">
        <v>1.8598559944751462E-2</v>
      </c>
      <c r="BS98">
        <v>6.5094959806630118E-2</v>
      </c>
      <c r="BT98">
        <v>6.5094959806630118E-2</v>
      </c>
      <c r="BU98">
        <v>1.8598559944751458E-2</v>
      </c>
      <c r="BV98">
        <v>1.8598559944751458E-2</v>
      </c>
      <c r="BW98">
        <v>1.8598559944751458E-2</v>
      </c>
      <c r="BX98">
        <v>1.8598559944751458E-2</v>
      </c>
      <c r="BY98">
        <v>6.1995199815838226E-3</v>
      </c>
      <c r="BZ98">
        <v>6.1995199815838226E-3</v>
      </c>
      <c r="CA98">
        <v>6.1995199815838226E-3</v>
      </c>
      <c r="CB98">
        <v>6.1995199815838226E-3</v>
      </c>
      <c r="CC98">
        <v>6.1995199815838226E-3</v>
      </c>
      <c r="CD98">
        <v>6.1995199815838226E-3</v>
      </c>
      <c r="CE98">
        <v>6.1995199815838226E-3</v>
      </c>
      <c r="CF98">
        <v>6.1995199815838226E-3</v>
      </c>
      <c r="CG98">
        <v>6.1995199815838226E-3</v>
      </c>
      <c r="CI98">
        <v>4.6496399861878654E-3</v>
      </c>
      <c r="CJ98">
        <v>1.6273739951657529E-2</v>
      </c>
      <c r="CK98">
        <v>1.6273739951657529E-2</v>
      </c>
      <c r="CL98">
        <v>4.6496399861878646E-3</v>
      </c>
      <c r="CM98">
        <v>4.6496399861878646E-3</v>
      </c>
      <c r="CN98">
        <v>4.6496399861878646E-3</v>
      </c>
      <c r="CO98">
        <v>4.6496399861878646E-3</v>
      </c>
      <c r="CP98">
        <v>1.5498799953959556E-3</v>
      </c>
      <c r="CQ98">
        <v>1.5498799953959556E-3</v>
      </c>
      <c r="CR98">
        <v>1.5498799953959556E-3</v>
      </c>
      <c r="CS98">
        <v>1.5498799953959556E-3</v>
      </c>
      <c r="CT98">
        <v>1.5498799953959556E-3</v>
      </c>
      <c r="CU98">
        <v>1.5498799953959556E-3</v>
      </c>
      <c r="CV98">
        <v>1.5498799953959556E-3</v>
      </c>
      <c r="CW98">
        <v>1.5498799953959556E-3</v>
      </c>
      <c r="CX98">
        <v>1.5498799953959556E-3</v>
      </c>
      <c r="CZ98">
        <v>1.5498799953959553E-2</v>
      </c>
      <c r="DA98">
        <v>5.4245799838858431E-2</v>
      </c>
      <c r="DB98">
        <v>5.4245799838858431E-2</v>
      </c>
      <c r="DC98">
        <v>1.5498799953959551E-2</v>
      </c>
      <c r="DD98">
        <v>1.5498799953959551E-2</v>
      </c>
      <c r="DE98">
        <v>1.5498799953959544E-2</v>
      </c>
      <c r="DF98">
        <v>1.5498799953959544E-2</v>
      </c>
      <c r="DG98">
        <v>5.1662666513198523E-3</v>
      </c>
      <c r="DH98">
        <v>5.1662666513198523E-3</v>
      </c>
      <c r="DI98">
        <v>5.1662666513198523E-3</v>
      </c>
      <c r="DJ98">
        <v>5.1662666513198523E-3</v>
      </c>
      <c r="DK98">
        <v>5.1662666513198523E-3</v>
      </c>
      <c r="DL98">
        <v>5.1662666513198523E-3</v>
      </c>
      <c r="DM98">
        <v>5.1662666513198523E-3</v>
      </c>
      <c r="DN98">
        <v>5.1662666513198523E-3</v>
      </c>
      <c r="DO98">
        <v>5.1662666513198523E-3</v>
      </c>
    </row>
    <row r="99" spans="61:119">
      <c r="BI99" t="str">
        <f t="shared" si="55"/>
        <v>428861000526FI</v>
      </c>
      <c r="BJ99" s="426">
        <v>42886</v>
      </c>
      <c r="BK99" t="s">
        <v>1363</v>
      </c>
      <c r="BL99" t="s">
        <v>1368</v>
      </c>
      <c r="BM99" t="s">
        <v>1355</v>
      </c>
      <c r="BN99" s="438">
        <v>1.0905960525907041</v>
      </c>
      <c r="BO99" s="438">
        <v>1</v>
      </c>
      <c r="BR99">
        <v>2.5083709209586198E-2</v>
      </c>
      <c r="BS99">
        <v>8.7792982233551697E-2</v>
      </c>
      <c r="BT99">
        <v>8.7792982233551697E-2</v>
      </c>
      <c r="BU99">
        <v>2.5083709209586191E-2</v>
      </c>
      <c r="BV99">
        <v>2.5083709209586191E-2</v>
      </c>
      <c r="BW99">
        <v>2.5083709209586191E-2</v>
      </c>
      <c r="BX99">
        <v>2.5083709209586191E-2</v>
      </c>
      <c r="BY99">
        <v>8.3612364031953965E-3</v>
      </c>
      <c r="BZ99">
        <v>8.3612364031953965E-3</v>
      </c>
      <c r="CA99">
        <v>8.3612364031953965E-3</v>
      </c>
      <c r="CB99">
        <v>8.3612364031953965E-3</v>
      </c>
      <c r="CC99">
        <v>8.3612364031953965E-3</v>
      </c>
      <c r="CD99">
        <v>8.3612364031953965E-3</v>
      </c>
      <c r="CE99">
        <v>8.3612364031953965E-3</v>
      </c>
      <c r="CF99">
        <v>8.3612364031953965E-3</v>
      </c>
      <c r="CG99">
        <v>8.3612364031953965E-3</v>
      </c>
      <c r="CI99">
        <v>2.1811921051814086E-2</v>
      </c>
      <c r="CJ99">
        <v>7.6341723681349297E-2</v>
      </c>
      <c r="CK99">
        <v>7.6341723681349297E-2</v>
      </c>
      <c r="CL99">
        <v>2.1811921051814079E-2</v>
      </c>
      <c r="CM99">
        <v>2.1811921051814079E-2</v>
      </c>
      <c r="CN99">
        <v>2.1811921051814079E-2</v>
      </c>
      <c r="CO99">
        <v>2.1811921051814079E-2</v>
      </c>
      <c r="CP99">
        <v>7.2706403506046947E-3</v>
      </c>
      <c r="CQ99">
        <v>7.2706403506046947E-3</v>
      </c>
      <c r="CR99">
        <v>7.2706403506046947E-3</v>
      </c>
      <c r="CS99">
        <v>7.2706403506046947E-3</v>
      </c>
      <c r="CT99">
        <v>7.2706403506046947E-3</v>
      </c>
      <c r="CU99">
        <v>7.2706403506046947E-3</v>
      </c>
      <c r="CV99">
        <v>7.2706403506046947E-3</v>
      </c>
      <c r="CW99">
        <v>7.2706403506046947E-3</v>
      </c>
      <c r="CX99">
        <v>7.2706403506046947E-3</v>
      </c>
      <c r="CZ99">
        <v>1.6358940788860563E-2</v>
      </c>
      <c r="DA99">
        <v>5.7256292761011969E-2</v>
      </c>
      <c r="DB99">
        <v>5.7256292761011969E-2</v>
      </c>
      <c r="DC99">
        <v>1.6358940788860563E-2</v>
      </c>
      <c r="DD99">
        <v>1.6358940788860563E-2</v>
      </c>
      <c r="DE99">
        <v>1.6358940788860563E-2</v>
      </c>
      <c r="DF99">
        <v>1.6358940788860563E-2</v>
      </c>
      <c r="DG99">
        <v>5.4529802629535197E-3</v>
      </c>
      <c r="DH99">
        <v>5.4529802629535197E-3</v>
      </c>
      <c r="DI99">
        <v>5.4529802629535197E-3</v>
      </c>
      <c r="DJ99">
        <v>5.4529802629535197E-3</v>
      </c>
      <c r="DK99">
        <v>5.4529802629535197E-3</v>
      </c>
      <c r="DL99">
        <v>5.4529802629535197E-3</v>
      </c>
      <c r="DM99">
        <v>5.4529802629535197E-3</v>
      </c>
      <c r="DN99">
        <v>5.4529802629535197E-3</v>
      </c>
      <c r="DO99">
        <v>5.4529802629535197E-3</v>
      </c>
    </row>
    <row r="100" spans="61:119">
      <c r="BI100" t="str">
        <f t="shared" si="55"/>
        <v>428861000798AFF</v>
      </c>
      <c r="BJ100" s="426">
        <v>42886</v>
      </c>
      <c r="BK100" t="s">
        <v>1366</v>
      </c>
      <c r="BL100" t="s">
        <v>1374</v>
      </c>
      <c r="BM100" t="s">
        <v>1353</v>
      </c>
      <c r="BN100" s="438">
        <v>1.0109990641776843</v>
      </c>
      <c r="BO100" s="438">
        <v>1</v>
      </c>
      <c r="BR100">
        <v>1.5164985962665266E-2</v>
      </c>
      <c r="BS100">
        <v>5.3077450869328427E-2</v>
      </c>
      <c r="BT100">
        <v>5.3077450869328427E-2</v>
      </c>
      <c r="BU100">
        <v>1.5164985962665259E-2</v>
      </c>
      <c r="BV100">
        <v>1.5164985962665259E-2</v>
      </c>
      <c r="BW100">
        <v>1.5164985962665259E-2</v>
      </c>
      <c r="BX100">
        <v>1.5164985962665259E-2</v>
      </c>
      <c r="BY100">
        <v>5.0549953208884214E-3</v>
      </c>
      <c r="BZ100">
        <v>5.0549953208884214E-3</v>
      </c>
      <c r="CA100">
        <v>5.0549953208884214E-3</v>
      </c>
      <c r="CB100">
        <v>5.0549953208884214E-3</v>
      </c>
      <c r="CC100">
        <v>5.0549953208884214E-3</v>
      </c>
      <c r="CD100">
        <v>5.0549953208884214E-3</v>
      </c>
      <c r="CE100">
        <v>5.0549953208884214E-3</v>
      </c>
      <c r="CF100">
        <v>5.0549953208884214E-3</v>
      </c>
      <c r="CG100">
        <v>5.0549953208884214E-3</v>
      </c>
      <c r="CI100">
        <v>1.2131988770132211E-2</v>
      </c>
      <c r="CJ100">
        <v>4.2461960695462736E-2</v>
      </c>
      <c r="CK100">
        <v>4.2461960695462736E-2</v>
      </c>
      <c r="CL100">
        <v>1.2131988770132211E-2</v>
      </c>
      <c r="CM100">
        <v>1.2131988770132211E-2</v>
      </c>
      <c r="CN100">
        <v>1.2131988770132211E-2</v>
      </c>
      <c r="CO100">
        <v>1.2131988770132211E-2</v>
      </c>
      <c r="CP100">
        <v>4.0439962567107362E-3</v>
      </c>
      <c r="CQ100">
        <v>4.0439962567107362E-3</v>
      </c>
      <c r="CR100">
        <v>4.0439962567107362E-3</v>
      </c>
      <c r="CS100">
        <v>4.0439962567107362E-3</v>
      </c>
      <c r="CT100">
        <v>4.0439962567107362E-3</v>
      </c>
      <c r="CU100">
        <v>4.0439962567107362E-3</v>
      </c>
      <c r="CV100">
        <v>4.0439962567107362E-3</v>
      </c>
      <c r="CW100">
        <v>4.0439962567107362E-3</v>
      </c>
      <c r="CX100">
        <v>4.0439962567107362E-3</v>
      </c>
      <c r="CZ100">
        <v>5.0549953208884222E-3</v>
      </c>
      <c r="DA100">
        <v>1.7692483623109479E-2</v>
      </c>
      <c r="DB100">
        <v>1.7692483623109479E-2</v>
      </c>
      <c r="DC100">
        <v>5.0549953208884196E-3</v>
      </c>
      <c r="DD100">
        <v>5.0549953208884196E-3</v>
      </c>
      <c r="DE100">
        <v>5.0549953208884196E-3</v>
      </c>
      <c r="DF100">
        <v>5.0549953208884196E-3</v>
      </c>
      <c r="DG100">
        <v>1.6849984402961407E-3</v>
      </c>
      <c r="DH100">
        <v>1.6849984402961407E-3</v>
      </c>
      <c r="DI100">
        <v>1.6849984402961407E-3</v>
      </c>
      <c r="DJ100">
        <v>1.6849984402961407E-3</v>
      </c>
      <c r="DK100">
        <v>1.6849984402961407E-3</v>
      </c>
      <c r="DL100">
        <v>1.6849984402961407E-3</v>
      </c>
      <c r="DM100">
        <v>1.6849984402961407E-3</v>
      </c>
      <c r="DN100">
        <v>1.6849984402961407E-3</v>
      </c>
      <c r="DO100">
        <v>1.6849984402961407E-3</v>
      </c>
    </row>
    <row r="101" spans="61:119">
      <c r="BI101" t="str">
        <f t="shared" si="55"/>
        <v>428861139027FI</v>
      </c>
      <c r="BJ101" s="426">
        <v>42886</v>
      </c>
      <c r="BK101" t="s">
        <v>1444</v>
      </c>
      <c r="BL101" t="s">
        <v>1445</v>
      </c>
      <c r="BM101" t="s">
        <v>1355</v>
      </c>
      <c r="BN101" s="438">
        <v>1.0035975995919519</v>
      </c>
      <c r="BO101" s="438">
        <v>1</v>
      </c>
      <c r="BR101">
        <v>2.3082744790614895E-2</v>
      </c>
      <c r="BS101">
        <v>8.0789606767152133E-2</v>
      </c>
      <c r="BT101">
        <v>8.0789606767152133E-2</v>
      </c>
      <c r="BU101">
        <v>2.3082744790614895E-2</v>
      </c>
      <c r="BV101">
        <v>2.3082744790614895E-2</v>
      </c>
      <c r="BW101">
        <v>2.3082744790614895E-2</v>
      </c>
      <c r="BX101">
        <v>2.3082744790614895E-2</v>
      </c>
      <c r="BY101">
        <v>7.6942482635382987E-3</v>
      </c>
      <c r="BZ101">
        <v>7.6942482635382987E-3</v>
      </c>
      <c r="CA101">
        <v>7.6942482635382987E-3</v>
      </c>
      <c r="CB101">
        <v>7.6942482635382987E-3</v>
      </c>
      <c r="CC101">
        <v>7.6942482635382987E-3</v>
      </c>
      <c r="CD101">
        <v>7.6942482635382987E-3</v>
      </c>
      <c r="CE101">
        <v>7.6942482635382987E-3</v>
      </c>
      <c r="CF101">
        <v>7.6942482635382987E-3</v>
      </c>
      <c r="CG101">
        <v>7.6942482635382987E-3</v>
      </c>
      <c r="CI101">
        <v>2.0071951991839043E-2</v>
      </c>
      <c r="CJ101">
        <v>7.0251831971436654E-2</v>
      </c>
      <c r="CK101">
        <v>7.0251831971436654E-2</v>
      </c>
      <c r="CL101">
        <v>2.0071951991839032E-2</v>
      </c>
      <c r="CM101">
        <v>2.0071951991839032E-2</v>
      </c>
      <c r="CN101">
        <v>2.0071951991839032E-2</v>
      </c>
      <c r="CO101">
        <v>2.0071951991839032E-2</v>
      </c>
      <c r="CP101">
        <v>6.6906506639463469E-3</v>
      </c>
      <c r="CQ101">
        <v>6.6906506639463469E-3</v>
      </c>
      <c r="CR101">
        <v>6.6906506639463469E-3</v>
      </c>
      <c r="CS101">
        <v>6.6906506639463469E-3</v>
      </c>
      <c r="CT101">
        <v>6.6906506639463469E-3</v>
      </c>
      <c r="CU101">
        <v>6.6906506639463469E-3</v>
      </c>
      <c r="CV101">
        <v>6.6906506639463469E-3</v>
      </c>
      <c r="CW101">
        <v>6.6906506639463469E-3</v>
      </c>
      <c r="CX101">
        <v>6.6906506639463469E-3</v>
      </c>
      <c r="CZ101">
        <v>1.5053963993879281E-2</v>
      </c>
      <c r="DA101">
        <v>5.268887397857748E-2</v>
      </c>
      <c r="DB101">
        <v>5.268887397857748E-2</v>
      </c>
      <c r="DC101">
        <v>1.5053963993879274E-2</v>
      </c>
      <c r="DD101">
        <v>1.5053963993879274E-2</v>
      </c>
      <c r="DE101">
        <v>1.5053963993879274E-2</v>
      </c>
      <c r="DF101">
        <v>1.5053963993879274E-2</v>
      </c>
      <c r="DG101">
        <v>5.0179879979597598E-3</v>
      </c>
      <c r="DH101">
        <v>5.0179879979597598E-3</v>
      </c>
      <c r="DI101">
        <v>5.0179879979597598E-3</v>
      </c>
      <c r="DJ101">
        <v>5.0179879979597598E-3</v>
      </c>
      <c r="DK101">
        <v>5.0179879979597598E-3</v>
      </c>
      <c r="DL101">
        <v>5.0179879979597598E-3</v>
      </c>
      <c r="DM101">
        <v>5.0179879979597598E-3</v>
      </c>
      <c r="DN101">
        <v>5.0179879979597598E-3</v>
      </c>
      <c r="DO101">
        <v>5.0179879979597598E-3</v>
      </c>
    </row>
    <row r="102" spans="61:119">
      <c r="BI102" t="str">
        <f t="shared" si="55"/>
        <v>428861141467FI</v>
      </c>
      <c r="BJ102" s="426">
        <v>42886</v>
      </c>
      <c r="BK102" t="s">
        <v>1375</v>
      </c>
      <c r="BL102" t="s">
        <v>1376</v>
      </c>
      <c r="BM102" t="s">
        <v>1355</v>
      </c>
      <c r="BN102" s="438">
        <v>2</v>
      </c>
      <c r="BO102" s="438">
        <v>1</v>
      </c>
      <c r="BR102">
        <v>4.6000000000000006E-2</v>
      </c>
      <c r="BS102">
        <v>0.16100000000000003</v>
      </c>
      <c r="BT102">
        <v>0.16100000000000003</v>
      </c>
      <c r="BU102">
        <v>4.5999999999999985E-2</v>
      </c>
      <c r="BV102">
        <v>4.5999999999999985E-2</v>
      </c>
      <c r="BW102">
        <v>4.6000000000000013E-2</v>
      </c>
      <c r="BX102">
        <v>4.6000000000000013E-2</v>
      </c>
      <c r="BY102">
        <v>1.5333333333333334E-2</v>
      </c>
      <c r="BZ102">
        <v>1.5333333333333334E-2</v>
      </c>
      <c r="CA102">
        <v>1.5333333333333334E-2</v>
      </c>
      <c r="CB102">
        <v>1.5333333333333334E-2</v>
      </c>
      <c r="CC102">
        <v>1.5333333333333334E-2</v>
      </c>
      <c r="CD102">
        <v>1.5333333333333334E-2</v>
      </c>
      <c r="CE102">
        <v>1.5333333333333334E-2</v>
      </c>
      <c r="CF102">
        <v>1.5333333333333334E-2</v>
      </c>
      <c r="CG102">
        <v>1.5333333333333334E-2</v>
      </c>
      <c r="CI102">
        <v>4.0000000000000008E-2</v>
      </c>
      <c r="CJ102">
        <v>0.14000000000000001</v>
      </c>
      <c r="CK102">
        <v>0.14000000000000001</v>
      </c>
      <c r="CL102">
        <v>3.999999999999998E-2</v>
      </c>
      <c r="CM102">
        <v>3.999999999999998E-2</v>
      </c>
      <c r="CN102">
        <v>3.999999999999998E-2</v>
      </c>
      <c r="CO102">
        <v>3.999999999999998E-2</v>
      </c>
      <c r="CP102">
        <v>1.3333333333333345E-2</v>
      </c>
      <c r="CQ102">
        <v>1.3333333333333345E-2</v>
      </c>
      <c r="CR102">
        <v>1.3333333333333345E-2</v>
      </c>
      <c r="CS102">
        <v>1.3333333333333345E-2</v>
      </c>
      <c r="CT102">
        <v>1.3333333333333345E-2</v>
      </c>
      <c r="CU102">
        <v>1.3333333333333345E-2</v>
      </c>
      <c r="CV102">
        <v>1.3333333333333345E-2</v>
      </c>
      <c r="CW102">
        <v>1.3333333333333345E-2</v>
      </c>
      <c r="CX102">
        <v>1.3333333333333345E-2</v>
      </c>
      <c r="CZ102">
        <v>0.03</v>
      </c>
      <c r="DA102">
        <v>0.105</v>
      </c>
      <c r="DB102">
        <v>0.105</v>
      </c>
      <c r="DC102">
        <v>0.03</v>
      </c>
      <c r="DD102">
        <v>0.03</v>
      </c>
      <c r="DE102">
        <v>0.03</v>
      </c>
      <c r="DF102">
        <v>0.03</v>
      </c>
      <c r="DG102">
        <v>9.9999999999999967E-3</v>
      </c>
      <c r="DH102">
        <v>9.9999999999999967E-3</v>
      </c>
      <c r="DI102">
        <v>9.9999999999999967E-3</v>
      </c>
      <c r="DJ102">
        <v>9.9999999999999967E-3</v>
      </c>
      <c r="DK102">
        <v>9.9999999999999967E-3</v>
      </c>
      <c r="DL102">
        <v>9.9999999999999967E-3</v>
      </c>
      <c r="DM102">
        <v>9.9999999999999967E-3</v>
      </c>
      <c r="DN102">
        <v>9.9999999999999967E-3</v>
      </c>
      <c r="DO102">
        <v>9.9999999999999967E-3</v>
      </c>
    </row>
    <row r="103" spans="61:119">
      <c r="BI103" t="str">
        <f t="shared" si="55"/>
        <v>428861147542CME</v>
      </c>
      <c r="BJ103" s="426">
        <v>42886</v>
      </c>
      <c r="BK103" t="s">
        <v>1361</v>
      </c>
      <c r="BL103" t="s">
        <v>1370</v>
      </c>
      <c r="BM103" t="s">
        <v>1321</v>
      </c>
      <c r="BN103" s="438">
        <v>1</v>
      </c>
      <c r="BO103" s="438">
        <v>1</v>
      </c>
      <c r="BR103">
        <v>8.0000000000000016E-2</v>
      </c>
      <c r="BS103">
        <v>0.16</v>
      </c>
      <c r="BT103">
        <v>0.16</v>
      </c>
      <c r="BU103">
        <v>0</v>
      </c>
      <c r="BV103">
        <v>0</v>
      </c>
      <c r="BW103">
        <v>3.999999999999998E-2</v>
      </c>
      <c r="BX103">
        <v>3.999999999999998E-2</v>
      </c>
      <c r="BY103">
        <v>1.3333333333333345E-2</v>
      </c>
      <c r="BZ103">
        <v>1.3333333333333345E-2</v>
      </c>
      <c r="CA103">
        <v>1.3333333333333345E-2</v>
      </c>
      <c r="CB103">
        <v>1.3333333333333345E-2</v>
      </c>
      <c r="CC103">
        <v>1.3333333333333345E-2</v>
      </c>
      <c r="CD103">
        <v>1.3333333333333345E-2</v>
      </c>
      <c r="CE103">
        <v>1.3333333333333345E-2</v>
      </c>
      <c r="CF103">
        <v>1.3333333333333345E-2</v>
      </c>
      <c r="CG103">
        <v>1.3333333333333345E-2</v>
      </c>
      <c r="CI103">
        <v>6.9999999999999993E-2</v>
      </c>
      <c r="CJ103">
        <v>0.13999999999999999</v>
      </c>
      <c r="CK103">
        <v>0.13999999999999999</v>
      </c>
      <c r="CL103">
        <v>0</v>
      </c>
      <c r="CM103">
        <v>0</v>
      </c>
      <c r="CN103">
        <v>3.5000000000000003E-2</v>
      </c>
      <c r="CO103">
        <v>3.5000000000000003E-2</v>
      </c>
      <c r="CP103">
        <v>1.1666666666666659E-2</v>
      </c>
      <c r="CQ103">
        <v>1.1666666666666659E-2</v>
      </c>
      <c r="CR103">
        <v>1.1666666666666659E-2</v>
      </c>
      <c r="CS103">
        <v>1.1666666666666659E-2</v>
      </c>
      <c r="CT103">
        <v>1.1666666666666659E-2</v>
      </c>
      <c r="CU103">
        <v>1.1666666666666659E-2</v>
      </c>
      <c r="CV103">
        <v>1.1666666666666659E-2</v>
      </c>
      <c r="CW103">
        <v>1.1666666666666659E-2</v>
      </c>
      <c r="CX103">
        <v>1.1666666666666659E-2</v>
      </c>
      <c r="CZ103">
        <v>4.0000000000000008E-2</v>
      </c>
      <c r="DA103">
        <v>0.08</v>
      </c>
      <c r="DB103">
        <v>0.08</v>
      </c>
      <c r="DC103">
        <v>0</v>
      </c>
      <c r="DD103">
        <v>0</v>
      </c>
      <c r="DE103">
        <v>1.999999999999999E-2</v>
      </c>
      <c r="DF103">
        <v>1.999999999999999E-2</v>
      </c>
      <c r="DG103">
        <v>6.6666666666666723E-3</v>
      </c>
      <c r="DH103">
        <v>6.6666666666666723E-3</v>
      </c>
      <c r="DI103">
        <v>6.6666666666666723E-3</v>
      </c>
      <c r="DJ103">
        <v>6.6666666666666723E-3</v>
      </c>
      <c r="DK103">
        <v>6.6666666666666723E-3</v>
      </c>
      <c r="DL103">
        <v>6.6666666666666723E-3</v>
      </c>
      <c r="DM103">
        <v>6.6666666666666723E-3</v>
      </c>
      <c r="DN103">
        <v>6.6666666666666723E-3</v>
      </c>
      <c r="DO103">
        <v>6.6666666666666723E-3</v>
      </c>
    </row>
    <row r="104" spans="61:119">
      <c r="BI104" t="str">
        <f t="shared" si="55"/>
        <v>42886FI</v>
      </c>
      <c r="BJ104" s="426">
        <v>42886</v>
      </c>
      <c r="BM104" t="s">
        <v>1355</v>
      </c>
      <c r="BN104" s="438">
        <v>1</v>
      </c>
      <c r="BO104" s="438">
        <v>1</v>
      </c>
      <c r="BR104">
        <v>2.3000000000000003E-2</v>
      </c>
      <c r="BS104">
        <v>8.0500000000000016E-2</v>
      </c>
      <c r="BT104">
        <v>8.0500000000000016E-2</v>
      </c>
      <c r="BU104">
        <v>2.2999999999999993E-2</v>
      </c>
      <c r="BV104">
        <v>2.2999999999999993E-2</v>
      </c>
      <c r="BW104">
        <v>2.3000000000000007E-2</v>
      </c>
      <c r="BX104">
        <v>2.3000000000000007E-2</v>
      </c>
      <c r="BY104">
        <v>7.6666666666666671E-3</v>
      </c>
      <c r="BZ104">
        <v>7.6666666666666671E-3</v>
      </c>
      <c r="CA104">
        <v>7.6666666666666671E-3</v>
      </c>
      <c r="CB104">
        <v>7.6666666666666671E-3</v>
      </c>
      <c r="CC104">
        <v>7.6666666666666671E-3</v>
      </c>
      <c r="CD104">
        <v>7.6666666666666671E-3</v>
      </c>
      <c r="CE104">
        <v>7.6666666666666671E-3</v>
      </c>
      <c r="CF104">
        <v>7.6666666666666671E-3</v>
      </c>
      <c r="CG104">
        <v>7.6666666666666671E-3</v>
      </c>
      <c r="CI104">
        <v>2.0000000000000004E-2</v>
      </c>
      <c r="CJ104">
        <v>7.0000000000000007E-2</v>
      </c>
      <c r="CK104">
        <v>7.0000000000000007E-2</v>
      </c>
      <c r="CL104">
        <v>1.999999999999999E-2</v>
      </c>
      <c r="CM104">
        <v>1.999999999999999E-2</v>
      </c>
      <c r="CN104">
        <v>1.999999999999999E-2</v>
      </c>
      <c r="CO104">
        <v>1.999999999999999E-2</v>
      </c>
      <c r="CP104">
        <v>6.6666666666666723E-3</v>
      </c>
      <c r="CQ104">
        <v>6.6666666666666723E-3</v>
      </c>
      <c r="CR104">
        <v>6.6666666666666723E-3</v>
      </c>
      <c r="CS104">
        <v>6.6666666666666723E-3</v>
      </c>
      <c r="CT104">
        <v>6.6666666666666723E-3</v>
      </c>
      <c r="CU104">
        <v>6.6666666666666723E-3</v>
      </c>
      <c r="CV104">
        <v>6.6666666666666723E-3</v>
      </c>
      <c r="CW104">
        <v>6.6666666666666723E-3</v>
      </c>
      <c r="CX104">
        <v>6.6666666666666723E-3</v>
      </c>
      <c r="CZ104">
        <v>1.4999999999999999E-2</v>
      </c>
      <c r="DA104">
        <v>5.2499999999999998E-2</v>
      </c>
      <c r="DB104">
        <v>5.2499999999999998E-2</v>
      </c>
      <c r="DC104">
        <v>1.4999999999999999E-2</v>
      </c>
      <c r="DD104">
        <v>1.4999999999999999E-2</v>
      </c>
      <c r="DE104">
        <v>1.4999999999999999E-2</v>
      </c>
      <c r="DF104">
        <v>1.4999999999999999E-2</v>
      </c>
      <c r="DG104">
        <v>4.9999999999999984E-3</v>
      </c>
      <c r="DH104">
        <v>4.9999999999999984E-3</v>
      </c>
      <c r="DI104">
        <v>4.9999999999999984E-3</v>
      </c>
      <c r="DJ104">
        <v>4.9999999999999984E-3</v>
      </c>
      <c r="DK104">
        <v>4.9999999999999984E-3</v>
      </c>
      <c r="DL104">
        <v>4.9999999999999984E-3</v>
      </c>
      <c r="DM104">
        <v>4.9999999999999984E-3</v>
      </c>
      <c r="DN104">
        <v>4.9999999999999984E-3</v>
      </c>
      <c r="DO104">
        <v>4.9999999999999984E-3</v>
      </c>
    </row>
    <row r="105" spans="61:119">
      <c r="BI105" t="str">
        <f t="shared" si="55"/>
        <v>42886CORP</v>
      </c>
      <c r="BJ105" s="426">
        <v>42886</v>
      </c>
      <c r="BM105" t="s">
        <v>1356</v>
      </c>
      <c r="BN105" s="438">
        <v>1</v>
      </c>
      <c r="BO105" s="438">
        <v>0.63152662245427749</v>
      </c>
      <c r="BR105">
        <v>1.5369467550914451E-2</v>
      </c>
      <c r="BS105">
        <v>6.389756238746902E-2</v>
      </c>
      <c r="BT105">
        <v>6.389756238746902E-2</v>
      </c>
      <c r="BU105">
        <v>3.0526106489817101E-2</v>
      </c>
      <c r="BV105">
        <v>3.0526106489817101E-2</v>
      </c>
      <c r="BW105">
        <v>2.0421680530548686E-2</v>
      </c>
      <c r="BX105">
        <v>2.0421680530548686E-2</v>
      </c>
      <c r="BY105">
        <v>6.8072268435162191E-3</v>
      </c>
      <c r="BZ105">
        <v>6.8072268435162191E-3</v>
      </c>
      <c r="CA105">
        <v>6.8072268435162191E-3</v>
      </c>
      <c r="CB105">
        <v>6.8072268435162191E-3</v>
      </c>
      <c r="CC105">
        <v>6.8072268435162191E-3</v>
      </c>
      <c r="CD105">
        <v>6.8072268435162191E-3</v>
      </c>
      <c r="CE105">
        <v>6.8072268435162191E-3</v>
      </c>
      <c r="CF105">
        <v>6.8072268435162191E-3</v>
      </c>
      <c r="CG105">
        <v>6.8072268435162191E-3</v>
      </c>
      <c r="CI105">
        <v>1.3264047418277282E-2</v>
      </c>
      <c r="CJ105">
        <v>5.5265538678330381E-2</v>
      </c>
      <c r="CK105">
        <v>5.5265538678330381E-2</v>
      </c>
      <c r="CL105">
        <v>2.6526106489817111E-2</v>
      </c>
      <c r="CM105">
        <v>2.6526106489817111E-2</v>
      </c>
      <c r="CN105">
        <v>1.768473377545722E-2</v>
      </c>
      <c r="CO105">
        <v>1.768473377545722E-2</v>
      </c>
      <c r="CP105">
        <v>5.8949112584857416E-3</v>
      </c>
      <c r="CQ105">
        <v>5.8949112584857416E-3</v>
      </c>
      <c r="CR105">
        <v>5.8949112584857416E-3</v>
      </c>
      <c r="CS105">
        <v>5.8949112584857416E-3</v>
      </c>
      <c r="CT105">
        <v>5.8949112584857416E-3</v>
      </c>
      <c r="CU105">
        <v>5.8949112584857416E-3</v>
      </c>
      <c r="CV105">
        <v>5.8949112584857416E-3</v>
      </c>
      <c r="CW105">
        <v>5.8949112584857416E-3</v>
      </c>
      <c r="CX105">
        <v>5.8949112584857416E-3</v>
      </c>
      <c r="CZ105">
        <v>8.6847337754572262E-3</v>
      </c>
      <c r="DA105">
        <v>3.6711834438643065E-2</v>
      </c>
      <c r="DB105">
        <v>3.6711834438643065E-2</v>
      </c>
      <c r="DC105">
        <v>1.8157633112271379E-2</v>
      </c>
      <c r="DD105">
        <v>1.8157633112271379E-2</v>
      </c>
      <c r="DE105">
        <v>1.1842366887728606E-2</v>
      </c>
      <c r="DF105">
        <v>1.1842366887728606E-2</v>
      </c>
      <c r="DG105">
        <v>3.9474556292428747E-3</v>
      </c>
      <c r="DH105">
        <v>3.9474556292428747E-3</v>
      </c>
      <c r="DI105">
        <v>3.9474556292428747E-3</v>
      </c>
      <c r="DJ105">
        <v>3.9474556292428747E-3</v>
      </c>
      <c r="DK105">
        <v>3.9474556292428747E-3</v>
      </c>
      <c r="DL105">
        <v>3.9474556292428747E-3</v>
      </c>
      <c r="DM105">
        <v>3.9474556292428747E-3</v>
      </c>
      <c r="DN105">
        <v>3.9474556292428747E-3</v>
      </c>
      <c r="DO105">
        <v>3.9474556292428747E-3</v>
      </c>
    </row>
    <row r="106" spans="61:119">
      <c r="BI106" t="str">
        <f t="shared" si="55"/>
        <v>42886ESCROW</v>
      </c>
      <c r="BJ106" s="426">
        <v>42886</v>
      </c>
      <c r="BM106" t="s">
        <v>1339</v>
      </c>
      <c r="BN106" s="438">
        <v>1</v>
      </c>
      <c r="BO106" s="438">
        <v>1</v>
      </c>
      <c r="BR106">
        <v>3.2000000000000001E-2</v>
      </c>
      <c r="BS106">
        <v>2.4E-2</v>
      </c>
      <c r="BT106">
        <v>2.4E-2</v>
      </c>
      <c r="BU106">
        <v>0.04</v>
      </c>
      <c r="BV106">
        <v>0.04</v>
      </c>
      <c r="BW106">
        <v>3.9999999999999994E-2</v>
      </c>
      <c r="BX106">
        <v>3.9999999999999994E-2</v>
      </c>
      <c r="BY106">
        <v>8.8888888888888906E-3</v>
      </c>
      <c r="BZ106">
        <v>8.8888888888888906E-3</v>
      </c>
      <c r="CA106">
        <v>8.8888888888888906E-3</v>
      </c>
      <c r="CB106">
        <v>8.8888888888888906E-3</v>
      </c>
      <c r="CC106">
        <v>8.8888888888888906E-3</v>
      </c>
      <c r="CD106">
        <v>8.8888888888888906E-3</v>
      </c>
      <c r="CE106">
        <v>8.8888888888888906E-3</v>
      </c>
      <c r="CF106">
        <v>8.8888888888888906E-3</v>
      </c>
      <c r="CG106">
        <v>8.8888888888888906E-3</v>
      </c>
      <c r="CI106">
        <v>2.8000000000000004E-2</v>
      </c>
      <c r="CJ106">
        <v>2.1000000000000001E-2</v>
      </c>
      <c r="CK106">
        <v>2.1000000000000001E-2</v>
      </c>
      <c r="CL106">
        <v>3.5000000000000003E-2</v>
      </c>
      <c r="CM106">
        <v>3.5000000000000003E-2</v>
      </c>
      <c r="CN106">
        <v>3.5000000000000003E-2</v>
      </c>
      <c r="CO106">
        <v>3.5000000000000003E-2</v>
      </c>
      <c r="CP106">
        <v>7.7777777777777784E-3</v>
      </c>
      <c r="CQ106">
        <v>7.7777777777777784E-3</v>
      </c>
      <c r="CR106">
        <v>7.7777777777777784E-3</v>
      </c>
      <c r="CS106">
        <v>7.7777777777777784E-3</v>
      </c>
      <c r="CT106">
        <v>7.7777777777777784E-3</v>
      </c>
      <c r="CU106">
        <v>7.7777777777777784E-3</v>
      </c>
      <c r="CV106">
        <v>7.7777777777777784E-3</v>
      </c>
      <c r="CW106">
        <v>7.7777777777777784E-3</v>
      </c>
      <c r="CX106">
        <v>7.7777777777777784E-3</v>
      </c>
      <c r="CZ106">
        <v>2.0000000000000004E-2</v>
      </c>
      <c r="DA106">
        <v>1.4999999999999999E-2</v>
      </c>
      <c r="DB106">
        <v>1.4999999999999999E-2</v>
      </c>
      <c r="DC106">
        <v>2.5000000000000001E-2</v>
      </c>
      <c r="DD106">
        <v>2.5000000000000001E-2</v>
      </c>
      <c r="DE106">
        <v>2.5000000000000008E-2</v>
      </c>
      <c r="DF106">
        <v>2.5000000000000008E-2</v>
      </c>
      <c r="DG106">
        <v>5.555555555555554E-3</v>
      </c>
      <c r="DH106">
        <v>5.555555555555554E-3</v>
      </c>
      <c r="DI106">
        <v>5.555555555555554E-3</v>
      </c>
      <c r="DJ106">
        <v>5.555555555555554E-3</v>
      </c>
      <c r="DK106">
        <v>5.555555555555554E-3</v>
      </c>
      <c r="DL106">
        <v>5.555555555555554E-3</v>
      </c>
      <c r="DM106">
        <v>5.555555555555554E-3</v>
      </c>
      <c r="DN106">
        <v>5.555555555555554E-3</v>
      </c>
      <c r="DO106">
        <v>5.555555555555554E-3</v>
      </c>
    </row>
    <row r="107" spans="61:119">
      <c r="BI107" t="str">
        <f t="shared" si="55"/>
        <v>42886IB</v>
      </c>
      <c r="BJ107" s="426">
        <v>42886</v>
      </c>
      <c r="BM107" t="s">
        <v>1354</v>
      </c>
      <c r="BN107" s="438">
        <v>1</v>
      </c>
      <c r="BO107" s="438">
        <v>1</v>
      </c>
      <c r="BR107">
        <v>1.2E-2</v>
      </c>
      <c r="BS107">
        <v>4.2000000000000003E-2</v>
      </c>
      <c r="BT107">
        <v>4.2000000000000003E-2</v>
      </c>
      <c r="BU107">
        <v>1.1999999999999997E-2</v>
      </c>
      <c r="BV107">
        <v>1.1999999999999997E-2</v>
      </c>
      <c r="BW107">
        <v>1.1999999999999997E-2</v>
      </c>
      <c r="BX107">
        <v>1.1999999999999997E-2</v>
      </c>
      <c r="BY107">
        <v>4.0000000000000001E-3</v>
      </c>
      <c r="BZ107">
        <v>4.0000000000000001E-3</v>
      </c>
      <c r="CA107">
        <v>4.0000000000000001E-3</v>
      </c>
      <c r="CB107">
        <v>4.0000000000000001E-3</v>
      </c>
      <c r="CC107">
        <v>4.0000000000000001E-3</v>
      </c>
      <c r="CD107">
        <v>4.0000000000000001E-3</v>
      </c>
      <c r="CE107">
        <v>4.0000000000000001E-3</v>
      </c>
      <c r="CF107">
        <v>4.0000000000000001E-3</v>
      </c>
      <c r="CG107">
        <v>4.0000000000000001E-3</v>
      </c>
      <c r="CI107">
        <v>3.0000000000000001E-3</v>
      </c>
      <c r="CJ107">
        <v>1.0500000000000001E-2</v>
      </c>
      <c r="CK107">
        <v>1.0500000000000001E-2</v>
      </c>
      <c r="CL107">
        <v>2.9999999999999992E-3</v>
      </c>
      <c r="CM107">
        <v>2.9999999999999992E-3</v>
      </c>
      <c r="CN107">
        <v>2.9999999999999992E-3</v>
      </c>
      <c r="CO107">
        <v>2.9999999999999992E-3</v>
      </c>
      <c r="CP107">
        <v>1E-3</v>
      </c>
      <c r="CQ107">
        <v>1E-3</v>
      </c>
      <c r="CR107">
        <v>1E-3</v>
      </c>
      <c r="CS107">
        <v>1E-3</v>
      </c>
      <c r="CT107">
        <v>1E-3</v>
      </c>
      <c r="CU107">
        <v>1E-3</v>
      </c>
      <c r="CV107">
        <v>1E-3</v>
      </c>
      <c r="CW107">
        <v>1E-3</v>
      </c>
      <c r="CX107">
        <v>1E-3</v>
      </c>
      <c r="CZ107">
        <v>1.0000000000000002E-2</v>
      </c>
      <c r="DA107">
        <v>3.5000000000000003E-2</v>
      </c>
      <c r="DB107">
        <v>3.5000000000000003E-2</v>
      </c>
      <c r="DC107">
        <v>9.999999999999995E-3</v>
      </c>
      <c r="DD107">
        <v>9.999999999999995E-3</v>
      </c>
      <c r="DE107">
        <v>9.999999999999995E-3</v>
      </c>
      <c r="DF107">
        <v>9.999999999999995E-3</v>
      </c>
      <c r="DG107">
        <v>3.3333333333333361E-3</v>
      </c>
      <c r="DH107">
        <v>3.3333333333333361E-3</v>
      </c>
      <c r="DI107">
        <v>3.3333333333333361E-3</v>
      </c>
      <c r="DJ107">
        <v>3.3333333333333361E-3</v>
      </c>
      <c r="DK107">
        <v>3.3333333333333361E-3</v>
      </c>
      <c r="DL107">
        <v>3.3333333333333361E-3</v>
      </c>
      <c r="DM107">
        <v>3.3333333333333361E-3</v>
      </c>
      <c r="DN107">
        <v>3.3333333333333361E-3</v>
      </c>
      <c r="DO107">
        <v>3.3333333333333361E-3</v>
      </c>
    </row>
    <row r="108" spans="61:119">
      <c r="BI108" t="str">
        <f t="shared" si="55"/>
        <v>42886AFF</v>
      </c>
      <c r="BJ108" s="426">
        <v>42886</v>
      </c>
      <c r="BM108" t="s">
        <v>1353</v>
      </c>
      <c r="BN108" s="438">
        <v>1</v>
      </c>
      <c r="BO108" s="438">
        <v>1</v>
      </c>
      <c r="BR108">
        <v>1.4999999999999999E-2</v>
      </c>
      <c r="BS108">
        <v>5.2499999999999998E-2</v>
      </c>
      <c r="BT108">
        <v>5.2499999999999998E-2</v>
      </c>
      <c r="BU108">
        <v>1.4999999999999999E-2</v>
      </c>
      <c r="BV108">
        <v>1.4999999999999999E-2</v>
      </c>
      <c r="BW108">
        <v>1.4999999999999999E-2</v>
      </c>
      <c r="BX108">
        <v>1.4999999999999999E-2</v>
      </c>
      <c r="BY108">
        <v>4.9999999999999984E-3</v>
      </c>
      <c r="BZ108">
        <v>4.9999999999999984E-3</v>
      </c>
      <c r="CA108">
        <v>4.9999999999999984E-3</v>
      </c>
      <c r="CB108">
        <v>4.9999999999999984E-3</v>
      </c>
      <c r="CC108">
        <v>4.9999999999999984E-3</v>
      </c>
      <c r="CD108">
        <v>4.9999999999999984E-3</v>
      </c>
      <c r="CE108">
        <v>4.9999999999999984E-3</v>
      </c>
      <c r="CF108">
        <v>4.9999999999999984E-3</v>
      </c>
      <c r="CG108">
        <v>4.9999999999999984E-3</v>
      </c>
      <c r="CI108">
        <v>1.2E-2</v>
      </c>
      <c r="CJ108">
        <v>4.2000000000000003E-2</v>
      </c>
      <c r="CK108">
        <v>4.2000000000000003E-2</v>
      </c>
      <c r="CL108">
        <v>1.1999999999999997E-2</v>
      </c>
      <c r="CM108">
        <v>1.1999999999999997E-2</v>
      </c>
      <c r="CN108">
        <v>1.1999999999999997E-2</v>
      </c>
      <c r="CO108">
        <v>1.1999999999999997E-2</v>
      </c>
      <c r="CP108">
        <v>4.0000000000000001E-3</v>
      </c>
      <c r="CQ108">
        <v>4.0000000000000001E-3</v>
      </c>
      <c r="CR108">
        <v>4.0000000000000001E-3</v>
      </c>
      <c r="CS108">
        <v>4.0000000000000001E-3</v>
      </c>
      <c r="CT108">
        <v>4.0000000000000001E-3</v>
      </c>
      <c r="CU108">
        <v>4.0000000000000001E-3</v>
      </c>
      <c r="CV108">
        <v>4.0000000000000001E-3</v>
      </c>
      <c r="CW108">
        <v>4.0000000000000001E-3</v>
      </c>
      <c r="CX108">
        <v>4.0000000000000001E-3</v>
      </c>
      <c r="CZ108">
        <v>5.000000000000001E-3</v>
      </c>
      <c r="DA108">
        <v>1.7500000000000002E-2</v>
      </c>
      <c r="DB108">
        <v>1.7500000000000002E-2</v>
      </c>
      <c r="DC108">
        <v>4.9999999999999975E-3</v>
      </c>
      <c r="DD108">
        <v>4.9999999999999975E-3</v>
      </c>
      <c r="DE108">
        <v>4.9999999999999975E-3</v>
      </c>
      <c r="DF108">
        <v>4.9999999999999975E-3</v>
      </c>
      <c r="DG108">
        <v>1.6666666666666681E-3</v>
      </c>
      <c r="DH108">
        <v>1.6666666666666681E-3</v>
      </c>
      <c r="DI108">
        <v>1.6666666666666681E-3</v>
      </c>
      <c r="DJ108">
        <v>1.6666666666666681E-3</v>
      </c>
      <c r="DK108">
        <v>1.6666666666666681E-3</v>
      </c>
      <c r="DL108">
        <v>1.6666666666666681E-3</v>
      </c>
      <c r="DM108">
        <v>1.6666666666666681E-3</v>
      </c>
      <c r="DN108">
        <v>1.6666666666666681E-3</v>
      </c>
      <c r="DO108">
        <v>1.6666666666666681E-3</v>
      </c>
    </row>
    <row r="109" spans="61:119">
      <c r="BI109" t="str">
        <f t="shared" si="55"/>
        <v>429161030623FI</v>
      </c>
      <c r="BJ109" s="426">
        <v>42916</v>
      </c>
      <c r="BK109" t="s">
        <v>1360</v>
      </c>
      <c r="BL109" t="s">
        <v>1369</v>
      </c>
      <c r="BM109" t="s">
        <v>1355</v>
      </c>
      <c r="BN109" s="438">
        <v>2</v>
      </c>
      <c r="BO109" s="438">
        <v>1</v>
      </c>
      <c r="BR109">
        <v>4.6000000000000006E-2</v>
      </c>
      <c r="BS109">
        <v>0.16100000000000003</v>
      </c>
      <c r="BT109">
        <v>0.16100000000000003</v>
      </c>
      <c r="BU109">
        <v>4.5999999999999985E-2</v>
      </c>
      <c r="BV109">
        <v>4.5999999999999985E-2</v>
      </c>
      <c r="BW109">
        <v>4.6000000000000013E-2</v>
      </c>
      <c r="BX109">
        <v>4.6000000000000013E-2</v>
      </c>
      <c r="BY109">
        <v>1.5333333333333334E-2</v>
      </c>
      <c r="BZ109">
        <v>1.5333333333333334E-2</v>
      </c>
      <c r="CA109">
        <v>1.5333333333333334E-2</v>
      </c>
      <c r="CB109">
        <v>1.5333333333333334E-2</v>
      </c>
      <c r="CC109">
        <v>1.5333333333333334E-2</v>
      </c>
      <c r="CD109">
        <v>1.5333333333333334E-2</v>
      </c>
      <c r="CE109">
        <v>1.5333333333333334E-2</v>
      </c>
      <c r="CF109">
        <v>1.5333333333333334E-2</v>
      </c>
      <c r="CG109">
        <v>1.5333333333333334E-2</v>
      </c>
      <c r="CI109">
        <v>4.0000000000000008E-2</v>
      </c>
      <c r="CJ109">
        <v>0.14000000000000001</v>
      </c>
      <c r="CK109">
        <v>0.14000000000000001</v>
      </c>
      <c r="CL109">
        <v>3.999999999999998E-2</v>
      </c>
      <c r="CM109">
        <v>3.999999999999998E-2</v>
      </c>
      <c r="CN109">
        <v>3.999999999999998E-2</v>
      </c>
      <c r="CO109">
        <v>3.999999999999998E-2</v>
      </c>
      <c r="CP109">
        <v>1.3333333333333345E-2</v>
      </c>
      <c r="CQ109">
        <v>1.3333333333333345E-2</v>
      </c>
      <c r="CR109">
        <v>1.3333333333333345E-2</v>
      </c>
      <c r="CS109">
        <v>1.3333333333333345E-2</v>
      </c>
      <c r="CT109">
        <v>1.3333333333333345E-2</v>
      </c>
      <c r="CU109">
        <v>1.3333333333333345E-2</v>
      </c>
      <c r="CV109">
        <v>1.3333333333333345E-2</v>
      </c>
      <c r="CW109">
        <v>1.3333333333333345E-2</v>
      </c>
      <c r="CX109">
        <v>1.3333333333333345E-2</v>
      </c>
      <c r="CZ109">
        <v>0.03</v>
      </c>
      <c r="DA109">
        <v>0.105</v>
      </c>
      <c r="DB109">
        <v>0.105</v>
      </c>
      <c r="DC109">
        <v>0.03</v>
      </c>
      <c r="DD109">
        <v>0.03</v>
      </c>
      <c r="DE109">
        <v>0.03</v>
      </c>
      <c r="DF109">
        <v>0.03</v>
      </c>
      <c r="DG109">
        <v>9.9999999999999967E-3</v>
      </c>
      <c r="DH109">
        <v>9.9999999999999967E-3</v>
      </c>
      <c r="DI109">
        <v>9.9999999999999967E-3</v>
      </c>
      <c r="DJ109">
        <v>9.9999999999999967E-3</v>
      </c>
      <c r="DK109">
        <v>9.9999999999999967E-3</v>
      </c>
      <c r="DL109">
        <v>9.9999999999999967E-3</v>
      </c>
      <c r="DM109">
        <v>9.9999999999999967E-3</v>
      </c>
      <c r="DN109">
        <v>9.9999999999999967E-3</v>
      </c>
      <c r="DO109">
        <v>9.9999999999999967E-3</v>
      </c>
    </row>
    <row r="110" spans="61:119">
      <c r="BI110" t="str">
        <f t="shared" si="55"/>
        <v>429161000798AFF</v>
      </c>
      <c r="BJ110" s="426">
        <v>42916</v>
      </c>
      <c r="BK110" t="s">
        <v>1366</v>
      </c>
      <c r="BL110" t="s">
        <v>1374</v>
      </c>
      <c r="BM110" t="s">
        <v>1353</v>
      </c>
      <c r="BN110" s="438">
        <v>1.6418860572767566</v>
      </c>
      <c r="BO110" s="438">
        <v>1</v>
      </c>
      <c r="BR110">
        <v>2.4628290859151348E-2</v>
      </c>
      <c r="BS110">
        <v>8.6199018007029712E-2</v>
      </c>
      <c r="BT110">
        <v>8.6199018007029712E-2</v>
      </c>
      <c r="BU110">
        <v>2.4628290859151344E-2</v>
      </c>
      <c r="BV110">
        <v>2.4628290859151344E-2</v>
      </c>
      <c r="BW110">
        <v>2.4628290859151331E-2</v>
      </c>
      <c r="BX110">
        <v>2.4628290859151331E-2</v>
      </c>
      <c r="BY110">
        <v>8.2094302863837867E-3</v>
      </c>
      <c r="BZ110">
        <v>8.2094302863837867E-3</v>
      </c>
      <c r="CA110">
        <v>8.2094302863837867E-3</v>
      </c>
      <c r="CB110">
        <v>8.2094302863837867E-3</v>
      </c>
      <c r="CC110">
        <v>8.2094302863837867E-3</v>
      </c>
      <c r="CD110">
        <v>8.2094302863837867E-3</v>
      </c>
      <c r="CE110">
        <v>8.2094302863837867E-3</v>
      </c>
      <c r="CF110">
        <v>8.2094302863837867E-3</v>
      </c>
      <c r="CG110">
        <v>8.2094302863837867E-3</v>
      </c>
      <c r="CI110">
        <v>1.970263268732108E-2</v>
      </c>
      <c r="CJ110">
        <v>6.8959214405623775E-2</v>
      </c>
      <c r="CK110">
        <v>6.8959214405623775E-2</v>
      </c>
      <c r="CL110">
        <v>1.9702632687321073E-2</v>
      </c>
      <c r="CM110">
        <v>1.9702632687321073E-2</v>
      </c>
      <c r="CN110">
        <v>1.9702632687321073E-2</v>
      </c>
      <c r="CO110">
        <v>1.9702632687321073E-2</v>
      </c>
      <c r="CP110">
        <v>6.5675442291070292E-3</v>
      </c>
      <c r="CQ110">
        <v>6.5675442291070292E-3</v>
      </c>
      <c r="CR110">
        <v>6.5675442291070292E-3</v>
      </c>
      <c r="CS110">
        <v>6.5675442291070292E-3</v>
      </c>
      <c r="CT110">
        <v>6.5675442291070292E-3</v>
      </c>
      <c r="CU110">
        <v>6.5675442291070292E-3</v>
      </c>
      <c r="CV110">
        <v>6.5675442291070292E-3</v>
      </c>
      <c r="CW110">
        <v>6.5675442291070292E-3</v>
      </c>
      <c r="CX110">
        <v>6.5675442291070292E-3</v>
      </c>
      <c r="CZ110">
        <v>8.2094302863837849E-3</v>
      </c>
      <c r="DA110">
        <v>2.8733006002343249E-2</v>
      </c>
      <c r="DB110">
        <v>2.8733006002343249E-2</v>
      </c>
      <c r="DC110">
        <v>8.2094302863837815E-3</v>
      </c>
      <c r="DD110">
        <v>8.2094302863837815E-3</v>
      </c>
      <c r="DE110">
        <v>8.2094302863837815E-3</v>
      </c>
      <c r="DF110">
        <v>8.2094302863837815E-3</v>
      </c>
      <c r="DG110">
        <v>2.7364767621279287E-3</v>
      </c>
      <c r="DH110">
        <v>2.7364767621279287E-3</v>
      </c>
      <c r="DI110">
        <v>2.7364767621279287E-3</v>
      </c>
      <c r="DJ110">
        <v>2.7364767621279287E-3</v>
      </c>
      <c r="DK110">
        <v>2.7364767621279287E-3</v>
      </c>
      <c r="DL110">
        <v>2.7364767621279287E-3</v>
      </c>
      <c r="DM110">
        <v>2.7364767621279287E-3</v>
      </c>
      <c r="DN110">
        <v>2.7364767621279287E-3</v>
      </c>
      <c r="DO110">
        <v>2.7364767621279287E-3</v>
      </c>
    </row>
    <row r="111" spans="61:119">
      <c r="BI111" t="str">
        <f t="shared" si="55"/>
        <v>429161126198FI</v>
      </c>
      <c r="BJ111" s="426">
        <v>42916</v>
      </c>
      <c r="BK111" t="s">
        <v>1359</v>
      </c>
      <c r="BL111" t="s">
        <v>1367</v>
      </c>
      <c r="BM111" t="s">
        <v>1355</v>
      </c>
      <c r="BN111" s="438">
        <v>1.6070071379077588</v>
      </c>
      <c r="BO111" s="438">
        <v>1</v>
      </c>
      <c r="BR111">
        <v>3.6961164171878454E-2</v>
      </c>
      <c r="BS111">
        <v>0.12936407460157459</v>
      </c>
      <c r="BT111">
        <v>0.12936407460157459</v>
      </c>
      <c r="BU111">
        <v>3.6961164171878447E-2</v>
      </c>
      <c r="BV111">
        <v>3.6961164171878447E-2</v>
      </c>
      <c r="BW111">
        <v>3.6961164171878447E-2</v>
      </c>
      <c r="BX111">
        <v>3.6961164171878447E-2</v>
      </c>
      <c r="BY111">
        <v>1.2320388057292821E-2</v>
      </c>
      <c r="BZ111">
        <v>1.2320388057292821E-2</v>
      </c>
      <c r="CA111">
        <v>1.2320388057292821E-2</v>
      </c>
      <c r="CB111">
        <v>1.2320388057292821E-2</v>
      </c>
      <c r="CC111">
        <v>1.2320388057292821E-2</v>
      </c>
      <c r="CD111">
        <v>1.2320388057292821E-2</v>
      </c>
      <c r="CE111">
        <v>1.2320388057292821E-2</v>
      </c>
      <c r="CF111">
        <v>1.2320388057292821E-2</v>
      </c>
      <c r="CG111">
        <v>1.2320388057292821E-2</v>
      </c>
      <c r="CI111">
        <v>3.2140142758155181E-2</v>
      </c>
      <c r="CJ111">
        <v>0.11249049965354313</v>
      </c>
      <c r="CK111">
        <v>0.11249049965354313</v>
      </c>
      <c r="CL111">
        <v>3.214014275815516E-2</v>
      </c>
      <c r="CM111">
        <v>3.214014275815516E-2</v>
      </c>
      <c r="CN111">
        <v>3.214014275815516E-2</v>
      </c>
      <c r="CO111">
        <v>3.214014275815516E-2</v>
      </c>
      <c r="CP111">
        <v>1.0713380919385063E-2</v>
      </c>
      <c r="CQ111">
        <v>1.0713380919385063E-2</v>
      </c>
      <c r="CR111">
        <v>1.0713380919385063E-2</v>
      </c>
      <c r="CS111">
        <v>1.0713380919385063E-2</v>
      </c>
      <c r="CT111">
        <v>1.0713380919385063E-2</v>
      </c>
      <c r="CU111">
        <v>1.0713380919385063E-2</v>
      </c>
      <c r="CV111">
        <v>1.0713380919385063E-2</v>
      </c>
      <c r="CW111">
        <v>1.0713380919385063E-2</v>
      </c>
      <c r="CX111">
        <v>1.0713380919385063E-2</v>
      </c>
      <c r="CZ111">
        <v>2.4105107068616384E-2</v>
      </c>
      <c r="DA111">
        <v>8.4367874740157348E-2</v>
      </c>
      <c r="DB111">
        <v>8.4367874740157348E-2</v>
      </c>
      <c r="DC111">
        <v>2.4105107068616377E-2</v>
      </c>
      <c r="DD111">
        <v>2.4105107068616377E-2</v>
      </c>
      <c r="DE111">
        <v>2.4105107068616377E-2</v>
      </c>
      <c r="DF111">
        <v>2.4105107068616377E-2</v>
      </c>
      <c r="DG111">
        <v>8.0350356895387953E-3</v>
      </c>
      <c r="DH111">
        <v>8.0350356895387953E-3</v>
      </c>
      <c r="DI111">
        <v>8.0350356895387953E-3</v>
      </c>
      <c r="DJ111">
        <v>8.0350356895387953E-3</v>
      </c>
      <c r="DK111">
        <v>8.0350356895387953E-3</v>
      </c>
      <c r="DL111">
        <v>8.0350356895387953E-3</v>
      </c>
      <c r="DM111">
        <v>8.0350356895387953E-3</v>
      </c>
      <c r="DN111">
        <v>8.0350356895387953E-3</v>
      </c>
      <c r="DO111">
        <v>8.0350356895387953E-3</v>
      </c>
    </row>
    <row r="112" spans="61:119">
      <c r="BI112" t="str">
        <f t="shared" si="55"/>
        <v>429161000790IB</v>
      </c>
      <c r="BJ112" s="426">
        <v>42916</v>
      </c>
      <c r="BK112" t="s">
        <v>1358</v>
      </c>
      <c r="BL112" t="s">
        <v>1371</v>
      </c>
      <c r="BM112" t="s">
        <v>1354</v>
      </c>
      <c r="BN112" s="438">
        <v>1.6042834519645857</v>
      </c>
      <c r="BO112" s="438">
        <v>1</v>
      </c>
      <c r="BR112">
        <v>1.9251401423575027E-2</v>
      </c>
      <c r="BS112">
        <v>6.737990498251259E-2</v>
      </c>
      <c r="BT112">
        <v>6.737990498251259E-2</v>
      </c>
      <c r="BU112">
        <v>1.9251401423575024E-2</v>
      </c>
      <c r="BV112">
        <v>1.9251401423575024E-2</v>
      </c>
      <c r="BW112">
        <v>1.9251401423575024E-2</v>
      </c>
      <c r="BX112">
        <v>1.9251401423575024E-2</v>
      </c>
      <c r="BY112">
        <v>6.4171338078583455E-3</v>
      </c>
      <c r="BZ112">
        <v>6.4171338078583455E-3</v>
      </c>
      <c r="CA112">
        <v>6.4171338078583455E-3</v>
      </c>
      <c r="CB112">
        <v>6.4171338078583455E-3</v>
      </c>
      <c r="CC112">
        <v>6.4171338078583455E-3</v>
      </c>
      <c r="CD112">
        <v>6.4171338078583455E-3</v>
      </c>
      <c r="CE112">
        <v>6.4171338078583455E-3</v>
      </c>
      <c r="CF112">
        <v>6.4171338078583455E-3</v>
      </c>
      <c r="CG112">
        <v>6.4171338078583455E-3</v>
      </c>
      <c r="CI112">
        <v>4.8128503558937568E-3</v>
      </c>
      <c r="CJ112">
        <v>1.6844976245628147E-2</v>
      </c>
      <c r="CK112">
        <v>1.6844976245628147E-2</v>
      </c>
      <c r="CL112">
        <v>4.8128503558937559E-3</v>
      </c>
      <c r="CM112">
        <v>4.8128503558937559E-3</v>
      </c>
      <c r="CN112">
        <v>4.8128503558937559E-3</v>
      </c>
      <c r="CO112">
        <v>4.8128503558937559E-3</v>
      </c>
      <c r="CP112">
        <v>1.6042834519645864E-3</v>
      </c>
      <c r="CQ112">
        <v>1.6042834519645864E-3</v>
      </c>
      <c r="CR112">
        <v>1.6042834519645864E-3</v>
      </c>
      <c r="CS112">
        <v>1.6042834519645864E-3</v>
      </c>
      <c r="CT112">
        <v>1.6042834519645864E-3</v>
      </c>
      <c r="CU112">
        <v>1.6042834519645864E-3</v>
      </c>
      <c r="CV112">
        <v>1.6042834519645864E-3</v>
      </c>
      <c r="CW112">
        <v>1.6042834519645864E-3</v>
      </c>
      <c r="CX112">
        <v>1.6042834519645864E-3</v>
      </c>
      <c r="CZ112">
        <v>1.6042834519645856E-2</v>
      </c>
      <c r="DA112">
        <v>5.6149920818760496E-2</v>
      </c>
      <c r="DB112">
        <v>5.6149920818760496E-2</v>
      </c>
      <c r="DC112">
        <v>1.604283451964586E-2</v>
      </c>
      <c r="DD112">
        <v>1.604283451964586E-2</v>
      </c>
      <c r="DE112">
        <v>1.604283451964586E-2</v>
      </c>
      <c r="DF112">
        <v>1.604283451964586E-2</v>
      </c>
      <c r="DG112">
        <v>5.3476115065486203E-3</v>
      </c>
      <c r="DH112">
        <v>5.3476115065486203E-3</v>
      </c>
      <c r="DI112">
        <v>5.3476115065486203E-3</v>
      </c>
      <c r="DJ112">
        <v>5.3476115065486203E-3</v>
      </c>
      <c r="DK112">
        <v>5.3476115065486203E-3</v>
      </c>
      <c r="DL112">
        <v>5.3476115065486203E-3</v>
      </c>
      <c r="DM112">
        <v>5.3476115065486203E-3</v>
      </c>
      <c r="DN112">
        <v>5.3476115065486203E-3</v>
      </c>
      <c r="DO112">
        <v>5.3476115065486203E-3</v>
      </c>
    </row>
    <row r="113" spans="61:119">
      <c r="BI113" t="str">
        <f t="shared" si="55"/>
        <v>429161000526FI</v>
      </c>
      <c r="BJ113" s="426">
        <v>42916</v>
      </c>
      <c r="BK113" t="s">
        <v>1363</v>
      </c>
      <c r="BL113" t="s">
        <v>1368</v>
      </c>
      <c r="BM113" t="s">
        <v>1355</v>
      </c>
      <c r="BN113" s="438">
        <v>1.2893193175672608</v>
      </c>
      <c r="BO113" s="438">
        <v>1</v>
      </c>
      <c r="BR113">
        <v>2.9654344304046999E-2</v>
      </c>
      <c r="BS113">
        <v>0.10379020506416449</v>
      </c>
      <c r="BT113">
        <v>0.10379020506416449</v>
      </c>
      <c r="BU113">
        <v>2.9654344304046995E-2</v>
      </c>
      <c r="BV113">
        <v>2.9654344304046995E-2</v>
      </c>
      <c r="BW113">
        <v>2.9654344304046981E-2</v>
      </c>
      <c r="BX113">
        <v>2.9654344304046981E-2</v>
      </c>
      <c r="BY113">
        <v>9.8847814346823357E-3</v>
      </c>
      <c r="BZ113">
        <v>9.8847814346823357E-3</v>
      </c>
      <c r="CA113">
        <v>9.8847814346823357E-3</v>
      </c>
      <c r="CB113">
        <v>9.8847814346823357E-3</v>
      </c>
      <c r="CC113">
        <v>9.8847814346823357E-3</v>
      </c>
      <c r="CD113">
        <v>9.8847814346823357E-3</v>
      </c>
      <c r="CE113">
        <v>9.8847814346823357E-3</v>
      </c>
      <c r="CF113">
        <v>9.8847814346823357E-3</v>
      </c>
      <c r="CG113">
        <v>9.8847814346823357E-3</v>
      </c>
      <c r="CI113">
        <v>2.5786386351345222E-2</v>
      </c>
      <c r="CJ113">
        <v>9.0252352229708274E-2</v>
      </c>
      <c r="CK113">
        <v>9.0252352229708274E-2</v>
      </c>
      <c r="CL113">
        <v>2.5786386351345211E-2</v>
      </c>
      <c r="CM113">
        <v>2.5786386351345211E-2</v>
      </c>
      <c r="CN113">
        <v>2.5786386351345225E-2</v>
      </c>
      <c r="CO113">
        <v>2.5786386351345225E-2</v>
      </c>
      <c r="CP113">
        <v>8.5954621171150693E-3</v>
      </c>
      <c r="CQ113">
        <v>8.5954621171150693E-3</v>
      </c>
      <c r="CR113">
        <v>8.5954621171150693E-3</v>
      </c>
      <c r="CS113">
        <v>8.5954621171150693E-3</v>
      </c>
      <c r="CT113">
        <v>8.5954621171150693E-3</v>
      </c>
      <c r="CU113">
        <v>8.5954621171150693E-3</v>
      </c>
      <c r="CV113">
        <v>8.5954621171150693E-3</v>
      </c>
      <c r="CW113">
        <v>8.5954621171150693E-3</v>
      </c>
      <c r="CX113">
        <v>8.5954621171150693E-3</v>
      </c>
      <c r="CZ113">
        <v>1.9339789763508912E-2</v>
      </c>
      <c r="DA113">
        <v>6.7689264172281188E-2</v>
      </c>
      <c r="DB113">
        <v>6.7689264172281188E-2</v>
      </c>
      <c r="DC113">
        <v>1.9339789763508905E-2</v>
      </c>
      <c r="DD113">
        <v>1.9339789763508905E-2</v>
      </c>
      <c r="DE113">
        <v>1.9339789763508905E-2</v>
      </c>
      <c r="DF113">
        <v>1.9339789763508905E-2</v>
      </c>
      <c r="DG113">
        <v>6.4465965878363063E-3</v>
      </c>
      <c r="DH113">
        <v>6.4465965878363063E-3</v>
      </c>
      <c r="DI113">
        <v>6.4465965878363063E-3</v>
      </c>
      <c r="DJ113">
        <v>6.4465965878363063E-3</v>
      </c>
      <c r="DK113">
        <v>6.4465965878363063E-3</v>
      </c>
      <c r="DL113">
        <v>6.4465965878363063E-3</v>
      </c>
      <c r="DM113">
        <v>6.4465965878363063E-3</v>
      </c>
      <c r="DN113">
        <v>6.4465965878363063E-3</v>
      </c>
      <c r="DO113">
        <v>6.4465965878363063E-3</v>
      </c>
    </row>
    <row r="114" spans="61:119">
      <c r="BI114" t="str">
        <f t="shared" si="55"/>
        <v>429161151227FI</v>
      </c>
      <c r="BJ114" s="426">
        <v>42916</v>
      </c>
      <c r="BK114" t="s">
        <v>1362</v>
      </c>
      <c r="BL114" t="s">
        <v>1372</v>
      </c>
      <c r="BM114" t="s">
        <v>1355</v>
      </c>
      <c r="BN114" s="438">
        <v>1.179386774254686</v>
      </c>
      <c r="BO114" s="438">
        <v>0.39111093899297633</v>
      </c>
      <c r="BR114">
        <v>9.3910656423081343E-2</v>
      </c>
      <c r="BS114">
        <v>0.20373516471681805</v>
      </c>
      <c r="BT114">
        <v>0.20373516471681805</v>
      </c>
      <c r="BU114">
        <v>1.0609234580436888E-2</v>
      </c>
      <c r="BV114">
        <v>1.0609234580436888E-2</v>
      </c>
      <c r="BW114">
        <v>5.2259945501759109E-2</v>
      </c>
      <c r="BX114">
        <v>5.2259945501759109E-2</v>
      </c>
      <c r="BY114">
        <v>1.5656470410274195E-2</v>
      </c>
      <c r="BZ114">
        <v>1.5656470410274195E-2</v>
      </c>
      <c r="CA114">
        <v>1.5656470410274195E-2</v>
      </c>
      <c r="CB114">
        <v>1.5656470410274195E-2</v>
      </c>
      <c r="CC114">
        <v>1.5656470410274195E-2</v>
      </c>
      <c r="CD114">
        <v>1.5656470410274195E-2</v>
      </c>
      <c r="CE114">
        <v>1.5656470410274195E-2</v>
      </c>
      <c r="CF114">
        <v>1.5656470410274195E-2</v>
      </c>
      <c r="CG114">
        <v>1.5656470410274195E-2</v>
      </c>
      <c r="CI114">
        <v>8.8218148983697176E-2</v>
      </c>
      <c r="CJ114">
        <v>0.19027443002883379</v>
      </c>
      <c r="CK114">
        <v>0.19027443002883379</v>
      </c>
      <c r="CL114">
        <v>9.2254213742929414E-3</v>
      </c>
      <c r="CM114">
        <v>9.2254213742929414E-3</v>
      </c>
      <c r="CN114">
        <v>4.8721785178995086E-2</v>
      </c>
      <c r="CO114">
        <v>4.8721785178995086E-2</v>
      </c>
      <c r="CP114">
        <v>1.6240595059665019E-2</v>
      </c>
      <c r="CQ114">
        <v>1.6240595059665019E-2</v>
      </c>
      <c r="CR114">
        <v>1.6240595059665019E-2</v>
      </c>
      <c r="CS114">
        <v>1.6240595059665019E-2</v>
      </c>
      <c r="CT114">
        <v>1.6240595059665019E-2</v>
      </c>
      <c r="CU114">
        <v>1.6240595059665019E-2</v>
      </c>
      <c r="CV114">
        <v>1.6240595059665019E-2</v>
      </c>
      <c r="CW114">
        <v>1.6240595059665019E-2</v>
      </c>
      <c r="CX114">
        <v>1.6240595059665019E-2</v>
      </c>
      <c r="CZ114">
        <v>4.282485130772163E-2</v>
      </c>
      <c r="DA114">
        <v>9.6028301661522833E-2</v>
      </c>
      <c r="DB114">
        <v>9.6028301661522833E-2</v>
      </c>
      <c r="DC114">
        <v>6.9190660307197199E-3</v>
      </c>
      <c r="DD114">
        <v>6.9190660307197199E-3</v>
      </c>
      <c r="DE114">
        <v>2.4871958669220678E-2</v>
      </c>
      <c r="DF114">
        <v>2.4871958669220678E-2</v>
      </c>
      <c r="DG114">
        <v>8.2906528897402233E-3</v>
      </c>
      <c r="DH114">
        <v>8.2906528897402233E-3</v>
      </c>
      <c r="DI114">
        <v>8.2906528897402233E-3</v>
      </c>
      <c r="DJ114">
        <v>8.2906528897402233E-3</v>
      </c>
      <c r="DK114">
        <v>8.2906528897402233E-3</v>
      </c>
      <c r="DL114">
        <v>8.2906528897402233E-3</v>
      </c>
      <c r="DM114">
        <v>8.2906528897402233E-3</v>
      </c>
      <c r="DN114">
        <v>8.2906528897402233E-3</v>
      </c>
      <c r="DO114">
        <v>8.2906528897402233E-3</v>
      </c>
    </row>
    <row r="115" spans="61:119">
      <c r="BI115" t="str">
        <f t="shared" si="55"/>
        <v>429161000857IB</v>
      </c>
      <c r="BJ115" s="426">
        <v>42916</v>
      </c>
      <c r="BK115" t="s">
        <v>1412</v>
      </c>
      <c r="BL115" t="s">
        <v>1413</v>
      </c>
      <c r="BM115" t="s">
        <v>1354</v>
      </c>
      <c r="BN115" s="438">
        <v>1.0620317620009709</v>
      </c>
      <c r="BO115" s="438">
        <v>1</v>
      </c>
      <c r="BR115">
        <v>1.2744381144011652E-2</v>
      </c>
      <c r="BS115">
        <v>4.4605334004040785E-2</v>
      </c>
      <c r="BT115">
        <v>4.4605334004040785E-2</v>
      </c>
      <c r="BU115">
        <v>1.2744381144011649E-2</v>
      </c>
      <c r="BV115">
        <v>1.2744381144011649E-2</v>
      </c>
      <c r="BW115">
        <v>1.2744381144011649E-2</v>
      </c>
      <c r="BX115">
        <v>1.2744381144011649E-2</v>
      </c>
      <c r="BY115">
        <v>4.2481270480038847E-3</v>
      </c>
      <c r="BZ115">
        <v>4.2481270480038847E-3</v>
      </c>
      <c r="CA115">
        <v>4.2481270480038847E-3</v>
      </c>
      <c r="CB115">
        <v>4.2481270480038847E-3</v>
      </c>
      <c r="CC115">
        <v>4.2481270480038847E-3</v>
      </c>
      <c r="CD115">
        <v>4.2481270480038847E-3</v>
      </c>
      <c r="CE115">
        <v>4.2481270480038847E-3</v>
      </c>
      <c r="CF115">
        <v>4.2481270480038847E-3</v>
      </c>
      <c r="CG115">
        <v>4.2481270480038847E-3</v>
      </c>
      <c r="CI115">
        <v>3.1860952860029131E-3</v>
      </c>
      <c r="CJ115">
        <v>1.1151333501010196E-2</v>
      </c>
      <c r="CK115">
        <v>1.1151333501010196E-2</v>
      </c>
      <c r="CL115">
        <v>3.1860952860029122E-3</v>
      </c>
      <c r="CM115">
        <v>3.1860952860029122E-3</v>
      </c>
      <c r="CN115">
        <v>3.1860952860029122E-3</v>
      </c>
      <c r="CO115">
        <v>3.1860952860029122E-3</v>
      </c>
      <c r="CP115">
        <v>1.0620317620009712E-3</v>
      </c>
      <c r="CQ115">
        <v>1.0620317620009712E-3</v>
      </c>
      <c r="CR115">
        <v>1.0620317620009712E-3</v>
      </c>
      <c r="CS115">
        <v>1.0620317620009712E-3</v>
      </c>
      <c r="CT115">
        <v>1.0620317620009712E-3</v>
      </c>
      <c r="CU115">
        <v>1.0620317620009712E-3</v>
      </c>
      <c r="CV115">
        <v>1.0620317620009712E-3</v>
      </c>
      <c r="CW115">
        <v>1.0620317620009712E-3</v>
      </c>
      <c r="CX115">
        <v>1.0620317620009712E-3</v>
      </c>
      <c r="CZ115">
        <v>1.0620317620009711E-2</v>
      </c>
      <c r="DA115">
        <v>3.7171111670033986E-2</v>
      </c>
      <c r="DB115">
        <v>3.7171111670033986E-2</v>
      </c>
      <c r="DC115">
        <v>1.0620317620009707E-2</v>
      </c>
      <c r="DD115">
        <v>1.0620317620009707E-2</v>
      </c>
      <c r="DE115">
        <v>1.0620317620009707E-2</v>
      </c>
      <c r="DF115">
        <v>1.0620317620009707E-2</v>
      </c>
      <c r="DG115">
        <v>3.5401058733365697E-3</v>
      </c>
      <c r="DH115">
        <v>3.5401058733365697E-3</v>
      </c>
      <c r="DI115">
        <v>3.5401058733365697E-3</v>
      </c>
      <c r="DJ115">
        <v>3.5401058733365697E-3</v>
      </c>
      <c r="DK115">
        <v>3.5401058733365697E-3</v>
      </c>
      <c r="DL115">
        <v>3.5401058733365697E-3</v>
      </c>
      <c r="DM115">
        <v>3.5401058733365697E-3</v>
      </c>
      <c r="DN115">
        <v>3.5401058733365697E-3</v>
      </c>
      <c r="DO115">
        <v>3.5401058733365697E-3</v>
      </c>
    </row>
    <row r="116" spans="61:119">
      <c r="BI116" t="str">
        <f t="shared" si="55"/>
        <v>429161141467FI</v>
      </c>
      <c r="BJ116" s="426">
        <v>42916</v>
      </c>
      <c r="BK116" t="s">
        <v>1375</v>
      </c>
      <c r="BL116" t="s">
        <v>1376</v>
      </c>
      <c r="BM116" t="s">
        <v>1355</v>
      </c>
      <c r="BN116" s="438">
        <v>2</v>
      </c>
      <c r="BO116" s="438">
        <v>1</v>
      </c>
      <c r="BR116">
        <v>4.6000000000000006E-2</v>
      </c>
      <c r="BS116">
        <v>0.16100000000000003</v>
      </c>
      <c r="BT116">
        <v>0.16100000000000003</v>
      </c>
      <c r="BU116">
        <v>4.5999999999999985E-2</v>
      </c>
      <c r="BV116">
        <v>4.5999999999999985E-2</v>
      </c>
      <c r="BW116">
        <v>4.6000000000000013E-2</v>
      </c>
      <c r="BX116">
        <v>4.6000000000000013E-2</v>
      </c>
      <c r="BY116">
        <v>1.5333333333333334E-2</v>
      </c>
      <c r="BZ116">
        <v>1.5333333333333334E-2</v>
      </c>
      <c r="CA116">
        <v>1.5333333333333334E-2</v>
      </c>
      <c r="CB116">
        <v>1.5333333333333334E-2</v>
      </c>
      <c r="CC116">
        <v>1.5333333333333334E-2</v>
      </c>
      <c r="CD116">
        <v>1.5333333333333334E-2</v>
      </c>
      <c r="CE116">
        <v>1.5333333333333334E-2</v>
      </c>
      <c r="CF116">
        <v>1.5333333333333334E-2</v>
      </c>
      <c r="CG116">
        <v>1.5333333333333334E-2</v>
      </c>
      <c r="CI116">
        <v>4.0000000000000008E-2</v>
      </c>
      <c r="CJ116">
        <v>0.14000000000000001</v>
      </c>
      <c r="CK116">
        <v>0.14000000000000001</v>
      </c>
      <c r="CL116">
        <v>3.999999999999998E-2</v>
      </c>
      <c r="CM116">
        <v>3.999999999999998E-2</v>
      </c>
      <c r="CN116">
        <v>3.999999999999998E-2</v>
      </c>
      <c r="CO116">
        <v>3.999999999999998E-2</v>
      </c>
      <c r="CP116">
        <v>1.3333333333333345E-2</v>
      </c>
      <c r="CQ116">
        <v>1.3333333333333345E-2</v>
      </c>
      <c r="CR116">
        <v>1.3333333333333345E-2</v>
      </c>
      <c r="CS116">
        <v>1.3333333333333345E-2</v>
      </c>
      <c r="CT116">
        <v>1.3333333333333345E-2</v>
      </c>
      <c r="CU116">
        <v>1.3333333333333345E-2</v>
      </c>
      <c r="CV116">
        <v>1.3333333333333345E-2</v>
      </c>
      <c r="CW116">
        <v>1.3333333333333345E-2</v>
      </c>
      <c r="CX116">
        <v>1.3333333333333345E-2</v>
      </c>
      <c r="CZ116">
        <v>0.03</v>
      </c>
      <c r="DA116">
        <v>0.105</v>
      </c>
      <c r="DB116">
        <v>0.105</v>
      </c>
      <c r="DC116">
        <v>0.03</v>
      </c>
      <c r="DD116">
        <v>0.03</v>
      </c>
      <c r="DE116">
        <v>0.03</v>
      </c>
      <c r="DF116">
        <v>0.03</v>
      </c>
      <c r="DG116">
        <v>9.9999999999999967E-3</v>
      </c>
      <c r="DH116">
        <v>9.9999999999999967E-3</v>
      </c>
      <c r="DI116">
        <v>9.9999999999999967E-3</v>
      </c>
      <c r="DJ116">
        <v>9.9999999999999967E-3</v>
      </c>
      <c r="DK116">
        <v>9.9999999999999967E-3</v>
      </c>
      <c r="DL116">
        <v>9.9999999999999967E-3</v>
      </c>
      <c r="DM116">
        <v>9.9999999999999967E-3</v>
      </c>
      <c r="DN116">
        <v>9.9999999999999967E-3</v>
      </c>
      <c r="DO116">
        <v>9.9999999999999967E-3</v>
      </c>
    </row>
    <row r="117" spans="61:119">
      <c r="BI117" t="str">
        <f t="shared" si="55"/>
        <v>429161147542CME</v>
      </c>
      <c r="BJ117" s="426">
        <v>42916</v>
      </c>
      <c r="BK117" t="s">
        <v>1361</v>
      </c>
      <c r="BL117" t="s">
        <v>1370</v>
      </c>
      <c r="BM117" t="s">
        <v>1321</v>
      </c>
      <c r="BN117" s="438">
        <v>1</v>
      </c>
      <c r="BO117" s="438">
        <v>1</v>
      </c>
      <c r="BR117">
        <v>8.0000000000000016E-2</v>
      </c>
      <c r="BS117">
        <v>0.16</v>
      </c>
      <c r="BT117">
        <v>0.16</v>
      </c>
      <c r="BU117">
        <v>0</v>
      </c>
      <c r="BV117">
        <v>0</v>
      </c>
      <c r="BW117">
        <v>3.999999999999998E-2</v>
      </c>
      <c r="BX117">
        <v>3.999999999999998E-2</v>
      </c>
      <c r="BY117">
        <v>1.3333333333333345E-2</v>
      </c>
      <c r="BZ117">
        <v>1.3333333333333345E-2</v>
      </c>
      <c r="CA117">
        <v>1.3333333333333345E-2</v>
      </c>
      <c r="CB117">
        <v>1.3333333333333345E-2</v>
      </c>
      <c r="CC117">
        <v>1.3333333333333345E-2</v>
      </c>
      <c r="CD117">
        <v>1.3333333333333345E-2</v>
      </c>
      <c r="CE117">
        <v>1.3333333333333345E-2</v>
      </c>
      <c r="CF117">
        <v>1.3333333333333345E-2</v>
      </c>
      <c r="CG117">
        <v>1.3333333333333345E-2</v>
      </c>
      <c r="CI117">
        <v>6.9999999999999993E-2</v>
      </c>
      <c r="CJ117">
        <v>0.13999999999999999</v>
      </c>
      <c r="CK117">
        <v>0.13999999999999999</v>
      </c>
      <c r="CL117">
        <v>0</v>
      </c>
      <c r="CM117">
        <v>0</v>
      </c>
      <c r="CN117">
        <v>3.5000000000000003E-2</v>
      </c>
      <c r="CO117">
        <v>3.5000000000000003E-2</v>
      </c>
      <c r="CP117">
        <v>1.1666666666666659E-2</v>
      </c>
      <c r="CQ117">
        <v>1.1666666666666659E-2</v>
      </c>
      <c r="CR117">
        <v>1.1666666666666659E-2</v>
      </c>
      <c r="CS117">
        <v>1.1666666666666659E-2</v>
      </c>
      <c r="CT117">
        <v>1.1666666666666659E-2</v>
      </c>
      <c r="CU117">
        <v>1.1666666666666659E-2</v>
      </c>
      <c r="CV117">
        <v>1.1666666666666659E-2</v>
      </c>
      <c r="CW117">
        <v>1.1666666666666659E-2</v>
      </c>
      <c r="CX117">
        <v>1.1666666666666659E-2</v>
      </c>
      <c r="CZ117">
        <v>4.0000000000000008E-2</v>
      </c>
      <c r="DA117">
        <v>0.08</v>
      </c>
      <c r="DB117">
        <v>0.08</v>
      </c>
      <c r="DC117">
        <v>0</v>
      </c>
      <c r="DD117">
        <v>0</v>
      </c>
      <c r="DE117">
        <v>1.999999999999999E-2</v>
      </c>
      <c r="DF117">
        <v>1.999999999999999E-2</v>
      </c>
      <c r="DG117">
        <v>6.6666666666666723E-3</v>
      </c>
      <c r="DH117">
        <v>6.6666666666666723E-3</v>
      </c>
      <c r="DI117">
        <v>6.6666666666666723E-3</v>
      </c>
      <c r="DJ117">
        <v>6.6666666666666723E-3</v>
      </c>
      <c r="DK117">
        <v>6.6666666666666723E-3</v>
      </c>
      <c r="DL117">
        <v>6.6666666666666723E-3</v>
      </c>
      <c r="DM117">
        <v>6.6666666666666723E-3</v>
      </c>
      <c r="DN117">
        <v>6.6666666666666723E-3</v>
      </c>
      <c r="DO117">
        <v>6.6666666666666723E-3</v>
      </c>
    </row>
    <row r="118" spans="61:119">
      <c r="BI118" t="str">
        <f t="shared" si="55"/>
        <v>42916FI</v>
      </c>
      <c r="BJ118" s="426">
        <v>42916</v>
      </c>
      <c r="BM118" t="s">
        <v>1355</v>
      </c>
      <c r="BN118" s="438">
        <v>1</v>
      </c>
      <c r="BO118" s="438">
        <v>1</v>
      </c>
      <c r="BR118">
        <v>2.3000000000000003E-2</v>
      </c>
      <c r="BS118">
        <v>8.0500000000000016E-2</v>
      </c>
      <c r="BT118">
        <v>8.0500000000000016E-2</v>
      </c>
      <c r="BU118">
        <v>2.2999999999999993E-2</v>
      </c>
      <c r="BV118">
        <v>2.2999999999999993E-2</v>
      </c>
      <c r="BW118">
        <v>2.3000000000000007E-2</v>
      </c>
      <c r="BX118">
        <v>2.3000000000000007E-2</v>
      </c>
      <c r="BY118">
        <v>7.6666666666666671E-3</v>
      </c>
      <c r="BZ118">
        <v>7.6666666666666671E-3</v>
      </c>
      <c r="CA118">
        <v>7.6666666666666671E-3</v>
      </c>
      <c r="CB118">
        <v>7.6666666666666671E-3</v>
      </c>
      <c r="CC118">
        <v>7.6666666666666671E-3</v>
      </c>
      <c r="CD118">
        <v>7.6666666666666671E-3</v>
      </c>
      <c r="CE118">
        <v>7.6666666666666671E-3</v>
      </c>
      <c r="CF118">
        <v>7.6666666666666671E-3</v>
      </c>
      <c r="CG118">
        <v>7.6666666666666671E-3</v>
      </c>
      <c r="CI118">
        <v>2.0000000000000004E-2</v>
      </c>
      <c r="CJ118">
        <v>7.0000000000000007E-2</v>
      </c>
      <c r="CK118">
        <v>7.0000000000000007E-2</v>
      </c>
      <c r="CL118">
        <v>1.999999999999999E-2</v>
      </c>
      <c r="CM118">
        <v>1.999999999999999E-2</v>
      </c>
      <c r="CN118">
        <v>1.999999999999999E-2</v>
      </c>
      <c r="CO118">
        <v>1.999999999999999E-2</v>
      </c>
      <c r="CP118">
        <v>6.6666666666666723E-3</v>
      </c>
      <c r="CQ118">
        <v>6.6666666666666723E-3</v>
      </c>
      <c r="CR118">
        <v>6.6666666666666723E-3</v>
      </c>
      <c r="CS118">
        <v>6.6666666666666723E-3</v>
      </c>
      <c r="CT118">
        <v>6.6666666666666723E-3</v>
      </c>
      <c r="CU118">
        <v>6.6666666666666723E-3</v>
      </c>
      <c r="CV118">
        <v>6.6666666666666723E-3</v>
      </c>
      <c r="CW118">
        <v>6.6666666666666723E-3</v>
      </c>
      <c r="CX118">
        <v>6.6666666666666723E-3</v>
      </c>
      <c r="CZ118">
        <v>1.4999999999999999E-2</v>
      </c>
      <c r="DA118">
        <v>5.2499999999999998E-2</v>
      </c>
      <c r="DB118">
        <v>5.2499999999999998E-2</v>
      </c>
      <c r="DC118">
        <v>1.4999999999999999E-2</v>
      </c>
      <c r="DD118">
        <v>1.4999999999999999E-2</v>
      </c>
      <c r="DE118">
        <v>1.4999999999999999E-2</v>
      </c>
      <c r="DF118">
        <v>1.4999999999999999E-2</v>
      </c>
      <c r="DG118">
        <v>4.9999999999999984E-3</v>
      </c>
      <c r="DH118">
        <v>4.9999999999999984E-3</v>
      </c>
      <c r="DI118">
        <v>4.9999999999999984E-3</v>
      </c>
      <c r="DJ118">
        <v>4.9999999999999984E-3</v>
      </c>
      <c r="DK118">
        <v>4.9999999999999984E-3</v>
      </c>
      <c r="DL118">
        <v>4.9999999999999984E-3</v>
      </c>
      <c r="DM118">
        <v>4.9999999999999984E-3</v>
      </c>
      <c r="DN118">
        <v>4.9999999999999984E-3</v>
      </c>
      <c r="DO118">
        <v>4.9999999999999984E-3</v>
      </c>
    </row>
    <row r="119" spans="61:119">
      <c r="BI119" t="str">
        <f t="shared" si="55"/>
        <v>42916CORP</v>
      </c>
      <c r="BJ119" s="426">
        <v>42916</v>
      </c>
      <c r="BM119" t="s">
        <v>1356</v>
      </c>
      <c r="BN119" s="438">
        <v>1</v>
      </c>
      <c r="BO119" s="438">
        <v>0.50577343951335985</v>
      </c>
      <c r="BR119">
        <v>1.7884531209732806E-2</v>
      </c>
      <c r="BS119">
        <v>7.0688234266278585E-2</v>
      </c>
      <c r="BT119">
        <v>7.0688234266278585E-2</v>
      </c>
      <c r="BU119">
        <v>3.002309375805344E-2</v>
      </c>
      <c r="BV119">
        <v>3.002309375805344E-2</v>
      </c>
      <c r="BW119">
        <v>2.1930718725839668E-2</v>
      </c>
      <c r="BX119">
        <v>2.1930718725839668E-2</v>
      </c>
      <c r="BY119">
        <v>7.3102395752798997E-3</v>
      </c>
      <c r="BZ119">
        <v>7.3102395752798997E-3</v>
      </c>
      <c r="CA119">
        <v>7.3102395752798997E-3</v>
      </c>
      <c r="CB119">
        <v>7.3102395752798997E-3</v>
      </c>
      <c r="CC119">
        <v>7.3102395752798997E-3</v>
      </c>
      <c r="CD119">
        <v>7.3102395752798997E-3</v>
      </c>
      <c r="CE119">
        <v>7.3102395752798997E-3</v>
      </c>
      <c r="CF119">
        <v>7.3102395752798997E-3</v>
      </c>
      <c r="CG119">
        <v>7.3102395752798997E-3</v>
      </c>
      <c r="CI119">
        <v>1.5401851528272885E-2</v>
      </c>
      <c r="CJ119">
        <v>6.0987308502142124E-2</v>
      </c>
      <c r="CK119">
        <v>6.0987308502142124E-2</v>
      </c>
      <c r="CL119">
        <v>2.6023093758053437E-2</v>
      </c>
      <c r="CM119">
        <v>2.6023093758053437E-2</v>
      </c>
      <c r="CN119">
        <v>1.8942265604866407E-2</v>
      </c>
      <c r="CO119">
        <v>1.8942265604866407E-2</v>
      </c>
      <c r="CP119">
        <v>6.3140885349554643E-3</v>
      </c>
      <c r="CQ119">
        <v>6.3140885349554643E-3</v>
      </c>
      <c r="CR119">
        <v>6.3140885349554643E-3</v>
      </c>
      <c r="CS119">
        <v>6.3140885349554643E-3</v>
      </c>
      <c r="CT119">
        <v>6.3140885349554643E-3</v>
      </c>
      <c r="CU119">
        <v>6.3140885349554643E-3</v>
      </c>
      <c r="CV119">
        <v>6.3140885349554643E-3</v>
      </c>
      <c r="CW119">
        <v>6.3140885349554643E-3</v>
      </c>
      <c r="CX119">
        <v>6.3140885349554643E-3</v>
      </c>
      <c r="CZ119">
        <v>9.9422656048664022E-3</v>
      </c>
      <c r="DA119">
        <v>3.9855664012166003E-2</v>
      </c>
      <c r="DB119">
        <v>3.9855664012166003E-2</v>
      </c>
      <c r="DC119">
        <v>1.7528867197566807E-2</v>
      </c>
      <c r="DD119">
        <v>1.7528867197566807E-2</v>
      </c>
      <c r="DE119">
        <v>1.2471132802433185E-2</v>
      </c>
      <c r="DF119">
        <v>1.2471132802433185E-2</v>
      </c>
      <c r="DG119">
        <v>4.1570442674777365E-3</v>
      </c>
      <c r="DH119">
        <v>4.1570442674777365E-3</v>
      </c>
      <c r="DI119">
        <v>4.1570442674777365E-3</v>
      </c>
      <c r="DJ119">
        <v>4.1570442674777365E-3</v>
      </c>
      <c r="DK119">
        <v>4.1570442674777365E-3</v>
      </c>
      <c r="DL119">
        <v>4.1570442674777365E-3</v>
      </c>
      <c r="DM119">
        <v>4.1570442674777365E-3</v>
      </c>
      <c r="DN119">
        <v>4.1570442674777365E-3</v>
      </c>
      <c r="DO119">
        <v>4.1570442674777365E-3</v>
      </c>
    </row>
    <row r="120" spans="61:119">
      <c r="BI120" t="str">
        <f t="shared" si="55"/>
        <v>42916ESCROW</v>
      </c>
      <c r="BJ120" s="426">
        <v>42916</v>
      </c>
      <c r="BM120" t="s">
        <v>1339</v>
      </c>
      <c r="BN120" s="438">
        <v>1</v>
      </c>
      <c r="BO120" s="438">
        <v>1</v>
      </c>
      <c r="BR120">
        <v>3.2000000000000001E-2</v>
      </c>
      <c r="BS120">
        <v>2.4E-2</v>
      </c>
      <c r="BT120">
        <v>2.4E-2</v>
      </c>
      <c r="BU120">
        <v>0.04</v>
      </c>
      <c r="BV120">
        <v>0.04</v>
      </c>
      <c r="BW120">
        <v>3.9999999999999994E-2</v>
      </c>
      <c r="BX120">
        <v>3.9999999999999994E-2</v>
      </c>
      <c r="BY120">
        <v>8.8888888888888906E-3</v>
      </c>
      <c r="BZ120">
        <v>8.8888888888888906E-3</v>
      </c>
      <c r="CA120">
        <v>8.8888888888888906E-3</v>
      </c>
      <c r="CB120">
        <v>8.8888888888888906E-3</v>
      </c>
      <c r="CC120">
        <v>8.8888888888888906E-3</v>
      </c>
      <c r="CD120">
        <v>8.8888888888888906E-3</v>
      </c>
      <c r="CE120">
        <v>8.8888888888888906E-3</v>
      </c>
      <c r="CF120">
        <v>8.8888888888888906E-3</v>
      </c>
      <c r="CG120">
        <v>8.8888888888888906E-3</v>
      </c>
      <c r="CI120">
        <v>2.8000000000000004E-2</v>
      </c>
      <c r="CJ120">
        <v>2.1000000000000001E-2</v>
      </c>
      <c r="CK120">
        <v>2.1000000000000001E-2</v>
      </c>
      <c r="CL120">
        <v>3.5000000000000003E-2</v>
      </c>
      <c r="CM120">
        <v>3.5000000000000003E-2</v>
      </c>
      <c r="CN120">
        <v>3.5000000000000003E-2</v>
      </c>
      <c r="CO120">
        <v>3.5000000000000003E-2</v>
      </c>
      <c r="CP120">
        <v>7.7777777777777784E-3</v>
      </c>
      <c r="CQ120">
        <v>7.7777777777777784E-3</v>
      </c>
      <c r="CR120">
        <v>7.7777777777777784E-3</v>
      </c>
      <c r="CS120">
        <v>7.7777777777777784E-3</v>
      </c>
      <c r="CT120">
        <v>7.7777777777777784E-3</v>
      </c>
      <c r="CU120">
        <v>7.7777777777777784E-3</v>
      </c>
      <c r="CV120">
        <v>7.7777777777777784E-3</v>
      </c>
      <c r="CW120">
        <v>7.7777777777777784E-3</v>
      </c>
      <c r="CX120">
        <v>7.7777777777777784E-3</v>
      </c>
      <c r="CZ120">
        <v>2.0000000000000004E-2</v>
      </c>
      <c r="DA120">
        <v>1.4999999999999999E-2</v>
      </c>
      <c r="DB120">
        <v>1.4999999999999999E-2</v>
      </c>
      <c r="DC120">
        <v>2.5000000000000001E-2</v>
      </c>
      <c r="DD120">
        <v>2.5000000000000001E-2</v>
      </c>
      <c r="DE120">
        <v>2.5000000000000008E-2</v>
      </c>
      <c r="DF120">
        <v>2.5000000000000008E-2</v>
      </c>
      <c r="DG120">
        <v>5.555555555555554E-3</v>
      </c>
      <c r="DH120">
        <v>5.555555555555554E-3</v>
      </c>
      <c r="DI120">
        <v>5.555555555555554E-3</v>
      </c>
      <c r="DJ120">
        <v>5.555555555555554E-3</v>
      </c>
      <c r="DK120">
        <v>5.555555555555554E-3</v>
      </c>
      <c r="DL120">
        <v>5.555555555555554E-3</v>
      </c>
      <c r="DM120">
        <v>5.555555555555554E-3</v>
      </c>
      <c r="DN120">
        <v>5.555555555555554E-3</v>
      </c>
      <c r="DO120">
        <v>5.555555555555554E-3</v>
      </c>
    </row>
    <row r="121" spans="61:119">
      <c r="BI121" t="str">
        <f t="shared" si="55"/>
        <v>42916IB</v>
      </c>
      <c r="BJ121" s="426">
        <v>42916</v>
      </c>
      <c r="BM121" t="s">
        <v>1354</v>
      </c>
      <c r="BN121" s="438">
        <v>1</v>
      </c>
      <c r="BO121" s="438">
        <v>1</v>
      </c>
      <c r="BR121">
        <v>1.2E-2</v>
      </c>
      <c r="BS121">
        <v>4.2000000000000003E-2</v>
      </c>
      <c r="BT121">
        <v>4.2000000000000003E-2</v>
      </c>
      <c r="BU121">
        <v>1.1999999999999997E-2</v>
      </c>
      <c r="BV121">
        <v>1.1999999999999997E-2</v>
      </c>
      <c r="BW121">
        <v>1.1999999999999997E-2</v>
      </c>
      <c r="BX121">
        <v>1.1999999999999997E-2</v>
      </c>
      <c r="BY121">
        <v>4.0000000000000001E-3</v>
      </c>
      <c r="BZ121">
        <v>4.0000000000000001E-3</v>
      </c>
      <c r="CA121">
        <v>4.0000000000000001E-3</v>
      </c>
      <c r="CB121">
        <v>4.0000000000000001E-3</v>
      </c>
      <c r="CC121">
        <v>4.0000000000000001E-3</v>
      </c>
      <c r="CD121">
        <v>4.0000000000000001E-3</v>
      </c>
      <c r="CE121">
        <v>4.0000000000000001E-3</v>
      </c>
      <c r="CF121">
        <v>4.0000000000000001E-3</v>
      </c>
      <c r="CG121">
        <v>4.0000000000000001E-3</v>
      </c>
      <c r="CI121">
        <v>3.0000000000000001E-3</v>
      </c>
      <c r="CJ121">
        <v>1.0500000000000001E-2</v>
      </c>
      <c r="CK121">
        <v>1.0500000000000001E-2</v>
      </c>
      <c r="CL121">
        <v>2.9999999999999992E-3</v>
      </c>
      <c r="CM121">
        <v>2.9999999999999992E-3</v>
      </c>
      <c r="CN121">
        <v>2.9999999999999992E-3</v>
      </c>
      <c r="CO121">
        <v>2.9999999999999992E-3</v>
      </c>
      <c r="CP121">
        <v>1E-3</v>
      </c>
      <c r="CQ121">
        <v>1E-3</v>
      </c>
      <c r="CR121">
        <v>1E-3</v>
      </c>
      <c r="CS121">
        <v>1E-3</v>
      </c>
      <c r="CT121">
        <v>1E-3</v>
      </c>
      <c r="CU121">
        <v>1E-3</v>
      </c>
      <c r="CV121">
        <v>1E-3</v>
      </c>
      <c r="CW121">
        <v>1E-3</v>
      </c>
      <c r="CX121">
        <v>1E-3</v>
      </c>
      <c r="CZ121">
        <v>1.0000000000000002E-2</v>
      </c>
      <c r="DA121">
        <v>3.5000000000000003E-2</v>
      </c>
      <c r="DB121">
        <v>3.5000000000000003E-2</v>
      </c>
      <c r="DC121">
        <v>9.999999999999995E-3</v>
      </c>
      <c r="DD121">
        <v>9.999999999999995E-3</v>
      </c>
      <c r="DE121">
        <v>9.999999999999995E-3</v>
      </c>
      <c r="DF121">
        <v>9.999999999999995E-3</v>
      </c>
      <c r="DG121">
        <v>3.3333333333333361E-3</v>
      </c>
      <c r="DH121">
        <v>3.3333333333333361E-3</v>
      </c>
      <c r="DI121">
        <v>3.3333333333333361E-3</v>
      </c>
      <c r="DJ121">
        <v>3.3333333333333361E-3</v>
      </c>
      <c r="DK121">
        <v>3.3333333333333361E-3</v>
      </c>
      <c r="DL121">
        <v>3.3333333333333361E-3</v>
      </c>
      <c r="DM121">
        <v>3.3333333333333361E-3</v>
      </c>
      <c r="DN121">
        <v>3.3333333333333361E-3</v>
      </c>
      <c r="DO121">
        <v>3.3333333333333361E-3</v>
      </c>
    </row>
    <row r="122" spans="61:119">
      <c r="BI122" t="str">
        <f t="shared" si="55"/>
        <v>42916AFF</v>
      </c>
      <c r="BJ122" s="426">
        <v>42916</v>
      </c>
      <c r="BM122" t="s">
        <v>1353</v>
      </c>
      <c r="BN122" s="438">
        <v>1</v>
      </c>
      <c r="BO122" s="438">
        <v>1</v>
      </c>
      <c r="BR122">
        <v>1.4999999999999999E-2</v>
      </c>
      <c r="BS122">
        <v>5.2499999999999998E-2</v>
      </c>
      <c r="BT122">
        <v>5.2499999999999998E-2</v>
      </c>
      <c r="BU122">
        <v>1.4999999999999999E-2</v>
      </c>
      <c r="BV122">
        <v>1.4999999999999999E-2</v>
      </c>
      <c r="BW122">
        <v>1.4999999999999999E-2</v>
      </c>
      <c r="BX122">
        <v>1.4999999999999999E-2</v>
      </c>
      <c r="BY122">
        <v>4.9999999999999984E-3</v>
      </c>
      <c r="BZ122">
        <v>4.9999999999999984E-3</v>
      </c>
      <c r="CA122">
        <v>4.9999999999999984E-3</v>
      </c>
      <c r="CB122">
        <v>4.9999999999999984E-3</v>
      </c>
      <c r="CC122">
        <v>4.9999999999999984E-3</v>
      </c>
      <c r="CD122">
        <v>4.9999999999999984E-3</v>
      </c>
      <c r="CE122">
        <v>4.9999999999999984E-3</v>
      </c>
      <c r="CF122">
        <v>4.9999999999999984E-3</v>
      </c>
      <c r="CG122">
        <v>4.9999999999999984E-3</v>
      </c>
      <c r="CI122">
        <v>1.2E-2</v>
      </c>
      <c r="CJ122">
        <v>4.2000000000000003E-2</v>
      </c>
      <c r="CK122">
        <v>4.2000000000000003E-2</v>
      </c>
      <c r="CL122">
        <v>1.1999999999999997E-2</v>
      </c>
      <c r="CM122">
        <v>1.1999999999999997E-2</v>
      </c>
      <c r="CN122">
        <v>1.1999999999999997E-2</v>
      </c>
      <c r="CO122">
        <v>1.1999999999999997E-2</v>
      </c>
      <c r="CP122">
        <v>4.0000000000000001E-3</v>
      </c>
      <c r="CQ122">
        <v>4.0000000000000001E-3</v>
      </c>
      <c r="CR122">
        <v>4.0000000000000001E-3</v>
      </c>
      <c r="CS122">
        <v>4.0000000000000001E-3</v>
      </c>
      <c r="CT122">
        <v>4.0000000000000001E-3</v>
      </c>
      <c r="CU122">
        <v>4.0000000000000001E-3</v>
      </c>
      <c r="CV122">
        <v>4.0000000000000001E-3</v>
      </c>
      <c r="CW122">
        <v>4.0000000000000001E-3</v>
      </c>
      <c r="CX122">
        <v>4.0000000000000001E-3</v>
      </c>
      <c r="CZ122">
        <v>5.000000000000001E-3</v>
      </c>
      <c r="DA122">
        <v>1.7500000000000002E-2</v>
      </c>
      <c r="DB122">
        <v>1.7500000000000002E-2</v>
      </c>
      <c r="DC122">
        <v>4.9999999999999975E-3</v>
      </c>
      <c r="DD122">
        <v>4.9999999999999975E-3</v>
      </c>
      <c r="DE122">
        <v>4.9999999999999975E-3</v>
      </c>
      <c r="DF122">
        <v>4.9999999999999975E-3</v>
      </c>
      <c r="DG122">
        <v>1.6666666666666681E-3</v>
      </c>
      <c r="DH122">
        <v>1.6666666666666681E-3</v>
      </c>
      <c r="DI122">
        <v>1.6666666666666681E-3</v>
      </c>
      <c r="DJ122">
        <v>1.6666666666666681E-3</v>
      </c>
      <c r="DK122">
        <v>1.6666666666666681E-3</v>
      </c>
      <c r="DL122">
        <v>1.6666666666666681E-3</v>
      </c>
      <c r="DM122">
        <v>1.6666666666666681E-3</v>
      </c>
      <c r="DN122">
        <v>1.6666666666666681E-3</v>
      </c>
      <c r="DO122">
        <v>1.6666666666666681E-3</v>
      </c>
    </row>
    <row r="123" spans="61:119">
      <c r="BI123" t="str">
        <f t="shared" si="55"/>
        <v>429471030623FI</v>
      </c>
      <c r="BJ123" s="426">
        <v>42947</v>
      </c>
      <c r="BK123" t="s">
        <v>1360</v>
      </c>
      <c r="BL123" t="s">
        <v>1369</v>
      </c>
      <c r="BM123" t="s">
        <v>1355</v>
      </c>
      <c r="BN123" s="438">
        <v>2</v>
      </c>
      <c r="BO123" s="438">
        <v>1</v>
      </c>
      <c r="BR123">
        <v>4.6000000000000006E-2</v>
      </c>
      <c r="BS123">
        <v>0.16100000000000003</v>
      </c>
      <c r="BT123">
        <v>0.16100000000000003</v>
      </c>
      <c r="BU123">
        <v>4.5999999999999985E-2</v>
      </c>
      <c r="BV123">
        <v>4.5999999999999985E-2</v>
      </c>
      <c r="BW123">
        <v>4.6000000000000013E-2</v>
      </c>
      <c r="BX123">
        <v>4.6000000000000013E-2</v>
      </c>
      <c r="BY123">
        <v>1.5333333333333334E-2</v>
      </c>
      <c r="BZ123">
        <v>1.5333333333333334E-2</v>
      </c>
      <c r="CA123">
        <v>1.5333333333333334E-2</v>
      </c>
      <c r="CB123">
        <v>1.5333333333333334E-2</v>
      </c>
      <c r="CC123">
        <v>1.5333333333333334E-2</v>
      </c>
      <c r="CD123">
        <v>1.5333333333333334E-2</v>
      </c>
      <c r="CE123">
        <v>1.5333333333333334E-2</v>
      </c>
      <c r="CF123">
        <v>1.5333333333333334E-2</v>
      </c>
      <c r="CG123">
        <v>1.5333333333333334E-2</v>
      </c>
      <c r="CI123">
        <v>4.0000000000000008E-2</v>
      </c>
      <c r="CJ123">
        <v>0.14000000000000001</v>
      </c>
      <c r="CK123">
        <v>0.14000000000000001</v>
      </c>
      <c r="CL123">
        <v>3.999999999999998E-2</v>
      </c>
      <c r="CM123">
        <v>3.999999999999998E-2</v>
      </c>
      <c r="CN123">
        <v>3.999999999999998E-2</v>
      </c>
      <c r="CO123">
        <v>3.999999999999998E-2</v>
      </c>
      <c r="CP123">
        <v>1.3333333333333345E-2</v>
      </c>
      <c r="CQ123">
        <v>1.3333333333333345E-2</v>
      </c>
      <c r="CR123">
        <v>1.3333333333333345E-2</v>
      </c>
      <c r="CS123">
        <v>1.3333333333333345E-2</v>
      </c>
      <c r="CT123">
        <v>1.3333333333333345E-2</v>
      </c>
      <c r="CU123">
        <v>1.3333333333333345E-2</v>
      </c>
      <c r="CV123">
        <v>1.3333333333333345E-2</v>
      </c>
      <c r="CW123">
        <v>1.3333333333333345E-2</v>
      </c>
      <c r="CX123">
        <v>1.3333333333333345E-2</v>
      </c>
      <c r="CZ123">
        <v>0.03</v>
      </c>
      <c r="DA123">
        <v>0.105</v>
      </c>
      <c r="DB123">
        <v>0.105</v>
      </c>
      <c r="DC123">
        <v>0.03</v>
      </c>
      <c r="DD123">
        <v>0.03</v>
      </c>
      <c r="DE123">
        <v>0.03</v>
      </c>
      <c r="DF123">
        <v>0.03</v>
      </c>
      <c r="DG123">
        <v>9.9999999999999967E-3</v>
      </c>
      <c r="DH123">
        <v>9.9999999999999967E-3</v>
      </c>
      <c r="DI123">
        <v>9.9999999999999967E-3</v>
      </c>
      <c r="DJ123">
        <v>9.9999999999999967E-3</v>
      </c>
      <c r="DK123">
        <v>9.9999999999999967E-3</v>
      </c>
      <c r="DL123">
        <v>9.9999999999999967E-3</v>
      </c>
      <c r="DM123">
        <v>9.9999999999999967E-3</v>
      </c>
      <c r="DN123">
        <v>9.9999999999999967E-3</v>
      </c>
      <c r="DO123">
        <v>9.9999999999999967E-3</v>
      </c>
    </row>
    <row r="124" spans="61:119">
      <c r="BI124" t="str">
        <f t="shared" si="55"/>
        <v>429471126198FI</v>
      </c>
      <c r="BJ124" s="426">
        <v>42947</v>
      </c>
      <c r="BK124" t="s">
        <v>1359</v>
      </c>
      <c r="BL124" t="s">
        <v>1367</v>
      </c>
      <c r="BM124" t="s">
        <v>1355</v>
      </c>
      <c r="BN124" s="438">
        <v>2</v>
      </c>
      <c r="BO124" s="438">
        <v>1</v>
      </c>
      <c r="BR124">
        <v>4.6000000000000006E-2</v>
      </c>
      <c r="BS124">
        <v>0.16100000000000003</v>
      </c>
      <c r="BT124">
        <v>0.16100000000000003</v>
      </c>
      <c r="BU124">
        <v>4.5999999999999985E-2</v>
      </c>
      <c r="BV124">
        <v>4.5999999999999985E-2</v>
      </c>
      <c r="BW124">
        <v>4.6000000000000013E-2</v>
      </c>
      <c r="BX124">
        <v>4.6000000000000013E-2</v>
      </c>
      <c r="BY124">
        <v>1.5333333333333334E-2</v>
      </c>
      <c r="BZ124">
        <v>1.5333333333333334E-2</v>
      </c>
      <c r="CA124">
        <v>1.5333333333333334E-2</v>
      </c>
      <c r="CB124">
        <v>1.5333333333333334E-2</v>
      </c>
      <c r="CC124">
        <v>1.5333333333333334E-2</v>
      </c>
      <c r="CD124">
        <v>1.5333333333333334E-2</v>
      </c>
      <c r="CE124">
        <v>1.5333333333333334E-2</v>
      </c>
      <c r="CF124">
        <v>1.5333333333333334E-2</v>
      </c>
      <c r="CG124">
        <v>1.5333333333333334E-2</v>
      </c>
      <c r="CI124">
        <v>4.0000000000000008E-2</v>
      </c>
      <c r="CJ124">
        <v>0.14000000000000001</v>
      </c>
      <c r="CK124">
        <v>0.14000000000000001</v>
      </c>
      <c r="CL124">
        <v>3.999999999999998E-2</v>
      </c>
      <c r="CM124">
        <v>3.999999999999998E-2</v>
      </c>
      <c r="CN124">
        <v>3.999999999999998E-2</v>
      </c>
      <c r="CO124">
        <v>3.999999999999998E-2</v>
      </c>
      <c r="CP124">
        <v>1.3333333333333345E-2</v>
      </c>
      <c r="CQ124">
        <v>1.3333333333333345E-2</v>
      </c>
      <c r="CR124">
        <v>1.3333333333333345E-2</v>
      </c>
      <c r="CS124">
        <v>1.3333333333333345E-2</v>
      </c>
      <c r="CT124">
        <v>1.3333333333333345E-2</v>
      </c>
      <c r="CU124">
        <v>1.3333333333333345E-2</v>
      </c>
      <c r="CV124">
        <v>1.3333333333333345E-2</v>
      </c>
      <c r="CW124">
        <v>1.3333333333333345E-2</v>
      </c>
      <c r="CX124">
        <v>1.3333333333333345E-2</v>
      </c>
      <c r="CZ124">
        <v>0.03</v>
      </c>
      <c r="DA124">
        <v>0.105</v>
      </c>
      <c r="DB124">
        <v>0.105</v>
      </c>
      <c r="DC124">
        <v>0.03</v>
      </c>
      <c r="DD124">
        <v>0.03</v>
      </c>
      <c r="DE124">
        <v>0.03</v>
      </c>
      <c r="DF124">
        <v>0.03</v>
      </c>
      <c r="DG124">
        <v>9.9999999999999967E-3</v>
      </c>
      <c r="DH124">
        <v>9.9999999999999967E-3</v>
      </c>
      <c r="DI124">
        <v>9.9999999999999967E-3</v>
      </c>
      <c r="DJ124">
        <v>9.9999999999999967E-3</v>
      </c>
      <c r="DK124">
        <v>9.9999999999999967E-3</v>
      </c>
      <c r="DL124">
        <v>9.9999999999999967E-3</v>
      </c>
      <c r="DM124">
        <v>9.9999999999999967E-3</v>
      </c>
      <c r="DN124">
        <v>9.9999999999999967E-3</v>
      </c>
      <c r="DO124">
        <v>9.9999999999999967E-3</v>
      </c>
    </row>
    <row r="125" spans="61:119">
      <c r="BI125" t="str">
        <f t="shared" si="55"/>
        <v>429471000526FI</v>
      </c>
      <c r="BJ125" s="426">
        <v>42947</v>
      </c>
      <c r="BK125" t="s">
        <v>1363</v>
      </c>
      <c r="BL125" t="s">
        <v>1368</v>
      </c>
      <c r="BM125" t="s">
        <v>1355</v>
      </c>
      <c r="BN125" s="438">
        <v>1.6808148599357917</v>
      </c>
      <c r="BO125" s="438">
        <v>1</v>
      </c>
      <c r="BR125">
        <v>3.8658741778523215E-2</v>
      </c>
      <c r="BS125">
        <v>0.13530559622483124</v>
      </c>
      <c r="BT125">
        <v>0.13530559622483124</v>
      </c>
      <c r="BU125">
        <v>3.8658741778523187E-2</v>
      </c>
      <c r="BV125">
        <v>3.8658741778523187E-2</v>
      </c>
      <c r="BW125">
        <v>3.8658741778523187E-2</v>
      </c>
      <c r="BX125">
        <v>3.8658741778523187E-2</v>
      </c>
      <c r="BY125">
        <v>1.2886247259507735E-2</v>
      </c>
      <c r="BZ125">
        <v>1.2886247259507735E-2</v>
      </c>
      <c r="CA125">
        <v>1.2886247259507735E-2</v>
      </c>
      <c r="CB125">
        <v>1.2886247259507735E-2</v>
      </c>
      <c r="CC125">
        <v>1.2886247259507735E-2</v>
      </c>
      <c r="CD125">
        <v>1.2886247259507735E-2</v>
      </c>
      <c r="CE125">
        <v>1.2886247259507735E-2</v>
      </c>
      <c r="CF125">
        <v>1.2886247259507735E-2</v>
      </c>
      <c r="CG125">
        <v>1.2886247259507735E-2</v>
      </c>
      <c r="CI125">
        <v>3.3616297198715839E-2</v>
      </c>
      <c r="CJ125">
        <v>0.11765704019550544</v>
      </c>
      <c r="CK125">
        <v>0.11765704019550544</v>
      </c>
      <c r="CL125">
        <v>3.3616297198715839E-2</v>
      </c>
      <c r="CM125">
        <v>3.3616297198715839E-2</v>
      </c>
      <c r="CN125">
        <v>3.3616297198715839E-2</v>
      </c>
      <c r="CO125">
        <v>3.3616297198715839E-2</v>
      </c>
      <c r="CP125">
        <v>1.1205432399571946E-2</v>
      </c>
      <c r="CQ125">
        <v>1.1205432399571946E-2</v>
      </c>
      <c r="CR125">
        <v>1.1205432399571946E-2</v>
      </c>
      <c r="CS125">
        <v>1.1205432399571946E-2</v>
      </c>
      <c r="CT125">
        <v>1.1205432399571946E-2</v>
      </c>
      <c r="CU125">
        <v>1.1205432399571946E-2</v>
      </c>
      <c r="CV125">
        <v>1.1205432399571946E-2</v>
      </c>
      <c r="CW125">
        <v>1.1205432399571946E-2</v>
      </c>
      <c r="CX125">
        <v>1.1205432399571946E-2</v>
      </c>
      <c r="CZ125">
        <v>2.5212222899036876E-2</v>
      </c>
      <c r="DA125">
        <v>8.8242780146629063E-2</v>
      </c>
      <c r="DB125">
        <v>8.8242780146629063E-2</v>
      </c>
      <c r="DC125">
        <v>2.5212222899036865E-2</v>
      </c>
      <c r="DD125">
        <v>2.5212222899036865E-2</v>
      </c>
      <c r="DE125">
        <v>2.5212222899036879E-2</v>
      </c>
      <c r="DF125">
        <v>2.5212222899036879E-2</v>
      </c>
      <c r="DG125">
        <v>8.4040742996789562E-3</v>
      </c>
      <c r="DH125">
        <v>8.4040742996789562E-3</v>
      </c>
      <c r="DI125">
        <v>8.4040742996789562E-3</v>
      </c>
      <c r="DJ125">
        <v>8.4040742996789562E-3</v>
      </c>
      <c r="DK125">
        <v>8.4040742996789562E-3</v>
      </c>
      <c r="DL125">
        <v>8.4040742996789562E-3</v>
      </c>
      <c r="DM125">
        <v>8.4040742996789562E-3</v>
      </c>
      <c r="DN125">
        <v>8.4040742996789562E-3</v>
      </c>
      <c r="DO125">
        <v>8.4040742996789562E-3</v>
      </c>
    </row>
    <row r="126" spans="61:119">
      <c r="BI126" t="str">
        <f t="shared" si="55"/>
        <v>429471000790IB</v>
      </c>
      <c r="BJ126" s="426">
        <v>42947</v>
      </c>
      <c r="BK126" t="s">
        <v>1358</v>
      </c>
      <c r="BL126" t="s">
        <v>1371</v>
      </c>
      <c r="BM126" t="s">
        <v>1354</v>
      </c>
      <c r="BN126" s="438">
        <v>1.5648820170167437</v>
      </c>
      <c r="BO126" s="438">
        <v>1</v>
      </c>
      <c r="BR126">
        <v>1.8778584204200924E-2</v>
      </c>
      <c r="BS126">
        <v>6.5725044714703237E-2</v>
      </c>
      <c r="BT126">
        <v>6.5725044714703237E-2</v>
      </c>
      <c r="BU126">
        <v>1.8778584204200921E-2</v>
      </c>
      <c r="BV126">
        <v>1.8778584204200921E-2</v>
      </c>
      <c r="BW126">
        <v>1.8778584204200921E-2</v>
      </c>
      <c r="BX126">
        <v>1.8778584204200921E-2</v>
      </c>
      <c r="BY126">
        <v>6.2595280680669768E-3</v>
      </c>
      <c r="BZ126">
        <v>6.2595280680669768E-3</v>
      </c>
      <c r="CA126">
        <v>6.2595280680669768E-3</v>
      </c>
      <c r="CB126">
        <v>6.2595280680669768E-3</v>
      </c>
      <c r="CC126">
        <v>6.2595280680669768E-3</v>
      </c>
      <c r="CD126">
        <v>6.2595280680669768E-3</v>
      </c>
      <c r="CE126">
        <v>6.2595280680669768E-3</v>
      </c>
      <c r="CF126">
        <v>6.2595280680669768E-3</v>
      </c>
      <c r="CG126">
        <v>6.2595280680669768E-3</v>
      </c>
      <c r="CI126">
        <v>4.6946460510502311E-3</v>
      </c>
      <c r="CJ126">
        <v>1.6431261178675809E-2</v>
      </c>
      <c r="CK126">
        <v>1.6431261178675809E-2</v>
      </c>
      <c r="CL126">
        <v>4.6946460510502303E-3</v>
      </c>
      <c r="CM126">
        <v>4.6946460510502303E-3</v>
      </c>
      <c r="CN126">
        <v>4.6946460510502303E-3</v>
      </c>
      <c r="CO126">
        <v>4.6946460510502303E-3</v>
      </c>
      <c r="CP126">
        <v>1.5648820170167442E-3</v>
      </c>
      <c r="CQ126">
        <v>1.5648820170167442E-3</v>
      </c>
      <c r="CR126">
        <v>1.5648820170167442E-3</v>
      </c>
      <c r="CS126">
        <v>1.5648820170167442E-3</v>
      </c>
      <c r="CT126">
        <v>1.5648820170167442E-3</v>
      </c>
      <c r="CU126">
        <v>1.5648820170167442E-3</v>
      </c>
      <c r="CV126">
        <v>1.5648820170167442E-3</v>
      </c>
      <c r="CW126">
        <v>1.5648820170167442E-3</v>
      </c>
      <c r="CX126">
        <v>1.5648820170167442E-3</v>
      </c>
      <c r="CZ126">
        <v>1.564882017016744E-2</v>
      </c>
      <c r="DA126">
        <v>5.4770870595586038E-2</v>
      </c>
      <c r="DB126">
        <v>5.4770870595586038E-2</v>
      </c>
      <c r="DC126">
        <v>1.564882017016743E-2</v>
      </c>
      <c r="DD126">
        <v>1.564882017016743E-2</v>
      </c>
      <c r="DE126">
        <v>1.564882017016743E-2</v>
      </c>
      <c r="DF126">
        <v>1.564882017016743E-2</v>
      </c>
      <c r="DG126">
        <v>5.2162733900558145E-3</v>
      </c>
      <c r="DH126">
        <v>5.2162733900558145E-3</v>
      </c>
      <c r="DI126">
        <v>5.2162733900558145E-3</v>
      </c>
      <c r="DJ126">
        <v>5.2162733900558145E-3</v>
      </c>
      <c r="DK126">
        <v>5.2162733900558145E-3</v>
      </c>
      <c r="DL126">
        <v>5.2162733900558145E-3</v>
      </c>
      <c r="DM126">
        <v>5.2162733900558145E-3</v>
      </c>
      <c r="DN126">
        <v>5.2162733900558145E-3</v>
      </c>
      <c r="DO126">
        <v>5.2162733900558145E-3</v>
      </c>
    </row>
    <row r="127" spans="61:119">
      <c r="BI127" t="str">
        <f t="shared" si="55"/>
        <v>429471151227FI</v>
      </c>
      <c r="BJ127" s="426">
        <v>42947</v>
      </c>
      <c r="BK127" t="s">
        <v>1362</v>
      </c>
      <c r="BL127" t="s">
        <v>1372</v>
      </c>
      <c r="BM127" t="s">
        <v>1355</v>
      </c>
      <c r="BN127" s="438">
        <v>1.1246152761399903</v>
      </c>
      <c r="BO127" s="438">
        <v>0.67495660126720014</v>
      </c>
      <c r="BR127">
        <v>5.9862187112193065E-2</v>
      </c>
      <c r="BS127">
        <v>0.14591216863020959</v>
      </c>
      <c r="BT127">
        <v>0.14591216863020959</v>
      </c>
      <c r="BU127">
        <v>1.7458529603882306E-2</v>
      </c>
      <c r="BV127">
        <v>1.7458529603882306E-2</v>
      </c>
      <c r="BW127">
        <v>3.8660358358037661E-2</v>
      </c>
      <c r="BX127">
        <v>3.8660358358037661E-2</v>
      </c>
      <c r="BY127">
        <v>1.2886786119345893E-2</v>
      </c>
      <c r="BZ127">
        <v>1.2886786119345893E-2</v>
      </c>
      <c r="CA127">
        <v>1.2886786119345893E-2</v>
      </c>
      <c r="CB127">
        <v>1.2886786119345893E-2</v>
      </c>
      <c r="CC127">
        <v>1.2886786119345893E-2</v>
      </c>
      <c r="CD127">
        <v>1.2886786119345893E-2</v>
      </c>
      <c r="CE127">
        <v>1.2886786119345893E-2</v>
      </c>
      <c r="CF127">
        <v>1.2886786119345893E-2</v>
      </c>
      <c r="CG127">
        <v>1.2886786119345893E-2</v>
      </c>
      <c r="CI127">
        <v>5.5391694968902998E-2</v>
      </c>
      <c r="CJ127">
        <v>0.13355538507330464</v>
      </c>
      <c r="CK127">
        <v>0.13355538507330464</v>
      </c>
      <c r="CL127">
        <v>1.5181330090332429E-2</v>
      </c>
      <c r="CM127">
        <v>1.5181330090332429E-2</v>
      </c>
      <c r="CN127">
        <v>3.5286512529617703E-2</v>
      </c>
      <c r="CO127">
        <v>3.5286512529617703E-2</v>
      </c>
      <c r="CP127">
        <v>1.1762170843205903E-2</v>
      </c>
      <c r="CQ127">
        <v>1.1762170843205903E-2</v>
      </c>
      <c r="CR127">
        <v>1.1762170843205903E-2</v>
      </c>
      <c r="CS127">
        <v>1.1762170843205903E-2</v>
      </c>
      <c r="CT127">
        <v>1.1762170843205903E-2</v>
      </c>
      <c r="CU127">
        <v>1.1762170843205903E-2</v>
      </c>
      <c r="CV127">
        <v>1.1762170843205903E-2</v>
      </c>
      <c r="CW127">
        <v>1.1762170843205903E-2</v>
      </c>
      <c r="CX127">
        <v>1.1762170843205903E-2</v>
      </c>
      <c r="CZ127">
        <v>2.9663436148917761E-2</v>
      </c>
      <c r="DA127">
        <v>7.6405868649459502E-2</v>
      </c>
      <c r="DB127">
        <v>7.6405868649459502E-2</v>
      </c>
      <c r="DC127">
        <v>1.1385997567749329E-2</v>
      </c>
      <c r="DD127">
        <v>1.1385997567749329E-2</v>
      </c>
      <c r="DE127">
        <v>2.0524716858333514E-2</v>
      </c>
      <c r="DF127">
        <v>2.0524716858333514E-2</v>
      </c>
      <c r="DG127">
        <v>6.8415722861111901E-3</v>
      </c>
      <c r="DH127">
        <v>6.8415722861111901E-3</v>
      </c>
      <c r="DI127">
        <v>6.8415722861111901E-3</v>
      </c>
      <c r="DJ127">
        <v>6.8415722861111901E-3</v>
      </c>
      <c r="DK127">
        <v>6.8415722861111901E-3</v>
      </c>
      <c r="DL127">
        <v>6.8415722861111901E-3</v>
      </c>
      <c r="DM127">
        <v>6.8415722861111901E-3</v>
      </c>
      <c r="DN127">
        <v>6.8415722861111901E-3</v>
      </c>
      <c r="DO127">
        <v>6.8415722861111901E-3</v>
      </c>
    </row>
    <row r="128" spans="61:119">
      <c r="BI128" t="str">
        <f t="shared" si="55"/>
        <v>429471141467FI</v>
      </c>
      <c r="BJ128" s="426">
        <v>42947</v>
      </c>
      <c r="BK128" t="s">
        <v>1375</v>
      </c>
      <c r="BL128" t="s">
        <v>1376</v>
      </c>
      <c r="BM128" t="s">
        <v>1355</v>
      </c>
      <c r="BN128" s="438">
        <v>2</v>
      </c>
      <c r="BO128" s="438">
        <v>1</v>
      </c>
      <c r="BR128">
        <v>4.6000000000000006E-2</v>
      </c>
      <c r="BS128">
        <v>0.16100000000000003</v>
      </c>
      <c r="BT128">
        <v>0.16100000000000003</v>
      </c>
      <c r="BU128">
        <v>4.5999999999999985E-2</v>
      </c>
      <c r="BV128">
        <v>4.5999999999999985E-2</v>
      </c>
      <c r="BW128">
        <v>4.6000000000000013E-2</v>
      </c>
      <c r="BX128">
        <v>4.6000000000000013E-2</v>
      </c>
      <c r="BY128">
        <v>1.5333333333333334E-2</v>
      </c>
      <c r="BZ128">
        <v>1.5333333333333334E-2</v>
      </c>
      <c r="CA128">
        <v>1.5333333333333334E-2</v>
      </c>
      <c r="CB128">
        <v>1.5333333333333334E-2</v>
      </c>
      <c r="CC128">
        <v>1.5333333333333334E-2</v>
      </c>
      <c r="CD128">
        <v>1.5333333333333334E-2</v>
      </c>
      <c r="CE128">
        <v>1.5333333333333334E-2</v>
      </c>
      <c r="CF128">
        <v>1.5333333333333334E-2</v>
      </c>
      <c r="CG128">
        <v>1.5333333333333334E-2</v>
      </c>
      <c r="CI128">
        <v>4.0000000000000008E-2</v>
      </c>
      <c r="CJ128">
        <v>0.14000000000000001</v>
      </c>
      <c r="CK128">
        <v>0.14000000000000001</v>
      </c>
      <c r="CL128">
        <v>3.999999999999998E-2</v>
      </c>
      <c r="CM128">
        <v>3.999999999999998E-2</v>
      </c>
      <c r="CN128">
        <v>3.999999999999998E-2</v>
      </c>
      <c r="CO128">
        <v>3.999999999999998E-2</v>
      </c>
      <c r="CP128">
        <v>1.3333333333333345E-2</v>
      </c>
      <c r="CQ128">
        <v>1.3333333333333345E-2</v>
      </c>
      <c r="CR128">
        <v>1.3333333333333345E-2</v>
      </c>
      <c r="CS128">
        <v>1.3333333333333345E-2</v>
      </c>
      <c r="CT128">
        <v>1.3333333333333345E-2</v>
      </c>
      <c r="CU128">
        <v>1.3333333333333345E-2</v>
      </c>
      <c r="CV128">
        <v>1.3333333333333345E-2</v>
      </c>
      <c r="CW128">
        <v>1.3333333333333345E-2</v>
      </c>
      <c r="CX128">
        <v>1.3333333333333345E-2</v>
      </c>
      <c r="CZ128">
        <v>0.03</v>
      </c>
      <c r="DA128">
        <v>0.105</v>
      </c>
      <c r="DB128">
        <v>0.105</v>
      </c>
      <c r="DC128">
        <v>0.03</v>
      </c>
      <c r="DD128">
        <v>0.03</v>
      </c>
      <c r="DE128">
        <v>0.03</v>
      </c>
      <c r="DF128">
        <v>0.03</v>
      </c>
      <c r="DG128">
        <v>9.9999999999999967E-3</v>
      </c>
      <c r="DH128">
        <v>9.9999999999999967E-3</v>
      </c>
      <c r="DI128">
        <v>9.9999999999999967E-3</v>
      </c>
      <c r="DJ128">
        <v>9.9999999999999967E-3</v>
      </c>
      <c r="DK128">
        <v>9.9999999999999967E-3</v>
      </c>
      <c r="DL128">
        <v>9.9999999999999967E-3</v>
      </c>
      <c r="DM128">
        <v>9.9999999999999967E-3</v>
      </c>
      <c r="DN128">
        <v>9.9999999999999967E-3</v>
      </c>
      <c r="DO128">
        <v>9.9999999999999967E-3</v>
      </c>
    </row>
    <row r="129" spans="61:119">
      <c r="BI129" t="str">
        <f t="shared" si="55"/>
        <v>429471147542CME</v>
      </c>
      <c r="BJ129" s="426">
        <v>42947</v>
      </c>
      <c r="BK129" t="s">
        <v>1361</v>
      </c>
      <c r="BL129" t="s">
        <v>1370</v>
      </c>
      <c r="BM129" t="s">
        <v>1321</v>
      </c>
      <c r="BN129" s="438">
        <v>1</v>
      </c>
      <c r="BO129" s="438">
        <v>1</v>
      </c>
      <c r="BR129">
        <v>8.0000000000000016E-2</v>
      </c>
      <c r="BS129">
        <v>0.16</v>
      </c>
      <c r="BT129">
        <v>0.16</v>
      </c>
      <c r="BU129">
        <v>0</v>
      </c>
      <c r="BV129">
        <v>0</v>
      </c>
      <c r="BW129">
        <v>3.999999999999998E-2</v>
      </c>
      <c r="BX129">
        <v>3.999999999999998E-2</v>
      </c>
      <c r="BY129">
        <v>1.3333333333333345E-2</v>
      </c>
      <c r="BZ129">
        <v>1.3333333333333345E-2</v>
      </c>
      <c r="CA129">
        <v>1.3333333333333345E-2</v>
      </c>
      <c r="CB129">
        <v>1.3333333333333345E-2</v>
      </c>
      <c r="CC129">
        <v>1.3333333333333345E-2</v>
      </c>
      <c r="CD129">
        <v>1.3333333333333345E-2</v>
      </c>
      <c r="CE129">
        <v>1.3333333333333345E-2</v>
      </c>
      <c r="CF129">
        <v>1.3333333333333345E-2</v>
      </c>
      <c r="CG129">
        <v>1.3333333333333345E-2</v>
      </c>
      <c r="CI129">
        <v>6.9999999999999993E-2</v>
      </c>
      <c r="CJ129">
        <v>0.13999999999999999</v>
      </c>
      <c r="CK129">
        <v>0.13999999999999999</v>
      </c>
      <c r="CL129">
        <v>0</v>
      </c>
      <c r="CM129">
        <v>0</v>
      </c>
      <c r="CN129">
        <v>3.5000000000000003E-2</v>
      </c>
      <c r="CO129">
        <v>3.5000000000000003E-2</v>
      </c>
      <c r="CP129">
        <v>1.1666666666666659E-2</v>
      </c>
      <c r="CQ129">
        <v>1.1666666666666659E-2</v>
      </c>
      <c r="CR129">
        <v>1.1666666666666659E-2</v>
      </c>
      <c r="CS129">
        <v>1.1666666666666659E-2</v>
      </c>
      <c r="CT129">
        <v>1.1666666666666659E-2</v>
      </c>
      <c r="CU129">
        <v>1.1666666666666659E-2</v>
      </c>
      <c r="CV129">
        <v>1.1666666666666659E-2</v>
      </c>
      <c r="CW129">
        <v>1.1666666666666659E-2</v>
      </c>
      <c r="CX129">
        <v>1.1666666666666659E-2</v>
      </c>
      <c r="CZ129">
        <v>4.0000000000000008E-2</v>
      </c>
      <c r="DA129">
        <v>0.08</v>
      </c>
      <c r="DB129">
        <v>0.08</v>
      </c>
      <c r="DC129">
        <v>0</v>
      </c>
      <c r="DD129">
        <v>0</v>
      </c>
      <c r="DE129">
        <v>1.999999999999999E-2</v>
      </c>
      <c r="DF129">
        <v>1.999999999999999E-2</v>
      </c>
      <c r="DG129">
        <v>6.6666666666666723E-3</v>
      </c>
      <c r="DH129">
        <v>6.6666666666666723E-3</v>
      </c>
      <c r="DI129">
        <v>6.6666666666666723E-3</v>
      </c>
      <c r="DJ129">
        <v>6.6666666666666723E-3</v>
      </c>
      <c r="DK129">
        <v>6.6666666666666723E-3</v>
      </c>
      <c r="DL129">
        <v>6.6666666666666723E-3</v>
      </c>
      <c r="DM129">
        <v>6.6666666666666723E-3</v>
      </c>
      <c r="DN129">
        <v>6.6666666666666723E-3</v>
      </c>
      <c r="DO129">
        <v>6.6666666666666723E-3</v>
      </c>
    </row>
    <row r="130" spans="61:119">
      <c r="BI130" t="str">
        <f t="shared" si="55"/>
        <v>42947FI</v>
      </c>
      <c r="BJ130" s="426">
        <v>42947</v>
      </c>
      <c r="BM130" t="s">
        <v>1355</v>
      </c>
      <c r="BN130" s="438">
        <v>1</v>
      </c>
      <c r="BO130" s="438">
        <v>1</v>
      </c>
      <c r="BR130">
        <v>2.3000000000000003E-2</v>
      </c>
      <c r="BS130">
        <v>8.0500000000000016E-2</v>
      </c>
      <c r="BT130">
        <v>8.0500000000000016E-2</v>
      </c>
      <c r="BU130">
        <v>2.2999999999999993E-2</v>
      </c>
      <c r="BV130">
        <v>2.2999999999999993E-2</v>
      </c>
      <c r="BW130">
        <v>2.3000000000000007E-2</v>
      </c>
      <c r="BX130">
        <v>2.3000000000000007E-2</v>
      </c>
      <c r="BY130">
        <v>7.6666666666666671E-3</v>
      </c>
      <c r="BZ130">
        <v>7.6666666666666671E-3</v>
      </c>
      <c r="CA130">
        <v>7.6666666666666671E-3</v>
      </c>
      <c r="CB130">
        <v>7.6666666666666671E-3</v>
      </c>
      <c r="CC130">
        <v>7.6666666666666671E-3</v>
      </c>
      <c r="CD130">
        <v>7.6666666666666671E-3</v>
      </c>
      <c r="CE130">
        <v>7.6666666666666671E-3</v>
      </c>
      <c r="CF130">
        <v>7.6666666666666671E-3</v>
      </c>
      <c r="CG130">
        <v>7.6666666666666671E-3</v>
      </c>
      <c r="CI130">
        <v>2.0000000000000004E-2</v>
      </c>
      <c r="CJ130">
        <v>7.0000000000000007E-2</v>
      </c>
      <c r="CK130">
        <v>7.0000000000000007E-2</v>
      </c>
      <c r="CL130">
        <v>1.999999999999999E-2</v>
      </c>
      <c r="CM130">
        <v>1.999999999999999E-2</v>
      </c>
      <c r="CN130">
        <v>1.999999999999999E-2</v>
      </c>
      <c r="CO130">
        <v>1.999999999999999E-2</v>
      </c>
      <c r="CP130">
        <v>6.6666666666666723E-3</v>
      </c>
      <c r="CQ130">
        <v>6.6666666666666723E-3</v>
      </c>
      <c r="CR130">
        <v>6.6666666666666723E-3</v>
      </c>
      <c r="CS130">
        <v>6.6666666666666723E-3</v>
      </c>
      <c r="CT130">
        <v>6.6666666666666723E-3</v>
      </c>
      <c r="CU130">
        <v>6.6666666666666723E-3</v>
      </c>
      <c r="CV130">
        <v>6.6666666666666723E-3</v>
      </c>
      <c r="CW130">
        <v>6.6666666666666723E-3</v>
      </c>
      <c r="CX130">
        <v>6.6666666666666723E-3</v>
      </c>
      <c r="CZ130">
        <v>1.4999999999999999E-2</v>
      </c>
      <c r="DA130">
        <v>5.2499999999999998E-2</v>
      </c>
      <c r="DB130">
        <v>5.2499999999999998E-2</v>
      </c>
      <c r="DC130">
        <v>1.4999999999999999E-2</v>
      </c>
      <c r="DD130">
        <v>1.4999999999999999E-2</v>
      </c>
      <c r="DE130">
        <v>1.4999999999999999E-2</v>
      </c>
      <c r="DF130">
        <v>1.4999999999999999E-2</v>
      </c>
      <c r="DG130">
        <v>4.9999999999999984E-3</v>
      </c>
      <c r="DH130">
        <v>4.9999999999999984E-3</v>
      </c>
      <c r="DI130">
        <v>4.9999999999999984E-3</v>
      </c>
      <c r="DJ130">
        <v>4.9999999999999984E-3</v>
      </c>
      <c r="DK130">
        <v>4.9999999999999984E-3</v>
      </c>
      <c r="DL130">
        <v>4.9999999999999984E-3</v>
      </c>
      <c r="DM130">
        <v>4.9999999999999984E-3</v>
      </c>
      <c r="DN130">
        <v>4.9999999999999984E-3</v>
      </c>
      <c r="DO130">
        <v>4.9999999999999984E-3</v>
      </c>
    </row>
    <row r="131" spans="61:119">
      <c r="BI131" t="str">
        <f t="shared" si="55"/>
        <v>42947CORP</v>
      </c>
      <c r="BJ131" s="426">
        <v>42947</v>
      </c>
      <c r="BM131" t="s">
        <v>1356</v>
      </c>
      <c r="BN131" s="438">
        <v>1</v>
      </c>
      <c r="BO131" s="438">
        <v>0.80416495148942124</v>
      </c>
      <c r="BR131">
        <v>1.1916700970211577E-2</v>
      </c>
      <c r="BS131">
        <v>5.4575092619571254E-2</v>
      </c>
      <c r="BT131">
        <v>5.4575092619571254E-2</v>
      </c>
      <c r="BU131">
        <v>3.1216659805957676E-2</v>
      </c>
      <c r="BV131">
        <v>3.1216659805957676E-2</v>
      </c>
      <c r="BW131">
        <v>1.8350020582126952E-2</v>
      </c>
      <c r="BX131">
        <v>1.8350020582126952E-2</v>
      </c>
      <c r="BY131">
        <v>6.1166735273756444E-3</v>
      </c>
      <c r="BZ131">
        <v>6.1166735273756444E-3</v>
      </c>
      <c r="CA131">
        <v>6.1166735273756444E-3</v>
      </c>
      <c r="CB131">
        <v>6.1166735273756444E-3</v>
      </c>
      <c r="CC131">
        <v>6.1166735273756444E-3</v>
      </c>
      <c r="CD131">
        <v>6.1166735273756444E-3</v>
      </c>
      <c r="CE131">
        <v>6.1166735273756444E-3</v>
      </c>
      <c r="CF131">
        <v>6.1166735273756444E-3</v>
      </c>
      <c r="CG131">
        <v>6.1166735273756444E-3</v>
      </c>
      <c r="CI131">
        <v>1.0329195824679839E-2</v>
      </c>
      <c r="CJ131">
        <v>4.7410494707231333E-2</v>
      </c>
      <c r="CK131">
        <v>4.7410494707231333E-2</v>
      </c>
      <c r="CL131">
        <v>2.7216659805957687E-2</v>
      </c>
      <c r="CM131">
        <v>2.7216659805957687E-2</v>
      </c>
      <c r="CN131">
        <v>1.5958350485105785E-2</v>
      </c>
      <c r="CO131">
        <v>1.5958350485105785E-2</v>
      </c>
      <c r="CP131">
        <v>5.3194501617019295E-3</v>
      </c>
      <c r="CQ131">
        <v>5.3194501617019295E-3</v>
      </c>
      <c r="CR131">
        <v>5.3194501617019295E-3</v>
      </c>
      <c r="CS131">
        <v>5.3194501617019295E-3</v>
      </c>
      <c r="CT131">
        <v>5.3194501617019295E-3</v>
      </c>
      <c r="CU131">
        <v>5.3194501617019295E-3</v>
      </c>
      <c r="CV131">
        <v>5.3194501617019295E-3</v>
      </c>
      <c r="CW131">
        <v>5.3194501617019295E-3</v>
      </c>
      <c r="CX131">
        <v>5.3194501617019295E-3</v>
      </c>
      <c r="CZ131">
        <v>6.9583504851057883E-3</v>
      </c>
      <c r="DA131">
        <v>3.2395876212764463E-2</v>
      </c>
      <c r="DB131">
        <v>3.2395876212764463E-2</v>
      </c>
      <c r="DC131">
        <v>1.9020824757447111E-2</v>
      </c>
      <c r="DD131">
        <v>1.9020824757447111E-2</v>
      </c>
      <c r="DE131">
        <v>1.0979175242552888E-2</v>
      </c>
      <c r="DF131">
        <v>1.0979175242552888E-2</v>
      </c>
      <c r="DG131">
        <v>3.6597250808509674E-3</v>
      </c>
      <c r="DH131">
        <v>3.6597250808509674E-3</v>
      </c>
      <c r="DI131">
        <v>3.6597250808509674E-3</v>
      </c>
      <c r="DJ131">
        <v>3.6597250808509674E-3</v>
      </c>
      <c r="DK131">
        <v>3.6597250808509674E-3</v>
      </c>
      <c r="DL131">
        <v>3.6597250808509674E-3</v>
      </c>
      <c r="DM131">
        <v>3.6597250808509674E-3</v>
      </c>
      <c r="DN131">
        <v>3.6597250808509674E-3</v>
      </c>
      <c r="DO131">
        <v>3.6597250808509674E-3</v>
      </c>
    </row>
    <row r="132" spans="61:119">
      <c r="BI132" t="str">
        <f t="shared" si="55"/>
        <v>42947ESCROW</v>
      </c>
      <c r="BJ132" s="426">
        <v>42947</v>
      </c>
      <c r="BM132" t="s">
        <v>1339</v>
      </c>
      <c r="BN132" s="438">
        <v>1</v>
      </c>
      <c r="BO132" s="438">
        <v>1</v>
      </c>
      <c r="BR132">
        <v>3.2000000000000001E-2</v>
      </c>
      <c r="BS132">
        <v>2.4E-2</v>
      </c>
      <c r="BT132">
        <v>2.4E-2</v>
      </c>
      <c r="BU132">
        <v>0.04</v>
      </c>
      <c r="BV132">
        <v>0.04</v>
      </c>
      <c r="BW132">
        <v>3.9999999999999994E-2</v>
      </c>
      <c r="BX132">
        <v>3.9999999999999994E-2</v>
      </c>
      <c r="BY132">
        <v>8.8888888888888906E-3</v>
      </c>
      <c r="BZ132">
        <v>8.8888888888888906E-3</v>
      </c>
      <c r="CA132">
        <v>8.8888888888888906E-3</v>
      </c>
      <c r="CB132">
        <v>8.8888888888888906E-3</v>
      </c>
      <c r="CC132">
        <v>8.8888888888888906E-3</v>
      </c>
      <c r="CD132">
        <v>8.8888888888888906E-3</v>
      </c>
      <c r="CE132">
        <v>8.8888888888888906E-3</v>
      </c>
      <c r="CF132">
        <v>8.8888888888888906E-3</v>
      </c>
      <c r="CG132">
        <v>8.8888888888888906E-3</v>
      </c>
      <c r="CI132">
        <v>2.8000000000000004E-2</v>
      </c>
      <c r="CJ132">
        <v>2.1000000000000001E-2</v>
      </c>
      <c r="CK132">
        <v>2.1000000000000001E-2</v>
      </c>
      <c r="CL132">
        <v>3.5000000000000003E-2</v>
      </c>
      <c r="CM132">
        <v>3.5000000000000003E-2</v>
      </c>
      <c r="CN132">
        <v>3.5000000000000003E-2</v>
      </c>
      <c r="CO132">
        <v>3.5000000000000003E-2</v>
      </c>
      <c r="CP132">
        <v>7.7777777777777784E-3</v>
      </c>
      <c r="CQ132">
        <v>7.7777777777777784E-3</v>
      </c>
      <c r="CR132">
        <v>7.7777777777777784E-3</v>
      </c>
      <c r="CS132">
        <v>7.7777777777777784E-3</v>
      </c>
      <c r="CT132">
        <v>7.7777777777777784E-3</v>
      </c>
      <c r="CU132">
        <v>7.7777777777777784E-3</v>
      </c>
      <c r="CV132">
        <v>7.7777777777777784E-3</v>
      </c>
      <c r="CW132">
        <v>7.7777777777777784E-3</v>
      </c>
      <c r="CX132">
        <v>7.7777777777777784E-3</v>
      </c>
      <c r="CZ132">
        <v>2.0000000000000004E-2</v>
      </c>
      <c r="DA132">
        <v>1.4999999999999999E-2</v>
      </c>
      <c r="DB132">
        <v>1.4999999999999999E-2</v>
      </c>
      <c r="DC132">
        <v>2.5000000000000001E-2</v>
      </c>
      <c r="DD132">
        <v>2.5000000000000001E-2</v>
      </c>
      <c r="DE132">
        <v>2.5000000000000008E-2</v>
      </c>
      <c r="DF132">
        <v>2.5000000000000008E-2</v>
      </c>
      <c r="DG132">
        <v>5.555555555555554E-3</v>
      </c>
      <c r="DH132">
        <v>5.555555555555554E-3</v>
      </c>
      <c r="DI132">
        <v>5.555555555555554E-3</v>
      </c>
      <c r="DJ132">
        <v>5.555555555555554E-3</v>
      </c>
      <c r="DK132">
        <v>5.555555555555554E-3</v>
      </c>
      <c r="DL132">
        <v>5.555555555555554E-3</v>
      </c>
      <c r="DM132">
        <v>5.555555555555554E-3</v>
      </c>
      <c r="DN132">
        <v>5.555555555555554E-3</v>
      </c>
      <c r="DO132">
        <v>5.555555555555554E-3</v>
      </c>
    </row>
    <row r="133" spans="61:119">
      <c r="BI133" t="str">
        <f t="shared" ref="BI133:BI196" si="57">BJ133&amp;BK133&amp;BM133</f>
        <v>42947IB</v>
      </c>
      <c r="BJ133" s="426">
        <v>42947</v>
      </c>
      <c r="BM133" t="s">
        <v>1354</v>
      </c>
      <c r="BN133" s="438">
        <v>1</v>
      </c>
      <c r="BO133" s="438">
        <v>1</v>
      </c>
      <c r="BR133">
        <v>1.2E-2</v>
      </c>
      <c r="BS133">
        <v>4.2000000000000003E-2</v>
      </c>
      <c r="BT133">
        <v>4.2000000000000003E-2</v>
      </c>
      <c r="BU133">
        <v>1.1999999999999997E-2</v>
      </c>
      <c r="BV133">
        <v>1.1999999999999997E-2</v>
      </c>
      <c r="BW133">
        <v>1.1999999999999997E-2</v>
      </c>
      <c r="BX133">
        <v>1.1999999999999997E-2</v>
      </c>
      <c r="BY133">
        <v>4.0000000000000001E-3</v>
      </c>
      <c r="BZ133">
        <v>4.0000000000000001E-3</v>
      </c>
      <c r="CA133">
        <v>4.0000000000000001E-3</v>
      </c>
      <c r="CB133">
        <v>4.0000000000000001E-3</v>
      </c>
      <c r="CC133">
        <v>4.0000000000000001E-3</v>
      </c>
      <c r="CD133">
        <v>4.0000000000000001E-3</v>
      </c>
      <c r="CE133">
        <v>4.0000000000000001E-3</v>
      </c>
      <c r="CF133">
        <v>4.0000000000000001E-3</v>
      </c>
      <c r="CG133">
        <v>4.0000000000000001E-3</v>
      </c>
      <c r="CI133">
        <v>3.0000000000000001E-3</v>
      </c>
      <c r="CJ133">
        <v>1.0500000000000001E-2</v>
      </c>
      <c r="CK133">
        <v>1.0500000000000001E-2</v>
      </c>
      <c r="CL133">
        <v>2.9999999999999992E-3</v>
      </c>
      <c r="CM133">
        <v>2.9999999999999992E-3</v>
      </c>
      <c r="CN133">
        <v>2.9999999999999992E-3</v>
      </c>
      <c r="CO133">
        <v>2.9999999999999992E-3</v>
      </c>
      <c r="CP133">
        <v>1E-3</v>
      </c>
      <c r="CQ133">
        <v>1E-3</v>
      </c>
      <c r="CR133">
        <v>1E-3</v>
      </c>
      <c r="CS133">
        <v>1E-3</v>
      </c>
      <c r="CT133">
        <v>1E-3</v>
      </c>
      <c r="CU133">
        <v>1E-3</v>
      </c>
      <c r="CV133">
        <v>1E-3</v>
      </c>
      <c r="CW133">
        <v>1E-3</v>
      </c>
      <c r="CX133">
        <v>1E-3</v>
      </c>
      <c r="CZ133">
        <v>1.0000000000000002E-2</v>
      </c>
      <c r="DA133">
        <v>3.5000000000000003E-2</v>
      </c>
      <c r="DB133">
        <v>3.5000000000000003E-2</v>
      </c>
      <c r="DC133">
        <v>9.999999999999995E-3</v>
      </c>
      <c r="DD133">
        <v>9.999999999999995E-3</v>
      </c>
      <c r="DE133">
        <v>9.999999999999995E-3</v>
      </c>
      <c r="DF133">
        <v>9.999999999999995E-3</v>
      </c>
      <c r="DG133">
        <v>3.3333333333333361E-3</v>
      </c>
      <c r="DH133">
        <v>3.3333333333333361E-3</v>
      </c>
      <c r="DI133">
        <v>3.3333333333333361E-3</v>
      </c>
      <c r="DJ133">
        <v>3.3333333333333361E-3</v>
      </c>
      <c r="DK133">
        <v>3.3333333333333361E-3</v>
      </c>
      <c r="DL133">
        <v>3.3333333333333361E-3</v>
      </c>
      <c r="DM133">
        <v>3.3333333333333361E-3</v>
      </c>
      <c r="DN133">
        <v>3.3333333333333361E-3</v>
      </c>
      <c r="DO133">
        <v>3.3333333333333361E-3</v>
      </c>
    </row>
    <row r="134" spans="61:119">
      <c r="BI134" t="str">
        <f t="shared" si="57"/>
        <v>42947AFF</v>
      </c>
      <c r="BJ134" s="426">
        <v>42947</v>
      </c>
      <c r="BM134" t="s">
        <v>1353</v>
      </c>
      <c r="BN134" s="438">
        <v>1</v>
      </c>
      <c r="BO134" s="438">
        <v>1</v>
      </c>
      <c r="BR134">
        <v>1.4999999999999999E-2</v>
      </c>
      <c r="BS134">
        <v>5.2499999999999998E-2</v>
      </c>
      <c r="BT134">
        <v>5.2499999999999998E-2</v>
      </c>
      <c r="BU134">
        <v>1.4999999999999999E-2</v>
      </c>
      <c r="BV134">
        <v>1.4999999999999999E-2</v>
      </c>
      <c r="BW134">
        <v>1.4999999999999999E-2</v>
      </c>
      <c r="BX134">
        <v>1.4999999999999999E-2</v>
      </c>
      <c r="BY134">
        <v>4.9999999999999984E-3</v>
      </c>
      <c r="BZ134">
        <v>4.9999999999999984E-3</v>
      </c>
      <c r="CA134">
        <v>4.9999999999999984E-3</v>
      </c>
      <c r="CB134">
        <v>4.9999999999999984E-3</v>
      </c>
      <c r="CC134">
        <v>4.9999999999999984E-3</v>
      </c>
      <c r="CD134">
        <v>4.9999999999999984E-3</v>
      </c>
      <c r="CE134">
        <v>4.9999999999999984E-3</v>
      </c>
      <c r="CF134">
        <v>4.9999999999999984E-3</v>
      </c>
      <c r="CG134">
        <v>4.9999999999999984E-3</v>
      </c>
      <c r="CI134">
        <v>1.2E-2</v>
      </c>
      <c r="CJ134">
        <v>4.2000000000000003E-2</v>
      </c>
      <c r="CK134">
        <v>4.2000000000000003E-2</v>
      </c>
      <c r="CL134">
        <v>1.1999999999999997E-2</v>
      </c>
      <c r="CM134">
        <v>1.1999999999999997E-2</v>
      </c>
      <c r="CN134">
        <v>1.1999999999999997E-2</v>
      </c>
      <c r="CO134">
        <v>1.1999999999999997E-2</v>
      </c>
      <c r="CP134">
        <v>4.0000000000000001E-3</v>
      </c>
      <c r="CQ134">
        <v>4.0000000000000001E-3</v>
      </c>
      <c r="CR134">
        <v>4.0000000000000001E-3</v>
      </c>
      <c r="CS134">
        <v>4.0000000000000001E-3</v>
      </c>
      <c r="CT134">
        <v>4.0000000000000001E-3</v>
      </c>
      <c r="CU134">
        <v>4.0000000000000001E-3</v>
      </c>
      <c r="CV134">
        <v>4.0000000000000001E-3</v>
      </c>
      <c r="CW134">
        <v>4.0000000000000001E-3</v>
      </c>
      <c r="CX134">
        <v>4.0000000000000001E-3</v>
      </c>
      <c r="CZ134">
        <v>5.000000000000001E-3</v>
      </c>
      <c r="DA134">
        <v>1.7500000000000002E-2</v>
      </c>
      <c r="DB134">
        <v>1.7500000000000002E-2</v>
      </c>
      <c r="DC134">
        <v>4.9999999999999975E-3</v>
      </c>
      <c r="DD134">
        <v>4.9999999999999975E-3</v>
      </c>
      <c r="DE134">
        <v>4.9999999999999975E-3</v>
      </c>
      <c r="DF134">
        <v>4.9999999999999975E-3</v>
      </c>
      <c r="DG134">
        <v>1.6666666666666681E-3</v>
      </c>
      <c r="DH134">
        <v>1.6666666666666681E-3</v>
      </c>
      <c r="DI134">
        <v>1.6666666666666681E-3</v>
      </c>
      <c r="DJ134">
        <v>1.6666666666666681E-3</v>
      </c>
      <c r="DK134">
        <v>1.6666666666666681E-3</v>
      </c>
      <c r="DL134">
        <v>1.6666666666666681E-3</v>
      </c>
      <c r="DM134">
        <v>1.6666666666666681E-3</v>
      </c>
      <c r="DN134">
        <v>1.6666666666666681E-3</v>
      </c>
      <c r="DO134">
        <v>1.6666666666666681E-3</v>
      </c>
    </row>
    <row r="135" spans="61:119">
      <c r="BI135" t="str">
        <f t="shared" si="57"/>
        <v>429781000526FI</v>
      </c>
      <c r="BJ135" s="426">
        <v>42978</v>
      </c>
      <c r="BK135" t="s">
        <v>1363</v>
      </c>
      <c r="BL135" t="s">
        <v>1368</v>
      </c>
      <c r="BM135" t="s">
        <v>1355</v>
      </c>
      <c r="BN135" s="438">
        <v>2</v>
      </c>
      <c r="BO135" s="438">
        <v>1</v>
      </c>
      <c r="BR135">
        <v>4.6000000000000006E-2</v>
      </c>
      <c r="BS135">
        <v>0.16100000000000003</v>
      </c>
      <c r="BT135">
        <v>0.16100000000000003</v>
      </c>
      <c r="BU135">
        <v>4.5999999999999985E-2</v>
      </c>
      <c r="BV135">
        <v>4.5999999999999985E-2</v>
      </c>
      <c r="BW135">
        <v>4.6000000000000013E-2</v>
      </c>
      <c r="BX135">
        <v>4.6000000000000013E-2</v>
      </c>
      <c r="BY135">
        <v>1.5333333333333334E-2</v>
      </c>
      <c r="BZ135">
        <v>1.5333333333333334E-2</v>
      </c>
      <c r="CA135">
        <v>1.5333333333333334E-2</v>
      </c>
      <c r="CB135">
        <v>1.5333333333333334E-2</v>
      </c>
      <c r="CC135">
        <v>1.5333333333333334E-2</v>
      </c>
      <c r="CD135">
        <v>1.5333333333333334E-2</v>
      </c>
      <c r="CE135">
        <v>1.5333333333333334E-2</v>
      </c>
      <c r="CF135">
        <v>1.5333333333333334E-2</v>
      </c>
      <c r="CG135">
        <v>1.5333333333333334E-2</v>
      </c>
      <c r="CI135">
        <v>4.0000000000000008E-2</v>
      </c>
      <c r="CJ135">
        <v>0.14000000000000001</v>
      </c>
      <c r="CK135">
        <v>0.14000000000000001</v>
      </c>
      <c r="CL135">
        <v>3.999999999999998E-2</v>
      </c>
      <c r="CM135">
        <v>3.999999999999998E-2</v>
      </c>
      <c r="CN135">
        <v>3.999999999999998E-2</v>
      </c>
      <c r="CO135">
        <v>3.999999999999998E-2</v>
      </c>
      <c r="CP135">
        <v>1.3333333333333345E-2</v>
      </c>
      <c r="CQ135">
        <v>1.3333333333333345E-2</v>
      </c>
      <c r="CR135">
        <v>1.3333333333333345E-2</v>
      </c>
      <c r="CS135">
        <v>1.3333333333333345E-2</v>
      </c>
      <c r="CT135">
        <v>1.3333333333333345E-2</v>
      </c>
      <c r="CU135">
        <v>1.3333333333333345E-2</v>
      </c>
      <c r="CV135">
        <v>1.3333333333333345E-2</v>
      </c>
      <c r="CW135">
        <v>1.3333333333333345E-2</v>
      </c>
      <c r="CX135">
        <v>1.3333333333333345E-2</v>
      </c>
      <c r="CZ135">
        <v>0.03</v>
      </c>
      <c r="DA135">
        <v>0.105</v>
      </c>
      <c r="DB135">
        <v>0.105</v>
      </c>
      <c r="DC135">
        <v>0.03</v>
      </c>
      <c r="DD135">
        <v>0.03</v>
      </c>
      <c r="DE135">
        <v>0.03</v>
      </c>
      <c r="DF135">
        <v>0.03</v>
      </c>
      <c r="DG135">
        <v>9.9999999999999967E-3</v>
      </c>
      <c r="DH135">
        <v>9.9999999999999967E-3</v>
      </c>
      <c r="DI135">
        <v>9.9999999999999967E-3</v>
      </c>
      <c r="DJ135">
        <v>9.9999999999999967E-3</v>
      </c>
      <c r="DK135">
        <v>9.9999999999999967E-3</v>
      </c>
      <c r="DL135">
        <v>9.9999999999999967E-3</v>
      </c>
      <c r="DM135">
        <v>9.9999999999999967E-3</v>
      </c>
      <c r="DN135">
        <v>9.9999999999999967E-3</v>
      </c>
      <c r="DO135">
        <v>9.9999999999999967E-3</v>
      </c>
    </row>
    <row r="136" spans="61:119">
      <c r="BI136" t="str">
        <f t="shared" si="57"/>
        <v>429781030623FI</v>
      </c>
      <c r="BJ136" s="426">
        <v>42978</v>
      </c>
      <c r="BK136" t="s">
        <v>1360</v>
      </c>
      <c r="BL136" t="s">
        <v>1369</v>
      </c>
      <c r="BM136" t="s">
        <v>1355</v>
      </c>
      <c r="BN136" s="438">
        <v>2</v>
      </c>
      <c r="BO136" s="438">
        <v>1</v>
      </c>
      <c r="BR136">
        <v>4.6000000000000006E-2</v>
      </c>
      <c r="BS136">
        <v>0.16100000000000003</v>
      </c>
      <c r="BT136">
        <v>0.16100000000000003</v>
      </c>
      <c r="BU136">
        <v>4.5999999999999985E-2</v>
      </c>
      <c r="BV136">
        <v>4.5999999999999985E-2</v>
      </c>
      <c r="BW136">
        <v>4.6000000000000013E-2</v>
      </c>
      <c r="BX136">
        <v>4.6000000000000013E-2</v>
      </c>
      <c r="BY136">
        <v>1.5333333333333334E-2</v>
      </c>
      <c r="BZ136">
        <v>1.5333333333333334E-2</v>
      </c>
      <c r="CA136">
        <v>1.5333333333333334E-2</v>
      </c>
      <c r="CB136">
        <v>1.5333333333333334E-2</v>
      </c>
      <c r="CC136">
        <v>1.5333333333333334E-2</v>
      </c>
      <c r="CD136">
        <v>1.5333333333333334E-2</v>
      </c>
      <c r="CE136">
        <v>1.5333333333333334E-2</v>
      </c>
      <c r="CF136">
        <v>1.5333333333333334E-2</v>
      </c>
      <c r="CG136">
        <v>1.5333333333333334E-2</v>
      </c>
      <c r="CI136">
        <v>4.0000000000000008E-2</v>
      </c>
      <c r="CJ136">
        <v>0.14000000000000001</v>
      </c>
      <c r="CK136">
        <v>0.14000000000000001</v>
      </c>
      <c r="CL136">
        <v>3.999999999999998E-2</v>
      </c>
      <c r="CM136">
        <v>3.999999999999998E-2</v>
      </c>
      <c r="CN136">
        <v>3.999999999999998E-2</v>
      </c>
      <c r="CO136">
        <v>3.999999999999998E-2</v>
      </c>
      <c r="CP136">
        <v>1.3333333333333345E-2</v>
      </c>
      <c r="CQ136">
        <v>1.3333333333333345E-2</v>
      </c>
      <c r="CR136">
        <v>1.3333333333333345E-2</v>
      </c>
      <c r="CS136">
        <v>1.3333333333333345E-2</v>
      </c>
      <c r="CT136">
        <v>1.3333333333333345E-2</v>
      </c>
      <c r="CU136">
        <v>1.3333333333333345E-2</v>
      </c>
      <c r="CV136">
        <v>1.3333333333333345E-2</v>
      </c>
      <c r="CW136">
        <v>1.3333333333333345E-2</v>
      </c>
      <c r="CX136">
        <v>1.3333333333333345E-2</v>
      </c>
      <c r="CZ136">
        <v>0.03</v>
      </c>
      <c r="DA136">
        <v>0.105</v>
      </c>
      <c r="DB136">
        <v>0.105</v>
      </c>
      <c r="DC136">
        <v>0.03</v>
      </c>
      <c r="DD136">
        <v>0.03</v>
      </c>
      <c r="DE136">
        <v>0.03</v>
      </c>
      <c r="DF136">
        <v>0.03</v>
      </c>
      <c r="DG136">
        <v>9.9999999999999967E-3</v>
      </c>
      <c r="DH136">
        <v>9.9999999999999967E-3</v>
      </c>
      <c r="DI136">
        <v>9.9999999999999967E-3</v>
      </c>
      <c r="DJ136">
        <v>9.9999999999999967E-3</v>
      </c>
      <c r="DK136">
        <v>9.9999999999999967E-3</v>
      </c>
      <c r="DL136">
        <v>9.9999999999999967E-3</v>
      </c>
      <c r="DM136">
        <v>9.9999999999999967E-3</v>
      </c>
      <c r="DN136">
        <v>9.9999999999999967E-3</v>
      </c>
      <c r="DO136">
        <v>9.9999999999999967E-3</v>
      </c>
    </row>
    <row r="137" spans="61:119">
      <c r="BI137" t="str">
        <f t="shared" si="57"/>
        <v>429781126198FI</v>
      </c>
      <c r="BJ137" s="426">
        <v>42978</v>
      </c>
      <c r="BK137" t="s">
        <v>1359</v>
      </c>
      <c r="BL137" t="s">
        <v>1367</v>
      </c>
      <c r="BM137" t="s">
        <v>1355</v>
      </c>
      <c r="BN137" s="438">
        <v>1.7035020359035982</v>
      </c>
      <c r="BO137" s="438">
        <v>1</v>
      </c>
      <c r="BR137">
        <v>3.9180546825782758E-2</v>
      </c>
      <c r="BS137">
        <v>0.13713191389023965</v>
      </c>
      <c r="BT137">
        <v>0.13713191389023965</v>
      </c>
      <c r="BU137">
        <v>3.9180546825782758E-2</v>
      </c>
      <c r="BV137">
        <v>3.9180546825782758E-2</v>
      </c>
      <c r="BW137">
        <v>3.9180546825782758E-2</v>
      </c>
      <c r="BX137">
        <v>3.9180546825782758E-2</v>
      </c>
      <c r="BY137">
        <v>1.306018227526092E-2</v>
      </c>
      <c r="BZ137">
        <v>1.306018227526092E-2</v>
      </c>
      <c r="CA137">
        <v>1.306018227526092E-2</v>
      </c>
      <c r="CB137">
        <v>1.306018227526092E-2</v>
      </c>
      <c r="CC137">
        <v>1.306018227526092E-2</v>
      </c>
      <c r="CD137">
        <v>1.306018227526092E-2</v>
      </c>
      <c r="CE137">
        <v>1.306018227526092E-2</v>
      </c>
      <c r="CF137">
        <v>1.306018227526092E-2</v>
      </c>
      <c r="CG137">
        <v>1.306018227526092E-2</v>
      </c>
      <c r="CI137">
        <v>3.4070040718071966E-2</v>
      </c>
      <c r="CJ137">
        <v>0.11924514251325188</v>
      </c>
      <c r="CK137">
        <v>0.11924514251325188</v>
      </c>
      <c r="CL137">
        <v>3.4070040718071959E-2</v>
      </c>
      <c r="CM137">
        <v>3.4070040718071959E-2</v>
      </c>
      <c r="CN137">
        <v>3.4070040718071959E-2</v>
      </c>
      <c r="CO137">
        <v>3.4070040718071959E-2</v>
      </c>
      <c r="CP137">
        <v>1.1356680239357327E-2</v>
      </c>
      <c r="CQ137">
        <v>1.1356680239357327E-2</v>
      </c>
      <c r="CR137">
        <v>1.1356680239357327E-2</v>
      </c>
      <c r="CS137">
        <v>1.1356680239357327E-2</v>
      </c>
      <c r="CT137">
        <v>1.1356680239357327E-2</v>
      </c>
      <c r="CU137">
        <v>1.1356680239357327E-2</v>
      </c>
      <c r="CV137">
        <v>1.1356680239357327E-2</v>
      </c>
      <c r="CW137">
        <v>1.1356680239357327E-2</v>
      </c>
      <c r="CX137">
        <v>1.1356680239357327E-2</v>
      </c>
      <c r="CZ137">
        <v>2.5552530538553969E-2</v>
      </c>
      <c r="DA137">
        <v>8.9433856884938892E-2</v>
      </c>
      <c r="DB137">
        <v>8.9433856884938892E-2</v>
      </c>
      <c r="DC137">
        <v>2.5552530538553969E-2</v>
      </c>
      <c r="DD137">
        <v>2.5552530538553969E-2</v>
      </c>
      <c r="DE137">
        <v>2.5552530538553969E-2</v>
      </c>
      <c r="DF137">
        <v>2.5552530538553969E-2</v>
      </c>
      <c r="DG137">
        <v>8.5175101795179863E-3</v>
      </c>
      <c r="DH137">
        <v>8.5175101795179863E-3</v>
      </c>
      <c r="DI137">
        <v>8.5175101795179863E-3</v>
      </c>
      <c r="DJ137">
        <v>8.5175101795179863E-3</v>
      </c>
      <c r="DK137">
        <v>8.5175101795179863E-3</v>
      </c>
      <c r="DL137">
        <v>8.5175101795179863E-3</v>
      </c>
      <c r="DM137">
        <v>8.5175101795179863E-3</v>
      </c>
      <c r="DN137">
        <v>8.5175101795179863E-3</v>
      </c>
      <c r="DO137">
        <v>8.5175101795179863E-3</v>
      </c>
    </row>
    <row r="138" spans="61:119">
      <c r="BI138" t="str">
        <f t="shared" si="57"/>
        <v>429781000790IB</v>
      </c>
      <c r="BJ138" s="426">
        <v>42978</v>
      </c>
      <c r="BK138" t="s">
        <v>1358</v>
      </c>
      <c r="BL138" t="s">
        <v>1371</v>
      </c>
      <c r="BM138" t="s">
        <v>1354</v>
      </c>
      <c r="BN138" s="438">
        <v>1.628535467358704</v>
      </c>
      <c r="BO138" s="438">
        <v>1</v>
      </c>
      <c r="BR138">
        <v>1.9542425608304451E-2</v>
      </c>
      <c r="BS138">
        <v>6.8398489629065584E-2</v>
      </c>
      <c r="BT138">
        <v>6.8398489629065584E-2</v>
      </c>
      <c r="BU138">
        <v>1.9542425608304437E-2</v>
      </c>
      <c r="BV138">
        <v>1.9542425608304437E-2</v>
      </c>
      <c r="BW138">
        <v>1.9542425608304437E-2</v>
      </c>
      <c r="BX138">
        <v>1.9542425608304437E-2</v>
      </c>
      <c r="BY138">
        <v>6.5141418694348186E-3</v>
      </c>
      <c r="BZ138">
        <v>6.5141418694348186E-3</v>
      </c>
      <c r="CA138">
        <v>6.5141418694348186E-3</v>
      </c>
      <c r="CB138">
        <v>6.5141418694348186E-3</v>
      </c>
      <c r="CC138">
        <v>6.5141418694348186E-3</v>
      </c>
      <c r="CD138">
        <v>6.5141418694348186E-3</v>
      </c>
      <c r="CE138">
        <v>6.5141418694348186E-3</v>
      </c>
      <c r="CF138">
        <v>6.5141418694348186E-3</v>
      </c>
      <c r="CG138">
        <v>6.5141418694348186E-3</v>
      </c>
      <c r="CI138">
        <v>4.8856064020761127E-3</v>
      </c>
      <c r="CJ138">
        <v>1.7099622407266396E-2</v>
      </c>
      <c r="CK138">
        <v>1.7099622407266396E-2</v>
      </c>
      <c r="CL138">
        <v>4.8856064020761092E-3</v>
      </c>
      <c r="CM138">
        <v>4.8856064020761092E-3</v>
      </c>
      <c r="CN138">
        <v>4.8856064020761092E-3</v>
      </c>
      <c r="CO138">
        <v>4.8856064020761092E-3</v>
      </c>
      <c r="CP138">
        <v>1.6285354673587047E-3</v>
      </c>
      <c r="CQ138">
        <v>1.6285354673587047E-3</v>
      </c>
      <c r="CR138">
        <v>1.6285354673587047E-3</v>
      </c>
      <c r="CS138">
        <v>1.6285354673587047E-3</v>
      </c>
      <c r="CT138">
        <v>1.6285354673587047E-3</v>
      </c>
      <c r="CU138">
        <v>1.6285354673587047E-3</v>
      </c>
      <c r="CV138">
        <v>1.6285354673587047E-3</v>
      </c>
      <c r="CW138">
        <v>1.6285354673587047E-3</v>
      </c>
      <c r="CX138">
        <v>1.6285354673587047E-3</v>
      </c>
      <c r="CZ138">
        <v>1.6285354673587042E-2</v>
      </c>
      <c r="DA138">
        <v>5.6998741357554644E-2</v>
      </c>
      <c r="DB138">
        <v>5.6998741357554644E-2</v>
      </c>
      <c r="DC138">
        <v>1.6285354673587035E-2</v>
      </c>
      <c r="DD138">
        <v>1.6285354673587035E-2</v>
      </c>
      <c r="DE138">
        <v>1.6285354673587035E-2</v>
      </c>
      <c r="DF138">
        <v>1.6285354673587035E-2</v>
      </c>
      <c r="DG138">
        <v>5.42845155786235E-3</v>
      </c>
      <c r="DH138">
        <v>5.42845155786235E-3</v>
      </c>
      <c r="DI138">
        <v>5.42845155786235E-3</v>
      </c>
      <c r="DJ138">
        <v>5.42845155786235E-3</v>
      </c>
      <c r="DK138">
        <v>5.42845155786235E-3</v>
      </c>
      <c r="DL138">
        <v>5.42845155786235E-3</v>
      </c>
      <c r="DM138">
        <v>5.42845155786235E-3</v>
      </c>
      <c r="DN138">
        <v>5.42845155786235E-3</v>
      </c>
      <c r="DO138">
        <v>5.42845155786235E-3</v>
      </c>
    </row>
    <row r="139" spans="61:119">
      <c r="BI139" t="str">
        <f t="shared" si="57"/>
        <v>429781151227FI</v>
      </c>
      <c r="BJ139" s="426">
        <v>42978</v>
      </c>
      <c r="BK139" t="s">
        <v>1362</v>
      </c>
      <c r="BL139" t="s">
        <v>1372</v>
      </c>
      <c r="BM139" t="s">
        <v>1355</v>
      </c>
      <c r="BN139" s="438">
        <v>1.1691940883428007</v>
      </c>
      <c r="BO139" s="438">
        <v>0.82345746068890435</v>
      </c>
      <c r="BR139">
        <v>4.6087825909115449E-2</v>
      </c>
      <c r="BS139">
        <v>0.12539161684708472</v>
      </c>
      <c r="BT139">
        <v>0.12539161684708472</v>
      </c>
      <c r="BU139">
        <v>2.2143976685902567E-2</v>
      </c>
      <c r="BV139">
        <v>2.2143976685902567E-2</v>
      </c>
      <c r="BW139">
        <v>3.4115901297508994E-2</v>
      </c>
      <c r="BX139">
        <v>3.4115901297508994E-2</v>
      </c>
      <c r="BY139">
        <v>1.1034597114391765E-2</v>
      </c>
      <c r="BZ139">
        <v>1.1034597114391765E-2</v>
      </c>
      <c r="CA139">
        <v>1.1034597114391765E-2</v>
      </c>
      <c r="CB139">
        <v>1.1034597114391765E-2</v>
      </c>
      <c r="CC139">
        <v>1.1034597114391765E-2</v>
      </c>
      <c r="CD139">
        <v>1.1034597114391765E-2</v>
      </c>
      <c r="CE139">
        <v>1.1034597114391765E-2</v>
      </c>
      <c r="CF139">
        <v>1.1034597114391765E-2</v>
      </c>
      <c r="CG139">
        <v>1.1034597114391765E-2</v>
      </c>
      <c r="CI139">
        <v>4.1961006164176376E-2</v>
      </c>
      <c r="CJ139">
        <v>0.11280546017953</v>
      </c>
      <c r="CK139">
        <v>0.11280546017953</v>
      </c>
      <c r="CL139">
        <v>1.9255631900784831E-2</v>
      </c>
      <c r="CM139">
        <v>1.9255631900784831E-2</v>
      </c>
      <c r="CN139">
        <v>3.0608319032480569E-2</v>
      </c>
      <c r="CO139">
        <v>3.0608319032480569E-2</v>
      </c>
      <c r="CP139">
        <v>1.0202773010826869E-2</v>
      </c>
      <c r="CQ139">
        <v>1.0202773010826869E-2</v>
      </c>
      <c r="CR139">
        <v>1.0202773010826869E-2</v>
      </c>
      <c r="CS139">
        <v>1.0202773010826869E-2</v>
      </c>
      <c r="CT139">
        <v>1.0202773010826869E-2</v>
      </c>
      <c r="CU139">
        <v>1.0202773010826869E-2</v>
      </c>
      <c r="CV139">
        <v>1.0202773010826869E-2</v>
      </c>
      <c r="CW139">
        <v>1.0202773010826869E-2</v>
      </c>
      <c r="CX139">
        <v>1.0202773010826869E-2</v>
      </c>
      <c r="CZ139">
        <v>2.4762348590766595E-2</v>
      </c>
      <c r="DA139">
        <v>7.1187283069916119E-2</v>
      </c>
      <c r="DB139">
        <v>7.1187283069916119E-2</v>
      </c>
      <c r="DC139">
        <v>1.4441723925588623E-2</v>
      </c>
      <c r="DD139">
        <v>1.4441723925588623E-2</v>
      </c>
      <c r="DE139">
        <v>1.9602036258177608E-2</v>
      </c>
      <c r="DF139">
        <v>1.9602036258177608E-2</v>
      </c>
      <c r="DG139">
        <v>6.5340120860592054E-3</v>
      </c>
      <c r="DH139">
        <v>6.5340120860592054E-3</v>
      </c>
      <c r="DI139">
        <v>6.5340120860592054E-3</v>
      </c>
      <c r="DJ139">
        <v>6.5340120860592054E-3</v>
      </c>
      <c r="DK139">
        <v>6.5340120860592054E-3</v>
      </c>
      <c r="DL139">
        <v>6.5340120860592054E-3</v>
      </c>
      <c r="DM139">
        <v>6.5340120860592054E-3</v>
      </c>
      <c r="DN139">
        <v>6.5340120860592054E-3</v>
      </c>
      <c r="DO139">
        <v>6.5340120860592054E-3</v>
      </c>
    </row>
    <row r="140" spans="61:119">
      <c r="BI140" t="str">
        <f t="shared" si="57"/>
        <v>429781000800IB</v>
      </c>
      <c r="BJ140" s="426">
        <v>42978</v>
      </c>
      <c r="BK140" t="s">
        <v>1423</v>
      </c>
      <c r="BL140" t="s">
        <v>1421</v>
      </c>
      <c r="BM140" t="s">
        <v>1354</v>
      </c>
      <c r="BN140" s="438">
        <v>1.0361276274710378</v>
      </c>
      <c r="BO140" s="438">
        <v>1</v>
      </c>
      <c r="BR140">
        <v>1.2433531529652453E-2</v>
      </c>
      <c r="BS140">
        <v>4.3517360353783584E-2</v>
      </c>
      <c r="BT140">
        <v>4.3517360353783584E-2</v>
      </c>
      <c r="BU140">
        <v>1.2433531529652452E-2</v>
      </c>
      <c r="BV140">
        <v>1.2433531529652452E-2</v>
      </c>
      <c r="BW140">
        <v>1.2433531529652445E-2</v>
      </c>
      <c r="BX140">
        <v>1.2433531529652445E-2</v>
      </c>
      <c r="BY140">
        <v>4.1445105098841528E-3</v>
      </c>
      <c r="BZ140">
        <v>4.1445105098841528E-3</v>
      </c>
      <c r="CA140">
        <v>4.1445105098841528E-3</v>
      </c>
      <c r="CB140">
        <v>4.1445105098841528E-3</v>
      </c>
      <c r="CC140">
        <v>4.1445105098841528E-3</v>
      </c>
      <c r="CD140">
        <v>4.1445105098841528E-3</v>
      </c>
      <c r="CE140">
        <v>4.1445105098841528E-3</v>
      </c>
      <c r="CF140">
        <v>4.1445105098841528E-3</v>
      </c>
      <c r="CG140">
        <v>4.1445105098841528E-3</v>
      </c>
      <c r="CI140">
        <v>3.1083828824131133E-3</v>
      </c>
      <c r="CJ140">
        <v>1.0879340088445896E-2</v>
      </c>
      <c r="CK140">
        <v>1.0879340088445896E-2</v>
      </c>
      <c r="CL140">
        <v>3.1083828824131129E-3</v>
      </c>
      <c r="CM140">
        <v>3.1083828824131129E-3</v>
      </c>
      <c r="CN140">
        <v>3.1083828824131111E-3</v>
      </c>
      <c r="CO140">
        <v>3.1083828824131111E-3</v>
      </c>
      <c r="CP140">
        <v>1.0361276274710382E-3</v>
      </c>
      <c r="CQ140">
        <v>1.0361276274710382E-3</v>
      </c>
      <c r="CR140">
        <v>1.0361276274710382E-3</v>
      </c>
      <c r="CS140">
        <v>1.0361276274710382E-3</v>
      </c>
      <c r="CT140">
        <v>1.0361276274710382E-3</v>
      </c>
      <c r="CU140">
        <v>1.0361276274710382E-3</v>
      </c>
      <c r="CV140">
        <v>1.0361276274710382E-3</v>
      </c>
      <c r="CW140">
        <v>1.0361276274710382E-3</v>
      </c>
      <c r="CX140">
        <v>1.0361276274710382E-3</v>
      </c>
      <c r="CZ140">
        <v>1.036127627471038E-2</v>
      </c>
      <c r="DA140">
        <v>3.626446696148633E-2</v>
      </c>
      <c r="DB140">
        <v>3.626446696148633E-2</v>
      </c>
      <c r="DC140">
        <v>1.0361276274710375E-2</v>
      </c>
      <c r="DD140">
        <v>1.0361276274710375E-2</v>
      </c>
      <c r="DE140">
        <v>1.0361276274710375E-2</v>
      </c>
      <c r="DF140">
        <v>1.0361276274710375E-2</v>
      </c>
      <c r="DG140">
        <v>3.453758758236794E-3</v>
      </c>
      <c r="DH140">
        <v>3.453758758236794E-3</v>
      </c>
      <c r="DI140">
        <v>3.453758758236794E-3</v>
      </c>
      <c r="DJ140">
        <v>3.453758758236794E-3</v>
      </c>
      <c r="DK140">
        <v>3.453758758236794E-3</v>
      </c>
      <c r="DL140">
        <v>3.453758758236794E-3</v>
      </c>
      <c r="DM140">
        <v>3.453758758236794E-3</v>
      </c>
      <c r="DN140">
        <v>3.453758758236794E-3</v>
      </c>
      <c r="DO140">
        <v>3.453758758236794E-3</v>
      </c>
    </row>
    <row r="141" spans="61:119">
      <c r="BI141" t="str">
        <f t="shared" si="57"/>
        <v>429781141467FI</v>
      </c>
      <c r="BJ141" s="426">
        <v>42978</v>
      </c>
      <c r="BK141" t="s">
        <v>1375</v>
      </c>
      <c r="BL141" t="s">
        <v>1376</v>
      </c>
      <c r="BM141" t="s">
        <v>1355</v>
      </c>
      <c r="BN141" s="438">
        <v>2</v>
      </c>
      <c r="BO141" s="438">
        <v>1</v>
      </c>
      <c r="BR141">
        <v>4.6000000000000006E-2</v>
      </c>
      <c r="BS141">
        <v>0.16100000000000003</v>
      </c>
      <c r="BT141">
        <v>0.16100000000000003</v>
      </c>
      <c r="BU141">
        <v>4.5999999999999985E-2</v>
      </c>
      <c r="BV141">
        <v>4.5999999999999985E-2</v>
      </c>
      <c r="BW141">
        <v>4.6000000000000013E-2</v>
      </c>
      <c r="BX141">
        <v>4.6000000000000013E-2</v>
      </c>
      <c r="BY141">
        <v>1.5333333333333334E-2</v>
      </c>
      <c r="BZ141">
        <v>1.5333333333333334E-2</v>
      </c>
      <c r="CA141">
        <v>1.5333333333333334E-2</v>
      </c>
      <c r="CB141">
        <v>1.5333333333333334E-2</v>
      </c>
      <c r="CC141">
        <v>1.5333333333333334E-2</v>
      </c>
      <c r="CD141">
        <v>1.5333333333333334E-2</v>
      </c>
      <c r="CE141">
        <v>1.5333333333333334E-2</v>
      </c>
      <c r="CF141">
        <v>1.5333333333333334E-2</v>
      </c>
      <c r="CG141">
        <v>1.5333333333333334E-2</v>
      </c>
      <c r="CI141">
        <v>4.0000000000000008E-2</v>
      </c>
      <c r="CJ141">
        <v>0.14000000000000001</v>
      </c>
      <c r="CK141">
        <v>0.14000000000000001</v>
      </c>
      <c r="CL141">
        <v>3.999999999999998E-2</v>
      </c>
      <c r="CM141">
        <v>3.999999999999998E-2</v>
      </c>
      <c r="CN141">
        <v>3.999999999999998E-2</v>
      </c>
      <c r="CO141">
        <v>3.999999999999998E-2</v>
      </c>
      <c r="CP141">
        <v>1.3333333333333345E-2</v>
      </c>
      <c r="CQ141">
        <v>1.3333333333333345E-2</v>
      </c>
      <c r="CR141">
        <v>1.3333333333333345E-2</v>
      </c>
      <c r="CS141">
        <v>1.3333333333333345E-2</v>
      </c>
      <c r="CT141">
        <v>1.3333333333333345E-2</v>
      </c>
      <c r="CU141">
        <v>1.3333333333333345E-2</v>
      </c>
      <c r="CV141">
        <v>1.3333333333333345E-2</v>
      </c>
      <c r="CW141">
        <v>1.3333333333333345E-2</v>
      </c>
      <c r="CX141">
        <v>1.3333333333333345E-2</v>
      </c>
      <c r="CZ141">
        <v>0.03</v>
      </c>
      <c r="DA141">
        <v>0.105</v>
      </c>
      <c r="DB141">
        <v>0.105</v>
      </c>
      <c r="DC141">
        <v>0.03</v>
      </c>
      <c r="DD141">
        <v>0.03</v>
      </c>
      <c r="DE141">
        <v>0.03</v>
      </c>
      <c r="DF141">
        <v>0.03</v>
      </c>
      <c r="DG141">
        <v>9.9999999999999967E-3</v>
      </c>
      <c r="DH141">
        <v>9.9999999999999967E-3</v>
      </c>
      <c r="DI141">
        <v>9.9999999999999967E-3</v>
      </c>
      <c r="DJ141">
        <v>9.9999999999999967E-3</v>
      </c>
      <c r="DK141">
        <v>9.9999999999999967E-3</v>
      </c>
      <c r="DL141">
        <v>9.9999999999999967E-3</v>
      </c>
      <c r="DM141">
        <v>9.9999999999999967E-3</v>
      </c>
      <c r="DN141">
        <v>9.9999999999999967E-3</v>
      </c>
      <c r="DO141">
        <v>9.9999999999999967E-3</v>
      </c>
    </row>
    <row r="142" spans="61:119">
      <c r="BI142" t="str">
        <f t="shared" si="57"/>
        <v>429781147542CME</v>
      </c>
      <c r="BJ142" s="426">
        <v>42978</v>
      </c>
      <c r="BK142" t="s">
        <v>1361</v>
      </c>
      <c r="BL142" t="s">
        <v>1370</v>
      </c>
      <c r="BM142" t="s">
        <v>1321</v>
      </c>
      <c r="BN142" s="438">
        <v>1</v>
      </c>
      <c r="BO142" s="438">
        <v>1</v>
      </c>
      <c r="BR142">
        <v>8.0000000000000016E-2</v>
      </c>
      <c r="BS142">
        <v>0.16</v>
      </c>
      <c r="BT142">
        <v>0.16</v>
      </c>
      <c r="BU142">
        <v>0</v>
      </c>
      <c r="BV142">
        <v>0</v>
      </c>
      <c r="BW142">
        <v>3.999999999999998E-2</v>
      </c>
      <c r="BX142">
        <v>3.999999999999998E-2</v>
      </c>
      <c r="BY142">
        <v>1.3333333333333345E-2</v>
      </c>
      <c r="BZ142">
        <v>1.3333333333333345E-2</v>
      </c>
      <c r="CA142">
        <v>1.3333333333333345E-2</v>
      </c>
      <c r="CB142">
        <v>1.3333333333333345E-2</v>
      </c>
      <c r="CC142">
        <v>1.3333333333333345E-2</v>
      </c>
      <c r="CD142">
        <v>1.3333333333333345E-2</v>
      </c>
      <c r="CE142">
        <v>1.3333333333333345E-2</v>
      </c>
      <c r="CF142">
        <v>1.3333333333333345E-2</v>
      </c>
      <c r="CG142">
        <v>1.3333333333333345E-2</v>
      </c>
      <c r="CI142">
        <v>6.9999999999999993E-2</v>
      </c>
      <c r="CJ142">
        <v>0.13999999999999999</v>
      </c>
      <c r="CK142">
        <v>0.13999999999999999</v>
      </c>
      <c r="CL142">
        <v>0</v>
      </c>
      <c r="CM142">
        <v>0</v>
      </c>
      <c r="CN142">
        <v>3.5000000000000003E-2</v>
      </c>
      <c r="CO142">
        <v>3.5000000000000003E-2</v>
      </c>
      <c r="CP142">
        <v>1.1666666666666659E-2</v>
      </c>
      <c r="CQ142">
        <v>1.1666666666666659E-2</v>
      </c>
      <c r="CR142">
        <v>1.1666666666666659E-2</v>
      </c>
      <c r="CS142">
        <v>1.1666666666666659E-2</v>
      </c>
      <c r="CT142">
        <v>1.1666666666666659E-2</v>
      </c>
      <c r="CU142">
        <v>1.1666666666666659E-2</v>
      </c>
      <c r="CV142">
        <v>1.1666666666666659E-2</v>
      </c>
      <c r="CW142">
        <v>1.1666666666666659E-2</v>
      </c>
      <c r="CX142">
        <v>1.1666666666666659E-2</v>
      </c>
      <c r="CZ142">
        <v>4.0000000000000008E-2</v>
      </c>
      <c r="DA142">
        <v>0.08</v>
      </c>
      <c r="DB142">
        <v>0.08</v>
      </c>
      <c r="DC142">
        <v>0</v>
      </c>
      <c r="DD142">
        <v>0</v>
      </c>
      <c r="DE142">
        <v>1.999999999999999E-2</v>
      </c>
      <c r="DF142">
        <v>1.999999999999999E-2</v>
      </c>
      <c r="DG142">
        <v>6.6666666666666723E-3</v>
      </c>
      <c r="DH142">
        <v>6.6666666666666723E-3</v>
      </c>
      <c r="DI142">
        <v>6.6666666666666723E-3</v>
      </c>
      <c r="DJ142">
        <v>6.6666666666666723E-3</v>
      </c>
      <c r="DK142">
        <v>6.6666666666666723E-3</v>
      </c>
      <c r="DL142">
        <v>6.6666666666666723E-3</v>
      </c>
      <c r="DM142">
        <v>6.6666666666666723E-3</v>
      </c>
      <c r="DN142">
        <v>6.6666666666666723E-3</v>
      </c>
      <c r="DO142">
        <v>6.6666666666666723E-3</v>
      </c>
    </row>
    <row r="143" spans="61:119">
      <c r="BI143" t="str">
        <f t="shared" si="57"/>
        <v>42978FI</v>
      </c>
      <c r="BJ143" s="426">
        <v>42978</v>
      </c>
      <c r="BM143" t="s">
        <v>1355</v>
      </c>
      <c r="BN143" s="438">
        <v>1</v>
      </c>
      <c r="BO143" s="438">
        <v>1</v>
      </c>
      <c r="BR143">
        <v>2.3000000000000003E-2</v>
      </c>
      <c r="BS143">
        <v>8.0500000000000016E-2</v>
      </c>
      <c r="BT143">
        <v>8.0500000000000016E-2</v>
      </c>
      <c r="BU143">
        <v>2.2999999999999993E-2</v>
      </c>
      <c r="BV143">
        <v>2.2999999999999993E-2</v>
      </c>
      <c r="BW143">
        <v>2.3000000000000007E-2</v>
      </c>
      <c r="BX143">
        <v>2.3000000000000007E-2</v>
      </c>
      <c r="BY143">
        <v>7.6666666666666671E-3</v>
      </c>
      <c r="BZ143">
        <v>7.6666666666666671E-3</v>
      </c>
      <c r="CA143">
        <v>7.6666666666666671E-3</v>
      </c>
      <c r="CB143">
        <v>7.6666666666666671E-3</v>
      </c>
      <c r="CC143">
        <v>7.6666666666666671E-3</v>
      </c>
      <c r="CD143">
        <v>7.6666666666666671E-3</v>
      </c>
      <c r="CE143">
        <v>7.6666666666666671E-3</v>
      </c>
      <c r="CF143">
        <v>7.6666666666666671E-3</v>
      </c>
      <c r="CG143">
        <v>7.6666666666666671E-3</v>
      </c>
      <c r="CI143">
        <v>2.0000000000000004E-2</v>
      </c>
      <c r="CJ143">
        <v>7.0000000000000007E-2</v>
      </c>
      <c r="CK143">
        <v>7.0000000000000007E-2</v>
      </c>
      <c r="CL143">
        <v>1.999999999999999E-2</v>
      </c>
      <c r="CM143">
        <v>1.999999999999999E-2</v>
      </c>
      <c r="CN143">
        <v>1.999999999999999E-2</v>
      </c>
      <c r="CO143">
        <v>1.999999999999999E-2</v>
      </c>
      <c r="CP143">
        <v>6.6666666666666723E-3</v>
      </c>
      <c r="CQ143">
        <v>6.6666666666666723E-3</v>
      </c>
      <c r="CR143">
        <v>6.6666666666666723E-3</v>
      </c>
      <c r="CS143">
        <v>6.6666666666666723E-3</v>
      </c>
      <c r="CT143">
        <v>6.6666666666666723E-3</v>
      </c>
      <c r="CU143">
        <v>6.6666666666666723E-3</v>
      </c>
      <c r="CV143">
        <v>6.6666666666666723E-3</v>
      </c>
      <c r="CW143">
        <v>6.6666666666666723E-3</v>
      </c>
      <c r="CX143">
        <v>6.6666666666666723E-3</v>
      </c>
      <c r="CZ143">
        <v>1.4999999999999999E-2</v>
      </c>
      <c r="DA143">
        <v>5.2499999999999998E-2</v>
      </c>
      <c r="DB143">
        <v>5.2499999999999998E-2</v>
      </c>
      <c r="DC143">
        <v>1.4999999999999999E-2</v>
      </c>
      <c r="DD143">
        <v>1.4999999999999999E-2</v>
      </c>
      <c r="DE143">
        <v>1.4999999999999999E-2</v>
      </c>
      <c r="DF143">
        <v>1.4999999999999999E-2</v>
      </c>
      <c r="DG143">
        <v>4.9999999999999984E-3</v>
      </c>
      <c r="DH143">
        <v>4.9999999999999984E-3</v>
      </c>
      <c r="DI143">
        <v>4.9999999999999984E-3</v>
      </c>
      <c r="DJ143">
        <v>4.9999999999999984E-3</v>
      </c>
      <c r="DK143">
        <v>4.9999999999999984E-3</v>
      </c>
      <c r="DL143">
        <v>4.9999999999999984E-3</v>
      </c>
      <c r="DM143">
        <v>4.9999999999999984E-3</v>
      </c>
      <c r="DN143">
        <v>4.9999999999999984E-3</v>
      </c>
      <c r="DO143">
        <v>4.9999999999999984E-3</v>
      </c>
    </row>
    <row r="144" spans="61:119">
      <c r="BI144" t="str">
        <f t="shared" si="57"/>
        <v>42978CORP</v>
      </c>
      <c r="BJ144" s="426">
        <v>42978</v>
      </c>
      <c r="BM144" t="s">
        <v>1356</v>
      </c>
      <c r="BN144" s="438">
        <v>1</v>
      </c>
      <c r="BO144" s="438">
        <v>1</v>
      </c>
      <c r="BR144">
        <v>8.0000000000000002E-3</v>
      </c>
      <c r="BS144">
        <v>4.3999999999999997E-2</v>
      </c>
      <c r="BT144">
        <v>4.3999999999999997E-2</v>
      </c>
      <c r="BU144">
        <v>3.2000000000000001E-2</v>
      </c>
      <c r="BV144">
        <v>3.2000000000000001E-2</v>
      </c>
      <c r="BW144">
        <v>1.6E-2</v>
      </c>
      <c r="BX144">
        <v>1.6E-2</v>
      </c>
      <c r="BY144">
        <v>5.3333333333333323E-3</v>
      </c>
      <c r="BZ144">
        <v>5.3333333333333323E-3</v>
      </c>
      <c r="CA144">
        <v>5.3333333333333323E-3</v>
      </c>
      <c r="CB144">
        <v>5.3333333333333323E-3</v>
      </c>
      <c r="CC144">
        <v>5.3333333333333323E-3</v>
      </c>
      <c r="CD144">
        <v>5.3333333333333323E-3</v>
      </c>
      <c r="CE144">
        <v>5.3333333333333323E-3</v>
      </c>
      <c r="CF144">
        <v>5.3333333333333323E-3</v>
      </c>
      <c r="CG144">
        <v>5.3333333333333323E-3</v>
      </c>
      <c r="CI144">
        <v>7.000000000000001E-3</v>
      </c>
      <c r="CJ144">
        <v>3.85E-2</v>
      </c>
      <c r="CK144">
        <v>3.85E-2</v>
      </c>
      <c r="CL144">
        <v>2.8000000000000004E-2</v>
      </c>
      <c r="CM144">
        <v>2.8000000000000004E-2</v>
      </c>
      <c r="CN144">
        <v>1.3999999999999999E-2</v>
      </c>
      <c r="CO144">
        <v>1.3999999999999999E-2</v>
      </c>
      <c r="CP144">
        <v>4.6666666666666679E-3</v>
      </c>
      <c r="CQ144">
        <v>4.6666666666666679E-3</v>
      </c>
      <c r="CR144">
        <v>4.6666666666666679E-3</v>
      </c>
      <c r="CS144">
        <v>4.6666666666666679E-3</v>
      </c>
      <c r="CT144">
        <v>4.6666666666666679E-3</v>
      </c>
      <c r="CU144">
        <v>4.6666666666666679E-3</v>
      </c>
      <c r="CV144">
        <v>4.6666666666666679E-3</v>
      </c>
      <c r="CW144">
        <v>4.6666666666666679E-3</v>
      </c>
      <c r="CX144">
        <v>4.6666666666666679E-3</v>
      </c>
      <c r="CZ144">
        <v>5.000000000000001E-3</v>
      </c>
      <c r="DA144">
        <v>2.7499999999999997E-2</v>
      </c>
      <c r="DB144">
        <v>2.7499999999999997E-2</v>
      </c>
      <c r="DC144">
        <v>2.0000000000000004E-2</v>
      </c>
      <c r="DD144">
        <v>2.0000000000000004E-2</v>
      </c>
      <c r="DE144">
        <v>9.999999999999995E-3</v>
      </c>
      <c r="DF144">
        <v>9.999999999999995E-3</v>
      </c>
      <c r="DG144">
        <v>3.3333333333333361E-3</v>
      </c>
      <c r="DH144">
        <v>3.3333333333333361E-3</v>
      </c>
      <c r="DI144">
        <v>3.3333333333333361E-3</v>
      </c>
      <c r="DJ144">
        <v>3.3333333333333361E-3</v>
      </c>
      <c r="DK144">
        <v>3.3333333333333361E-3</v>
      </c>
      <c r="DL144">
        <v>3.3333333333333361E-3</v>
      </c>
      <c r="DM144">
        <v>3.3333333333333361E-3</v>
      </c>
      <c r="DN144">
        <v>3.3333333333333361E-3</v>
      </c>
      <c r="DO144">
        <v>3.3333333333333361E-3</v>
      </c>
    </row>
    <row r="145" spans="61:119">
      <c r="BI145" t="str">
        <f t="shared" si="57"/>
        <v>42978ESCROW</v>
      </c>
      <c r="BJ145" s="426">
        <v>42978</v>
      </c>
      <c r="BM145" t="s">
        <v>1339</v>
      </c>
      <c r="BN145" s="438">
        <v>1</v>
      </c>
      <c r="BO145" s="438">
        <v>1</v>
      </c>
      <c r="BR145">
        <v>3.2000000000000001E-2</v>
      </c>
      <c r="BS145">
        <v>2.4E-2</v>
      </c>
      <c r="BT145">
        <v>2.4E-2</v>
      </c>
      <c r="BU145">
        <v>0.04</v>
      </c>
      <c r="BV145">
        <v>0.04</v>
      </c>
      <c r="BW145">
        <v>3.9999999999999994E-2</v>
      </c>
      <c r="BX145">
        <v>3.9999999999999994E-2</v>
      </c>
      <c r="BY145">
        <v>8.8888888888888906E-3</v>
      </c>
      <c r="BZ145">
        <v>8.8888888888888906E-3</v>
      </c>
      <c r="CA145">
        <v>8.8888888888888906E-3</v>
      </c>
      <c r="CB145">
        <v>8.8888888888888906E-3</v>
      </c>
      <c r="CC145">
        <v>8.8888888888888906E-3</v>
      </c>
      <c r="CD145">
        <v>8.8888888888888906E-3</v>
      </c>
      <c r="CE145">
        <v>8.8888888888888906E-3</v>
      </c>
      <c r="CF145">
        <v>8.8888888888888906E-3</v>
      </c>
      <c r="CG145">
        <v>8.8888888888888906E-3</v>
      </c>
      <c r="CI145">
        <v>2.8000000000000004E-2</v>
      </c>
      <c r="CJ145">
        <v>2.1000000000000001E-2</v>
      </c>
      <c r="CK145">
        <v>2.1000000000000001E-2</v>
      </c>
      <c r="CL145">
        <v>3.5000000000000003E-2</v>
      </c>
      <c r="CM145">
        <v>3.5000000000000003E-2</v>
      </c>
      <c r="CN145">
        <v>3.5000000000000003E-2</v>
      </c>
      <c r="CO145">
        <v>3.5000000000000003E-2</v>
      </c>
      <c r="CP145">
        <v>7.7777777777777784E-3</v>
      </c>
      <c r="CQ145">
        <v>7.7777777777777784E-3</v>
      </c>
      <c r="CR145">
        <v>7.7777777777777784E-3</v>
      </c>
      <c r="CS145">
        <v>7.7777777777777784E-3</v>
      </c>
      <c r="CT145">
        <v>7.7777777777777784E-3</v>
      </c>
      <c r="CU145">
        <v>7.7777777777777784E-3</v>
      </c>
      <c r="CV145">
        <v>7.7777777777777784E-3</v>
      </c>
      <c r="CW145">
        <v>7.7777777777777784E-3</v>
      </c>
      <c r="CX145">
        <v>7.7777777777777784E-3</v>
      </c>
      <c r="CZ145">
        <v>2.0000000000000004E-2</v>
      </c>
      <c r="DA145">
        <v>1.4999999999999999E-2</v>
      </c>
      <c r="DB145">
        <v>1.4999999999999999E-2</v>
      </c>
      <c r="DC145">
        <v>2.5000000000000001E-2</v>
      </c>
      <c r="DD145">
        <v>2.5000000000000001E-2</v>
      </c>
      <c r="DE145">
        <v>2.5000000000000008E-2</v>
      </c>
      <c r="DF145">
        <v>2.5000000000000008E-2</v>
      </c>
      <c r="DG145">
        <v>5.555555555555554E-3</v>
      </c>
      <c r="DH145">
        <v>5.555555555555554E-3</v>
      </c>
      <c r="DI145">
        <v>5.555555555555554E-3</v>
      </c>
      <c r="DJ145">
        <v>5.555555555555554E-3</v>
      </c>
      <c r="DK145">
        <v>5.555555555555554E-3</v>
      </c>
      <c r="DL145">
        <v>5.555555555555554E-3</v>
      </c>
      <c r="DM145">
        <v>5.555555555555554E-3</v>
      </c>
      <c r="DN145">
        <v>5.555555555555554E-3</v>
      </c>
      <c r="DO145">
        <v>5.555555555555554E-3</v>
      </c>
    </row>
    <row r="146" spans="61:119">
      <c r="BI146" t="str">
        <f t="shared" si="57"/>
        <v>42978IB</v>
      </c>
      <c r="BJ146" s="426">
        <v>42978</v>
      </c>
      <c r="BM146" t="s">
        <v>1354</v>
      </c>
      <c r="BN146" s="438">
        <v>1</v>
      </c>
      <c r="BO146" s="438">
        <v>1</v>
      </c>
      <c r="BR146">
        <v>1.2E-2</v>
      </c>
      <c r="BS146">
        <v>4.2000000000000003E-2</v>
      </c>
      <c r="BT146">
        <v>4.2000000000000003E-2</v>
      </c>
      <c r="BU146">
        <v>1.1999999999999997E-2</v>
      </c>
      <c r="BV146">
        <v>1.1999999999999997E-2</v>
      </c>
      <c r="BW146">
        <v>1.1999999999999997E-2</v>
      </c>
      <c r="BX146">
        <v>1.1999999999999997E-2</v>
      </c>
      <c r="BY146">
        <v>4.0000000000000001E-3</v>
      </c>
      <c r="BZ146">
        <v>4.0000000000000001E-3</v>
      </c>
      <c r="CA146">
        <v>4.0000000000000001E-3</v>
      </c>
      <c r="CB146">
        <v>4.0000000000000001E-3</v>
      </c>
      <c r="CC146">
        <v>4.0000000000000001E-3</v>
      </c>
      <c r="CD146">
        <v>4.0000000000000001E-3</v>
      </c>
      <c r="CE146">
        <v>4.0000000000000001E-3</v>
      </c>
      <c r="CF146">
        <v>4.0000000000000001E-3</v>
      </c>
      <c r="CG146">
        <v>4.0000000000000001E-3</v>
      </c>
      <c r="CI146">
        <v>3.0000000000000001E-3</v>
      </c>
      <c r="CJ146">
        <v>1.0500000000000001E-2</v>
      </c>
      <c r="CK146">
        <v>1.0500000000000001E-2</v>
      </c>
      <c r="CL146">
        <v>2.9999999999999992E-3</v>
      </c>
      <c r="CM146">
        <v>2.9999999999999992E-3</v>
      </c>
      <c r="CN146">
        <v>2.9999999999999992E-3</v>
      </c>
      <c r="CO146">
        <v>2.9999999999999992E-3</v>
      </c>
      <c r="CP146">
        <v>1E-3</v>
      </c>
      <c r="CQ146">
        <v>1E-3</v>
      </c>
      <c r="CR146">
        <v>1E-3</v>
      </c>
      <c r="CS146">
        <v>1E-3</v>
      </c>
      <c r="CT146">
        <v>1E-3</v>
      </c>
      <c r="CU146">
        <v>1E-3</v>
      </c>
      <c r="CV146">
        <v>1E-3</v>
      </c>
      <c r="CW146">
        <v>1E-3</v>
      </c>
      <c r="CX146">
        <v>1E-3</v>
      </c>
      <c r="CZ146">
        <v>1.0000000000000002E-2</v>
      </c>
      <c r="DA146">
        <v>3.5000000000000003E-2</v>
      </c>
      <c r="DB146">
        <v>3.5000000000000003E-2</v>
      </c>
      <c r="DC146">
        <v>9.999999999999995E-3</v>
      </c>
      <c r="DD146">
        <v>9.999999999999995E-3</v>
      </c>
      <c r="DE146">
        <v>9.999999999999995E-3</v>
      </c>
      <c r="DF146">
        <v>9.999999999999995E-3</v>
      </c>
      <c r="DG146">
        <v>3.3333333333333361E-3</v>
      </c>
      <c r="DH146">
        <v>3.3333333333333361E-3</v>
      </c>
      <c r="DI146">
        <v>3.3333333333333361E-3</v>
      </c>
      <c r="DJ146">
        <v>3.3333333333333361E-3</v>
      </c>
      <c r="DK146">
        <v>3.3333333333333361E-3</v>
      </c>
      <c r="DL146">
        <v>3.3333333333333361E-3</v>
      </c>
      <c r="DM146">
        <v>3.3333333333333361E-3</v>
      </c>
      <c r="DN146">
        <v>3.3333333333333361E-3</v>
      </c>
      <c r="DO146">
        <v>3.3333333333333361E-3</v>
      </c>
    </row>
    <row r="147" spans="61:119">
      <c r="BI147" t="str">
        <f t="shared" si="57"/>
        <v>42978AFF</v>
      </c>
      <c r="BJ147" s="426">
        <v>42978</v>
      </c>
      <c r="BM147" t="s">
        <v>1353</v>
      </c>
      <c r="BN147" s="438">
        <v>1</v>
      </c>
      <c r="BO147" s="438">
        <v>1</v>
      </c>
      <c r="BR147">
        <v>1.4999999999999999E-2</v>
      </c>
      <c r="BS147">
        <v>5.2499999999999998E-2</v>
      </c>
      <c r="BT147">
        <v>5.2499999999999998E-2</v>
      </c>
      <c r="BU147">
        <v>1.4999999999999999E-2</v>
      </c>
      <c r="BV147">
        <v>1.4999999999999999E-2</v>
      </c>
      <c r="BW147">
        <v>1.4999999999999999E-2</v>
      </c>
      <c r="BX147">
        <v>1.4999999999999999E-2</v>
      </c>
      <c r="BY147">
        <v>4.9999999999999984E-3</v>
      </c>
      <c r="BZ147">
        <v>4.9999999999999984E-3</v>
      </c>
      <c r="CA147">
        <v>4.9999999999999984E-3</v>
      </c>
      <c r="CB147">
        <v>4.9999999999999984E-3</v>
      </c>
      <c r="CC147">
        <v>4.9999999999999984E-3</v>
      </c>
      <c r="CD147">
        <v>4.9999999999999984E-3</v>
      </c>
      <c r="CE147">
        <v>4.9999999999999984E-3</v>
      </c>
      <c r="CF147">
        <v>4.9999999999999984E-3</v>
      </c>
      <c r="CG147">
        <v>4.9999999999999984E-3</v>
      </c>
      <c r="CI147">
        <v>1.2E-2</v>
      </c>
      <c r="CJ147">
        <v>4.2000000000000003E-2</v>
      </c>
      <c r="CK147">
        <v>4.2000000000000003E-2</v>
      </c>
      <c r="CL147">
        <v>1.1999999999999997E-2</v>
      </c>
      <c r="CM147">
        <v>1.1999999999999997E-2</v>
      </c>
      <c r="CN147">
        <v>1.1999999999999997E-2</v>
      </c>
      <c r="CO147">
        <v>1.1999999999999997E-2</v>
      </c>
      <c r="CP147">
        <v>4.0000000000000001E-3</v>
      </c>
      <c r="CQ147">
        <v>4.0000000000000001E-3</v>
      </c>
      <c r="CR147">
        <v>4.0000000000000001E-3</v>
      </c>
      <c r="CS147">
        <v>4.0000000000000001E-3</v>
      </c>
      <c r="CT147">
        <v>4.0000000000000001E-3</v>
      </c>
      <c r="CU147">
        <v>4.0000000000000001E-3</v>
      </c>
      <c r="CV147">
        <v>4.0000000000000001E-3</v>
      </c>
      <c r="CW147">
        <v>4.0000000000000001E-3</v>
      </c>
      <c r="CX147">
        <v>4.0000000000000001E-3</v>
      </c>
      <c r="CZ147">
        <v>5.000000000000001E-3</v>
      </c>
      <c r="DA147">
        <v>1.7500000000000002E-2</v>
      </c>
      <c r="DB147">
        <v>1.7500000000000002E-2</v>
      </c>
      <c r="DC147">
        <v>4.9999999999999975E-3</v>
      </c>
      <c r="DD147">
        <v>4.9999999999999975E-3</v>
      </c>
      <c r="DE147">
        <v>4.9999999999999975E-3</v>
      </c>
      <c r="DF147">
        <v>4.9999999999999975E-3</v>
      </c>
      <c r="DG147">
        <v>1.6666666666666681E-3</v>
      </c>
      <c r="DH147">
        <v>1.6666666666666681E-3</v>
      </c>
      <c r="DI147">
        <v>1.6666666666666681E-3</v>
      </c>
      <c r="DJ147">
        <v>1.6666666666666681E-3</v>
      </c>
      <c r="DK147">
        <v>1.6666666666666681E-3</v>
      </c>
      <c r="DL147">
        <v>1.6666666666666681E-3</v>
      </c>
      <c r="DM147">
        <v>1.6666666666666681E-3</v>
      </c>
      <c r="DN147">
        <v>1.6666666666666681E-3</v>
      </c>
      <c r="DO147">
        <v>1.6666666666666681E-3</v>
      </c>
    </row>
    <row r="148" spans="61:119">
      <c r="BI148" t="str">
        <f t="shared" si="57"/>
        <v>430071030623FI</v>
      </c>
      <c r="BJ148" s="426">
        <v>43007</v>
      </c>
      <c r="BK148" t="s">
        <v>1360</v>
      </c>
      <c r="BL148" t="s">
        <v>1369</v>
      </c>
      <c r="BM148" t="s">
        <v>1355</v>
      </c>
      <c r="BN148" s="438">
        <v>2</v>
      </c>
      <c r="BO148" s="438">
        <v>1</v>
      </c>
      <c r="BR148">
        <v>4.6000000000000006E-2</v>
      </c>
      <c r="BS148">
        <v>0.16100000000000003</v>
      </c>
      <c r="BT148">
        <v>0.16100000000000003</v>
      </c>
      <c r="BU148">
        <v>4.5999999999999985E-2</v>
      </c>
      <c r="BV148">
        <v>4.5999999999999985E-2</v>
      </c>
      <c r="BW148">
        <v>4.6000000000000013E-2</v>
      </c>
      <c r="BX148">
        <v>4.6000000000000013E-2</v>
      </c>
      <c r="BY148">
        <v>1.5333333333333334E-2</v>
      </c>
      <c r="BZ148">
        <v>1.5333333333333334E-2</v>
      </c>
      <c r="CA148">
        <v>1.5333333333333334E-2</v>
      </c>
      <c r="CB148">
        <v>1.5333333333333334E-2</v>
      </c>
      <c r="CC148">
        <v>1.5333333333333334E-2</v>
      </c>
      <c r="CD148">
        <v>1.5333333333333334E-2</v>
      </c>
      <c r="CE148">
        <v>1.5333333333333334E-2</v>
      </c>
      <c r="CF148">
        <v>1.5333333333333334E-2</v>
      </c>
      <c r="CG148">
        <v>1.5333333333333334E-2</v>
      </c>
      <c r="CI148">
        <v>4.0000000000000008E-2</v>
      </c>
      <c r="CJ148">
        <v>0.14000000000000001</v>
      </c>
      <c r="CK148">
        <v>0.14000000000000001</v>
      </c>
      <c r="CL148">
        <v>3.999999999999998E-2</v>
      </c>
      <c r="CM148">
        <v>3.999999999999998E-2</v>
      </c>
      <c r="CN148">
        <v>3.999999999999998E-2</v>
      </c>
      <c r="CO148">
        <v>3.999999999999998E-2</v>
      </c>
      <c r="CP148">
        <v>1.3333333333333345E-2</v>
      </c>
      <c r="CQ148">
        <v>1.3333333333333345E-2</v>
      </c>
      <c r="CR148">
        <v>1.3333333333333345E-2</v>
      </c>
      <c r="CS148">
        <v>1.3333333333333345E-2</v>
      </c>
      <c r="CT148">
        <v>1.3333333333333345E-2</v>
      </c>
      <c r="CU148">
        <v>1.3333333333333345E-2</v>
      </c>
      <c r="CV148">
        <v>1.3333333333333345E-2</v>
      </c>
      <c r="CW148">
        <v>1.3333333333333345E-2</v>
      </c>
      <c r="CX148">
        <v>1.3333333333333345E-2</v>
      </c>
      <c r="CZ148">
        <v>0.03</v>
      </c>
      <c r="DA148">
        <v>0.105</v>
      </c>
      <c r="DB148">
        <v>0.105</v>
      </c>
      <c r="DC148">
        <v>0.03</v>
      </c>
      <c r="DD148">
        <v>0.03</v>
      </c>
      <c r="DE148">
        <v>0.03</v>
      </c>
      <c r="DF148">
        <v>0.03</v>
      </c>
      <c r="DG148">
        <v>9.9999999999999967E-3</v>
      </c>
      <c r="DH148">
        <v>9.9999999999999967E-3</v>
      </c>
      <c r="DI148">
        <v>9.9999999999999967E-3</v>
      </c>
      <c r="DJ148">
        <v>9.9999999999999967E-3</v>
      </c>
      <c r="DK148">
        <v>9.9999999999999967E-3</v>
      </c>
      <c r="DL148">
        <v>9.9999999999999967E-3</v>
      </c>
      <c r="DM148">
        <v>9.9999999999999967E-3</v>
      </c>
      <c r="DN148">
        <v>9.9999999999999967E-3</v>
      </c>
      <c r="DO148">
        <v>9.9999999999999967E-3</v>
      </c>
    </row>
    <row r="149" spans="61:119">
      <c r="BI149" t="str">
        <f t="shared" si="57"/>
        <v>430071000790IB</v>
      </c>
      <c r="BJ149" s="426">
        <v>43007</v>
      </c>
      <c r="BK149" t="s">
        <v>1358</v>
      </c>
      <c r="BL149" t="s">
        <v>1371</v>
      </c>
      <c r="BM149" t="s">
        <v>1354</v>
      </c>
      <c r="BN149" s="438">
        <v>1.4831035401117605</v>
      </c>
      <c r="BO149" s="438">
        <v>1</v>
      </c>
      <c r="BR149">
        <v>1.7797242481341125E-2</v>
      </c>
      <c r="BS149">
        <v>6.2290348684693936E-2</v>
      </c>
      <c r="BT149">
        <v>6.2290348684693936E-2</v>
      </c>
      <c r="BU149">
        <v>1.7797242481341125E-2</v>
      </c>
      <c r="BV149">
        <v>1.7797242481341125E-2</v>
      </c>
      <c r="BW149">
        <v>1.7797242481341125E-2</v>
      </c>
      <c r="BX149">
        <v>1.7797242481341125E-2</v>
      </c>
      <c r="BY149">
        <v>5.9324141604470415E-3</v>
      </c>
      <c r="BZ149">
        <v>5.9324141604470415E-3</v>
      </c>
      <c r="CA149">
        <v>5.9324141604470415E-3</v>
      </c>
      <c r="CB149">
        <v>5.9324141604470415E-3</v>
      </c>
      <c r="CC149">
        <v>5.9324141604470415E-3</v>
      </c>
      <c r="CD149">
        <v>5.9324141604470415E-3</v>
      </c>
      <c r="CE149">
        <v>5.9324141604470415E-3</v>
      </c>
      <c r="CF149">
        <v>5.9324141604470415E-3</v>
      </c>
      <c r="CG149">
        <v>5.9324141604470415E-3</v>
      </c>
      <c r="CI149">
        <v>4.4493106203352811E-3</v>
      </c>
      <c r="CJ149">
        <v>1.5572587171173484E-2</v>
      </c>
      <c r="CK149">
        <v>1.5572587171173484E-2</v>
      </c>
      <c r="CL149">
        <v>4.4493106203352811E-3</v>
      </c>
      <c r="CM149">
        <v>4.4493106203352811E-3</v>
      </c>
      <c r="CN149">
        <v>4.4493106203352811E-3</v>
      </c>
      <c r="CO149">
        <v>4.4493106203352811E-3</v>
      </c>
      <c r="CP149">
        <v>1.4831035401117604E-3</v>
      </c>
      <c r="CQ149">
        <v>1.4831035401117604E-3</v>
      </c>
      <c r="CR149">
        <v>1.4831035401117604E-3</v>
      </c>
      <c r="CS149">
        <v>1.4831035401117604E-3</v>
      </c>
      <c r="CT149">
        <v>1.4831035401117604E-3</v>
      </c>
      <c r="CU149">
        <v>1.4831035401117604E-3</v>
      </c>
      <c r="CV149">
        <v>1.4831035401117604E-3</v>
      </c>
      <c r="CW149">
        <v>1.4831035401117604E-3</v>
      </c>
      <c r="CX149">
        <v>1.4831035401117604E-3</v>
      </c>
      <c r="CZ149">
        <v>1.4831035401117607E-2</v>
      </c>
      <c r="DA149">
        <v>5.1908623903911627E-2</v>
      </c>
      <c r="DB149">
        <v>5.1908623903911627E-2</v>
      </c>
      <c r="DC149">
        <v>1.4831035401117604E-2</v>
      </c>
      <c r="DD149">
        <v>1.4831035401117604E-2</v>
      </c>
      <c r="DE149">
        <v>1.4831035401117604E-2</v>
      </c>
      <c r="DF149">
        <v>1.4831035401117604E-2</v>
      </c>
      <c r="DG149">
        <v>4.9436784670392015E-3</v>
      </c>
      <c r="DH149">
        <v>4.9436784670392015E-3</v>
      </c>
      <c r="DI149">
        <v>4.9436784670392015E-3</v>
      </c>
      <c r="DJ149">
        <v>4.9436784670392015E-3</v>
      </c>
      <c r="DK149">
        <v>4.9436784670392015E-3</v>
      </c>
      <c r="DL149">
        <v>4.9436784670392015E-3</v>
      </c>
      <c r="DM149">
        <v>4.9436784670392015E-3</v>
      </c>
      <c r="DN149">
        <v>4.9436784670392015E-3</v>
      </c>
      <c r="DO149">
        <v>4.9436784670392015E-3</v>
      </c>
    </row>
    <row r="150" spans="61:119">
      <c r="BI150" t="str">
        <f t="shared" si="57"/>
        <v>430071126198FI</v>
      </c>
      <c r="BJ150" s="426">
        <v>43007</v>
      </c>
      <c r="BK150" t="s">
        <v>1359</v>
      </c>
      <c r="BL150" t="s">
        <v>1367</v>
      </c>
      <c r="BM150" t="s">
        <v>1355</v>
      </c>
      <c r="BN150" s="438">
        <v>1.4003146055642155</v>
      </c>
      <c r="BO150" s="438">
        <v>1</v>
      </c>
      <c r="BR150">
        <v>3.220723592797696E-2</v>
      </c>
      <c r="BS150">
        <v>0.11272532574791935</v>
      </c>
      <c r="BT150">
        <v>0.11272532574791935</v>
      </c>
      <c r="BU150">
        <v>3.2207235927976946E-2</v>
      </c>
      <c r="BV150">
        <v>3.2207235927976946E-2</v>
      </c>
      <c r="BW150">
        <v>3.2207235927976946E-2</v>
      </c>
      <c r="BX150">
        <v>3.2207235927976946E-2</v>
      </c>
      <c r="BY150">
        <v>1.0735745309325652E-2</v>
      </c>
      <c r="BZ150">
        <v>1.0735745309325652E-2</v>
      </c>
      <c r="CA150">
        <v>1.0735745309325652E-2</v>
      </c>
      <c r="CB150">
        <v>1.0735745309325652E-2</v>
      </c>
      <c r="CC150">
        <v>1.0735745309325652E-2</v>
      </c>
      <c r="CD150">
        <v>1.0735745309325652E-2</v>
      </c>
      <c r="CE150">
        <v>1.0735745309325652E-2</v>
      </c>
      <c r="CF150">
        <v>1.0735745309325652E-2</v>
      </c>
      <c r="CG150">
        <v>1.0735745309325652E-2</v>
      </c>
      <c r="CI150">
        <v>2.800629211128431E-2</v>
      </c>
      <c r="CJ150">
        <v>9.8022022389495089E-2</v>
      </c>
      <c r="CK150">
        <v>9.8022022389495089E-2</v>
      </c>
      <c r="CL150">
        <v>2.8006292111284303E-2</v>
      </c>
      <c r="CM150">
        <v>2.8006292111284303E-2</v>
      </c>
      <c r="CN150">
        <v>2.8006292111284303E-2</v>
      </c>
      <c r="CO150">
        <v>2.8006292111284303E-2</v>
      </c>
      <c r="CP150">
        <v>9.335430703761435E-3</v>
      </c>
      <c r="CQ150">
        <v>9.335430703761435E-3</v>
      </c>
      <c r="CR150">
        <v>9.335430703761435E-3</v>
      </c>
      <c r="CS150">
        <v>9.335430703761435E-3</v>
      </c>
      <c r="CT150">
        <v>9.335430703761435E-3</v>
      </c>
      <c r="CU150">
        <v>9.335430703761435E-3</v>
      </c>
      <c r="CV150">
        <v>9.335430703761435E-3</v>
      </c>
      <c r="CW150">
        <v>9.335430703761435E-3</v>
      </c>
      <c r="CX150">
        <v>9.335430703761435E-3</v>
      </c>
      <c r="CZ150">
        <v>2.1004719083463234E-2</v>
      </c>
      <c r="DA150">
        <v>7.3516516792121317E-2</v>
      </c>
      <c r="DB150">
        <v>7.3516516792121317E-2</v>
      </c>
      <c r="DC150">
        <v>2.1004719083463227E-2</v>
      </c>
      <c r="DD150">
        <v>2.1004719083463227E-2</v>
      </c>
      <c r="DE150">
        <v>2.1004719083463227E-2</v>
      </c>
      <c r="DF150">
        <v>2.1004719083463227E-2</v>
      </c>
      <c r="DG150">
        <v>7.0015730278210802E-3</v>
      </c>
      <c r="DH150">
        <v>7.0015730278210802E-3</v>
      </c>
      <c r="DI150">
        <v>7.0015730278210802E-3</v>
      </c>
      <c r="DJ150">
        <v>7.0015730278210802E-3</v>
      </c>
      <c r="DK150">
        <v>7.0015730278210802E-3</v>
      </c>
      <c r="DL150">
        <v>7.0015730278210802E-3</v>
      </c>
      <c r="DM150">
        <v>7.0015730278210802E-3</v>
      </c>
      <c r="DN150">
        <v>7.0015730278210802E-3</v>
      </c>
      <c r="DO150">
        <v>7.0015730278210802E-3</v>
      </c>
    </row>
    <row r="151" spans="61:119">
      <c r="BI151" t="str">
        <f t="shared" si="57"/>
        <v>430071151227FI</v>
      </c>
      <c r="BJ151" s="426">
        <v>43007</v>
      </c>
      <c r="BK151" t="s">
        <v>1362</v>
      </c>
      <c r="BL151" t="s">
        <v>1372</v>
      </c>
      <c r="BM151" t="s">
        <v>1355</v>
      </c>
      <c r="BN151" s="438">
        <v>1.0953899497015351</v>
      </c>
      <c r="BO151" s="438">
        <v>0.47401161494055971</v>
      </c>
      <c r="BR151">
        <v>7.877707117394353E-2</v>
      </c>
      <c r="BS151">
        <v>0.17546749313503213</v>
      </c>
      <c r="BT151">
        <v>0.17546749313503213</v>
      </c>
      <c r="BU151">
        <v>1.1942233858096701E-2</v>
      </c>
      <c r="BV151">
        <v>1.1942233858096701E-2</v>
      </c>
      <c r="BW151">
        <v>4.5359652516020144E-2</v>
      </c>
      <c r="BX151">
        <v>4.5359652516020144E-2</v>
      </c>
      <c r="BY151">
        <v>1.5119884172006702E-2</v>
      </c>
      <c r="BZ151">
        <v>1.5119884172006702E-2</v>
      </c>
      <c r="CA151">
        <v>1.5119884172006702E-2</v>
      </c>
      <c r="CB151">
        <v>1.5119884172006702E-2</v>
      </c>
      <c r="CC151">
        <v>1.5119884172006702E-2</v>
      </c>
      <c r="CD151">
        <v>1.5119884172006702E-2</v>
      </c>
      <c r="CE151">
        <v>1.5119884172006702E-2</v>
      </c>
      <c r="CF151">
        <v>1.5119884172006702E-2</v>
      </c>
      <c r="CG151">
        <v>1.5119884172006702E-2</v>
      </c>
      <c r="CI151">
        <v>7.3762414152877376E-2</v>
      </c>
      <c r="CJ151">
        <v>0.16310165507718524</v>
      </c>
      <c r="CK151">
        <v>0.16310165507718524</v>
      </c>
      <c r="CL151">
        <v>1.0384551180953661E-2</v>
      </c>
      <c r="CM151">
        <v>1.0384551180953661E-2</v>
      </c>
      <c r="CN151">
        <v>4.2073482666915518E-2</v>
      </c>
      <c r="CO151">
        <v>4.2073482666915518E-2</v>
      </c>
      <c r="CP151">
        <v>1.402449422230518E-2</v>
      </c>
      <c r="CQ151">
        <v>1.402449422230518E-2</v>
      </c>
      <c r="CR151">
        <v>1.402449422230518E-2</v>
      </c>
      <c r="CS151">
        <v>1.402449422230518E-2</v>
      </c>
      <c r="CT151">
        <v>1.402449422230518E-2</v>
      </c>
      <c r="CU151">
        <v>1.402449422230518E-2</v>
      </c>
      <c r="CV151">
        <v>1.402449422230518E-2</v>
      </c>
      <c r="CW151">
        <v>1.402449422230518E-2</v>
      </c>
      <c r="CX151">
        <v>1.402449422230518E-2</v>
      </c>
      <c r="CZ151">
        <v>3.6596532918407844E-2</v>
      </c>
      <c r="DA151">
        <v>8.4875685915388563E-2</v>
      </c>
      <c r="DB151">
        <v>8.4875685915388563E-2</v>
      </c>
      <c r="DC151">
        <v>7.7884133857152316E-3</v>
      </c>
      <c r="DD151">
        <v>7.7884133857152316E-3</v>
      </c>
      <c r="DE151">
        <v>2.2192473152061576E-2</v>
      </c>
      <c r="DF151">
        <v>2.2192473152061576E-2</v>
      </c>
      <c r="DG151">
        <v>7.3974910506871792E-3</v>
      </c>
      <c r="DH151">
        <v>7.3974910506871792E-3</v>
      </c>
      <c r="DI151">
        <v>7.3974910506871792E-3</v>
      </c>
      <c r="DJ151">
        <v>7.3974910506871792E-3</v>
      </c>
      <c r="DK151">
        <v>7.3974910506871792E-3</v>
      </c>
      <c r="DL151">
        <v>7.3974910506871792E-3</v>
      </c>
      <c r="DM151">
        <v>7.3974910506871792E-3</v>
      </c>
      <c r="DN151">
        <v>7.3974910506871792E-3</v>
      </c>
      <c r="DO151">
        <v>7.3974910506871792E-3</v>
      </c>
    </row>
    <row r="152" spans="61:119">
      <c r="BI152" t="str">
        <f t="shared" si="57"/>
        <v>430071000857IB</v>
      </c>
      <c r="BJ152" s="426">
        <v>43007</v>
      </c>
      <c r="BK152" t="s">
        <v>1412</v>
      </c>
      <c r="BL152" t="s">
        <v>1413</v>
      </c>
      <c r="BM152" t="s">
        <v>1354</v>
      </c>
      <c r="BN152" s="438">
        <v>1.0721241103308392</v>
      </c>
      <c r="BO152" s="438">
        <v>1</v>
      </c>
      <c r="BR152">
        <v>1.286548932397007E-2</v>
      </c>
      <c r="BS152">
        <v>4.5029212633895248E-2</v>
      </c>
      <c r="BT152">
        <v>4.5029212633895248E-2</v>
      </c>
      <c r="BU152">
        <v>1.2865489323970067E-2</v>
      </c>
      <c r="BV152">
        <v>1.2865489323970067E-2</v>
      </c>
      <c r="BW152">
        <v>1.2865489323970067E-2</v>
      </c>
      <c r="BX152">
        <v>1.2865489323970067E-2</v>
      </c>
      <c r="BY152">
        <v>4.2884964413233573E-3</v>
      </c>
      <c r="BZ152">
        <v>4.2884964413233573E-3</v>
      </c>
      <c r="CA152">
        <v>4.2884964413233573E-3</v>
      </c>
      <c r="CB152">
        <v>4.2884964413233573E-3</v>
      </c>
      <c r="CC152">
        <v>4.2884964413233573E-3</v>
      </c>
      <c r="CD152">
        <v>4.2884964413233573E-3</v>
      </c>
      <c r="CE152">
        <v>4.2884964413233573E-3</v>
      </c>
      <c r="CF152">
        <v>4.2884964413233573E-3</v>
      </c>
      <c r="CG152">
        <v>4.2884964413233573E-3</v>
      </c>
      <c r="CI152">
        <v>3.2163723309925176E-3</v>
      </c>
      <c r="CJ152">
        <v>1.1257303158473812E-2</v>
      </c>
      <c r="CK152">
        <v>1.1257303158473812E-2</v>
      </c>
      <c r="CL152">
        <v>3.2163723309925167E-3</v>
      </c>
      <c r="CM152">
        <v>3.2163723309925167E-3</v>
      </c>
      <c r="CN152">
        <v>3.2163723309925167E-3</v>
      </c>
      <c r="CO152">
        <v>3.2163723309925167E-3</v>
      </c>
      <c r="CP152">
        <v>1.0721241103308393E-3</v>
      </c>
      <c r="CQ152">
        <v>1.0721241103308393E-3</v>
      </c>
      <c r="CR152">
        <v>1.0721241103308393E-3</v>
      </c>
      <c r="CS152">
        <v>1.0721241103308393E-3</v>
      </c>
      <c r="CT152">
        <v>1.0721241103308393E-3</v>
      </c>
      <c r="CU152">
        <v>1.0721241103308393E-3</v>
      </c>
      <c r="CV152">
        <v>1.0721241103308393E-3</v>
      </c>
      <c r="CW152">
        <v>1.0721241103308393E-3</v>
      </c>
      <c r="CX152">
        <v>1.0721241103308393E-3</v>
      </c>
      <c r="CZ152">
        <v>1.0721241103308394E-2</v>
      </c>
      <c r="DA152">
        <v>3.7524343861579379E-2</v>
      </c>
      <c r="DB152">
        <v>3.7524343861579379E-2</v>
      </c>
      <c r="DC152">
        <v>1.0721241103308389E-2</v>
      </c>
      <c r="DD152">
        <v>1.0721241103308389E-2</v>
      </c>
      <c r="DE152">
        <v>1.0721241103308396E-2</v>
      </c>
      <c r="DF152">
        <v>1.0721241103308396E-2</v>
      </c>
      <c r="DG152">
        <v>3.5737470344361305E-3</v>
      </c>
      <c r="DH152">
        <v>3.5737470344361305E-3</v>
      </c>
      <c r="DI152">
        <v>3.5737470344361305E-3</v>
      </c>
      <c r="DJ152">
        <v>3.5737470344361305E-3</v>
      </c>
      <c r="DK152">
        <v>3.5737470344361305E-3</v>
      </c>
      <c r="DL152">
        <v>3.5737470344361305E-3</v>
      </c>
      <c r="DM152">
        <v>3.5737470344361305E-3</v>
      </c>
      <c r="DN152">
        <v>3.5737470344361305E-3</v>
      </c>
      <c r="DO152">
        <v>3.5737470344361305E-3</v>
      </c>
    </row>
    <row r="153" spans="61:119">
      <c r="BI153" t="str">
        <f t="shared" si="57"/>
        <v>430071141467FI</v>
      </c>
      <c r="BJ153" s="426">
        <v>43007</v>
      </c>
      <c r="BK153" t="s">
        <v>1375</v>
      </c>
      <c r="BL153" t="s">
        <v>1376</v>
      </c>
      <c r="BM153" t="s">
        <v>1355</v>
      </c>
      <c r="BN153" s="438">
        <v>2</v>
      </c>
      <c r="BO153" s="438">
        <v>1</v>
      </c>
      <c r="BR153">
        <v>4.6000000000000006E-2</v>
      </c>
      <c r="BS153">
        <v>0.16100000000000003</v>
      </c>
      <c r="BT153">
        <v>0.16100000000000003</v>
      </c>
      <c r="BU153">
        <v>4.5999999999999985E-2</v>
      </c>
      <c r="BV153">
        <v>4.5999999999999985E-2</v>
      </c>
      <c r="BW153">
        <v>4.6000000000000013E-2</v>
      </c>
      <c r="BX153">
        <v>4.6000000000000013E-2</v>
      </c>
      <c r="BY153">
        <v>1.5333333333333334E-2</v>
      </c>
      <c r="BZ153">
        <v>1.5333333333333334E-2</v>
      </c>
      <c r="CA153">
        <v>1.5333333333333334E-2</v>
      </c>
      <c r="CB153">
        <v>1.5333333333333334E-2</v>
      </c>
      <c r="CC153">
        <v>1.5333333333333334E-2</v>
      </c>
      <c r="CD153">
        <v>1.5333333333333334E-2</v>
      </c>
      <c r="CE153">
        <v>1.5333333333333334E-2</v>
      </c>
      <c r="CF153">
        <v>1.5333333333333334E-2</v>
      </c>
      <c r="CG153">
        <v>1.5333333333333334E-2</v>
      </c>
      <c r="CI153">
        <v>4.0000000000000008E-2</v>
      </c>
      <c r="CJ153">
        <v>0.14000000000000001</v>
      </c>
      <c r="CK153">
        <v>0.14000000000000001</v>
      </c>
      <c r="CL153">
        <v>3.999999999999998E-2</v>
      </c>
      <c r="CM153">
        <v>3.999999999999998E-2</v>
      </c>
      <c r="CN153">
        <v>3.999999999999998E-2</v>
      </c>
      <c r="CO153">
        <v>3.999999999999998E-2</v>
      </c>
      <c r="CP153">
        <v>1.3333333333333345E-2</v>
      </c>
      <c r="CQ153">
        <v>1.3333333333333345E-2</v>
      </c>
      <c r="CR153">
        <v>1.3333333333333345E-2</v>
      </c>
      <c r="CS153">
        <v>1.3333333333333345E-2</v>
      </c>
      <c r="CT153">
        <v>1.3333333333333345E-2</v>
      </c>
      <c r="CU153">
        <v>1.3333333333333345E-2</v>
      </c>
      <c r="CV153">
        <v>1.3333333333333345E-2</v>
      </c>
      <c r="CW153">
        <v>1.3333333333333345E-2</v>
      </c>
      <c r="CX153">
        <v>1.3333333333333345E-2</v>
      </c>
      <c r="CZ153">
        <v>0.03</v>
      </c>
      <c r="DA153">
        <v>0.105</v>
      </c>
      <c r="DB153">
        <v>0.105</v>
      </c>
      <c r="DC153">
        <v>0.03</v>
      </c>
      <c r="DD153">
        <v>0.03</v>
      </c>
      <c r="DE153">
        <v>0.03</v>
      </c>
      <c r="DF153">
        <v>0.03</v>
      </c>
      <c r="DG153">
        <v>9.9999999999999967E-3</v>
      </c>
      <c r="DH153">
        <v>9.9999999999999967E-3</v>
      </c>
      <c r="DI153">
        <v>9.9999999999999967E-3</v>
      </c>
      <c r="DJ153">
        <v>9.9999999999999967E-3</v>
      </c>
      <c r="DK153">
        <v>9.9999999999999967E-3</v>
      </c>
      <c r="DL153">
        <v>9.9999999999999967E-3</v>
      </c>
      <c r="DM153">
        <v>9.9999999999999967E-3</v>
      </c>
      <c r="DN153">
        <v>9.9999999999999967E-3</v>
      </c>
      <c r="DO153">
        <v>9.9999999999999967E-3</v>
      </c>
    </row>
    <row r="154" spans="61:119">
      <c r="BI154" t="str">
        <f t="shared" si="57"/>
        <v>430071147542CME</v>
      </c>
      <c r="BJ154" s="426">
        <v>43007</v>
      </c>
      <c r="BK154" t="s">
        <v>1361</v>
      </c>
      <c r="BL154" t="s">
        <v>1370</v>
      </c>
      <c r="BM154" t="s">
        <v>1321</v>
      </c>
      <c r="BN154" s="438">
        <v>1</v>
      </c>
      <c r="BO154" s="438">
        <v>1</v>
      </c>
      <c r="BR154">
        <v>8.0000000000000016E-2</v>
      </c>
      <c r="BS154">
        <v>0.16</v>
      </c>
      <c r="BT154">
        <v>0.16</v>
      </c>
      <c r="BU154">
        <v>0</v>
      </c>
      <c r="BV154">
        <v>0</v>
      </c>
      <c r="BW154">
        <v>3.999999999999998E-2</v>
      </c>
      <c r="BX154">
        <v>3.999999999999998E-2</v>
      </c>
      <c r="BY154">
        <v>1.3333333333333345E-2</v>
      </c>
      <c r="BZ154">
        <v>1.3333333333333345E-2</v>
      </c>
      <c r="CA154">
        <v>1.3333333333333345E-2</v>
      </c>
      <c r="CB154">
        <v>1.3333333333333345E-2</v>
      </c>
      <c r="CC154">
        <v>1.3333333333333345E-2</v>
      </c>
      <c r="CD154">
        <v>1.3333333333333345E-2</v>
      </c>
      <c r="CE154">
        <v>1.3333333333333345E-2</v>
      </c>
      <c r="CF154">
        <v>1.3333333333333345E-2</v>
      </c>
      <c r="CG154">
        <v>1.3333333333333345E-2</v>
      </c>
      <c r="CI154">
        <v>6.9999999999999993E-2</v>
      </c>
      <c r="CJ154">
        <v>0.13999999999999999</v>
      </c>
      <c r="CK154">
        <v>0.13999999999999999</v>
      </c>
      <c r="CL154">
        <v>0</v>
      </c>
      <c r="CM154">
        <v>0</v>
      </c>
      <c r="CN154">
        <v>3.5000000000000003E-2</v>
      </c>
      <c r="CO154">
        <v>3.5000000000000003E-2</v>
      </c>
      <c r="CP154">
        <v>1.1666666666666659E-2</v>
      </c>
      <c r="CQ154">
        <v>1.1666666666666659E-2</v>
      </c>
      <c r="CR154">
        <v>1.1666666666666659E-2</v>
      </c>
      <c r="CS154">
        <v>1.1666666666666659E-2</v>
      </c>
      <c r="CT154">
        <v>1.1666666666666659E-2</v>
      </c>
      <c r="CU154">
        <v>1.1666666666666659E-2</v>
      </c>
      <c r="CV154">
        <v>1.1666666666666659E-2</v>
      </c>
      <c r="CW154">
        <v>1.1666666666666659E-2</v>
      </c>
      <c r="CX154">
        <v>1.1666666666666659E-2</v>
      </c>
      <c r="CZ154">
        <v>4.0000000000000008E-2</v>
      </c>
      <c r="DA154">
        <v>0.08</v>
      </c>
      <c r="DB154">
        <v>0.08</v>
      </c>
      <c r="DC154">
        <v>0</v>
      </c>
      <c r="DD154">
        <v>0</v>
      </c>
      <c r="DE154">
        <v>1.999999999999999E-2</v>
      </c>
      <c r="DF154">
        <v>1.999999999999999E-2</v>
      </c>
      <c r="DG154">
        <v>6.6666666666666723E-3</v>
      </c>
      <c r="DH154">
        <v>6.6666666666666723E-3</v>
      </c>
      <c r="DI154">
        <v>6.6666666666666723E-3</v>
      </c>
      <c r="DJ154">
        <v>6.6666666666666723E-3</v>
      </c>
      <c r="DK154">
        <v>6.6666666666666723E-3</v>
      </c>
      <c r="DL154">
        <v>6.6666666666666723E-3</v>
      </c>
      <c r="DM154">
        <v>6.6666666666666723E-3</v>
      </c>
      <c r="DN154">
        <v>6.6666666666666723E-3</v>
      </c>
      <c r="DO154">
        <v>6.6666666666666723E-3</v>
      </c>
    </row>
    <row r="155" spans="61:119">
      <c r="BI155" t="str">
        <f t="shared" si="57"/>
        <v>43007FI</v>
      </c>
      <c r="BJ155" s="426">
        <v>43007</v>
      </c>
      <c r="BM155" t="s">
        <v>1355</v>
      </c>
      <c r="BN155" s="438">
        <v>1</v>
      </c>
      <c r="BO155" s="438">
        <v>1</v>
      </c>
      <c r="BR155">
        <v>2.3000000000000003E-2</v>
      </c>
      <c r="BS155">
        <v>8.0500000000000016E-2</v>
      </c>
      <c r="BT155">
        <v>8.0500000000000016E-2</v>
      </c>
      <c r="BU155">
        <v>2.2999999999999993E-2</v>
      </c>
      <c r="BV155">
        <v>2.2999999999999993E-2</v>
      </c>
      <c r="BW155">
        <v>2.3000000000000007E-2</v>
      </c>
      <c r="BX155">
        <v>2.3000000000000007E-2</v>
      </c>
      <c r="BY155">
        <v>7.6666666666666671E-3</v>
      </c>
      <c r="BZ155">
        <v>7.6666666666666671E-3</v>
      </c>
      <c r="CA155">
        <v>7.6666666666666671E-3</v>
      </c>
      <c r="CB155">
        <v>7.6666666666666671E-3</v>
      </c>
      <c r="CC155">
        <v>7.6666666666666671E-3</v>
      </c>
      <c r="CD155">
        <v>7.6666666666666671E-3</v>
      </c>
      <c r="CE155">
        <v>7.6666666666666671E-3</v>
      </c>
      <c r="CF155">
        <v>7.6666666666666671E-3</v>
      </c>
      <c r="CG155">
        <v>7.6666666666666671E-3</v>
      </c>
      <c r="CI155">
        <v>2.0000000000000004E-2</v>
      </c>
      <c r="CJ155">
        <v>7.0000000000000007E-2</v>
      </c>
      <c r="CK155">
        <v>7.0000000000000007E-2</v>
      </c>
      <c r="CL155">
        <v>1.999999999999999E-2</v>
      </c>
      <c r="CM155">
        <v>1.999999999999999E-2</v>
      </c>
      <c r="CN155">
        <v>1.999999999999999E-2</v>
      </c>
      <c r="CO155">
        <v>1.999999999999999E-2</v>
      </c>
      <c r="CP155">
        <v>6.6666666666666723E-3</v>
      </c>
      <c r="CQ155">
        <v>6.6666666666666723E-3</v>
      </c>
      <c r="CR155">
        <v>6.6666666666666723E-3</v>
      </c>
      <c r="CS155">
        <v>6.6666666666666723E-3</v>
      </c>
      <c r="CT155">
        <v>6.6666666666666723E-3</v>
      </c>
      <c r="CU155">
        <v>6.6666666666666723E-3</v>
      </c>
      <c r="CV155">
        <v>6.6666666666666723E-3</v>
      </c>
      <c r="CW155">
        <v>6.6666666666666723E-3</v>
      </c>
      <c r="CX155">
        <v>6.6666666666666723E-3</v>
      </c>
      <c r="CZ155">
        <v>1.4999999999999999E-2</v>
      </c>
      <c r="DA155">
        <v>5.2499999999999998E-2</v>
      </c>
      <c r="DB155">
        <v>5.2499999999999998E-2</v>
      </c>
      <c r="DC155">
        <v>1.4999999999999999E-2</v>
      </c>
      <c r="DD155">
        <v>1.4999999999999999E-2</v>
      </c>
      <c r="DE155">
        <v>1.4999999999999999E-2</v>
      </c>
      <c r="DF155">
        <v>1.4999999999999999E-2</v>
      </c>
      <c r="DG155">
        <v>4.9999999999999984E-3</v>
      </c>
      <c r="DH155">
        <v>4.9999999999999984E-3</v>
      </c>
      <c r="DI155">
        <v>4.9999999999999984E-3</v>
      </c>
      <c r="DJ155">
        <v>4.9999999999999984E-3</v>
      </c>
      <c r="DK155">
        <v>4.9999999999999984E-3</v>
      </c>
      <c r="DL155">
        <v>4.9999999999999984E-3</v>
      </c>
      <c r="DM155">
        <v>4.9999999999999984E-3</v>
      </c>
      <c r="DN155">
        <v>4.9999999999999984E-3</v>
      </c>
      <c r="DO155">
        <v>4.9999999999999984E-3</v>
      </c>
    </row>
    <row r="156" spans="61:119">
      <c r="BI156" t="str">
        <f t="shared" si="57"/>
        <v>43007CORP</v>
      </c>
      <c r="BJ156" s="426">
        <v>43007</v>
      </c>
      <c r="BM156" t="s">
        <v>1356</v>
      </c>
      <c r="BN156" s="438">
        <v>1</v>
      </c>
      <c r="BO156" s="438">
        <v>1</v>
      </c>
      <c r="BR156">
        <v>8.0000000000000002E-3</v>
      </c>
      <c r="BS156">
        <v>4.3999999999999997E-2</v>
      </c>
      <c r="BT156">
        <v>4.3999999999999997E-2</v>
      </c>
      <c r="BU156">
        <v>3.2000000000000001E-2</v>
      </c>
      <c r="BV156">
        <v>3.2000000000000001E-2</v>
      </c>
      <c r="BW156">
        <v>1.6E-2</v>
      </c>
      <c r="BX156">
        <v>1.6E-2</v>
      </c>
      <c r="BY156">
        <v>5.3333333333333323E-3</v>
      </c>
      <c r="BZ156">
        <v>5.3333333333333323E-3</v>
      </c>
      <c r="CA156">
        <v>5.3333333333333323E-3</v>
      </c>
      <c r="CB156">
        <v>5.3333333333333323E-3</v>
      </c>
      <c r="CC156">
        <v>5.3333333333333323E-3</v>
      </c>
      <c r="CD156">
        <v>5.3333333333333323E-3</v>
      </c>
      <c r="CE156">
        <v>5.3333333333333323E-3</v>
      </c>
      <c r="CF156">
        <v>5.3333333333333323E-3</v>
      </c>
      <c r="CG156">
        <v>5.3333333333333323E-3</v>
      </c>
      <c r="CI156">
        <v>7.000000000000001E-3</v>
      </c>
      <c r="CJ156">
        <v>3.85E-2</v>
      </c>
      <c r="CK156">
        <v>3.85E-2</v>
      </c>
      <c r="CL156">
        <v>2.8000000000000004E-2</v>
      </c>
      <c r="CM156">
        <v>2.8000000000000004E-2</v>
      </c>
      <c r="CN156">
        <v>1.3999999999999999E-2</v>
      </c>
      <c r="CO156">
        <v>1.3999999999999999E-2</v>
      </c>
      <c r="CP156">
        <v>4.6666666666666679E-3</v>
      </c>
      <c r="CQ156">
        <v>4.6666666666666679E-3</v>
      </c>
      <c r="CR156">
        <v>4.6666666666666679E-3</v>
      </c>
      <c r="CS156">
        <v>4.6666666666666679E-3</v>
      </c>
      <c r="CT156">
        <v>4.6666666666666679E-3</v>
      </c>
      <c r="CU156">
        <v>4.6666666666666679E-3</v>
      </c>
      <c r="CV156">
        <v>4.6666666666666679E-3</v>
      </c>
      <c r="CW156">
        <v>4.6666666666666679E-3</v>
      </c>
      <c r="CX156">
        <v>4.6666666666666679E-3</v>
      </c>
      <c r="CZ156">
        <v>5.000000000000001E-3</v>
      </c>
      <c r="DA156">
        <v>2.7499999999999997E-2</v>
      </c>
      <c r="DB156">
        <v>2.7499999999999997E-2</v>
      </c>
      <c r="DC156">
        <v>2.0000000000000004E-2</v>
      </c>
      <c r="DD156">
        <v>2.0000000000000004E-2</v>
      </c>
      <c r="DE156">
        <v>9.999999999999995E-3</v>
      </c>
      <c r="DF156">
        <v>9.999999999999995E-3</v>
      </c>
      <c r="DG156">
        <v>3.3333333333333361E-3</v>
      </c>
      <c r="DH156">
        <v>3.3333333333333361E-3</v>
      </c>
      <c r="DI156">
        <v>3.3333333333333361E-3</v>
      </c>
      <c r="DJ156">
        <v>3.3333333333333361E-3</v>
      </c>
      <c r="DK156">
        <v>3.3333333333333361E-3</v>
      </c>
      <c r="DL156">
        <v>3.3333333333333361E-3</v>
      </c>
      <c r="DM156">
        <v>3.3333333333333361E-3</v>
      </c>
      <c r="DN156">
        <v>3.3333333333333361E-3</v>
      </c>
      <c r="DO156">
        <v>3.3333333333333361E-3</v>
      </c>
    </row>
    <row r="157" spans="61:119">
      <c r="BI157" t="str">
        <f t="shared" si="57"/>
        <v>43007ESCROW</v>
      </c>
      <c r="BJ157" s="426">
        <v>43007</v>
      </c>
      <c r="BM157" t="s">
        <v>1339</v>
      </c>
      <c r="BN157" s="438">
        <v>1</v>
      </c>
      <c r="BO157" s="438">
        <v>1</v>
      </c>
      <c r="BR157">
        <v>3.2000000000000001E-2</v>
      </c>
      <c r="BS157">
        <v>2.4E-2</v>
      </c>
      <c r="BT157">
        <v>2.4E-2</v>
      </c>
      <c r="BU157">
        <v>0.04</v>
      </c>
      <c r="BV157">
        <v>0.04</v>
      </c>
      <c r="BW157">
        <v>3.9999999999999994E-2</v>
      </c>
      <c r="BX157">
        <v>3.9999999999999994E-2</v>
      </c>
      <c r="BY157">
        <v>8.8888888888888906E-3</v>
      </c>
      <c r="BZ157">
        <v>8.8888888888888906E-3</v>
      </c>
      <c r="CA157">
        <v>8.8888888888888906E-3</v>
      </c>
      <c r="CB157">
        <v>8.8888888888888906E-3</v>
      </c>
      <c r="CC157">
        <v>8.8888888888888906E-3</v>
      </c>
      <c r="CD157">
        <v>8.8888888888888906E-3</v>
      </c>
      <c r="CE157">
        <v>8.8888888888888906E-3</v>
      </c>
      <c r="CF157">
        <v>8.8888888888888906E-3</v>
      </c>
      <c r="CG157">
        <v>8.8888888888888906E-3</v>
      </c>
      <c r="CI157">
        <v>2.8000000000000004E-2</v>
      </c>
      <c r="CJ157">
        <v>2.1000000000000001E-2</v>
      </c>
      <c r="CK157">
        <v>2.1000000000000001E-2</v>
      </c>
      <c r="CL157">
        <v>3.5000000000000003E-2</v>
      </c>
      <c r="CM157">
        <v>3.5000000000000003E-2</v>
      </c>
      <c r="CN157">
        <v>3.5000000000000003E-2</v>
      </c>
      <c r="CO157">
        <v>3.5000000000000003E-2</v>
      </c>
      <c r="CP157">
        <v>7.7777777777777784E-3</v>
      </c>
      <c r="CQ157">
        <v>7.7777777777777784E-3</v>
      </c>
      <c r="CR157">
        <v>7.7777777777777784E-3</v>
      </c>
      <c r="CS157">
        <v>7.7777777777777784E-3</v>
      </c>
      <c r="CT157">
        <v>7.7777777777777784E-3</v>
      </c>
      <c r="CU157">
        <v>7.7777777777777784E-3</v>
      </c>
      <c r="CV157">
        <v>7.7777777777777784E-3</v>
      </c>
      <c r="CW157">
        <v>7.7777777777777784E-3</v>
      </c>
      <c r="CX157">
        <v>7.7777777777777784E-3</v>
      </c>
      <c r="CZ157">
        <v>2.0000000000000004E-2</v>
      </c>
      <c r="DA157">
        <v>1.4999999999999999E-2</v>
      </c>
      <c r="DB157">
        <v>1.4999999999999999E-2</v>
      </c>
      <c r="DC157">
        <v>2.5000000000000001E-2</v>
      </c>
      <c r="DD157">
        <v>2.5000000000000001E-2</v>
      </c>
      <c r="DE157">
        <v>2.5000000000000008E-2</v>
      </c>
      <c r="DF157">
        <v>2.5000000000000008E-2</v>
      </c>
      <c r="DG157">
        <v>5.555555555555554E-3</v>
      </c>
      <c r="DH157">
        <v>5.555555555555554E-3</v>
      </c>
      <c r="DI157">
        <v>5.555555555555554E-3</v>
      </c>
      <c r="DJ157">
        <v>5.555555555555554E-3</v>
      </c>
      <c r="DK157">
        <v>5.555555555555554E-3</v>
      </c>
      <c r="DL157">
        <v>5.555555555555554E-3</v>
      </c>
      <c r="DM157">
        <v>5.555555555555554E-3</v>
      </c>
      <c r="DN157">
        <v>5.555555555555554E-3</v>
      </c>
      <c r="DO157">
        <v>5.555555555555554E-3</v>
      </c>
    </row>
    <row r="158" spans="61:119">
      <c r="BI158" t="str">
        <f t="shared" si="57"/>
        <v>43007IB</v>
      </c>
      <c r="BJ158" s="426">
        <v>43007</v>
      </c>
      <c r="BM158" t="s">
        <v>1354</v>
      </c>
      <c r="BN158" s="438">
        <v>1</v>
      </c>
      <c r="BO158" s="438">
        <v>1</v>
      </c>
      <c r="BR158">
        <v>1.2E-2</v>
      </c>
      <c r="BS158">
        <v>4.2000000000000003E-2</v>
      </c>
      <c r="BT158">
        <v>4.2000000000000003E-2</v>
      </c>
      <c r="BU158">
        <v>1.1999999999999997E-2</v>
      </c>
      <c r="BV158">
        <v>1.1999999999999997E-2</v>
      </c>
      <c r="BW158">
        <v>1.1999999999999997E-2</v>
      </c>
      <c r="BX158">
        <v>1.1999999999999997E-2</v>
      </c>
      <c r="BY158">
        <v>4.0000000000000001E-3</v>
      </c>
      <c r="BZ158">
        <v>4.0000000000000001E-3</v>
      </c>
      <c r="CA158">
        <v>4.0000000000000001E-3</v>
      </c>
      <c r="CB158">
        <v>4.0000000000000001E-3</v>
      </c>
      <c r="CC158">
        <v>4.0000000000000001E-3</v>
      </c>
      <c r="CD158">
        <v>4.0000000000000001E-3</v>
      </c>
      <c r="CE158">
        <v>4.0000000000000001E-3</v>
      </c>
      <c r="CF158">
        <v>4.0000000000000001E-3</v>
      </c>
      <c r="CG158">
        <v>4.0000000000000001E-3</v>
      </c>
      <c r="CI158">
        <v>3.0000000000000001E-3</v>
      </c>
      <c r="CJ158">
        <v>1.0500000000000001E-2</v>
      </c>
      <c r="CK158">
        <v>1.0500000000000001E-2</v>
      </c>
      <c r="CL158">
        <v>2.9999999999999992E-3</v>
      </c>
      <c r="CM158">
        <v>2.9999999999999992E-3</v>
      </c>
      <c r="CN158">
        <v>2.9999999999999992E-3</v>
      </c>
      <c r="CO158">
        <v>2.9999999999999992E-3</v>
      </c>
      <c r="CP158">
        <v>1E-3</v>
      </c>
      <c r="CQ158">
        <v>1E-3</v>
      </c>
      <c r="CR158">
        <v>1E-3</v>
      </c>
      <c r="CS158">
        <v>1E-3</v>
      </c>
      <c r="CT158">
        <v>1E-3</v>
      </c>
      <c r="CU158">
        <v>1E-3</v>
      </c>
      <c r="CV158">
        <v>1E-3</v>
      </c>
      <c r="CW158">
        <v>1E-3</v>
      </c>
      <c r="CX158">
        <v>1E-3</v>
      </c>
      <c r="CZ158">
        <v>1.0000000000000002E-2</v>
      </c>
      <c r="DA158">
        <v>3.5000000000000003E-2</v>
      </c>
      <c r="DB158">
        <v>3.5000000000000003E-2</v>
      </c>
      <c r="DC158">
        <v>9.999999999999995E-3</v>
      </c>
      <c r="DD158">
        <v>9.999999999999995E-3</v>
      </c>
      <c r="DE158">
        <v>9.999999999999995E-3</v>
      </c>
      <c r="DF158">
        <v>9.999999999999995E-3</v>
      </c>
      <c r="DG158">
        <v>3.3333333333333361E-3</v>
      </c>
      <c r="DH158">
        <v>3.3333333333333361E-3</v>
      </c>
      <c r="DI158">
        <v>3.3333333333333361E-3</v>
      </c>
      <c r="DJ158">
        <v>3.3333333333333361E-3</v>
      </c>
      <c r="DK158">
        <v>3.3333333333333361E-3</v>
      </c>
      <c r="DL158">
        <v>3.3333333333333361E-3</v>
      </c>
      <c r="DM158">
        <v>3.3333333333333361E-3</v>
      </c>
      <c r="DN158">
        <v>3.3333333333333361E-3</v>
      </c>
      <c r="DO158">
        <v>3.3333333333333361E-3</v>
      </c>
    </row>
    <row r="159" spans="61:119">
      <c r="BI159" t="str">
        <f t="shared" si="57"/>
        <v>43007AFF</v>
      </c>
      <c r="BJ159" s="426">
        <v>43007</v>
      </c>
      <c r="BM159" t="s">
        <v>1353</v>
      </c>
      <c r="BN159" s="438">
        <v>1</v>
      </c>
      <c r="BO159" s="438">
        <v>1</v>
      </c>
      <c r="BR159">
        <v>1.4999999999999999E-2</v>
      </c>
      <c r="BS159">
        <v>5.2499999999999998E-2</v>
      </c>
      <c r="BT159">
        <v>5.2499999999999998E-2</v>
      </c>
      <c r="BU159">
        <v>1.4999999999999999E-2</v>
      </c>
      <c r="BV159">
        <v>1.4999999999999999E-2</v>
      </c>
      <c r="BW159">
        <v>1.4999999999999999E-2</v>
      </c>
      <c r="BX159">
        <v>1.4999999999999999E-2</v>
      </c>
      <c r="BY159">
        <v>4.9999999999999984E-3</v>
      </c>
      <c r="BZ159">
        <v>4.9999999999999984E-3</v>
      </c>
      <c r="CA159">
        <v>4.9999999999999984E-3</v>
      </c>
      <c r="CB159">
        <v>4.9999999999999984E-3</v>
      </c>
      <c r="CC159">
        <v>4.9999999999999984E-3</v>
      </c>
      <c r="CD159">
        <v>4.9999999999999984E-3</v>
      </c>
      <c r="CE159">
        <v>4.9999999999999984E-3</v>
      </c>
      <c r="CF159">
        <v>4.9999999999999984E-3</v>
      </c>
      <c r="CG159">
        <v>4.9999999999999984E-3</v>
      </c>
      <c r="CI159">
        <v>1.2E-2</v>
      </c>
      <c r="CJ159">
        <v>4.2000000000000003E-2</v>
      </c>
      <c r="CK159">
        <v>4.2000000000000003E-2</v>
      </c>
      <c r="CL159">
        <v>1.1999999999999997E-2</v>
      </c>
      <c r="CM159">
        <v>1.1999999999999997E-2</v>
      </c>
      <c r="CN159">
        <v>1.1999999999999997E-2</v>
      </c>
      <c r="CO159">
        <v>1.1999999999999997E-2</v>
      </c>
      <c r="CP159">
        <v>4.0000000000000001E-3</v>
      </c>
      <c r="CQ159">
        <v>4.0000000000000001E-3</v>
      </c>
      <c r="CR159">
        <v>4.0000000000000001E-3</v>
      </c>
      <c r="CS159">
        <v>4.0000000000000001E-3</v>
      </c>
      <c r="CT159">
        <v>4.0000000000000001E-3</v>
      </c>
      <c r="CU159">
        <v>4.0000000000000001E-3</v>
      </c>
      <c r="CV159">
        <v>4.0000000000000001E-3</v>
      </c>
      <c r="CW159">
        <v>4.0000000000000001E-3</v>
      </c>
      <c r="CX159">
        <v>4.0000000000000001E-3</v>
      </c>
      <c r="CZ159">
        <v>5.000000000000001E-3</v>
      </c>
      <c r="DA159">
        <v>1.7500000000000002E-2</v>
      </c>
      <c r="DB159">
        <v>1.7500000000000002E-2</v>
      </c>
      <c r="DC159">
        <v>4.9999999999999975E-3</v>
      </c>
      <c r="DD159">
        <v>4.9999999999999975E-3</v>
      </c>
      <c r="DE159">
        <v>4.9999999999999975E-3</v>
      </c>
      <c r="DF159">
        <v>4.9999999999999975E-3</v>
      </c>
      <c r="DG159">
        <v>1.6666666666666681E-3</v>
      </c>
      <c r="DH159">
        <v>1.6666666666666681E-3</v>
      </c>
      <c r="DI159">
        <v>1.6666666666666681E-3</v>
      </c>
      <c r="DJ159">
        <v>1.6666666666666681E-3</v>
      </c>
      <c r="DK159">
        <v>1.6666666666666681E-3</v>
      </c>
      <c r="DL159">
        <v>1.6666666666666681E-3</v>
      </c>
      <c r="DM159">
        <v>1.6666666666666681E-3</v>
      </c>
      <c r="DN159">
        <v>1.6666666666666681E-3</v>
      </c>
      <c r="DO159">
        <v>1.6666666666666681E-3</v>
      </c>
    </row>
    <row r="160" spans="61:119">
      <c r="BI160" t="str">
        <f t="shared" si="57"/>
        <v>430391030623FI</v>
      </c>
      <c r="BJ160" s="426">
        <v>43039</v>
      </c>
      <c r="BK160" t="s">
        <v>1360</v>
      </c>
      <c r="BL160" t="s">
        <v>1369</v>
      </c>
      <c r="BM160" t="s">
        <v>1355</v>
      </c>
      <c r="BN160" s="438">
        <v>2</v>
      </c>
      <c r="BO160" s="438">
        <v>1</v>
      </c>
      <c r="BR160">
        <v>4.6000000000000006E-2</v>
      </c>
      <c r="BS160">
        <v>0.16100000000000003</v>
      </c>
      <c r="BT160">
        <v>0.16100000000000003</v>
      </c>
      <c r="BU160">
        <v>4.5999999999999985E-2</v>
      </c>
      <c r="BV160">
        <v>4.5999999999999985E-2</v>
      </c>
      <c r="BW160">
        <v>4.6000000000000013E-2</v>
      </c>
      <c r="BX160">
        <v>4.6000000000000013E-2</v>
      </c>
      <c r="BY160">
        <v>1.5333333333333334E-2</v>
      </c>
      <c r="BZ160">
        <v>1.5333333333333334E-2</v>
      </c>
      <c r="CA160">
        <v>1.5333333333333334E-2</v>
      </c>
      <c r="CB160">
        <v>1.5333333333333334E-2</v>
      </c>
      <c r="CC160">
        <v>1.5333333333333334E-2</v>
      </c>
      <c r="CD160">
        <v>1.5333333333333334E-2</v>
      </c>
      <c r="CE160">
        <v>1.5333333333333334E-2</v>
      </c>
      <c r="CF160">
        <v>1.5333333333333334E-2</v>
      </c>
      <c r="CG160">
        <v>1.5333333333333334E-2</v>
      </c>
      <c r="CI160">
        <v>4.0000000000000008E-2</v>
      </c>
      <c r="CJ160">
        <v>0.14000000000000001</v>
      </c>
      <c r="CK160">
        <v>0.14000000000000001</v>
      </c>
      <c r="CL160">
        <v>3.999999999999998E-2</v>
      </c>
      <c r="CM160">
        <v>3.999999999999998E-2</v>
      </c>
      <c r="CN160">
        <v>3.999999999999998E-2</v>
      </c>
      <c r="CO160">
        <v>3.999999999999998E-2</v>
      </c>
      <c r="CP160">
        <v>1.3333333333333345E-2</v>
      </c>
      <c r="CQ160">
        <v>1.3333333333333345E-2</v>
      </c>
      <c r="CR160">
        <v>1.3333333333333345E-2</v>
      </c>
      <c r="CS160">
        <v>1.3333333333333345E-2</v>
      </c>
      <c r="CT160">
        <v>1.3333333333333345E-2</v>
      </c>
      <c r="CU160">
        <v>1.3333333333333345E-2</v>
      </c>
      <c r="CV160">
        <v>1.3333333333333345E-2</v>
      </c>
      <c r="CW160">
        <v>1.3333333333333345E-2</v>
      </c>
      <c r="CX160">
        <v>1.3333333333333345E-2</v>
      </c>
      <c r="CZ160">
        <v>0.03</v>
      </c>
      <c r="DA160">
        <v>0.105</v>
      </c>
      <c r="DB160">
        <v>0.105</v>
      </c>
      <c r="DC160">
        <v>0.03</v>
      </c>
      <c r="DD160">
        <v>0.03</v>
      </c>
      <c r="DE160">
        <v>0.03</v>
      </c>
      <c r="DF160">
        <v>0.03</v>
      </c>
      <c r="DG160">
        <v>9.9999999999999967E-3</v>
      </c>
      <c r="DH160">
        <v>9.9999999999999967E-3</v>
      </c>
      <c r="DI160">
        <v>9.9999999999999967E-3</v>
      </c>
      <c r="DJ160">
        <v>9.9999999999999967E-3</v>
      </c>
      <c r="DK160">
        <v>9.9999999999999967E-3</v>
      </c>
      <c r="DL160">
        <v>9.9999999999999967E-3</v>
      </c>
      <c r="DM160">
        <v>9.9999999999999967E-3</v>
      </c>
      <c r="DN160">
        <v>9.9999999999999967E-3</v>
      </c>
      <c r="DO160">
        <v>9.9999999999999967E-3</v>
      </c>
    </row>
    <row r="161" spans="61:119">
      <c r="BI161" t="str">
        <f t="shared" si="57"/>
        <v>430391000526FI</v>
      </c>
      <c r="BJ161" s="426">
        <v>43039</v>
      </c>
      <c r="BK161" t="s">
        <v>1363</v>
      </c>
      <c r="BL161" t="s">
        <v>1368</v>
      </c>
      <c r="BM161" t="s">
        <v>1355</v>
      </c>
      <c r="BN161" s="438">
        <v>2</v>
      </c>
      <c r="BO161" s="438">
        <v>1</v>
      </c>
      <c r="BR161">
        <v>4.6000000000000006E-2</v>
      </c>
      <c r="BS161">
        <v>0.16100000000000003</v>
      </c>
      <c r="BT161">
        <v>0.16100000000000003</v>
      </c>
      <c r="BU161">
        <v>4.5999999999999985E-2</v>
      </c>
      <c r="BV161">
        <v>4.5999999999999985E-2</v>
      </c>
      <c r="BW161">
        <v>4.6000000000000013E-2</v>
      </c>
      <c r="BX161">
        <v>4.6000000000000013E-2</v>
      </c>
      <c r="BY161">
        <v>1.5333333333333334E-2</v>
      </c>
      <c r="BZ161">
        <v>1.5333333333333334E-2</v>
      </c>
      <c r="CA161">
        <v>1.5333333333333334E-2</v>
      </c>
      <c r="CB161">
        <v>1.5333333333333334E-2</v>
      </c>
      <c r="CC161">
        <v>1.5333333333333334E-2</v>
      </c>
      <c r="CD161">
        <v>1.5333333333333334E-2</v>
      </c>
      <c r="CE161">
        <v>1.5333333333333334E-2</v>
      </c>
      <c r="CF161">
        <v>1.5333333333333334E-2</v>
      </c>
      <c r="CG161">
        <v>1.5333333333333334E-2</v>
      </c>
      <c r="CI161">
        <v>4.0000000000000008E-2</v>
      </c>
      <c r="CJ161">
        <v>0.14000000000000001</v>
      </c>
      <c r="CK161">
        <v>0.14000000000000001</v>
      </c>
      <c r="CL161">
        <v>3.999999999999998E-2</v>
      </c>
      <c r="CM161">
        <v>3.999999999999998E-2</v>
      </c>
      <c r="CN161">
        <v>3.999999999999998E-2</v>
      </c>
      <c r="CO161">
        <v>3.999999999999998E-2</v>
      </c>
      <c r="CP161">
        <v>1.3333333333333345E-2</v>
      </c>
      <c r="CQ161">
        <v>1.3333333333333345E-2</v>
      </c>
      <c r="CR161">
        <v>1.3333333333333345E-2</v>
      </c>
      <c r="CS161">
        <v>1.3333333333333345E-2</v>
      </c>
      <c r="CT161">
        <v>1.3333333333333345E-2</v>
      </c>
      <c r="CU161">
        <v>1.3333333333333345E-2</v>
      </c>
      <c r="CV161">
        <v>1.3333333333333345E-2</v>
      </c>
      <c r="CW161">
        <v>1.3333333333333345E-2</v>
      </c>
      <c r="CX161">
        <v>1.3333333333333345E-2</v>
      </c>
      <c r="CZ161">
        <v>0.03</v>
      </c>
      <c r="DA161">
        <v>0.105</v>
      </c>
      <c r="DB161">
        <v>0.105</v>
      </c>
      <c r="DC161">
        <v>0.03</v>
      </c>
      <c r="DD161">
        <v>0.03</v>
      </c>
      <c r="DE161">
        <v>0.03</v>
      </c>
      <c r="DF161">
        <v>0.03</v>
      </c>
      <c r="DG161">
        <v>9.9999999999999967E-3</v>
      </c>
      <c r="DH161">
        <v>9.9999999999999967E-3</v>
      </c>
      <c r="DI161">
        <v>9.9999999999999967E-3</v>
      </c>
      <c r="DJ161">
        <v>9.9999999999999967E-3</v>
      </c>
      <c r="DK161">
        <v>9.9999999999999967E-3</v>
      </c>
      <c r="DL161">
        <v>9.9999999999999967E-3</v>
      </c>
      <c r="DM161">
        <v>9.9999999999999967E-3</v>
      </c>
      <c r="DN161">
        <v>9.9999999999999967E-3</v>
      </c>
      <c r="DO161">
        <v>9.9999999999999967E-3</v>
      </c>
    </row>
    <row r="162" spans="61:119">
      <c r="BI162" t="str">
        <f t="shared" si="57"/>
        <v>430391000790IB</v>
      </c>
      <c r="BJ162" s="426">
        <v>43039</v>
      </c>
      <c r="BK162" t="s">
        <v>1358</v>
      </c>
      <c r="BL162" t="s">
        <v>1371</v>
      </c>
      <c r="BM162" t="s">
        <v>1354</v>
      </c>
      <c r="BN162" s="438">
        <v>1.5638861577686871</v>
      </c>
      <c r="BO162" s="438">
        <v>1</v>
      </c>
      <c r="BR162">
        <v>1.8766633893224246E-2</v>
      </c>
      <c r="BS162">
        <v>6.5683218626284859E-2</v>
      </c>
      <c r="BT162">
        <v>6.5683218626284859E-2</v>
      </c>
      <c r="BU162">
        <v>1.8766633893224235E-2</v>
      </c>
      <c r="BV162">
        <v>1.8766633893224235E-2</v>
      </c>
      <c r="BW162">
        <v>1.8766633893224235E-2</v>
      </c>
      <c r="BX162">
        <v>1.8766633893224235E-2</v>
      </c>
      <c r="BY162">
        <v>6.2555446310747533E-3</v>
      </c>
      <c r="BZ162">
        <v>6.2555446310747533E-3</v>
      </c>
      <c r="CA162">
        <v>6.2555446310747533E-3</v>
      </c>
      <c r="CB162">
        <v>6.2555446310747533E-3</v>
      </c>
      <c r="CC162">
        <v>6.2555446310747533E-3</v>
      </c>
      <c r="CD162">
        <v>6.2555446310747533E-3</v>
      </c>
      <c r="CE162">
        <v>6.2555446310747533E-3</v>
      </c>
      <c r="CF162">
        <v>6.2555446310747533E-3</v>
      </c>
      <c r="CG162">
        <v>6.2555446310747533E-3</v>
      </c>
      <c r="CI162">
        <v>4.6916584733060615E-3</v>
      </c>
      <c r="CJ162">
        <v>1.6420804656571215E-2</v>
      </c>
      <c r="CK162">
        <v>1.6420804656571215E-2</v>
      </c>
      <c r="CL162">
        <v>4.6916584733060589E-3</v>
      </c>
      <c r="CM162">
        <v>4.6916584733060589E-3</v>
      </c>
      <c r="CN162">
        <v>4.6916584733060589E-3</v>
      </c>
      <c r="CO162">
        <v>4.6916584733060589E-3</v>
      </c>
      <c r="CP162">
        <v>1.5638861577686883E-3</v>
      </c>
      <c r="CQ162">
        <v>1.5638861577686883E-3</v>
      </c>
      <c r="CR162">
        <v>1.5638861577686883E-3</v>
      </c>
      <c r="CS162">
        <v>1.5638861577686883E-3</v>
      </c>
      <c r="CT162">
        <v>1.5638861577686883E-3</v>
      </c>
      <c r="CU162">
        <v>1.5638861577686883E-3</v>
      </c>
      <c r="CV162">
        <v>1.5638861577686883E-3</v>
      </c>
      <c r="CW162">
        <v>1.5638861577686883E-3</v>
      </c>
      <c r="CX162">
        <v>1.5638861577686883E-3</v>
      </c>
      <c r="CZ162">
        <v>1.5638861577686871E-2</v>
      </c>
      <c r="DA162">
        <v>5.4736015521904047E-2</v>
      </c>
      <c r="DB162">
        <v>5.4736015521904047E-2</v>
      </c>
      <c r="DC162">
        <v>1.5638861577686874E-2</v>
      </c>
      <c r="DD162">
        <v>1.5638861577686874E-2</v>
      </c>
      <c r="DE162">
        <v>1.5638861577686874E-2</v>
      </c>
      <c r="DF162">
        <v>1.5638861577686874E-2</v>
      </c>
      <c r="DG162">
        <v>5.2129538592289582E-3</v>
      </c>
      <c r="DH162">
        <v>5.2129538592289582E-3</v>
      </c>
      <c r="DI162">
        <v>5.2129538592289582E-3</v>
      </c>
      <c r="DJ162">
        <v>5.2129538592289582E-3</v>
      </c>
      <c r="DK162">
        <v>5.2129538592289582E-3</v>
      </c>
      <c r="DL162">
        <v>5.2129538592289582E-3</v>
      </c>
      <c r="DM162">
        <v>5.2129538592289582E-3</v>
      </c>
      <c r="DN162">
        <v>5.2129538592289582E-3</v>
      </c>
      <c r="DO162">
        <v>5.2129538592289582E-3</v>
      </c>
    </row>
    <row r="163" spans="61:119">
      <c r="BI163" t="str">
        <f t="shared" si="57"/>
        <v>430391126198FI</v>
      </c>
      <c r="BJ163" s="426">
        <v>43039</v>
      </c>
      <c r="BK163" t="s">
        <v>1359</v>
      </c>
      <c r="BL163" t="s">
        <v>1367</v>
      </c>
      <c r="BM163" t="s">
        <v>1355</v>
      </c>
      <c r="BN163" s="438">
        <v>1.1930344813513143</v>
      </c>
      <c r="BO163" s="438">
        <v>1</v>
      </c>
      <c r="BR163">
        <v>2.7439793071080232E-2</v>
      </c>
      <c r="BS163">
        <v>9.6039275748780809E-2</v>
      </c>
      <c r="BT163">
        <v>9.6039275748780809E-2</v>
      </c>
      <c r="BU163">
        <v>2.7439793071080229E-2</v>
      </c>
      <c r="BV163">
        <v>2.7439793071080229E-2</v>
      </c>
      <c r="BW163">
        <v>2.7439793071080215E-2</v>
      </c>
      <c r="BX163">
        <v>2.7439793071080215E-2</v>
      </c>
      <c r="BY163">
        <v>9.146597690360081E-3</v>
      </c>
      <c r="BZ163">
        <v>9.146597690360081E-3</v>
      </c>
      <c r="CA163">
        <v>9.146597690360081E-3</v>
      </c>
      <c r="CB163">
        <v>9.146597690360081E-3</v>
      </c>
      <c r="CC163">
        <v>9.146597690360081E-3</v>
      </c>
      <c r="CD163">
        <v>9.146597690360081E-3</v>
      </c>
      <c r="CE163">
        <v>9.146597690360081E-3</v>
      </c>
      <c r="CF163">
        <v>9.146597690360081E-3</v>
      </c>
      <c r="CG163">
        <v>9.146597690360081E-3</v>
      </c>
      <c r="CI163">
        <v>2.3860689627026289E-2</v>
      </c>
      <c r="CJ163">
        <v>8.3512413694592016E-2</v>
      </c>
      <c r="CK163">
        <v>8.3512413694592016E-2</v>
      </c>
      <c r="CL163">
        <v>2.3860689627026282E-2</v>
      </c>
      <c r="CM163">
        <v>2.3860689627026282E-2</v>
      </c>
      <c r="CN163">
        <v>2.3860689627026282E-2</v>
      </c>
      <c r="CO163">
        <v>2.3860689627026282E-2</v>
      </c>
      <c r="CP163">
        <v>7.9535632090087637E-3</v>
      </c>
      <c r="CQ163">
        <v>7.9535632090087637E-3</v>
      </c>
      <c r="CR163">
        <v>7.9535632090087637E-3</v>
      </c>
      <c r="CS163">
        <v>7.9535632090087637E-3</v>
      </c>
      <c r="CT163">
        <v>7.9535632090087637E-3</v>
      </c>
      <c r="CU163">
        <v>7.9535632090087637E-3</v>
      </c>
      <c r="CV163">
        <v>7.9535632090087637E-3</v>
      </c>
      <c r="CW163">
        <v>7.9535632090087637E-3</v>
      </c>
      <c r="CX163">
        <v>7.9535632090087637E-3</v>
      </c>
      <c r="CZ163">
        <v>1.7895517220269715E-2</v>
      </c>
      <c r="DA163">
        <v>6.2634310270944002E-2</v>
      </c>
      <c r="DB163">
        <v>6.2634310270944002E-2</v>
      </c>
      <c r="DC163">
        <v>1.7895517220269705E-2</v>
      </c>
      <c r="DD163">
        <v>1.7895517220269705E-2</v>
      </c>
      <c r="DE163">
        <v>1.7895517220269705E-2</v>
      </c>
      <c r="DF163">
        <v>1.7895517220269705E-2</v>
      </c>
      <c r="DG163">
        <v>5.9651724067565698E-3</v>
      </c>
      <c r="DH163">
        <v>5.9651724067565698E-3</v>
      </c>
      <c r="DI163">
        <v>5.9651724067565698E-3</v>
      </c>
      <c r="DJ163">
        <v>5.9651724067565698E-3</v>
      </c>
      <c r="DK163">
        <v>5.9651724067565698E-3</v>
      </c>
      <c r="DL163">
        <v>5.9651724067565698E-3</v>
      </c>
      <c r="DM163">
        <v>5.9651724067565698E-3</v>
      </c>
      <c r="DN163">
        <v>5.9651724067565698E-3</v>
      </c>
      <c r="DO163">
        <v>5.9651724067565698E-3</v>
      </c>
    </row>
    <row r="164" spans="61:119">
      <c r="BI164" t="str">
        <f t="shared" si="57"/>
        <v>430391141467FI</v>
      </c>
      <c r="BJ164" s="426">
        <v>43039</v>
      </c>
      <c r="BK164" t="s">
        <v>1375</v>
      </c>
      <c r="BL164" t="s">
        <v>1376</v>
      </c>
      <c r="BM164" t="s">
        <v>1355</v>
      </c>
      <c r="BN164" s="438">
        <v>2</v>
      </c>
      <c r="BO164" s="438">
        <v>1</v>
      </c>
      <c r="BR164">
        <v>4.6000000000000006E-2</v>
      </c>
      <c r="BS164">
        <v>0.16100000000000003</v>
      </c>
      <c r="BT164">
        <v>0.16100000000000003</v>
      </c>
      <c r="BU164">
        <v>4.5999999999999985E-2</v>
      </c>
      <c r="BV164">
        <v>4.5999999999999985E-2</v>
      </c>
      <c r="BW164">
        <v>4.6000000000000013E-2</v>
      </c>
      <c r="BX164">
        <v>4.6000000000000013E-2</v>
      </c>
      <c r="BY164">
        <v>1.5333333333333334E-2</v>
      </c>
      <c r="BZ164">
        <v>1.5333333333333334E-2</v>
      </c>
      <c r="CA164">
        <v>1.5333333333333334E-2</v>
      </c>
      <c r="CB164">
        <v>1.5333333333333334E-2</v>
      </c>
      <c r="CC164">
        <v>1.5333333333333334E-2</v>
      </c>
      <c r="CD164">
        <v>1.5333333333333334E-2</v>
      </c>
      <c r="CE164">
        <v>1.5333333333333334E-2</v>
      </c>
      <c r="CF164">
        <v>1.5333333333333334E-2</v>
      </c>
      <c r="CG164">
        <v>1.5333333333333334E-2</v>
      </c>
      <c r="CI164">
        <v>4.0000000000000008E-2</v>
      </c>
      <c r="CJ164">
        <v>0.14000000000000001</v>
      </c>
      <c r="CK164">
        <v>0.14000000000000001</v>
      </c>
      <c r="CL164">
        <v>3.999999999999998E-2</v>
      </c>
      <c r="CM164">
        <v>3.999999999999998E-2</v>
      </c>
      <c r="CN164">
        <v>3.999999999999998E-2</v>
      </c>
      <c r="CO164">
        <v>3.999999999999998E-2</v>
      </c>
      <c r="CP164">
        <v>1.3333333333333345E-2</v>
      </c>
      <c r="CQ164">
        <v>1.3333333333333345E-2</v>
      </c>
      <c r="CR164">
        <v>1.3333333333333345E-2</v>
      </c>
      <c r="CS164">
        <v>1.3333333333333345E-2</v>
      </c>
      <c r="CT164">
        <v>1.3333333333333345E-2</v>
      </c>
      <c r="CU164">
        <v>1.3333333333333345E-2</v>
      </c>
      <c r="CV164">
        <v>1.3333333333333345E-2</v>
      </c>
      <c r="CW164">
        <v>1.3333333333333345E-2</v>
      </c>
      <c r="CX164">
        <v>1.3333333333333345E-2</v>
      </c>
      <c r="CZ164">
        <v>0.03</v>
      </c>
      <c r="DA164">
        <v>0.105</v>
      </c>
      <c r="DB164">
        <v>0.105</v>
      </c>
      <c r="DC164">
        <v>0.03</v>
      </c>
      <c r="DD164">
        <v>0.03</v>
      </c>
      <c r="DE164">
        <v>0.03</v>
      </c>
      <c r="DF164">
        <v>0.03</v>
      </c>
      <c r="DG164">
        <v>9.9999999999999967E-3</v>
      </c>
      <c r="DH164">
        <v>9.9999999999999967E-3</v>
      </c>
      <c r="DI164">
        <v>9.9999999999999967E-3</v>
      </c>
      <c r="DJ164">
        <v>9.9999999999999967E-3</v>
      </c>
      <c r="DK164">
        <v>9.9999999999999967E-3</v>
      </c>
      <c r="DL164">
        <v>9.9999999999999967E-3</v>
      </c>
      <c r="DM164">
        <v>9.9999999999999967E-3</v>
      </c>
      <c r="DN164">
        <v>9.9999999999999967E-3</v>
      </c>
      <c r="DO164">
        <v>9.9999999999999967E-3</v>
      </c>
    </row>
    <row r="165" spans="61:119">
      <c r="BI165" t="str">
        <f t="shared" si="57"/>
        <v>430391147542CME</v>
      </c>
      <c r="BJ165" s="426">
        <v>43039</v>
      </c>
      <c r="BK165" t="s">
        <v>1361</v>
      </c>
      <c r="BL165" t="s">
        <v>1370</v>
      </c>
      <c r="BM165" t="s">
        <v>1321</v>
      </c>
      <c r="BN165" s="438">
        <v>1</v>
      </c>
      <c r="BO165" s="438">
        <v>1</v>
      </c>
      <c r="BR165">
        <v>8.0000000000000016E-2</v>
      </c>
      <c r="BS165">
        <v>0.16</v>
      </c>
      <c r="BT165">
        <v>0.16</v>
      </c>
      <c r="BU165">
        <v>0</v>
      </c>
      <c r="BV165">
        <v>0</v>
      </c>
      <c r="BW165">
        <v>3.999999999999998E-2</v>
      </c>
      <c r="BX165">
        <v>3.999999999999998E-2</v>
      </c>
      <c r="BY165">
        <v>1.3333333333333345E-2</v>
      </c>
      <c r="BZ165">
        <v>1.3333333333333345E-2</v>
      </c>
      <c r="CA165">
        <v>1.3333333333333345E-2</v>
      </c>
      <c r="CB165">
        <v>1.3333333333333345E-2</v>
      </c>
      <c r="CC165">
        <v>1.3333333333333345E-2</v>
      </c>
      <c r="CD165">
        <v>1.3333333333333345E-2</v>
      </c>
      <c r="CE165">
        <v>1.3333333333333345E-2</v>
      </c>
      <c r="CF165">
        <v>1.3333333333333345E-2</v>
      </c>
      <c r="CG165">
        <v>1.3333333333333345E-2</v>
      </c>
      <c r="CI165">
        <v>6.9999999999999993E-2</v>
      </c>
      <c r="CJ165">
        <v>0.13999999999999999</v>
      </c>
      <c r="CK165">
        <v>0.13999999999999999</v>
      </c>
      <c r="CL165">
        <v>0</v>
      </c>
      <c r="CM165">
        <v>0</v>
      </c>
      <c r="CN165">
        <v>3.5000000000000003E-2</v>
      </c>
      <c r="CO165">
        <v>3.5000000000000003E-2</v>
      </c>
      <c r="CP165">
        <v>1.1666666666666659E-2</v>
      </c>
      <c r="CQ165">
        <v>1.1666666666666659E-2</v>
      </c>
      <c r="CR165">
        <v>1.1666666666666659E-2</v>
      </c>
      <c r="CS165">
        <v>1.1666666666666659E-2</v>
      </c>
      <c r="CT165">
        <v>1.1666666666666659E-2</v>
      </c>
      <c r="CU165">
        <v>1.1666666666666659E-2</v>
      </c>
      <c r="CV165">
        <v>1.1666666666666659E-2</v>
      </c>
      <c r="CW165">
        <v>1.1666666666666659E-2</v>
      </c>
      <c r="CX165">
        <v>1.1666666666666659E-2</v>
      </c>
      <c r="CZ165">
        <v>4.0000000000000008E-2</v>
      </c>
      <c r="DA165">
        <v>0.08</v>
      </c>
      <c r="DB165">
        <v>0.08</v>
      </c>
      <c r="DC165">
        <v>0</v>
      </c>
      <c r="DD165">
        <v>0</v>
      </c>
      <c r="DE165">
        <v>1.999999999999999E-2</v>
      </c>
      <c r="DF165">
        <v>1.999999999999999E-2</v>
      </c>
      <c r="DG165">
        <v>6.6666666666666723E-3</v>
      </c>
      <c r="DH165">
        <v>6.6666666666666723E-3</v>
      </c>
      <c r="DI165">
        <v>6.6666666666666723E-3</v>
      </c>
      <c r="DJ165">
        <v>6.6666666666666723E-3</v>
      </c>
      <c r="DK165">
        <v>6.6666666666666723E-3</v>
      </c>
      <c r="DL165">
        <v>6.6666666666666723E-3</v>
      </c>
      <c r="DM165">
        <v>6.6666666666666723E-3</v>
      </c>
      <c r="DN165">
        <v>6.6666666666666723E-3</v>
      </c>
      <c r="DO165">
        <v>6.6666666666666723E-3</v>
      </c>
    </row>
    <row r="166" spans="61:119">
      <c r="BI166" t="str">
        <f t="shared" si="57"/>
        <v>43039FI</v>
      </c>
      <c r="BJ166" s="426">
        <v>43039</v>
      </c>
      <c r="BM166" t="s">
        <v>1355</v>
      </c>
      <c r="BN166" s="438">
        <v>1</v>
      </c>
      <c r="BO166" s="438">
        <v>1</v>
      </c>
      <c r="BR166">
        <v>2.3000000000000003E-2</v>
      </c>
      <c r="BS166">
        <v>8.0500000000000016E-2</v>
      </c>
      <c r="BT166">
        <v>8.0500000000000016E-2</v>
      </c>
      <c r="BU166">
        <v>2.2999999999999993E-2</v>
      </c>
      <c r="BV166">
        <v>2.2999999999999993E-2</v>
      </c>
      <c r="BW166">
        <v>2.3000000000000007E-2</v>
      </c>
      <c r="BX166">
        <v>2.3000000000000007E-2</v>
      </c>
      <c r="BY166">
        <v>7.6666666666666671E-3</v>
      </c>
      <c r="BZ166">
        <v>7.6666666666666671E-3</v>
      </c>
      <c r="CA166">
        <v>7.6666666666666671E-3</v>
      </c>
      <c r="CB166">
        <v>7.6666666666666671E-3</v>
      </c>
      <c r="CC166">
        <v>7.6666666666666671E-3</v>
      </c>
      <c r="CD166">
        <v>7.6666666666666671E-3</v>
      </c>
      <c r="CE166">
        <v>7.6666666666666671E-3</v>
      </c>
      <c r="CF166">
        <v>7.6666666666666671E-3</v>
      </c>
      <c r="CG166">
        <v>7.6666666666666671E-3</v>
      </c>
      <c r="CI166">
        <v>2.0000000000000004E-2</v>
      </c>
      <c r="CJ166">
        <v>7.0000000000000007E-2</v>
      </c>
      <c r="CK166">
        <v>7.0000000000000007E-2</v>
      </c>
      <c r="CL166">
        <v>1.999999999999999E-2</v>
      </c>
      <c r="CM166">
        <v>1.999999999999999E-2</v>
      </c>
      <c r="CN166">
        <v>1.999999999999999E-2</v>
      </c>
      <c r="CO166">
        <v>1.999999999999999E-2</v>
      </c>
      <c r="CP166">
        <v>6.6666666666666723E-3</v>
      </c>
      <c r="CQ166">
        <v>6.6666666666666723E-3</v>
      </c>
      <c r="CR166">
        <v>6.6666666666666723E-3</v>
      </c>
      <c r="CS166">
        <v>6.6666666666666723E-3</v>
      </c>
      <c r="CT166">
        <v>6.6666666666666723E-3</v>
      </c>
      <c r="CU166">
        <v>6.6666666666666723E-3</v>
      </c>
      <c r="CV166">
        <v>6.6666666666666723E-3</v>
      </c>
      <c r="CW166">
        <v>6.6666666666666723E-3</v>
      </c>
      <c r="CX166">
        <v>6.6666666666666723E-3</v>
      </c>
      <c r="CZ166">
        <v>1.4999999999999999E-2</v>
      </c>
      <c r="DA166">
        <v>5.2499999999999998E-2</v>
      </c>
      <c r="DB166">
        <v>5.2499999999999998E-2</v>
      </c>
      <c r="DC166">
        <v>1.4999999999999999E-2</v>
      </c>
      <c r="DD166">
        <v>1.4999999999999999E-2</v>
      </c>
      <c r="DE166">
        <v>1.4999999999999999E-2</v>
      </c>
      <c r="DF166">
        <v>1.4999999999999999E-2</v>
      </c>
      <c r="DG166">
        <v>4.9999999999999984E-3</v>
      </c>
      <c r="DH166">
        <v>4.9999999999999984E-3</v>
      </c>
      <c r="DI166">
        <v>4.9999999999999984E-3</v>
      </c>
      <c r="DJ166">
        <v>4.9999999999999984E-3</v>
      </c>
      <c r="DK166">
        <v>4.9999999999999984E-3</v>
      </c>
      <c r="DL166">
        <v>4.9999999999999984E-3</v>
      </c>
      <c r="DM166">
        <v>4.9999999999999984E-3</v>
      </c>
      <c r="DN166">
        <v>4.9999999999999984E-3</v>
      </c>
      <c r="DO166">
        <v>4.9999999999999984E-3</v>
      </c>
    </row>
    <row r="167" spans="61:119">
      <c r="BI167" t="str">
        <f t="shared" si="57"/>
        <v>43039CORP</v>
      </c>
      <c r="BJ167" s="426">
        <v>43039</v>
      </c>
      <c r="BM167" t="s">
        <v>1356</v>
      </c>
      <c r="BN167" s="438">
        <v>1</v>
      </c>
      <c r="BO167" s="438">
        <v>1</v>
      </c>
      <c r="BR167">
        <v>8.0000000000000002E-3</v>
      </c>
      <c r="BS167">
        <v>4.3999999999999997E-2</v>
      </c>
      <c r="BT167">
        <v>4.3999999999999997E-2</v>
      </c>
      <c r="BU167">
        <v>3.2000000000000001E-2</v>
      </c>
      <c r="BV167">
        <v>3.2000000000000001E-2</v>
      </c>
      <c r="BW167">
        <v>1.6E-2</v>
      </c>
      <c r="BX167">
        <v>1.6E-2</v>
      </c>
      <c r="BY167">
        <v>5.3333333333333323E-3</v>
      </c>
      <c r="BZ167">
        <v>5.3333333333333323E-3</v>
      </c>
      <c r="CA167">
        <v>5.3333333333333323E-3</v>
      </c>
      <c r="CB167">
        <v>5.3333333333333323E-3</v>
      </c>
      <c r="CC167">
        <v>5.3333333333333323E-3</v>
      </c>
      <c r="CD167">
        <v>5.3333333333333323E-3</v>
      </c>
      <c r="CE167">
        <v>5.3333333333333323E-3</v>
      </c>
      <c r="CF167">
        <v>5.3333333333333323E-3</v>
      </c>
      <c r="CG167">
        <v>5.3333333333333323E-3</v>
      </c>
      <c r="CI167">
        <v>7.000000000000001E-3</v>
      </c>
      <c r="CJ167">
        <v>3.85E-2</v>
      </c>
      <c r="CK167">
        <v>3.85E-2</v>
      </c>
      <c r="CL167">
        <v>2.8000000000000004E-2</v>
      </c>
      <c r="CM167">
        <v>2.8000000000000004E-2</v>
      </c>
      <c r="CN167">
        <v>1.3999999999999999E-2</v>
      </c>
      <c r="CO167">
        <v>1.3999999999999999E-2</v>
      </c>
      <c r="CP167">
        <v>4.6666666666666679E-3</v>
      </c>
      <c r="CQ167">
        <v>4.6666666666666679E-3</v>
      </c>
      <c r="CR167">
        <v>4.6666666666666679E-3</v>
      </c>
      <c r="CS167">
        <v>4.6666666666666679E-3</v>
      </c>
      <c r="CT167">
        <v>4.6666666666666679E-3</v>
      </c>
      <c r="CU167">
        <v>4.6666666666666679E-3</v>
      </c>
      <c r="CV167">
        <v>4.6666666666666679E-3</v>
      </c>
      <c r="CW167">
        <v>4.6666666666666679E-3</v>
      </c>
      <c r="CX167">
        <v>4.6666666666666679E-3</v>
      </c>
      <c r="CZ167">
        <v>5.000000000000001E-3</v>
      </c>
      <c r="DA167">
        <v>2.7499999999999997E-2</v>
      </c>
      <c r="DB167">
        <v>2.7499999999999997E-2</v>
      </c>
      <c r="DC167">
        <v>2.0000000000000004E-2</v>
      </c>
      <c r="DD167">
        <v>2.0000000000000004E-2</v>
      </c>
      <c r="DE167">
        <v>9.999999999999995E-3</v>
      </c>
      <c r="DF167">
        <v>9.999999999999995E-3</v>
      </c>
      <c r="DG167">
        <v>3.3333333333333361E-3</v>
      </c>
      <c r="DH167">
        <v>3.3333333333333361E-3</v>
      </c>
      <c r="DI167">
        <v>3.3333333333333361E-3</v>
      </c>
      <c r="DJ167">
        <v>3.3333333333333361E-3</v>
      </c>
      <c r="DK167">
        <v>3.3333333333333361E-3</v>
      </c>
      <c r="DL167">
        <v>3.3333333333333361E-3</v>
      </c>
      <c r="DM167">
        <v>3.3333333333333361E-3</v>
      </c>
      <c r="DN167">
        <v>3.3333333333333361E-3</v>
      </c>
      <c r="DO167">
        <v>3.3333333333333361E-3</v>
      </c>
    </row>
    <row r="168" spans="61:119">
      <c r="BI168" t="str">
        <f t="shared" si="57"/>
        <v>43039ESCROW</v>
      </c>
      <c r="BJ168" s="426">
        <v>43039</v>
      </c>
      <c r="BM168" t="s">
        <v>1339</v>
      </c>
      <c r="BN168" s="438">
        <v>1</v>
      </c>
      <c r="BO168" s="438">
        <v>1</v>
      </c>
      <c r="BR168">
        <v>3.2000000000000001E-2</v>
      </c>
      <c r="BS168">
        <v>2.4E-2</v>
      </c>
      <c r="BT168">
        <v>2.4E-2</v>
      </c>
      <c r="BU168">
        <v>0.04</v>
      </c>
      <c r="BV168">
        <v>0.04</v>
      </c>
      <c r="BW168">
        <v>3.9999999999999994E-2</v>
      </c>
      <c r="BX168">
        <v>3.9999999999999994E-2</v>
      </c>
      <c r="BY168">
        <v>8.8888888888888906E-3</v>
      </c>
      <c r="BZ168">
        <v>8.8888888888888906E-3</v>
      </c>
      <c r="CA168">
        <v>8.8888888888888906E-3</v>
      </c>
      <c r="CB168">
        <v>8.8888888888888906E-3</v>
      </c>
      <c r="CC168">
        <v>8.8888888888888906E-3</v>
      </c>
      <c r="CD168">
        <v>8.8888888888888906E-3</v>
      </c>
      <c r="CE168">
        <v>8.8888888888888906E-3</v>
      </c>
      <c r="CF168">
        <v>8.8888888888888906E-3</v>
      </c>
      <c r="CG168">
        <v>8.8888888888888906E-3</v>
      </c>
      <c r="CI168">
        <v>2.8000000000000004E-2</v>
      </c>
      <c r="CJ168">
        <v>2.1000000000000001E-2</v>
      </c>
      <c r="CK168">
        <v>2.1000000000000001E-2</v>
      </c>
      <c r="CL168">
        <v>3.5000000000000003E-2</v>
      </c>
      <c r="CM168">
        <v>3.5000000000000003E-2</v>
      </c>
      <c r="CN168">
        <v>3.5000000000000003E-2</v>
      </c>
      <c r="CO168">
        <v>3.5000000000000003E-2</v>
      </c>
      <c r="CP168">
        <v>7.7777777777777784E-3</v>
      </c>
      <c r="CQ168">
        <v>7.7777777777777784E-3</v>
      </c>
      <c r="CR168">
        <v>7.7777777777777784E-3</v>
      </c>
      <c r="CS168">
        <v>7.7777777777777784E-3</v>
      </c>
      <c r="CT168">
        <v>7.7777777777777784E-3</v>
      </c>
      <c r="CU168">
        <v>7.7777777777777784E-3</v>
      </c>
      <c r="CV168">
        <v>7.7777777777777784E-3</v>
      </c>
      <c r="CW168">
        <v>7.7777777777777784E-3</v>
      </c>
      <c r="CX168">
        <v>7.7777777777777784E-3</v>
      </c>
      <c r="CZ168">
        <v>2.0000000000000004E-2</v>
      </c>
      <c r="DA168">
        <v>1.4999999999999999E-2</v>
      </c>
      <c r="DB168">
        <v>1.4999999999999999E-2</v>
      </c>
      <c r="DC168">
        <v>2.5000000000000001E-2</v>
      </c>
      <c r="DD168">
        <v>2.5000000000000001E-2</v>
      </c>
      <c r="DE168">
        <v>2.5000000000000008E-2</v>
      </c>
      <c r="DF168">
        <v>2.5000000000000008E-2</v>
      </c>
      <c r="DG168">
        <v>5.555555555555554E-3</v>
      </c>
      <c r="DH168">
        <v>5.555555555555554E-3</v>
      </c>
      <c r="DI168">
        <v>5.555555555555554E-3</v>
      </c>
      <c r="DJ168">
        <v>5.555555555555554E-3</v>
      </c>
      <c r="DK168">
        <v>5.555555555555554E-3</v>
      </c>
      <c r="DL168">
        <v>5.555555555555554E-3</v>
      </c>
      <c r="DM168">
        <v>5.555555555555554E-3</v>
      </c>
      <c r="DN168">
        <v>5.555555555555554E-3</v>
      </c>
      <c r="DO168">
        <v>5.555555555555554E-3</v>
      </c>
    </row>
    <row r="169" spans="61:119">
      <c r="BI169" t="str">
        <f t="shared" si="57"/>
        <v>43039IB</v>
      </c>
      <c r="BJ169" s="426">
        <v>43039</v>
      </c>
      <c r="BM169" t="s">
        <v>1354</v>
      </c>
      <c r="BN169" s="438">
        <v>1</v>
      </c>
      <c r="BO169" s="438">
        <v>1</v>
      </c>
      <c r="BR169">
        <v>1.2E-2</v>
      </c>
      <c r="BS169">
        <v>4.2000000000000003E-2</v>
      </c>
      <c r="BT169">
        <v>4.2000000000000003E-2</v>
      </c>
      <c r="BU169">
        <v>1.1999999999999997E-2</v>
      </c>
      <c r="BV169">
        <v>1.1999999999999997E-2</v>
      </c>
      <c r="BW169">
        <v>1.1999999999999997E-2</v>
      </c>
      <c r="BX169">
        <v>1.1999999999999997E-2</v>
      </c>
      <c r="BY169">
        <v>4.0000000000000001E-3</v>
      </c>
      <c r="BZ169">
        <v>4.0000000000000001E-3</v>
      </c>
      <c r="CA169">
        <v>4.0000000000000001E-3</v>
      </c>
      <c r="CB169">
        <v>4.0000000000000001E-3</v>
      </c>
      <c r="CC169">
        <v>4.0000000000000001E-3</v>
      </c>
      <c r="CD169">
        <v>4.0000000000000001E-3</v>
      </c>
      <c r="CE169">
        <v>4.0000000000000001E-3</v>
      </c>
      <c r="CF169">
        <v>4.0000000000000001E-3</v>
      </c>
      <c r="CG169">
        <v>4.0000000000000001E-3</v>
      </c>
      <c r="CI169">
        <v>3.0000000000000001E-3</v>
      </c>
      <c r="CJ169">
        <v>1.0500000000000001E-2</v>
      </c>
      <c r="CK169">
        <v>1.0500000000000001E-2</v>
      </c>
      <c r="CL169">
        <v>2.9999999999999992E-3</v>
      </c>
      <c r="CM169">
        <v>2.9999999999999992E-3</v>
      </c>
      <c r="CN169">
        <v>2.9999999999999992E-3</v>
      </c>
      <c r="CO169">
        <v>2.9999999999999992E-3</v>
      </c>
      <c r="CP169">
        <v>1E-3</v>
      </c>
      <c r="CQ169">
        <v>1E-3</v>
      </c>
      <c r="CR169">
        <v>1E-3</v>
      </c>
      <c r="CS169">
        <v>1E-3</v>
      </c>
      <c r="CT169">
        <v>1E-3</v>
      </c>
      <c r="CU169">
        <v>1E-3</v>
      </c>
      <c r="CV169">
        <v>1E-3</v>
      </c>
      <c r="CW169">
        <v>1E-3</v>
      </c>
      <c r="CX169">
        <v>1E-3</v>
      </c>
      <c r="CZ169">
        <v>1.0000000000000002E-2</v>
      </c>
      <c r="DA169">
        <v>3.5000000000000003E-2</v>
      </c>
      <c r="DB169">
        <v>3.5000000000000003E-2</v>
      </c>
      <c r="DC169">
        <v>9.999999999999995E-3</v>
      </c>
      <c r="DD169">
        <v>9.999999999999995E-3</v>
      </c>
      <c r="DE169">
        <v>9.999999999999995E-3</v>
      </c>
      <c r="DF169">
        <v>9.999999999999995E-3</v>
      </c>
      <c r="DG169">
        <v>3.3333333333333361E-3</v>
      </c>
      <c r="DH169">
        <v>3.3333333333333361E-3</v>
      </c>
      <c r="DI169">
        <v>3.3333333333333361E-3</v>
      </c>
      <c r="DJ169">
        <v>3.3333333333333361E-3</v>
      </c>
      <c r="DK169">
        <v>3.3333333333333361E-3</v>
      </c>
      <c r="DL169">
        <v>3.3333333333333361E-3</v>
      </c>
      <c r="DM169">
        <v>3.3333333333333361E-3</v>
      </c>
      <c r="DN169">
        <v>3.3333333333333361E-3</v>
      </c>
      <c r="DO169">
        <v>3.3333333333333361E-3</v>
      </c>
    </row>
    <row r="170" spans="61:119">
      <c r="BI170" t="str">
        <f t="shared" si="57"/>
        <v>43039AFF</v>
      </c>
      <c r="BJ170" s="426">
        <v>43039</v>
      </c>
      <c r="BM170" t="s">
        <v>1353</v>
      </c>
      <c r="BN170" s="438">
        <v>1</v>
      </c>
      <c r="BO170" s="438">
        <v>1</v>
      </c>
      <c r="BR170">
        <v>1.4999999999999999E-2</v>
      </c>
      <c r="BS170">
        <v>5.2499999999999998E-2</v>
      </c>
      <c r="BT170">
        <v>5.2499999999999998E-2</v>
      </c>
      <c r="BU170">
        <v>1.4999999999999999E-2</v>
      </c>
      <c r="BV170">
        <v>1.4999999999999999E-2</v>
      </c>
      <c r="BW170">
        <v>1.4999999999999999E-2</v>
      </c>
      <c r="BX170">
        <v>1.4999999999999999E-2</v>
      </c>
      <c r="BY170">
        <v>4.9999999999999984E-3</v>
      </c>
      <c r="BZ170">
        <v>4.9999999999999984E-3</v>
      </c>
      <c r="CA170">
        <v>4.9999999999999984E-3</v>
      </c>
      <c r="CB170">
        <v>4.9999999999999984E-3</v>
      </c>
      <c r="CC170">
        <v>4.9999999999999984E-3</v>
      </c>
      <c r="CD170">
        <v>4.9999999999999984E-3</v>
      </c>
      <c r="CE170">
        <v>4.9999999999999984E-3</v>
      </c>
      <c r="CF170">
        <v>4.9999999999999984E-3</v>
      </c>
      <c r="CG170">
        <v>4.9999999999999984E-3</v>
      </c>
      <c r="CI170">
        <v>1.2E-2</v>
      </c>
      <c r="CJ170">
        <v>4.2000000000000003E-2</v>
      </c>
      <c r="CK170">
        <v>4.2000000000000003E-2</v>
      </c>
      <c r="CL170">
        <v>1.1999999999999997E-2</v>
      </c>
      <c r="CM170">
        <v>1.1999999999999997E-2</v>
      </c>
      <c r="CN170">
        <v>1.1999999999999997E-2</v>
      </c>
      <c r="CO170">
        <v>1.1999999999999997E-2</v>
      </c>
      <c r="CP170">
        <v>4.0000000000000001E-3</v>
      </c>
      <c r="CQ170">
        <v>4.0000000000000001E-3</v>
      </c>
      <c r="CR170">
        <v>4.0000000000000001E-3</v>
      </c>
      <c r="CS170">
        <v>4.0000000000000001E-3</v>
      </c>
      <c r="CT170">
        <v>4.0000000000000001E-3</v>
      </c>
      <c r="CU170">
        <v>4.0000000000000001E-3</v>
      </c>
      <c r="CV170">
        <v>4.0000000000000001E-3</v>
      </c>
      <c r="CW170">
        <v>4.0000000000000001E-3</v>
      </c>
      <c r="CX170">
        <v>4.0000000000000001E-3</v>
      </c>
      <c r="CZ170">
        <v>5.000000000000001E-3</v>
      </c>
      <c r="DA170">
        <v>1.7500000000000002E-2</v>
      </c>
      <c r="DB170">
        <v>1.7500000000000002E-2</v>
      </c>
      <c r="DC170">
        <v>4.9999999999999975E-3</v>
      </c>
      <c r="DD170">
        <v>4.9999999999999975E-3</v>
      </c>
      <c r="DE170">
        <v>4.9999999999999975E-3</v>
      </c>
      <c r="DF170">
        <v>4.9999999999999975E-3</v>
      </c>
      <c r="DG170">
        <v>1.6666666666666681E-3</v>
      </c>
      <c r="DH170">
        <v>1.6666666666666681E-3</v>
      </c>
      <c r="DI170">
        <v>1.6666666666666681E-3</v>
      </c>
      <c r="DJ170">
        <v>1.6666666666666681E-3</v>
      </c>
      <c r="DK170">
        <v>1.6666666666666681E-3</v>
      </c>
      <c r="DL170">
        <v>1.6666666666666681E-3</v>
      </c>
      <c r="DM170">
        <v>1.6666666666666681E-3</v>
      </c>
      <c r="DN170">
        <v>1.6666666666666681E-3</v>
      </c>
      <c r="DO170">
        <v>1.6666666666666681E-3</v>
      </c>
    </row>
    <row r="171" spans="61:119">
      <c r="BI171" t="str">
        <f t="shared" si="57"/>
        <v>430691030623FI</v>
      </c>
      <c r="BJ171" s="426">
        <v>43069</v>
      </c>
      <c r="BK171" t="s">
        <v>1360</v>
      </c>
      <c r="BL171" t="s">
        <v>1369</v>
      </c>
      <c r="BM171" t="s">
        <v>1355</v>
      </c>
      <c r="BN171" s="438">
        <v>2</v>
      </c>
      <c r="BO171" s="438">
        <v>1</v>
      </c>
      <c r="BR171">
        <v>4.6000000000000006E-2</v>
      </c>
      <c r="BS171">
        <v>0.16100000000000003</v>
      </c>
      <c r="BT171">
        <v>0.16100000000000003</v>
      </c>
      <c r="BU171">
        <v>4.5999999999999985E-2</v>
      </c>
      <c r="BV171">
        <v>4.5999999999999985E-2</v>
      </c>
      <c r="BW171">
        <v>4.6000000000000013E-2</v>
      </c>
      <c r="BX171">
        <v>4.6000000000000013E-2</v>
      </c>
      <c r="BY171">
        <v>1.5333333333333334E-2</v>
      </c>
      <c r="BZ171">
        <v>1.5333333333333334E-2</v>
      </c>
      <c r="CA171">
        <v>1.5333333333333334E-2</v>
      </c>
      <c r="CB171">
        <v>1.5333333333333334E-2</v>
      </c>
      <c r="CC171">
        <v>1.5333333333333334E-2</v>
      </c>
      <c r="CD171">
        <v>1.5333333333333334E-2</v>
      </c>
      <c r="CE171">
        <v>1.5333333333333334E-2</v>
      </c>
      <c r="CF171">
        <v>1.5333333333333334E-2</v>
      </c>
      <c r="CG171">
        <v>1.5333333333333334E-2</v>
      </c>
      <c r="CI171">
        <v>4.0000000000000008E-2</v>
      </c>
      <c r="CJ171">
        <v>0.14000000000000001</v>
      </c>
      <c r="CK171">
        <v>0.14000000000000001</v>
      </c>
      <c r="CL171">
        <v>3.999999999999998E-2</v>
      </c>
      <c r="CM171">
        <v>3.999999999999998E-2</v>
      </c>
      <c r="CN171">
        <v>3.999999999999998E-2</v>
      </c>
      <c r="CO171">
        <v>3.999999999999998E-2</v>
      </c>
      <c r="CP171">
        <v>1.3333333333333345E-2</v>
      </c>
      <c r="CQ171">
        <v>1.3333333333333345E-2</v>
      </c>
      <c r="CR171">
        <v>1.3333333333333345E-2</v>
      </c>
      <c r="CS171">
        <v>1.3333333333333345E-2</v>
      </c>
      <c r="CT171">
        <v>1.3333333333333345E-2</v>
      </c>
      <c r="CU171">
        <v>1.3333333333333345E-2</v>
      </c>
      <c r="CV171">
        <v>1.3333333333333345E-2</v>
      </c>
      <c r="CW171">
        <v>1.3333333333333345E-2</v>
      </c>
      <c r="CX171">
        <v>1.3333333333333345E-2</v>
      </c>
      <c r="CZ171">
        <v>0.03</v>
      </c>
      <c r="DA171">
        <v>0.105</v>
      </c>
      <c r="DB171">
        <v>0.105</v>
      </c>
      <c r="DC171">
        <v>0.03</v>
      </c>
      <c r="DD171">
        <v>0.03</v>
      </c>
      <c r="DE171">
        <v>0.03</v>
      </c>
      <c r="DF171">
        <v>0.03</v>
      </c>
      <c r="DG171">
        <v>9.9999999999999967E-3</v>
      </c>
      <c r="DH171">
        <v>9.9999999999999967E-3</v>
      </c>
      <c r="DI171">
        <v>9.9999999999999967E-3</v>
      </c>
      <c r="DJ171">
        <v>9.9999999999999967E-3</v>
      </c>
      <c r="DK171">
        <v>9.9999999999999967E-3</v>
      </c>
      <c r="DL171">
        <v>9.9999999999999967E-3</v>
      </c>
      <c r="DM171">
        <v>9.9999999999999967E-3</v>
      </c>
      <c r="DN171">
        <v>9.9999999999999967E-3</v>
      </c>
      <c r="DO171">
        <v>9.9999999999999967E-3</v>
      </c>
    </row>
    <row r="172" spans="61:119">
      <c r="BI172" t="str">
        <f t="shared" si="57"/>
        <v>430691000526FI</v>
      </c>
      <c r="BJ172" s="426">
        <v>43069</v>
      </c>
      <c r="BK172" t="s">
        <v>1363</v>
      </c>
      <c r="BL172" t="s">
        <v>1368</v>
      </c>
      <c r="BM172" t="s">
        <v>1355</v>
      </c>
      <c r="BN172" s="438">
        <v>1.6259199084576998</v>
      </c>
      <c r="BO172" s="438">
        <v>1</v>
      </c>
      <c r="BR172">
        <v>3.7396157894527098E-2</v>
      </c>
      <c r="BS172">
        <v>0.13088655263084484</v>
      </c>
      <c r="BT172">
        <v>0.13088655263084484</v>
      </c>
      <c r="BU172">
        <v>3.7396157894527104E-2</v>
      </c>
      <c r="BV172">
        <v>3.7396157894527104E-2</v>
      </c>
      <c r="BW172">
        <v>3.7396157894527104E-2</v>
      </c>
      <c r="BX172">
        <v>3.7396157894527104E-2</v>
      </c>
      <c r="BY172">
        <v>1.2465385964842361E-2</v>
      </c>
      <c r="BZ172">
        <v>1.2465385964842361E-2</v>
      </c>
      <c r="CA172">
        <v>1.2465385964842361E-2</v>
      </c>
      <c r="CB172">
        <v>1.2465385964842361E-2</v>
      </c>
      <c r="CC172">
        <v>1.2465385964842361E-2</v>
      </c>
      <c r="CD172">
        <v>1.2465385964842361E-2</v>
      </c>
      <c r="CE172">
        <v>1.2465385964842361E-2</v>
      </c>
      <c r="CF172">
        <v>1.2465385964842361E-2</v>
      </c>
      <c r="CG172">
        <v>1.2465385964842361E-2</v>
      </c>
      <c r="CI172">
        <v>3.2518398169154E-2</v>
      </c>
      <c r="CJ172">
        <v>0.113814393592039</v>
      </c>
      <c r="CK172">
        <v>0.113814393592039</v>
      </c>
      <c r="CL172">
        <v>3.2518398169154E-2</v>
      </c>
      <c r="CM172">
        <v>3.2518398169154E-2</v>
      </c>
      <c r="CN172">
        <v>3.2518398169154E-2</v>
      </c>
      <c r="CO172">
        <v>3.2518398169154E-2</v>
      </c>
      <c r="CP172">
        <v>1.0839466056384663E-2</v>
      </c>
      <c r="CQ172">
        <v>1.0839466056384663E-2</v>
      </c>
      <c r="CR172">
        <v>1.0839466056384663E-2</v>
      </c>
      <c r="CS172">
        <v>1.0839466056384663E-2</v>
      </c>
      <c r="CT172">
        <v>1.0839466056384663E-2</v>
      </c>
      <c r="CU172">
        <v>1.0839466056384663E-2</v>
      </c>
      <c r="CV172">
        <v>1.0839466056384663E-2</v>
      </c>
      <c r="CW172">
        <v>1.0839466056384663E-2</v>
      </c>
      <c r="CX172">
        <v>1.0839466056384663E-2</v>
      </c>
      <c r="CZ172">
        <v>2.4388798626865497E-2</v>
      </c>
      <c r="DA172">
        <v>8.536079519402924E-2</v>
      </c>
      <c r="DB172">
        <v>8.536079519402924E-2</v>
      </c>
      <c r="DC172">
        <v>2.4388798626865493E-2</v>
      </c>
      <c r="DD172">
        <v>2.4388798626865493E-2</v>
      </c>
      <c r="DE172">
        <v>2.4388798626865479E-2</v>
      </c>
      <c r="DF172">
        <v>2.4388798626865479E-2</v>
      </c>
      <c r="DG172">
        <v>8.1295995422885035E-3</v>
      </c>
      <c r="DH172">
        <v>8.1295995422885035E-3</v>
      </c>
      <c r="DI172">
        <v>8.1295995422885035E-3</v>
      </c>
      <c r="DJ172">
        <v>8.1295995422885035E-3</v>
      </c>
      <c r="DK172">
        <v>8.1295995422885035E-3</v>
      </c>
      <c r="DL172">
        <v>8.1295995422885035E-3</v>
      </c>
      <c r="DM172">
        <v>8.1295995422885035E-3</v>
      </c>
      <c r="DN172">
        <v>8.1295995422885035E-3</v>
      </c>
      <c r="DO172">
        <v>8.1295995422885035E-3</v>
      </c>
    </row>
    <row r="173" spans="61:119">
      <c r="BI173" t="str">
        <f t="shared" si="57"/>
        <v>430691000790IB</v>
      </c>
      <c r="BJ173" s="426">
        <v>43069</v>
      </c>
      <c r="BK173" t="s">
        <v>1358</v>
      </c>
      <c r="BL173" t="s">
        <v>1371</v>
      </c>
      <c r="BM173" t="s">
        <v>1354</v>
      </c>
      <c r="BN173" s="438">
        <v>1.5617319706621502</v>
      </c>
      <c r="BO173" s="438">
        <v>1</v>
      </c>
      <c r="BR173">
        <v>1.8740783647945805E-2</v>
      </c>
      <c r="BS173">
        <v>6.5592742767810325E-2</v>
      </c>
      <c r="BT173">
        <v>6.5592742767810325E-2</v>
      </c>
      <c r="BU173">
        <v>1.8740783647945791E-2</v>
      </c>
      <c r="BV173">
        <v>1.8740783647945791E-2</v>
      </c>
      <c r="BW173">
        <v>1.8740783647945791E-2</v>
      </c>
      <c r="BX173">
        <v>1.8740783647945791E-2</v>
      </c>
      <c r="BY173">
        <v>6.2469278826486029E-3</v>
      </c>
      <c r="BZ173">
        <v>6.2469278826486029E-3</v>
      </c>
      <c r="CA173">
        <v>6.2469278826486029E-3</v>
      </c>
      <c r="CB173">
        <v>6.2469278826486029E-3</v>
      </c>
      <c r="CC173">
        <v>6.2469278826486029E-3</v>
      </c>
      <c r="CD173">
        <v>6.2469278826486029E-3</v>
      </c>
      <c r="CE173">
        <v>6.2469278826486029E-3</v>
      </c>
      <c r="CF173">
        <v>6.2469278826486029E-3</v>
      </c>
      <c r="CG173">
        <v>6.2469278826486029E-3</v>
      </c>
      <c r="CI173">
        <v>4.6851959119864513E-3</v>
      </c>
      <c r="CJ173">
        <v>1.6398185691952581E-2</v>
      </c>
      <c r="CK173">
        <v>1.6398185691952581E-2</v>
      </c>
      <c r="CL173">
        <v>4.6851959119864478E-3</v>
      </c>
      <c r="CM173">
        <v>4.6851959119864478E-3</v>
      </c>
      <c r="CN173">
        <v>4.6851959119864478E-3</v>
      </c>
      <c r="CO173">
        <v>4.6851959119864478E-3</v>
      </c>
      <c r="CP173">
        <v>1.5617319706621507E-3</v>
      </c>
      <c r="CQ173">
        <v>1.5617319706621507E-3</v>
      </c>
      <c r="CR173">
        <v>1.5617319706621507E-3</v>
      </c>
      <c r="CS173">
        <v>1.5617319706621507E-3</v>
      </c>
      <c r="CT173">
        <v>1.5617319706621507E-3</v>
      </c>
      <c r="CU173">
        <v>1.5617319706621507E-3</v>
      </c>
      <c r="CV173">
        <v>1.5617319706621507E-3</v>
      </c>
      <c r="CW173">
        <v>1.5617319706621507E-3</v>
      </c>
      <c r="CX173">
        <v>1.5617319706621507E-3</v>
      </c>
      <c r="CZ173">
        <v>1.5617319706621502E-2</v>
      </c>
      <c r="DA173">
        <v>5.4660618973175257E-2</v>
      </c>
      <c r="DB173">
        <v>5.4660618973175257E-2</v>
      </c>
      <c r="DC173">
        <v>1.5617319706621502E-2</v>
      </c>
      <c r="DD173">
        <v>1.5617319706621502E-2</v>
      </c>
      <c r="DE173">
        <v>1.5617319706621502E-2</v>
      </c>
      <c r="DF173">
        <v>1.5617319706621502E-2</v>
      </c>
      <c r="DG173">
        <v>5.2057732355405006E-3</v>
      </c>
      <c r="DH173">
        <v>5.2057732355405006E-3</v>
      </c>
      <c r="DI173">
        <v>5.2057732355405006E-3</v>
      </c>
      <c r="DJ173">
        <v>5.2057732355405006E-3</v>
      </c>
      <c r="DK173">
        <v>5.2057732355405006E-3</v>
      </c>
      <c r="DL173">
        <v>5.2057732355405006E-3</v>
      </c>
      <c r="DM173">
        <v>5.2057732355405006E-3</v>
      </c>
      <c r="DN173">
        <v>5.2057732355405006E-3</v>
      </c>
      <c r="DO173">
        <v>5.2057732355405006E-3</v>
      </c>
    </row>
    <row r="174" spans="61:119">
      <c r="BI174" t="str">
        <f t="shared" si="57"/>
        <v>430691000798AFF</v>
      </c>
      <c r="BJ174" s="426">
        <v>43069</v>
      </c>
      <c r="BK174" t="s">
        <v>1366</v>
      </c>
      <c r="BL174" t="s">
        <v>1374</v>
      </c>
      <c r="BM174" t="s">
        <v>1353</v>
      </c>
      <c r="BN174" s="438">
        <v>1.0660713352916913</v>
      </c>
      <c r="BO174" s="438">
        <v>1</v>
      </c>
      <c r="BR174">
        <v>1.599107002937537E-2</v>
      </c>
      <c r="BS174">
        <v>5.5968745102813793E-2</v>
      </c>
      <c r="BT174">
        <v>5.5968745102813793E-2</v>
      </c>
      <c r="BU174">
        <v>1.5991070029375359E-2</v>
      </c>
      <c r="BV174">
        <v>1.5991070029375359E-2</v>
      </c>
      <c r="BW174">
        <v>1.5991070029375359E-2</v>
      </c>
      <c r="BX174">
        <v>1.5991070029375359E-2</v>
      </c>
      <c r="BY174">
        <v>5.3303566764584592E-3</v>
      </c>
      <c r="BZ174">
        <v>5.3303566764584592E-3</v>
      </c>
      <c r="CA174">
        <v>5.3303566764584592E-3</v>
      </c>
      <c r="CB174">
        <v>5.3303566764584592E-3</v>
      </c>
      <c r="CC174">
        <v>5.3303566764584592E-3</v>
      </c>
      <c r="CD174">
        <v>5.3303566764584592E-3</v>
      </c>
      <c r="CE174">
        <v>5.3303566764584592E-3</v>
      </c>
      <c r="CF174">
        <v>5.3303566764584592E-3</v>
      </c>
      <c r="CG174">
        <v>5.3303566764584592E-3</v>
      </c>
      <c r="CI174">
        <v>1.2792856023500297E-2</v>
      </c>
      <c r="CJ174">
        <v>4.4774996082251037E-2</v>
      </c>
      <c r="CK174">
        <v>4.4774996082251037E-2</v>
      </c>
      <c r="CL174">
        <v>1.279285602350029E-2</v>
      </c>
      <c r="CM174">
        <v>1.279285602350029E-2</v>
      </c>
      <c r="CN174">
        <v>1.279285602350029E-2</v>
      </c>
      <c r="CO174">
        <v>1.279285602350029E-2</v>
      </c>
      <c r="CP174">
        <v>4.2642853411667646E-3</v>
      </c>
      <c r="CQ174">
        <v>4.2642853411667646E-3</v>
      </c>
      <c r="CR174">
        <v>4.2642853411667646E-3</v>
      </c>
      <c r="CS174">
        <v>4.2642853411667646E-3</v>
      </c>
      <c r="CT174">
        <v>4.2642853411667646E-3</v>
      </c>
      <c r="CU174">
        <v>4.2642853411667646E-3</v>
      </c>
      <c r="CV174">
        <v>4.2642853411667646E-3</v>
      </c>
      <c r="CW174">
        <v>4.2642853411667646E-3</v>
      </c>
      <c r="CX174">
        <v>4.2642853411667646E-3</v>
      </c>
      <c r="CZ174">
        <v>5.3303566764584566E-3</v>
      </c>
      <c r="DA174">
        <v>1.86562483676046E-2</v>
      </c>
      <c r="DB174">
        <v>1.86562483676046E-2</v>
      </c>
      <c r="DC174">
        <v>5.3303566764584566E-3</v>
      </c>
      <c r="DD174">
        <v>5.3303566764584566E-3</v>
      </c>
      <c r="DE174">
        <v>5.3303566764584566E-3</v>
      </c>
      <c r="DF174">
        <v>5.3303566764584566E-3</v>
      </c>
      <c r="DG174">
        <v>1.7767855588194858E-3</v>
      </c>
      <c r="DH174">
        <v>1.7767855588194858E-3</v>
      </c>
      <c r="DI174">
        <v>1.7767855588194858E-3</v>
      </c>
      <c r="DJ174">
        <v>1.7767855588194858E-3</v>
      </c>
      <c r="DK174">
        <v>1.7767855588194858E-3</v>
      </c>
      <c r="DL174">
        <v>1.7767855588194858E-3</v>
      </c>
      <c r="DM174">
        <v>1.7767855588194858E-3</v>
      </c>
      <c r="DN174">
        <v>1.7767855588194858E-3</v>
      </c>
      <c r="DO174">
        <v>1.7767855588194858E-3</v>
      </c>
    </row>
    <row r="175" spans="61:119">
      <c r="BI175" t="str">
        <f t="shared" si="57"/>
        <v>430691126198FI</v>
      </c>
      <c r="BJ175" s="426">
        <v>43069</v>
      </c>
      <c r="BK175" t="s">
        <v>1359</v>
      </c>
      <c r="BL175" t="s">
        <v>1367</v>
      </c>
      <c r="BM175" t="s">
        <v>1355</v>
      </c>
      <c r="BN175" s="438">
        <v>1.042235580479649</v>
      </c>
      <c r="BO175" s="438">
        <v>1</v>
      </c>
      <c r="BR175">
        <v>2.397141835103193E-2</v>
      </c>
      <c r="BS175">
        <v>8.3899964228611762E-2</v>
      </c>
      <c r="BT175">
        <v>8.3899964228611762E-2</v>
      </c>
      <c r="BU175">
        <v>2.397141835103192E-2</v>
      </c>
      <c r="BV175">
        <v>2.397141835103192E-2</v>
      </c>
      <c r="BW175">
        <v>2.3971418351031934E-2</v>
      </c>
      <c r="BX175">
        <v>2.3971418351031934E-2</v>
      </c>
      <c r="BY175">
        <v>7.990472783677309E-3</v>
      </c>
      <c r="BZ175">
        <v>7.990472783677309E-3</v>
      </c>
      <c r="CA175">
        <v>7.990472783677309E-3</v>
      </c>
      <c r="CB175">
        <v>7.990472783677309E-3</v>
      </c>
      <c r="CC175">
        <v>7.990472783677309E-3</v>
      </c>
      <c r="CD175">
        <v>7.990472783677309E-3</v>
      </c>
      <c r="CE175">
        <v>7.990472783677309E-3</v>
      </c>
      <c r="CF175">
        <v>7.990472783677309E-3</v>
      </c>
      <c r="CG175">
        <v>7.990472783677309E-3</v>
      </c>
      <c r="CI175">
        <v>2.0844711609592982E-2</v>
      </c>
      <c r="CJ175">
        <v>7.2956490633575441E-2</v>
      </c>
      <c r="CK175">
        <v>7.2956490633575441E-2</v>
      </c>
      <c r="CL175">
        <v>2.0844711609592975E-2</v>
      </c>
      <c r="CM175">
        <v>2.0844711609592975E-2</v>
      </c>
      <c r="CN175">
        <v>2.0844711609592975E-2</v>
      </c>
      <c r="CO175">
        <v>2.0844711609592975E-2</v>
      </c>
      <c r="CP175">
        <v>6.9482372031976613E-3</v>
      </c>
      <c r="CQ175">
        <v>6.9482372031976613E-3</v>
      </c>
      <c r="CR175">
        <v>6.9482372031976613E-3</v>
      </c>
      <c r="CS175">
        <v>6.9482372031976613E-3</v>
      </c>
      <c r="CT175">
        <v>6.9482372031976613E-3</v>
      </c>
      <c r="CU175">
        <v>6.9482372031976613E-3</v>
      </c>
      <c r="CV175">
        <v>6.9482372031976613E-3</v>
      </c>
      <c r="CW175">
        <v>6.9482372031976613E-3</v>
      </c>
      <c r="CX175">
        <v>6.9482372031976613E-3</v>
      </c>
      <c r="CZ175">
        <v>1.5633533707194735E-2</v>
      </c>
      <c r="DA175">
        <v>5.471736797518157E-2</v>
      </c>
      <c r="DB175">
        <v>5.471736797518157E-2</v>
      </c>
      <c r="DC175">
        <v>1.5633533707194738E-2</v>
      </c>
      <c r="DD175">
        <v>1.5633533707194738E-2</v>
      </c>
      <c r="DE175">
        <v>1.5633533707194738E-2</v>
      </c>
      <c r="DF175">
        <v>1.5633533707194738E-2</v>
      </c>
      <c r="DG175">
        <v>5.2111779023982447E-3</v>
      </c>
      <c r="DH175">
        <v>5.2111779023982447E-3</v>
      </c>
      <c r="DI175">
        <v>5.2111779023982447E-3</v>
      </c>
      <c r="DJ175">
        <v>5.2111779023982447E-3</v>
      </c>
      <c r="DK175">
        <v>5.2111779023982447E-3</v>
      </c>
      <c r="DL175">
        <v>5.2111779023982447E-3</v>
      </c>
      <c r="DM175">
        <v>5.2111779023982447E-3</v>
      </c>
      <c r="DN175">
        <v>5.2111779023982447E-3</v>
      </c>
      <c r="DO175">
        <v>5.2111779023982447E-3</v>
      </c>
    </row>
    <row r="176" spans="61:119">
      <c r="BI176" t="str">
        <f t="shared" si="57"/>
        <v>430691141467FI</v>
      </c>
      <c r="BJ176" s="426">
        <v>43069</v>
      </c>
      <c r="BK176" t="s">
        <v>1375</v>
      </c>
      <c r="BL176" t="s">
        <v>1376</v>
      </c>
      <c r="BM176" t="s">
        <v>1355</v>
      </c>
      <c r="BN176" s="438">
        <v>2</v>
      </c>
      <c r="BO176" s="438">
        <v>1</v>
      </c>
      <c r="BR176">
        <v>4.6000000000000006E-2</v>
      </c>
      <c r="BS176">
        <v>0.16100000000000003</v>
      </c>
      <c r="BT176">
        <v>0.16100000000000003</v>
      </c>
      <c r="BU176">
        <v>4.5999999999999985E-2</v>
      </c>
      <c r="BV176">
        <v>4.5999999999999985E-2</v>
      </c>
      <c r="BW176">
        <v>4.6000000000000013E-2</v>
      </c>
      <c r="BX176">
        <v>4.6000000000000013E-2</v>
      </c>
      <c r="BY176">
        <v>1.5333333333333334E-2</v>
      </c>
      <c r="BZ176">
        <v>1.5333333333333334E-2</v>
      </c>
      <c r="CA176">
        <v>1.5333333333333334E-2</v>
      </c>
      <c r="CB176">
        <v>1.5333333333333334E-2</v>
      </c>
      <c r="CC176">
        <v>1.5333333333333334E-2</v>
      </c>
      <c r="CD176">
        <v>1.5333333333333334E-2</v>
      </c>
      <c r="CE176">
        <v>1.5333333333333334E-2</v>
      </c>
      <c r="CF176">
        <v>1.5333333333333334E-2</v>
      </c>
      <c r="CG176">
        <v>1.5333333333333334E-2</v>
      </c>
      <c r="CI176">
        <v>4.0000000000000008E-2</v>
      </c>
      <c r="CJ176">
        <v>0.14000000000000001</v>
      </c>
      <c r="CK176">
        <v>0.14000000000000001</v>
      </c>
      <c r="CL176">
        <v>3.999999999999998E-2</v>
      </c>
      <c r="CM176">
        <v>3.999999999999998E-2</v>
      </c>
      <c r="CN176">
        <v>3.999999999999998E-2</v>
      </c>
      <c r="CO176">
        <v>3.999999999999998E-2</v>
      </c>
      <c r="CP176">
        <v>1.3333333333333345E-2</v>
      </c>
      <c r="CQ176">
        <v>1.3333333333333345E-2</v>
      </c>
      <c r="CR176">
        <v>1.3333333333333345E-2</v>
      </c>
      <c r="CS176">
        <v>1.3333333333333345E-2</v>
      </c>
      <c r="CT176">
        <v>1.3333333333333345E-2</v>
      </c>
      <c r="CU176">
        <v>1.3333333333333345E-2</v>
      </c>
      <c r="CV176">
        <v>1.3333333333333345E-2</v>
      </c>
      <c r="CW176">
        <v>1.3333333333333345E-2</v>
      </c>
      <c r="CX176">
        <v>1.3333333333333345E-2</v>
      </c>
      <c r="CZ176">
        <v>0.03</v>
      </c>
      <c r="DA176">
        <v>0.105</v>
      </c>
      <c r="DB176">
        <v>0.105</v>
      </c>
      <c r="DC176">
        <v>0.03</v>
      </c>
      <c r="DD176">
        <v>0.03</v>
      </c>
      <c r="DE176">
        <v>0.03</v>
      </c>
      <c r="DF176">
        <v>0.03</v>
      </c>
      <c r="DG176">
        <v>9.9999999999999967E-3</v>
      </c>
      <c r="DH176">
        <v>9.9999999999999967E-3</v>
      </c>
      <c r="DI176">
        <v>9.9999999999999967E-3</v>
      </c>
      <c r="DJ176">
        <v>9.9999999999999967E-3</v>
      </c>
      <c r="DK176">
        <v>9.9999999999999967E-3</v>
      </c>
      <c r="DL176">
        <v>9.9999999999999967E-3</v>
      </c>
      <c r="DM176">
        <v>9.9999999999999967E-3</v>
      </c>
      <c r="DN176">
        <v>9.9999999999999967E-3</v>
      </c>
      <c r="DO176">
        <v>9.9999999999999967E-3</v>
      </c>
    </row>
    <row r="177" spans="61:119">
      <c r="BI177" t="str">
        <f t="shared" si="57"/>
        <v>430691147542CME</v>
      </c>
      <c r="BJ177" s="426">
        <v>43069</v>
      </c>
      <c r="BK177" t="s">
        <v>1361</v>
      </c>
      <c r="BL177" t="s">
        <v>1370</v>
      </c>
      <c r="BM177" t="s">
        <v>1321</v>
      </c>
      <c r="BN177" s="438">
        <v>1</v>
      </c>
      <c r="BO177" s="438">
        <v>1</v>
      </c>
      <c r="BR177">
        <v>8.0000000000000016E-2</v>
      </c>
      <c r="BS177">
        <v>0.16</v>
      </c>
      <c r="BT177">
        <v>0.16</v>
      </c>
      <c r="BU177">
        <v>0</v>
      </c>
      <c r="BV177">
        <v>0</v>
      </c>
      <c r="BW177">
        <v>3.999999999999998E-2</v>
      </c>
      <c r="BX177">
        <v>3.999999999999998E-2</v>
      </c>
      <c r="BY177">
        <v>1.3333333333333345E-2</v>
      </c>
      <c r="BZ177">
        <v>1.3333333333333345E-2</v>
      </c>
      <c r="CA177">
        <v>1.3333333333333345E-2</v>
      </c>
      <c r="CB177">
        <v>1.3333333333333345E-2</v>
      </c>
      <c r="CC177">
        <v>1.3333333333333345E-2</v>
      </c>
      <c r="CD177">
        <v>1.3333333333333345E-2</v>
      </c>
      <c r="CE177">
        <v>1.3333333333333345E-2</v>
      </c>
      <c r="CF177">
        <v>1.3333333333333345E-2</v>
      </c>
      <c r="CG177">
        <v>1.3333333333333345E-2</v>
      </c>
      <c r="CI177">
        <v>6.9999999999999993E-2</v>
      </c>
      <c r="CJ177">
        <v>0.13999999999999999</v>
      </c>
      <c r="CK177">
        <v>0.13999999999999999</v>
      </c>
      <c r="CL177">
        <v>0</v>
      </c>
      <c r="CM177">
        <v>0</v>
      </c>
      <c r="CN177">
        <v>3.5000000000000003E-2</v>
      </c>
      <c r="CO177">
        <v>3.5000000000000003E-2</v>
      </c>
      <c r="CP177">
        <v>1.1666666666666659E-2</v>
      </c>
      <c r="CQ177">
        <v>1.1666666666666659E-2</v>
      </c>
      <c r="CR177">
        <v>1.1666666666666659E-2</v>
      </c>
      <c r="CS177">
        <v>1.1666666666666659E-2</v>
      </c>
      <c r="CT177">
        <v>1.1666666666666659E-2</v>
      </c>
      <c r="CU177">
        <v>1.1666666666666659E-2</v>
      </c>
      <c r="CV177">
        <v>1.1666666666666659E-2</v>
      </c>
      <c r="CW177">
        <v>1.1666666666666659E-2</v>
      </c>
      <c r="CX177">
        <v>1.1666666666666659E-2</v>
      </c>
      <c r="CZ177">
        <v>4.0000000000000008E-2</v>
      </c>
      <c r="DA177">
        <v>0.08</v>
      </c>
      <c r="DB177">
        <v>0.08</v>
      </c>
      <c r="DC177">
        <v>0</v>
      </c>
      <c r="DD177">
        <v>0</v>
      </c>
      <c r="DE177">
        <v>1.999999999999999E-2</v>
      </c>
      <c r="DF177">
        <v>1.999999999999999E-2</v>
      </c>
      <c r="DG177">
        <v>6.6666666666666723E-3</v>
      </c>
      <c r="DH177">
        <v>6.6666666666666723E-3</v>
      </c>
      <c r="DI177">
        <v>6.6666666666666723E-3</v>
      </c>
      <c r="DJ177">
        <v>6.6666666666666723E-3</v>
      </c>
      <c r="DK177">
        <v>6.6666666666666723E-3</v>
      </c>
      <c r="DL177">
        <v>6.6666666666666723E-3</v>
      </c>
      <c r="DM177">
        <v>6.6666666666666723E-3</v>
      </c>
      <c r="DN177">
        <v>6.6666666666666723E-3</v>
      </c>
      <c r="DO177">
        <v>6.6666666666666723E-3</v>
      </c>
    </row>
    <row r="178" spans="61:119">
      <c r="BI178" t="str">
        <f t="shared" si="57"/>
        <v>43069FI</v>
      </c>
      <c r="BJ178" s="426">
        <v>43069</v>
      </c>
      <c r="BM178" t="s">
        <v>1355</v>
      </c>
      <c r="BN178" s="438">
        <v>1</v>
      </c>
      <c r="BO178" s="438">
        <v>1</v>
      </c>
      <c r="BR178">
        <v>2.3000000000000003E-2</v>
      </c>
      <c r="BS178">
        <v>8.0500000000000016E-2</v>
      </c>
      <c r="BT178">
        <v>8.0500000000000016E-2</v>
      </c>
      <c r="BU178">
        <v>2.2999999999999993E-2</v>
      </c>
      <c r="BV178">
        <v>2.2999999999999993E-2</v>
      </c>
      <c r="BW178">
        <v>2.3000000000000007E-2</v>
      </c>
      <c r="BX178">
        <v>2.3000000000000007E-2</v>
      </c>
      <c r="BY178">
        <v>7.6666666666666671E-3</v>
      </c>
      <c r="BZ178">
        <v>7.6666666666666671E-3</v>
      </c>
      <c r="CA178">
        <v>7.6666666666666671E-3</v>
      </c>
      <c r="CB178">
        <v>7.6666666666666671E-3</v>
      </c>
      <c r="CC178">
        <v>7.6666666666666671E-3</v>
      </c>
      <c r="CD178">
        <v>7.6666666666666671E-3</v>
      </c>
      <c r="CE178">
        <v>7.6666666666666671E-3</v>
      </c>
      <c r="CF178">
        <v>7.6666666666666671E-3</v>
      </c>
      <c r="CG178">
        <v>7.6666666666666671E-3</v>
      </c>
      <c r="CI178">
        <v>2.0000000000000004E-2</v>
      </c>
      <c r="CJ178">
        <v>7.0000000000000007E-2</v>
      </c>
      <c r="CK178">
        <v>7.0000000000000007E-2</v>
      </c>
      <c r="CL178">
        <v>1.999999999999999E-2</v>
      </c>
      <c r="CM178">
        <v>1.999999999999999E-2</v>
      </c>
      <c r="CN178">
        <v>1.999999999999999E-2</v>
      </c>
      <c r="CO178">
        <v>1.999999999999999E-2</v>
      </c>
      <c r="CP178">
        <v>6.6666666666666723E-3</v>
      </c>
      <c r="CQ178">
        <v>6.6666666666666723E-3</v>
      </c>
      <c r="CR178">
        <v>6.6666666666666723E-3</v>
      </c>
      <c r="CS178">
        <v>6.6666666666666723E-3</v>
      </c>
      <c r="CT178">
        <v>6.6666666666666723E-3</v>
      </c>
      <c r="CU178">
        <v>6.6666666666666723E-3</v>
      </c>
      <c r="CV178">
        <v>6.6666666666666723E-3</v>
      </c>
      <c r="CW178">
        <v>6.6666666666666723E-3</v>
      </c>
      <c r="CX178">
        <v>6.6666666666666723E-3</v>
      </c>
      <c r="CZ178">
        <v>1.4999999999999999E-2</v>
      </c>
      <c r="DA178">
        <v>5.2499999999999998E-2</v>
      </c>
      <c r="DB178">
        <v>5.2499999999999998E-2</v>
      </c>
      <c r="DC178">
        <v>1.4999999999999999E-2</v>
      </c>
      <c r="DD178">
        <v>1.4999999999999999E-2</v>
      </c>
      <c r="DE178">
        <v>1.4999999999999999E-2</v>
      </c>
      <c r="DF178">
        <v>1.4999999999999999E-2</v>
      </c>
      <c r="DG178">
        <v>4.9999999999999984E-3</v>
      </c>
      <c r="DH178">
        <v>4.9999999999999984E-3</v>
      </c>
      <c r="DI178">
        <v>4.9999999999999984E-3</v>
      </c>
      <c r="DJ178">
        <v>4.9999999999999984E-3</v>
      </c>
      <c r="DK178">
        <v>4.9999999999999984E-3</v>
      </c>
      <c r="DL178">
        <v>4.9999999999999984E-3</v>
      </c>
      <c r="DM178">
        <v>4.9999999999999984E-3</v>
      </c>
      <c r="DN178">
        <v>4.9999999999999984E-3</v>
      </c>
      <c r="DO178">
        <v>4.9999999999999984E-3</v>
      </c>
    </row>
    <row r="179" spans="61:119">
      <c r="BI179" t="str">
        <f t="shared" si="57"/>
        <v>43069CORP</v>
      </c>
      <c r="BJ179" s="426">
        <v>43069</v>
      </c>
      <c r="BM179" t="s">
        <v>1356</v>
      </c>
      <c r="BN179" s="438">
        <v>1</v>
      </c>
      <c r="BO179" s="438">
        <v>0.6253871184647587</v>
      </c>
      <c r="BR179">
        <v>1.5492257630704828E-2</v>
      </c>
      <c r="BS179">
        <v>6.4229095602903033E-2</v>
      </c>
      <c r="BT179">
        <v>6.4229095602903033E-2</v>
      </c>
      <c r="BU179">
        <v>3.0501548473859039E-2</v>
      </c>
      <c r="BV179">
        <v>3.0501548473859039E-2</v>
      </c>
      <c r="BW179">
        <v>2.0495354578422886E-2</v>
      </c>
      <c r="BX179">
        <v>2.0495354578422886E-2</v>
      </c>
      <c r="BY179">
        <v>6.8317848594742952E-3</v>
      </c>
      <c r="BZ179">
        <v>6.8317848594742952E-3</v>
      </c>
      <c r="CA179">
        <v>6.8317848594742952E-3</v>
      </c>
      <c r="CB179">
        <v>6.8317848594742952E-3</v>
      </c>
      <c r="CC179">
        <v>6.8317848594742952E-3</v>
      </c>
      <c r="CD179">
        <v>6.8317848594742952E-3</v>
      </c>
      <c r="CE179">
        <v>6.8317848594742952E-3</v>
      </c>
      <c r="CF179">
        <v>6.8317848594742952E-3</v>
      </c>
      <c r="CG179">
        <v>6.8317848594742952E-3</v>
      </c>
      <c r="CI179">
        <v>1.3368418986099102E-2</v>
      </c>
      <c r="CJ179">
        <v>5.5544886109853482E-2</v>
      </c>
      <c r="CK179">
        <v>5.5544886109853482E-2</v>
      </c>
      <c r="CL179">
        <v>2.6501548473859035E-2</v>
      </c>
      <c r="CM179">
        <v>2.6501548473859035E-2</v>
      </c>
      <c r="CN179">
        <v>1.774612881535241E-2</v>
      </c>
      <c r="CO179">
        <v>1.774612881535241E-2</v>
      </c>
      <c r="CP179">
        <v>5.9153762717841386E-3</v>
      </c>
      <c r="CQ179">
        <v>5.9153762717841386E-3</v>
      </c>
      <c r="CR179">
        <v>5.9153762717841386E-3</v>
      </c>
      <c r="CS179">
        <v>5.9153762717841386E-3</v>
      </c>
      <c r="CT179">
        <v>5.9153762717841386E-3</v>
      </c>
      <c r="CU179">
        <v>5.9153762717841386E-3</v>
      </c>
      <c r="CV179">
        <v>5.9153762717841386E-3</v>
      </c>
      <c r="CW179">
        <v>5.9153762717841386E-3</v>
      </c>
      <c r="CX179">
        <v>5.9153762717841386E-3</v>
      </c>
      <c r="CZ179">
        <v>8.7461288153524129E-3</v>
      </c>
      <c r="DA179">
        <v>3.6865322038381027E-2</v>
      </c>
      <c r="DB179">
        <v>3.6865322038381027E-2</v>
      </c>
      <c r="DC179">
        <v>1.8126935592323798E-2</v>
      </c>
      <c r="DD179">
        <v>1.8126935592323798E-2</v>
      </c>
      <c r="DE179">
        <v>1.1873064407676201E-2</v>
      </c>
      <c r="DF179">
        <v>1.1873064407676201E-2</v>
      </c>
      <c r="DG179">
        <v>3.9576881358920719E-3</v>
      </c>
      <c r="DH179">
        <v>3.9576881358920719E-3</v>
      </c>
      <c r="DI179">
        <v>3.9576881358920719E-3</v>
      </c>
      <c r="DJ179">
        <v>3.9576881358920719E-3</v>
      </c>
      <c r="DK179">
        <v>3.9576881358920719E-3</v>
      </c>
      <c r="DL179">
        <v>3.9576881358920719E-3</v>
      </c>
      <c r="DM179">
        <v>3.9576881358920719E-3</v>
      </c>
      <c r="DN179">
        <v>3.9576881358920719E-3</v>
      </c>
      <c r="DO179">
        <v>3.9576881358920719E-3</v>
      </c>
    </row>
    <row r="180" spans="61:119">
      <c r="BI180" t="str">
        <f t="shared" si="57"/>
        <v>43069ESCROW</v>
      </c>
      <c r="BJ180" s="426">
        <v>43069</v>
      </c>
      <c r="BM180" t="s">
        <v>1339</v>
      </c>
      <c r="BN180" s="438">
        <v>1</v>
      </c>
      <c r="BO180" s="438">
        <v>1</v>
      </c>
      <c r="BR180">
        <v>3.2000000000000001E-2</v>
      </c>
      <c r="BS180">
        <v>2.4E-2</v>
      </c>
      <c r="BT180">
        <v>2.4E-2</v>
      </c>
      <c r="BU180">
        <v>0.04</v>
      </c>
      <c r="BV180">
        <v>0.04</v>
      </c>
      <c r="BW180">
        <v>3.9999999999999994E-2</v>
      </c>
      <c r="BX180">
        <v>3.9999999999999994E-2</v>
      </c>
      <c r="BY180">
        <v>8.8888888888888906E-3</v>
      </c>
      <c r="BZ180">
        <v>8.8888888888888906E-3</v>
      </c>
      <c r="CA180">
        <v>8.8888888888888906E-3</v>
      </c>
      <c r="CB180">
        <v>8.8888888888888906E-3</v>
      </c>
      <c r="CC180">
        <v>8.8888888888888906E-3</v>
      </c>
      <c r="CD180">
        <v>8.8888888888888906E-3</v>
      </c>
      <c r="CE180">
        <v>8.8888888888888906E-3</v>
      </c>
      <c r="CF180">
        <v>8.8888888888888906E-3</v>
      </c>
      <c r="CG180">
        <v>8.8888888888888906E-3</v>
      </c>
      <c r="CI180">
        <v>2.8000000000000004E-2</v>
      </c>
      <c r="CJ180">
        <v>2.1000000000000001E-2</v>
      </c>
      <c r="CK180">
        <v>2.1000000000000001E-2</v>
      </c>
      <c r="CL180">
        <v>3.5000000000000003E-2</v>
      </c>
      <c r="CM180">
        <v>3.5000000000000003E-2</v>
      </c>
      <c r="CN180">
        <v>3.5000000000000003E-2</v>
      </c>
      <c r="CO180">
        <v>3.5000000000000003E-2</v>
      </c>
      <c r="CP180">
        <v>7.7777777777777784E-3</v>
      </c>
      <c r="CQ180">
        <v>7.7777777777777784E-3</v>
      </c>
      <c r="CR180">
        <v>7.7777777777777784E-3</v>
      </c>
      <c r="CS180">
        <v>7.7777777777777784E-3</v>
      </c>
      <c r="CT180">
        <v>7.7777777777777784E-3</v>
      </c>
      <c r="CU180">
        <v>7.7777777777777784E-3</v>
      </c>
      <c r="CV180">
        <v>7.7777777777777784E-3</v>
      </c>
      <c r="CW180">
        <v>7.7777777777777784E-3</v>
      </c>
      <c r="CX180">
        <v>7.7777777777777784E-3</v>
      </c>
      <c r="CZ180">
        <v>2.0000000000000004E-2</v>
      </c>
      <c r="DA180">
        <v>1.4999999999999999E-2</v>
      </c>
      <c r="DB180">
        <v>1.4999999999999999E-2</v>
      </c>
      <c r="DC180">
        <v>2.5000000000000001E-2</v>
      </c>
      <c r="DD180">
        <v>2.5000000000000001E-2</v>
      </c>
      <c r="DE180">
        <v>2.5000000000000008E-2</v>
      </c>
      <c r="DF180">
        <v>2.5000000000000008E-2</v>
      </c>
      <c r="DG180">
        <v>5.555555555555554E-3</v>
      </c>
      <c r="DH180">
        <v>5.555555555555554E-3</v>
      </c>
      <c r="DI180">
        <v>5.555555555555554E-3</v>
      </c>
      <c r="DJ180">
        <v>5.555555555555554E-3</v>
      </c>
      <c r="DK180">
        <v>5.555555555555554E-3</v>
      </c>
      <c r="DL180">
        <v>5.555555555555554E-3</v>
      </c>
      <c r="DM180">
        <v>5.555555555555554E-3</v>
      </c>
      <c r="DN180">
        <v>5.555555555555554E-3</v>
      </c>
      <c r="DO180">
        <v>5.555555555555554E-3</v>
      </c>
    </row>
    <row r="181" spans="61:119">
      <c r="BI181" t="str">
        <f t="shared" si="57"/>
        <v>43069IB</v>
      </c>
      <c r="BJ181" s="426">
        <v>43069</v>
      </c>
      <c r="BM181" t="s">
        <v>1354</v>
      </c>
      <c r="BN181" s="438">
        <v>1</v>
      </c>
      <c r="BO181" s="438">
        <v>1</v>
      </c>
      <c r="BR181">
        <v>1.2E-2</v>
      </c>
      <c r="BS181">
        <v>4.2000000000000003E-2</v>
      </c>
      <c r="BT181">
        <v>4.2000000000000003E-2</v>
      </c>
      <c r="BU181">
        <v>1.1999999999999997E-2</v>
      </c>
      <c r="BV181">
        <v>1.1999999999999997E-2</v>
      </c>
      <c r="BW181">
        <v>1.1999999999999997E-2</v>
      </c>
      <c r="BX181">
        <v>1.1999999999999997E-2</v>
      </c>
      <c r="BY181">
        <v>4.0000000000000001E-3</v>
      </c>
      <c r="BZ181">
        <v>4.0000000000000001E-3</v>
      </c>
      <c r="CA181">
        <v>4.0000000000000001E-3</v>
      </c>
      <c r="CB181">
        <v>4.0000000000000001E-3</v>
      </c>
      <c r="CC181">
        <v>4.0000000000000001E-3</v>
      </c>
      <c r="CD181">
        <v>4.0000000000000001E-3</v>
      </c>
      <c r="CE181">
        <v>4.0000000000000001E-3</v>
      </c>
      <c r="CF181">
        <v>4.0000000000000001E-3</v>
      </c>
      <c r="CG181">
        <v>4.0000000000000001E-3</v>
      </c>
      <c r="CI181">
        <v>3.0000000000000001E-3</v>
      </c>
      <c r="CJ181">
        <v>1.0500000000000001E-2</v>
      </c>
      <c r="CK181">
        <v>1.0500000000000001E-2</v>
      </c>
      <c r="CL181">
        <v>2.9999999999999992E-3</v>
      </c>
      <c r="CM181">
        <v>2.9999999999999992E-3</v>
      </c>
      <c r="CN181">
        <v>2.9999999999999992E-3</v>
      </c>
      <c r="CO181">
        <v>2.9999999999999992E-3</v>
      </c>
      <c r="CP181">
        <v>1E-3</v>
      </c>
      <c r="CQ181">
        <v>1E-3</v>
      </c>
      <c r="CR181">
        <v>1E-3</v>
      </c>
      <c r="CS181">
        <v>1E-3</v>
      </c>
      <c r="CT181">
        <v>1E-3</v>
      </c>
      <c r="CU181">
        <v>1E-3</v>
      </c>
      <c r="CV181">
        <v>1E-3</v>
      </c>
      <c r="CW181">
        <v>1E-3</v>
      </c>
      <c r="CX181">
        <v>1E-3</v>
      </c>
      <c r="CZ181">
        <v>1.0000000000000002E-2</v>
      </c>
      <c r="DA181">
        <v>3.5000000000000003E-2</v>
      </c>
      <c r="DB181">
        <v>3.5000000000000003E-2</v>
      </c>
      <c r="DC181">
        <v>9.999999999999995E-3</v>
      </c>
      <c r="DD181">
        <v>9.999999999999995E-3</v>
      </c>
      <c r="DE181">
        <v>9.999999999999995E-3</v>
      </c>
      <c r="DF181">
        <v>9.999999999999995E-3</v>
      </c>
      <c r="DG181">
        <v>3.3333333333333361E-3</v>
      </c>
      <c r="DH181">
        <v>3.3333333333333361E-3</v>
      </c>
      <c r="DI181">
        <v>3.3333333333333361E-3</v>
      </c>
      <c r="DJ181">
        <v>3.3333333333333361E-3</v>
      </c>
      <c r="DK181">
        <v>3.3333333333333361E-3</v>
      </c>
      <c r="DL181">
        <v>3.3333333333333361E-3</v>
      </c>
      <c r="DM181">
        <v>3.3333333333333361E-3</v>
      </c>
      <c r="DN181">
        <v>3.3333333333333361E-3</v>
      </c>
      <c r="DO181">
        <v>3.3333333333333361E-3</v>
      </c>
    </row>
    <row r="182" spans="61:119">
      <c r="BI182" t="str">
        <f t="shared" si="57"/>
        <v>43069AFF</v>
      </c>
      <c r="BJ182" s="426">
        <v>43069</v>
      </c>
      <c r="BM182" t="s">
        <v>1353</v>
      </c>
      <c r="BN182" s="438">
        <v>1</v>
      </c>
      <c r="BO182" s="438">
        <v>1</v>
      </c>
      <c r="BR182">
        <v>1.4999999999999999E-2</v>
      </c>
      <c r="BS182">
        <v>5.2499999999999998E-2</v>
      </c>
      <c r="BT182">
        <v>5.2499999999999998E-2</v>
      </c>
      <c r="BU182">
        <v>1.4999999999999999E-2</v>
      </c>
      <c r="BV182">
        <v>1.4999999999999999E-2</v>
      </c>
      <c r="BW182">
        <v>1.4999999999999999E-2</v>
      </c>
      <c r="BX182">
        <v>1.4999999999999999E-2</v>
      </c>
      <c r="BY182">
        <v>4.9999999999999984E-3</v>
      </c>
      <c r="BZ182">
        <v>4.9999999999999984E-3</v>
      </c>
      <c r="CA182">
        <v>4.9999999999999984E-3</v>
      </c>
      <c r="CB182">
        <v>4.9999999999999984E-3</v>
      </c>
      <c r="CC182">
        <v>4.9999999999999984E-3</v>
      </c>
      <c r="CD182">
        <v>4.9999999999999984E-3</v>
      </c>
      <c r="CE182">
        <v>4.9999999999999984E-3</v>
      </c>
      <c r="CF182">
        <v>4.9999999999999984E-3</v>
      </c>
      <c r="CG182">
        <v>4.9999999999999984E-3</v>
      </c>
      <c r="CI182">
        <v>1.2E-2</v>
      </c>
      <c r="CJ182">
        <v>4.2000000000000003E-2</v>
      </c>
      <c r="CK182">
        <v>4.2000000000000003E-2</v>
      </c>
      <c r="CL182">
        <v>1.1999999999999997E-2</v>
      </c>
      <c r="CM182">
        <v>1.1999999999999997E-2</v>
      </c>
      <c r="CN182">
        <v>1.1999999999999997E-2</v>
      </c>
      <c r="CO182">
        <v>1.1999999999999997E-2</v>
      </c>
      <c r="CP182">
        <v>4.0000000000000001E-3</v>
      </c>
      <c r="CQ182">
        <v>4.0000000000000001E-3</v>
      </c>
      <c r="CR182">
        <v>4.0000000000000001E-3</v>
      </c>
      <c r="CS182">
        <v>4.0000000000000001E-3</v>
      </c>
      <c r="CT182">
        <v>4.0000000000000001E-3</v>
      </c>
      <c r="CU182">
        <v>4.0000000000000001E-3</v>
      </c>
      <c r="CV182">
        <v>4.0000000000000001E-3</v>
      </c>
      <c r="CW182">
        <v>4.0000000000000001E-3</v>
      </c>
      <c r="CX182">
        <v>4.0000000000000001E-3</v>
      </c>
      <c r="CZ182">
        <v>5.000000000000001E-3</v>
      </c>
      <c r="DA182">
        <v>1.7500000000000002E-2</v>
      </c>
      <c r="DB182">
        <v>1.7500000000000002E-2</v>
      </c>
      <c r="DC182">
        <v>4.9999999999999975E-3</v>
      </c>
      <c r="DD182">
        <v>4.9999999999999975E-3</v>
      </c>
      <c r="DE182">
        <v>4.9999999999999975E-3</v>
      </c>
      <c r="DF182">
        <v>4.9999999999999975E-3</v>
      </c>
      <c r="DG182">
        <v>1.6666666666666681E-3</v>
      </c>
      <c r="DH182">
        <v>1.6666666666666681E-3</v>
      </c>
      <c r="DI182">
        <v>1.6666666666666681E-3</v>
      </c>
      <c r="DJ182">
        <v>1.6666666666666681E-3</v>
      </c>
      <c r="DK182">
        <v>1.6666666666666681E-3</v>
      </c>
      <c r="DL182">
        <v>1.6666666666666681E-3</v>
      </c>
      <c r="DM182">
        <v>1.6666666666666681E-3</v>
      </c>
      <c r="DN182">
        <v>1.6666666666666681E-3</v>
      </c>
      <c r="DO182">
        <v>1.6666666666666681E-3</v>
      </c>
    </row>
    <row r="183" spans="61:119">
      <c r="BI183" t="str">
        <f t="shared" si="57"/>
        <v>430981030623FI</v>
      </c>
      <c r="BJ183" s="426">
        <v>43098</v>
      </c>
      <c r="BK183" t="s">
        <v>1360</v>
      </c>
      <c r="BL183" t="s">
        <v>1369</v>
      </c>
      <c r="BM183" t="s">
        <v>1355</v>
      </c>
      <c r="BN183" s="438">
        <v>2</v>
      </c>
      <c r="BO183" s="438">
        <v>1</v>
      </c>
      <c r="BR183">
        <v>4.6000000000000006E-2</v>
      </c>
      <c r="BS183">
        <v>0.16100000000000003</v>
      </c>
      <c r="BT183">
        <v>0.16100000000000003</v>
      </c>
      <c r="BU183">
        <v>4.5999999999999985E-2</v>
      </c>
      <c r="BV183">
        <v>4.5999999999999985E-2</v>
      </c>
      <c r="BW183">
        <v>4.6000000000000013E-2</v>
      </c>
      <c r="BX183">
        <v>4.6000000000000013E-2</v>
      </c>
      <c r="BY183">
        <v>1.5333333333333334E-2</v>
      </c>
      <c r="BZ183">
        <v>1.5333333333333334E-2</v>
      </c>
      <c r="CA183">
        <v>1.5333333333333334E-2</v>
      </c>
      <c r="CB183">
        <v>1.5333333333333334E-2</v>
      </c>
      <c r="CC183">
        <v>1.5333333333333334E-2</v>
      </c>
      <c r="CD183">
        <v>1.5333333333333334E-2</v>
      </c>
      <c r="CE183">
        <v>1.5333333333333334E-2</v>
      </c>
      <c r="CF183">
        <v>1.5333333333333334E-2</v>
      </c>
      <c r="CG183">
        <v>1.5333333333333334E-2</v>
      </c>
      <c r="CI183">
        <v>4.0000000000000008E-2</v>
      </c>
      <c r="CJ183">
        <v>0.14000000000000001</v>
      </c>
      <c r="CK183">
        <v>0.14000000000000001</v>
      </c>
      <c r="CL183">
        <v>3.999999999999998E-2</v>
      </c>
      <c r="CM183">
        <v>3.999999999999998E-2</v>
      </c>
      <c r="CN183">
        <v>3.999999999999998E-2</v>
      </c>
      <c r="CO183">
        <v>3.999999999999998E-2</v>
      </c>
      <c r="CP183">
        <v>1.3333333333333345E-2</v>
      </c>
      <c r="CQ183">
        <v>1.3333333333333345E-2</v>
      </c>
      <c r="CR183">
        <v>1.3333333333333345E-2</v>
      </c>
      <c r="CS183">
        <v>1.3333333333333345E-2</v>
      </c>
      <c r="CT183">
        <v>1.3333333333333345E-2</v>
      </c>
      <c r="CU183">
        <v>1.3333333333333345E-2</v>
      </c>
      <c r="CV183">
        <v>1.3333333333333345E-2</v>
      </c>
      <c r="CW183">
        <v>1.3333333333333345E-2</v>
      </c>
      <c r="CX183">
        <v>1.3333333333333345E-2</v>
      </c>
      <c r="CZ183">
        <v>0.03</v>
      </c>
      <c r="DA183">
        <v>0.105</v>
      </c>
      <c r="DB183">
        <v>0.105</v>
      </c>
      <c r="DC183">
        <v>0.03</v>
      </c>
      <c r="DD183">
        <v>0.03</v>
      </c>
      <c r="DE183">
        <v>0.03</v>
      </c>
      <c r="DF183">
        <v>0.03</v>
      </c>
      <c r="DG183">
        <v>9.9999999999999967E-3</v>
      </c>
      <c r="DH183">
        <v>9.9999999999999967E-3</v>
      </c>
      <c r="DI183">
        <v>9.9999999999999967E-3</v>
      </c>
      <c r="DJ183">
        <v>9.9999999999999967E-3</v>
      </c>
      <c r="DK183">
        <v>9.9999999999999967E-3</v>
      </c>
      <c r="DL183">
        <v>9.9999999999999967E-3</v>
      </c>
      <c r="DM183">
        <v>9.9999999999999967E-3</v>
      </c>
      <c r="DN183">
        <v>9.9999999999999967E-3</v>
      </c>
      <c r="DO183">
        <v>9.9999999999999967E-3</v>
      </c>
    </row>
    <row r="184" spans="61:119">
      <c r="BI184" t="str">
        <f t="shared" si="57"/>
        <v>430981000790IB</v>
      </c>
      <c r="BJ184" s="426">
        <v>43098</v>
      </c>
      <c r="BK184" t="s">
        <v>1358</v>
      </c>
      <c r="BL184" t="s">
        <v>1371</v>
      </c>
      <c r="BM184" t="s">
        <v>1354</v>
      </c>
      <c r="BN184" s="438">
        <v>1.5982858596767691</v>
      </c>
      <c r="BO184" s="438">
        <v>1</v>
      </c>
      <c r="BR184">
        <v>1.9179430316121231E-2</v>
      </c>
      <c r="BS184">
        <v>6.7128006106424304E-2</v>
      </c>
      <c r="BT184">
        <v>6.7128006106424304E-2</v>
      </c>
      <c r="BU184">
        <v>1.9179430316121224E-2</v>
      </c>
      <c r="BV184">
        <v>1.9179430316121224E-2</v>
      </c>
      <c r="BW184">
        <v>1.9179430316121224E-2</v>
      </c>
      <c r="BX184">
        <v>1.9179430316121224E-2</v>
      </c>
      <c r="BY184">
        <v>6.3931434387070789E-3</v>
      </c>
      <c r="BZ184">
        <v>6.3931434387070789E-3</v>
      </c>
      <c r="CA184">
        <v>6.3931434387070789E-3</v>
      </c>
      <c r="CB184">
        <v>6.3931434387070789E-3</v>
      </c>
      <c r="CC184">
        <v>6.3931434387070789E-3</v>
      </c>
      <c r="CD184">
        <v>6.3931434387070789E-3</v>
      </c>
      <c r="CE184">
        <v>6.3931434387070789E-3</v>
      </c>
      <c r="CF184">
        <v>6.3931434387070789E-3</v>
      </c>
      <c r="CG184">
        <v>6.3931434387070789E-3</v>
      </c>
      <c r="CI184">
        <v>4.7948575790303077E-3</v>
      </c>
      <c r="CJ184">
        <v>1.6782001526606076E-2</v>
      </c>
      <c r="CK184">
        <v>1.6782001526606076E-2</v>
      </c>
      <c r="CL184">
        <v>4.7948575790303059E-3</v>
      </c>
      <c r="CM184">
        <v>4.7948575790303059E-3</v>
      </c>
      <c r="CN184">
        <v>4.7948575790303059E-3</v>
      </c>
      <c r="CO184">
        <v>4.7948575790303059E-3</v>
      </c>
      <c r="CP184">
        <v>1.5982858596767697E-3</v>
      </c>
      <c r="CQ184">
        <v>1.5982858596767697E-3</v>
      </c>
      <c r="CR184">
        <v>1.5982858596767697E-3</v>
      </c>
      <c r="CS184">
        <v>1.5982858596767697E-3</v>
      </c>
      <c r="CT184">
        <v>1.5982858596767697E-3</v>
      </c>
      <c r="CU184">
        <v>1.5982858596767697E-3</v>
      </c>
      <c r="CV184">
        <v>1.5982858596767697E-3</v>
      </c>
      <c r="CW184">
        <v>1.5982858596767697E-3</v>
      </c>
      <c r="CX184">
        <v>1.5982858596767697E-3</v>
      </c>
      <c r="CZ184">
        <v>1.598285859676769E-2</v>
      </c>
      <c r="DA184">
        <v>5.5940005088686913E-2</v>
      </c>
      <c r="DB184">
        <v>5.5940005088686913E-2</v>
      </c>
      <c r="DC184">
        <v>1.5982858596767693E-2</v>
      </c>
      <c r="DD184">
        <v>1.5982858596767693E-2</v>
      </c>
      <c r="DE184">
        <v>1.5982858596767693E-2</v>
      </c>
      <c r="DF184">
        <v>1.5982858596767693E-2</v>
      </c>
      <c r="DG184">
        <v>5.3276195322558961E-3</v>
      </c>
      <c r="DH184">
        <v>5.3276195322558961E-3</v>
      </c>
      <c r="DI184">
        <v>5.3276195322558961E-3</v>
      </c>
      <c r="DJ184">
        <v>5.3276195322558961E-3</v>
      </c>
      <c r="DK184">
        <v>5.3276195322558961E-3</v>
      </c>
      <c r="DL184">
        <v>5.3276195322558961E-3</v>
      </c>
      <c r="DM184">
        <v>5.3276195322558961E-3</v>
      </c>
      <c r="DN184">
        <v>5.3276195322558961E-3</v>
      </c>
      <c r="DO184">
        <v>5.3276195322558961E-3</v>
      </c>
    </row>
    <row r="185" spans="61:119">
      <c r="BI185" t="str">
        <f t="shared" si="57"/>
        <v>430981000798AFF</v>
      </c>
      <c r="BJ185" s="426">
        <v>43098</v>
      </c>
      <c r="BK185" t="s">
        <v>1366</v>
      </c>
      <c r="BL185" t="s">
        <v>1374</v>
      </c>
      <c r="BM185" t="s">
        <v>1353</v>
      </c>
      <c r="BN185" s="438">
        <v>1.5095375146128696</v>
      </c>
      <c r="BO185" s="438">
        <v>1</v>
      </c>
      <c r="BR185">
        <v>2.2643062719193044E-2</v>
      </c>
      <c r="BS185">
        <v>7.9250719517175661E-2</v>
      </c>
      <c r="BT185">
        <v>7.9250719517175661E-2</v>
      </c>
      <c r="BU185">
        <v>2.264306271919303E-2</v>
      </c>
      <c r="BV185">
        <v>2.264306271919303E-2</v>
      </c>
      <c r="BW185">
        <v>2.264306271919303E-2</v>
      </c>
      <c r="BX185">
        <v>2.264306271919303E-2</v>
      </c>
      <c r="BY185">
        <v>7.5476875730643494E-3</v>
      </c>
      <c r="BZ185">
        <v>7.5476875730643494E-3</v>
      </c>
      <c r="CA185">
        <v>7.5476875730643494E-3</v>
      </c>
      <c r="CB185">
        <v>7.5476875730643494E-3</v>
      </c>
      <c r="CC185">
        <v>7.5476875730643494E-3</v>
      </c>
      <c r="CD185">
        <v>7.5476875730643494E-3</v>
      </c>
      <c r="CE185">
        <v>7.5476875730643494E-3</v>
      </c>
      <c r="CF185">
        <v>7.5476875730643494E-3</v>
      </c>
      <c r="CG185">
        <v>7.5476875730643494E-3</v>
      </c>
      <c r="CI185">
        <v>1.8114450175354437E-2</v>
      </c>
      <c r="CJ185">
        <v>6.3400575613740531E-2</v>
      </c>
      <c r="CK185">
        <v>6.3400575613740531E-2</v>
      </c>
      <c r="CL185">
        <v>1.811445017535443E-2</v>
      </c>
      <c r="CM185">
        <v>1.811445017535443E-2</v>
      </c>
      <c r="CN185">
        <v>1.811445017535443E-2</v>
      </c>
      <c r="CO185">
        <v>1.811445017535443E-2</v>
      </c>
      <c r="CP185">
        <v>6.0381500584514797E-3</v>
      </c>
      <c r="CQ185">
        <v>6.0381500584514797E-3</v>
      </c>
      <c r="CR185">
        <v>6.0381500584514797E-3</v>
      </c>
      <c r="CS185">
        <v>6.0381500584514797E-3</v>
      </c>
      <c r="CT185">
        <v>6.0381500584514797E-3</v>
      </c>
      <c r="CU185">
        <v>6.0381500584514797E-3</v>
      </c>
      <c r="CV185">
        <v>6.0381500584514797E-3</v>
      </c>
      <c r="CW185">
        <v>6.0381500584514797E-3</v>
      </c>
      <c r="CX185">
        <v>6.0381500584514797E-3</v>
      </c>
      <c r="CZ185">
        <v>7.5476875730643494E-3</v>
      </c>
      <c r="DA185">
        <v>2.6416906505725223E-2</v>
      </c>
      <c r="DB185">
        <v>2.6416906505725223E-2</v>
      </c>
      <c r="DC185">
        <v>7.5476875730643468E-3</v>
      </c>
      <c r="DD185">
        <v>7.5476875730643468E-3</v>
      </c>
      <c r="DE185">
        <v>7.5476875730643503E-3</v>
      </c>
      <c r="DF185">
        <v>7.5476875730643503E-3</v>
      </c>
      <c r="DG185">
        <v>2.515895857688116E-3</v>
      </c>
      <c r="DH185">
        <v>2.515895857688116E-3</v>
      </c>
      <c r="DI185">
        <v>2.515895857688116E-3</v>
      </c>
      <c r="DJ185">
        <v>2.515895857688116E-3</v>
      </c>
      <c r="DK185">
        <v>2.515895857688116E-3</v>
      </c>
      <c r="DL185">
        <v>2.515895857688116E-3</v>
      </c>
      <c r="DM185">
        <v>2.515895857688116E-3</v>
      </c>
      <c r="DN185">
        <v>2.515895857688116E-3</v>
      </c>
      <c r="DO185">
        <v>2.515895857688116E-3</v>
      </c>
    </row>
    <row r="186" spans="61:119">
      <c r="BI186" t="str">
        <f t="shared" si="57"/>
        <v>430981000526FI</v>
      </c>
      <c r="BJ186" s="426">
        <v>43098</v>
      </c>
      <c r="BK186" t="s">
        <v>1363</v>
      </c>
      <c r="BL186" t="s">
        <v>1368</v>
      </c>
      <c r="BM186" t="s">
        <v>1355</v>
      </c>
      <c r="BN186" s="438">
        <v>1.2472831976322287</v>
      </c>
      <c r="BO186" s="438">
        <v>1</v>
      </c>
      <c r="BR186">
        <v>2.8687513545541263E-2</v>
      </c>
      <c r="BS186">
        <v>0.10040629740939441</v>
      </c>
      <c r="BT186">
        <v>0.10040629740939441</v>
      </c>
      <c r="BU186">
        <v>2.8687513545541249E-2</v>
      </c>
      <c r="BV186">
        <v>2.8687513545541249E-2</v>
      </c>
      <c r="BW186">
        <v>2.8687513545541249E-2</v>
      </c>
      <c r="BX186">
        <v>2.8687513545541249E-2</v>
      </c>
      <c r="BY186">
        <v>9.5625045151804186E-3</v>
      </c>
      <c r="BZ186">
        <v>9.5625045151804186E-3</v>
      </c>
      <c r="CA186">
        <v>9.5625045151804186E-3</v>
      </c>
      <c r="CB186">
        <v>9.5625045151804186E-3</v>
      </c>
      <c r="CC186">
        <v>9.5625045151804186E-3</v>
      </c>
      <c r="CD186">
        <v>9.5625045151804186E-3</v>
      </c>
      <c r="CE186">
        <v>9.5625045151804186E-3</v>
      </c>
      <c r="CF186">
        <v>9.5625045151804186E-3</v>
      </c>
      <c r="CG186">
        <v>9.5625045151804186E-3</v>
      </c>
      <c r="CI186">
        <v>2.4945663952644578E-2</v>
      </c>
      <c r="CJ186">
        <v>8.730982383425602E-2</v>
      </c>
      <c r="CK186">
        <v>8.730982383425602E-2</v>
      </c>
      <c r="CL186">
        <v>2.4945663952644567E-2</v>
      </c>
      <c r="CM186">
        <v>2.4945663952644567E-2</v>
      </c>
      <c r="CN186">
        <v>2.4945663952644581E-2</v>
      </c>
      <c r="CO186">
        <v>2.4945663952644581E-2</v>
      </c>
      <c r="CP186">
        <v>8.3152213175481937E-3</v>
      </c>
      <c r="CQ186">
        <v>8.3152213175481937E-3</v>
      </c>
      <c r="CR186">
        <v>8.3152213175481937E-3</v>
      </c>
      <c r="CS186">
        <v>8.3152213175481937E-3</v>
      </c>
      <c r="CT186">
        <v>8.3152213175481937E-3</v>
      </c>
      <c r="CU186">
        <v>8.3152213175481937E-3</v>
      </c>
      <c r="CV186">
        <v>8.3152213175481937E-3</v>
      </c>
      <c r="CW186">
        <v>8.3152213175481937E-3</v>
      </c>
      <c r="CX186">
        <v>8.3152213175481937E-3</v>
      </c>
      <c r="CZ186">
        <v>1.8709247964483432E-2</v>
      </c>
      <c r="DA186">
        <v>6.5482367875692019E-2</v>
      </c>
      <c r="DB186">
        <v>6.5482367875692019E-2</v>
      </c>
      <c r="DC186">
        <v>1.8709247964483422E-2</v>
      </c>
      <c r="DD186">
        <v>1.8709247964483422E-2</v>
      </c>
      <c r="DE186">
        <v>1.8709247964483422E-2</v>
      </c>
      <c r="DF186">
        <v>1.8709247964483422E-2</v>
      </c>
      <c r="DG186">
        <v>6.2364159881611436E-3</v>
      </c>
      <c r="DH186">
        <v>6.2364159881611436E-3</v>
      </c>
      <c r="DI186">
        <v>6.2364159881611436E-3</v>
      </c>
      <c r="DJ186">
        <v>6.2364159881611436E-3</v>
      </c>
      <c r="DK186">
        <v>6.2364159881611436E-3</v>
      </c>
      <c r="DL186">
        <v>6.2364159881611436E-3</v>
      </c>
      <c r="DM186">
        <v>6.2364159881611436E-3</v>
      </c>
      <c r="DN186">
        <v>6.2364159881611436E-3</v>
      </c>
      <c r="DO186">
        <v>6.2364159881611436E-3</v>
      </c>
    </row>
    <row r="187" spans="61:119">
      <c r="BI187" t="str">
        <f t="shared" si="57"/>
        <v>430981141467FI</v>
      </c>
      <c r="BJ187" s="426">
        <v>43098</v>
      </c>
      <c r="BK187" t="s">
        <v>1375</v>
      </c>
      <c r="BL187" t="s">
        <v>1376</v>
      </c>
      <c r="BM187" t="s">
        <v>1355</v>
      </c>
      <c r="BN187" s="438">
        <v>2</v>
      </c>
      <c r="BO187" s="438">
        <v>1</v>
      </c>
      <c r="BR187">
        <v>4.6000000000000006E-2</v>
      </c>
      <c r="BS187">
        <v>0.16100000000000003</v>
      </c>
      <c r="BT187">
        <v>0.16100000000000003</v>
      </c>
      <c r="BU187">
        <v>4.5999999999999985E-2</v>
      </c>
      <c r="BV187">
        <v>4.5999999999999985E-2</v>
      </c>
      <c r="BW187">
        <v>4.6000000000000013E-2</v>
      </c>
      <c r="BX187">
        <v>4.6000000000000013E-2</v>
      </c>
      <c r="BY187">
        <v>1.5333333333333334E-2</v>
      </c>
      <c r="BZ187">
        <v>1.5333333333333334E-2</v>
      </c>
      <c r="CA187">
        <v>1.5333333333333334E-2</v>
      </c>
      <c r="CB187">
        <v>1.5333333333333334E-2</v>
      </c>
      <c r="CC187">
        <v>1.5333333333333334E-2</v>
      </c>
      <c r="CD187">
        <v>1.5333333333333334E-2</v>
      </c>
      <c r="CE187">
        <v>1.5333333333333334E-2</v>
      </c>
      <c r="CF187">
        <v>1.5333333333333334E-2</v>
      </c>
      <c r="CG187">
        <v>1.5333333333333334E-2</v>
      </c>
      <c r="CI187">
        <v>4.0000000000000008E-2</v>
      </c>
      <c r="CJ187">
        <v>0.14000000000000001</v>
      </c>
      <c r="CK187">
        <v>0.14000000000000001</v>
      </c>
      <c r="CL187">
        <v>3.999999999999998E-2</v>
      </c>
      <c r="CM187">
        <v>3.999999999999998E-2</v>
      </c>
      <c r="CN187">
        <v>3.999999999999998E-2</v>
      </c>
      <c r="CO187">
        <v>3.999999999999998E-2</v>
      </c>
      <c r="CP187">
        <v>1.3333333333333345E-2</v>
      </c>
      <c r="CQ187">
        <v>1.3333333333333345E-2</v>
      </c>
      <c r="CR187">
        <v>1.3333333333333345E-2</v>
      </c>
      <c r="CS187">
        <v>1.3333333333333345E-2</v>
      </c>
      <c r="CT187">
        <v>1.3333333333333345E-2</v>
      </c>
      <c r="CU187">
        <v>1.3333333333333345E-2</v>
      </c>
      <c r="CV187">
        <v>1.3333333333333345E-2</v>
      </c>
      <c r="CW187">
        <v>1.3333333333333345E-2</v>
      </c>
      <c r="CX187">
        <v>1.3333333333333345E-2</v>
      </c>
      <c r="CZ187">
        <v>0.03</v>
      </c>
      <c r="DA187">
        <v>0.105</v>
      </c>
      <c r="DB187">
        <v>0.105</v>
      </c>
      <c r="DC187">
        <v>0.03</v>
      </c>
      <c r="DD187">
        <v>0.03</v>
      </c>
      <c r="DE187">
        <v>0.03</v>
      </c>
      <c r="DF187">
        <v>0.03</v>
      </c>
      <c r="DG187">
        <v>9.9999999999999967E-3</v>
      </c>
      <c r="DH187">
        <v>9.9999999999999967E-3</v>
      </c>
      <c r="DI187">
        <v>9.9999999999999967E-3</v>
      </c>
      <c r="DJ187">
        <v>9.9999999999999967E-3</v>
      </c>
      <c r="DK187">
        <v>9.9999999999999967E-3</v>
      </c>
      <c r="DL187">
        <v>9.9999999999999967E-3</v>
      </c>
      <c r="DM187">
        <v>9.9999999999999967E-3</v>
      </c>
      <c r="DN187">
        <v>9.9999999999999967E-3</v>
      </c>
      <c r="DO187">
        <v>9.9999999999999967E-3</v>
      </c>
    </row>
    <row r="188" spans="61:119">
      <c r="BI188" t="str">
        <f t="shared" si="57"/>
        <v>430981167651FI</v>
      </c>
      <c r="BJ188" s="426">
        <v>43098</v>
      </c>
      <c r="BK188" t="s">
        <v>1687</v>
      </c>
      <c r="BL188" t="s">
        <v>1688</v>
      </c>
      <c r="BM188" t="s">
        <v>1355</v>
      </c>
      <c r="BN188" s="438">
        <v>1.570873108541726</v>
      </c>
      <c r="BO188" s="438">
        <v>5.9742114677009281E-2</v>
      </c>
      <c r="BR188">
        <v>0.17349348342124193</v>
      </c>
      <c r="BS188">
        <v>0.35022469805056061</v>
      </c>
      <c r="BT188">
        <v>0.35022469805056061</v>
      </c>
      <c r="BU188">
        <v>2.1584874720511626E-3</v>
      </c>
      <c r="BV188">
        <v>2.1584874720511626E-3</v>
      </c>
      <c r="BW188">
        <v>4.3949940260569753E-2</v>
      </c>
      <c r="BX188">
        <v>4.3949940260569753E-2</v>
      </c>
      <c r="BY188">
        <v>7.1949582401705425E-4</v>
      </c>
      <c r="BZ188">
        <v>7.1949582401705425E-4</v>
      </c>
      <c r="CA188">
        <v>7.1949582401705425E-4</v>
      </c>
      <c r="CB188">
        <v>7.1949582401705425E-4</v>
      </c>
      <c r="CC188">
        <v>7.1949582401705425E-4</v>
      </c>
      <c r="CD188">
        <v>7.1949582401705425E-4</v>
      </c>
      <c r="CE188">
        <v>7.1949582401705425E-4</v>
      </c>
      <c r="CF188">
        <v>7.1949582401705425E-4</v>
      </c>
      <c r="CG188">
        <v>7.1949582401705425E-4</v>
      </c>
      <c r="CI188">
        <v>0.16434978661417221</v>
      </c>
      <c r="CJ188">
        <v>0.33151499167015025</v>
      </c>
      <c r="CK188">
        <v>0.33151499167015025</v>
      </c>
      <c r="CL188">
        <v>1.8769456278706076E-3</v>
      </c>
      <c r="CM188">
        <v>1.8769456278706076E-3</v>
      </c>
      <c r="CN188">
        <v>6.582378582361198E-2</v>
      </c>
      <c r="CO188">
        <v>6.582378582361198E-2</v>
      </c>
      <c r="CP188">
        <v>6.2564854262352968E-4</v>
      </c>
      <c r="CQ188">
        <v>6.2564854262352968E-4</v>
      </c>
      <c r="CR188">
        <v>6.2564854262352968E-4</v>
      </c>
      <c r="CS188">
        <v>6.2564854262352968E-4</v>
      </c>
      <c r="CT188">
        <v>6.2564854262352968E-4</v>
      </c>
      <c r="CU188">
        <v>6.2564854262352968E-4</v>
      </c>
      <c r="CV188">
        <v>6.2564854262352968E-4</v>
      </c>
      <c r="CW188">
        <v>6.2564854262352968E-4</v>
      </c>
      <c r="CX188">
        <v>6.2564854262352968E-4</v>
      </c>
      <c r="CZ188">
        <v>7.5259000578312751E-2</v>
      </c>
      <c r="DA188">
        <v>0.15262956498797994</v>
      </c>
      <c r="DB188">
        <v>0.15262956498797994</v>
      </c>
      <c r="DC188">
        <v>1.4077092209029418E-3</v>
      </c>
      <c r="DD188">
        <v>1.4077092209029418E-3</v>
      </c>
      <c r="DE188">
        <v>3.8333354899607847E-2</v>
      </c>
      <c r="DF188">
        <v>3.8333354899607847E-2</v>
      </c>
      <c r="DG188">
        <v>1.2777784966535964E-2</v>
      </c>
      <c r="DH188">
        <v>1.2777784966535964E-2</v>
      </c>
      <c r="DI188">
        <v>1.2777784966535964E-2</v>
      </c>
      <c r="DJ188">
        <v>1.2777784966535964E-2</v>
      </c>
      <c r="DK188">
        <v>1.2777784966535964E-2</v>
      </c>
      <c r="DL188">
        <v>1.2777784966535964E-2</v>
      </c>
      <c r="DM188">
        <v>1.2777784966535964E-2</v>
      </c>
      <c r="DN188">
        <v>1.2777784966535964E-2</v>
      </c>
      <c r="DO188">
        <v>1.2777784966535964E-2</v>
      </c>
    </row>
    <row r="189" spans="61:119">
      <c r="BI189" t="str">
        <f t="shared" si="57"/>
        <v>430981151227FI</v>
      </c>
      <c r="BJ189" s="426">
        <v>43098</v>
      </c>
      <c r="BK189" t="s">
        <v>1362</v>
      </c>
      <c r="BL189" t="s">
        <v>1372</v>
      </c>
      <c r="BM189" t="s">
        <v>1355</v>
      </c>
      <c r="BN189" s="438">
        <v>1.570873108541726</v>
      </c>
      <c r="BO189" s="438">
        <v>5.9742114677009281E-2</v>
      </c>
      <c r="BR189">
        <v>0.17349348342124193</v>
      </c>
      <c r="BS189">
        <v>0.35022469805056061</v>
      </c>
      <c r="BT189">
        <v>0.35022469805056061</v>
      </c>
      <c r="BU189">
        <v>2.1584874720511626E-3</v>
      </c>
      <c r="BV189">
        <v>2.1584874720511626E-3</v>
      </c>
      <c r="BW189">
        <v>4.3949940260569753E-2</v>
      </c>
      <c r="BX189">
        <v>4.3949940260569753E-2</v>
      </c>
      <c r="BY189">
        <v>7.1949582401705425E-4</v>
      </c>
      <c r="BZ189">
        <v>7.1949582401705425E-4</v>
      </c>
      <c r="CA189">
        <v>7.1949582401705425E-4</v>
      </c>
      <c r="CB189">
        <v>7.1949582401705425E-4</v>
      </c>
      <c r="CC189">
        <v>7.1949582401705425E-4</v>
      </c>
      <c r="CD189">
        <v>7.1949582401705425E-4</v>
      </c>
      <c r="CE189">
        <v>7.1949582401705425E-4</v>
      </c>
      <c r="CF189">
        <v>7.1949582401705425E-4</v>
      </c>
      <c r="CG189">
        <v>7.1949582401705425E-4</v>
      </c>
      <c r="CI189">
        <v>0.16434978661417221</v>
      </c>
      <c r="CJ189">
        <v>0.33151499167015025</v>
      </c>
      <c r="CK189">
        <v>0.33151499167015025</v>
      </c>
      <c r="CL189">
        <v>1.8769456278706076E-3</v>
      </c>
      <c r="CM189">
        <v>1.8769456278706076E-3</v>
      </c>
      <c r="CN189">
        <v>6.582378582361198E-2</v>
      </c>
      <c r="CO189">
        <v>6.582378582361198E-2</v>
      </c>
      <c r="CP189">
        <v>6.2564854262352968E-4</v>
      </c>
      <c r="CQ189">
        <v>6.2564854262352968E-4</v>
      </c>
      <c r="CR189">
        <v>6.2564854262352968E-4</v>
      </c>
      <c r="CS189">
        <v>6.2564854262352968E-4</v>
      </c>
      <c r="CT189">
        <v>6.2564854262352968E-4</v>
      </c>
      <c r="CU189">
        <v>6.2564854262352968E-4</v>
      </c>
      <c r="CV189">
        <v>6.2564854262352968E-4</v>
      </c>
      <c r="CW189">
        <v>6.2564854262352968E-4</v>
      </c>
      <c r="CX189">
        <v>6.2564854262352968E-4</v>
      </c>
      <c r="CZ189">
        <v>7.5259000578312751E-2</v>
      </c>
      <c r="DA189">
        <v>0.15262956498797994</v>
      </c>
      <c r="DB189">
        <v>0.15262956498797994</v>
      </c>
      <c r="DC189">
        <v>1.4077092209029418E-3</v>
      </c>
      <c r="DD189">
        <v>1.4077092209029418E-3</v>
      </c>
      <c r="DE189">
        <v>3.8333354899607847E-2</v>
      </c>
      <c r="DF189">
        <v>3.8333354899607847E-2</v>
      </c>
      <c r="DG189">
        <v>1.2777784966535964E-2</v>
      </c>
      <c r="DH189">
        <v>1.2777784966535964E-2</v>
      </c>
      <c r="DI189">
        <v>1.2777784966535964E-2</v>
      </c>
      <c r="DJ189">
        <v>1.2777784966535964E-2</v>
      </c>
      <c r="DK189">
        <v>1.2777784966535964E-2</v>
      </c>
      <c r="DL189">
        <v>1.2777784966535964E-2</v>
      </c>
      <c r="DM189">
        <v>1.2777784966535964E-2</v>
      </c>
      <c r="DN189">
        <v>1.2777784966535964E-2</v>
      </c>
      <c r="DO189">
        <v>1.2777784966535964E-2</v>
      </c>
    </row>
    <row r="190" spans="61:119">
      <c r="BI190" t="str">
        <f t="shared" si="57"/>
        <v>430981147542CME</v>
      </c>
      <c r="BJ190" s="426">
        <v>43098</v>
      </c>
      <c r="BK190" t="s">
        <v>1361</v>
      </c>
      <c r="BL190" t="s">
        <v>1370</v>
      </c>
      <c r="BM190" t="s">
        <v>1321</v>
      </c>
      <c r="BN190" s="438">
        <v>1</v>
      </c>
      <c r="BO190" s="438">
        <v>1</v>
      </c>
      <c r="BR190">
        <v>8.0000000000000016E-2</v>
      </c>
      <c r="BS190">
        <v>0.16</v>
      </c>
      <c r="BT190">
        <v>0.16</v>
      </c>
      <c r="BU190">
        <v>0</v>
      </c>
      <c r="BV190">
        <v>0</v>
      </c>
      <c r="BW190">
        <v>3.999999999999998E-2</v>
      </c>
      <c r="BX190">
        <v>3.999999999999998E-2</v>
      </c>
      <c r="BY190">
        <v>1.3333333333333345E-2</v>
      </c>
      <c r="BZ190">
        <v>1.3333333333333345E-2</v>
      </c>
      <c r="CA190">
        <v>1.3333333333333345E-2</v>
      </c>
      <c r="CB190">
        <v>1.3333333333333345E-2</v>
      </c>
      <c r="CC190">
        <v>1.3333333333333345E-2</v>
      </c>
      <c r="CD190">
        <v>1.3333333333333345E-2</v>
      </c>
      <c r="CE190">
        <v>1.3333333333333345E-2</v>
      </c>
      <c r="CF190">
        <v>1.3333333333333345E-2</v>
      </c>
      <c r="CG190">
        <v>1.3333333333333345E-2</v>
      </c>
      <c r="CI190">
        <v>6.9999999999999993E-2</v>
      </c>
      <c r="CJ190">
        <v>0.13999999999999999</v>
      </c>
      <c r="CK190">
        <v>0.13999999999999999</v>
      </c>
      <c r="CL190">
        <v>0</v>
      </c>
      <c r="CM190">
        <v>0</v>
      </c>
      <c r="CN190">
        <v>3.5000000000000003E-2</v>
      </c>
      <c r="CO190">
        <v>3.5000000000000003E-2</v>
      </c>
      <c r="CP190">
        <v>1.1666666666666659E-2</v>
      </c>
      <c r="CQ190">
        <v>1.1666666666666659E-2</v>
      </c>
      <c r="CR190">
        <v>1.1666666666666659E-2</v>
      </c>
      <c r="CS190">
        <v>1.1666666666666659E-2</v>
      </c>
      <c r="CT190">
        <v>1.1666666666666659E-2</v>
      </c>
      <c r="CU190">
        <v>1.1666666666666659E-2</v>
      </c>
      <c r="CV190">
        <v>1.1666666666666659E-2</v>
      </c>
      <c r="CW190">
        <v>1.1666666666666659E-2</v>
      </c>
      <c r="CX190">
        <v>1.1666666666666659E-2</v>
      </c>
      <c r="CZ190">
        <v>4.0000000000000008E-2</v>
      </c>
      <c r="DA190">
        <v>0.08</v>
      </c>
      <c r="DB190">
        <v>0.08</v>
      </c>
      <c r="DC190">
        <v>0</v>
      </c>
      <c r="DD190">
        <v>0</v>
      </c>
      <c r="DE190">
        <v>1.999999999999999E-2</v>
      </c>
      <c r="DF190">
        <v>1.999999999999999E-2</v>
      </c>
      <c r="DG190">
        <v>6.6666666666666723E-3</v>
      </c>
      <c r="DH190">
        <v>6.6666666666666723E-3</v>
      </c>
      <c r="DI190">
        <v>6.6666666666666723E-3</v>
      </c>
      <c r="DJ190">
        <v>6.6666666666666723E-3</v>
      </c>
      <c r="DK190">
        <v>6.6666666666666723E-3</v>
      </c>
      <c r="DL190">
        <v>6.6666666666666723E-3</v>
      </c>
      <c r="DM190">
        <v>6.6666666666666723E-3</v>
      </c>
      <c r="DN190">
        <v>6.6666666666666723E-3</v>
      </c>
      <c r="DO190">
        <v>6.6666666666666723E-3</v>
      </c>
    </row>
    <row r="191" spans="61:119">
      <c r="BI191" t="str">
        <f t="shared" si="57"/>
        <v>43098FI</v>
      </c>
      <c r="BJ191" s="426">
        <v>43098</v>
      </c>
      <c r="BM191" t="s">
        <v>1355</v>
      </c>
      <c r="BN191" s="438">
        <v>1</v>
      </c>
      <c r="BO191" s="438">
        <v>1</v>
      </c>
      <c r="BR191">
        <v>2.3000000000000003E-2</v>
      </c>
      <c r="BS191">
        <v>8.0500000000000016E-2</v>
      </c>
      <c r="BT191">
        <v>8.0500000000000016E-2</v>
      </c>
      <c r="BU191">
        <v>2.2999999999999993E-2</v>
      </c>
      <c r="BV191">
        <v>2.2999999999999993E-2</v>
      </c>
      <c r="BW191">
        <v>2.3000000000000007E-2</v>
      </c>
      <c r="BX191">
        <v>2.3000000000000007E-2</v>
      </c>
      <c r="BY191">
        <v>7.6666666666666671E-3</v>
      </c>
      <c r="BZ191">
        <v>7.6666666666666671E-3</v>
      </c>
      <c r="CA191">
        <v>7.6666666666666671E-3</v>
      </c>
      <c r="CB191">
        <v>7.6666666666666671E-3</v>
      </c>
      <c r="CC191">
        <v>7.6666666666666671E-3</v>
      </c>
      <c r="CD191">
        <v>7.6666666666666671E-3</v>
      </c>
      <c r="CE191">
        <v>7.6666666666666671E-3</v>
      </c>
      <c r="CF191">
        <v>7.6666666666666671E-3</v>
      </c>
      <c r="CG191">
        <v>7.6666666666666671E-3</v>
      </c>
      <c r="CI191">
        <v>2.0000000000000004E-2</v>
      </c>
      <c r="CJ191">
        <v>7.0000000000000007E-2</v>
      </c>
      <c r="CK191">
        <v>7.0000000000000007E-2</v>
      </c>
      <c r="CL191">
        <v>1.999999999999999E-2</v>
      </c>
      <c r="CM191">
        <v>1.999999999999999E-2</v>
      </c>
      <c r="CN191">
        <v>1.999999999999999E-2</v>
      </c>
      <c r="CO191">
        <v>1.999999999999999E-2</v>
      </c>
      <c r="CP191">
        <v>6.6666666666666723E-3</v>
      </c>
      <c r="CQ191">
        <v>6.6666666666666723E-3</v>
      </c>
      <c r="CR191">
        <v>6.6666666666666723E-3</v>
      </c>
      <c r="CS191">
        <v>6.6666666666666723E-3</v>
      </c>
      <c r="CT191">
        <v>6.6666666666666723E-3</v>
      </c>
      <c r="CU191">
        <v>6.6666666666666723E-3</v>
      </c>
      <c r="CV191">
        <v>6.6666666666666723E-3</v>
      </c>
      <c r="CW191">
        <v>6.6666666666666723E-3</v>
      </c>
      <c r="CX191">
        <v>6.6666666666666723E-3</v>
      </c>
      <c r="CZ191">
        <v>1.4999999999999999E-2</v>
      </c>
      <c r="DA191">
        <v>5.2499999999999998E-2</v>
      </c>
      <c r="DB191">
        <v>5.2499999999999998E-2</v>
      </c>
      <c r="DC191">
        <v>1.4999999999999999E-2</v>
      </c>
      <c r="DD191">
        <v>1.4999999999999999E-2</v>
      </c>
      <c r="DE191">
        <v>1.4999999999999999E-2</v>
      </c>
      <c r="DF191">
        <v>1.4999999999999999E-2</v>
      </c>
      <c r="DG191">
        <v>4.9999999999999984E-3</v>
      </c>
      <c r="DH191">
        <v>4.9999999999999984E-3</v>
      </c>
      <c r="DI191">
        <v>4.9999999999999984E-3</v>
      </c>
      <c r="DJ191">
        <v>4.9999999999999984E-3</v>
      </c>
      <c r="DK191">
        <v>4.9999999999999984E-3</v>
      </c>
      <c r="DL191">
        <v>4.9999999999999984E-3</v>
      </c>
      <c r="DM191">
        <v>4.9999999999999984E-3</v>
      </c>
      <c r="DN191">
        <v>4.9999999999999984E-3</v>
      </c>
      <c r="DO191">
        <v>4.9999999999999984E-3</v>
      </c>
    </row>
    <row r="192" spans="61:119">
      <c r="BI192" t="str">
        <f t="shared" si="57"/>
        <v>43098CORP</v>
      </c>
      <c r="BJ192" s="426">
        <v>43098</v>
      </c>
      <c r="BM192" t="s">
        <v>1356</v>
      </c>
      <c r="BN192" s="438">
        <v>1</v>
      </c>
      <c r="BO192" s="438">
        <v>0.96242942639446716</v>
      </c>
      <c r="BR192">
        <v>8.7514114721106567E-3</v>
      </c>
      <c r="BS192">
        <v>4.6028810974698776E-2</v>
      </c>
      <c r="BT192">
        <v>4.6028810974698776E-2</v>
      </c>
      <c r="BU192">
        <v>3.1849717705577874E-2</v>
      </c>
      <c r="BV192">
        <v>3.1849717705577874E-2</v>
      </c>
      <c r="BW192">
        <v>1.6450846883266396E-2</v>
      </c>
      <c r="BX192">
        <v>1.6450846883266396E-2</v>
      </c>
      <c r="BY192">
        <v>5.483615627755462E-3</v>
      </c>
      <c r="BZ192">
        <v>5.483615627755462E-3</v>
      </c>
      <c r="CA192">
        <v>5.483615627755462E-3</v>
      </c>
      <c r="CB192">
        <v>5.483615627755462E-3</v>
      </c>
      <c r="CC192">
        <v>5.483615627755462E-3</v>
      </c>
      <c r="CD192">
        <v>5.483615627755462E-3</v>
      </c>
      <c r="CE192">
        <v>5.483615627755462E-3</v>
      </c>
      <c r="CF192">
        <v>5.483615627755462E-3</v>
      </c>
      <c r="CG192">
        <v>5.483615627755462E-3</v>
      </c>
      <c r="CI192">
        <v>7.6386997512940587E-3</v>
      </c>
      <c r="CJ192">
        <v>4.0209461099051755E-2</v>
      </c>
      <c r="CK192">
        <v>4.0209461099051755E-2</v>
      </c>
      <c r="CL192">
        <v>2.784971770557787E-2</v>
      </c>
      <c r="CM192">
        <v>2.784971770557787E-2</v>
      </c>
      <c r="CN192">
        <v>1.437570573605533E-2</v>
      </c>
      <c r="CO192">
        <v>1.437570573605533E-2</v>
      </c>
      <c r="CP192">
        <v>4.791901912018442E-3</v>
      </c>
      <c r="CQ192">
        <v>4.791901912018442E-3</v>
      </c>
      <c r="CR192">
        <v>4.791901912018442E-3</v>
      </c>
      <c r="CS192">
        <v>4.791901912018442E-3</v>
      </c>
      <c r="CT192">
        <v>4.791901912018442E-3</v>
      </c>
      <c r="CU192">
        <v>4.791901912018442E-3</v>
      </c>
      <c r="CV192">
        <v>4.791901912018442E-3</v>
      </c>
      <c r="CW192">
        <v>4.791901912018442E-3</v>
      </c>
      <c r="CX192">
        <v>4.791901912018442E-3</v>
      </c>
      <c r="CZ192">
        <v>5.3757057360553293E-3</v>
      </c>
      <c r="DA192">
        <v>2.8439264340138319E-2</v>
      </c>
      <c r="DB192">
        <v>2.8439264340138319E-2</v>
      </c>
      <c r="DC192">
        <v>1.9812147131972335E-2</v>
      </c>
      <c r="DD192">
        <v>1.9812147131972335E-2</v>
      </c>
      <c r="DE192">
        <v>1.0187852868027668E-2</v>
      </c>
      <c r="DF192">
        <v>1.0187852868027668E-2</v>
      </c>
      <c r="DG192">
        <v>3.3959509560092232E-3</v>
      </c>
      <c r="DH192">
        <v>3.3959509560092232E-3</v>
      </c>
      <c r="DI192">
        <v>3.3959509560092232E-3</v>
      </c>
      <c r="DJ192">
        <v>3.3959509560092232E-3</v>
      </c>
      <c r="DK192">
        <v>3.3959509560092232E-3</v>
      </c>
      <c r="DL192">
        <v>3.3959509560092232E-3</v>
      </c>
      <c r="DM192">
        <v>3.3959509560092232E-3</v>
      </c>
      <c r="DN192">
        <v>3.3959509560092232E-3</v>
      </c>
      <c r="DO192">
        <v>3.3959509560092232E-3</v>
      </c>
    </row>
    <row r="193" spans="61:119">
      <c r="BI193" t="str">
        <f t="shared" si="57"/>
        <v>43098ESCROW</v>
      </c>
      <c r="BJ193" s="426">
        <v>43098</v>
      </c>
      <c r="BM193" t="s">
        <v>1339</v>
      </c>
      <c r="BN193" s="438">
        <v>1</v>
      </c>
      <c r="BO193" s="438">
        <v>1</v>
      </c>
      <c r="BR193">
        <v>3.2000000000000001E-2</v>
      </c>
      <c r="BS193">
        <v>2.4E-2</v>
      </c>
      <c r="BT193">
        <v>2.4E-2</v>
      </c>
      <c r="BU193">
        <v>0.04</v>
      </c>
      <c r="BV193">
        <v>0.04</v>
      </c>
      <c r="BW193">
        <v>3.9999999999999994E-2</v>
      </c>
      <c r="BX193">
        <v>3.9999999999999994E-2</v>
      </c>
      <c r="BY193">
        <v>8.8888888888888906E-3</v>
      </c>
      <c r="BZ193">
        <v>8.8888888888888906E-3</v>
      </c>
      <c r="CA193">
        <v>8.8888888888888906E-3</v>
      </c>
      <c r="CB193">
        <v>8.8888888888888906E-3</v>
      </c>
      <c r="CC193">
        <v>8.8888888888888906E-3</v>
      </c>
      <c r="CD193">
        <v>8.8888888888888906E-3</v>
      </c>
      <c r="CE193">
        <v>8.8888888888888906E-3</v>
      </c>
      <c r="CF193">
        <v>8.8888888888888906E-3</v>
      </c>
      <c r="CG193">
        <v>8.8888888888888906E-3</v>
      </c>
      <c r="CI193">
        <v>2.8000000000000004E-2</v>
      </c>
      <c r="CJ193">
        <v>2.1000000000000001E-2</v>
      </c>
      <c r="CK193">
        <v>2.1000000000000001E-2</v>
      </c>
      <c r="CL193">
        <v>3.5000000000000003E-2</v>
      </c>
      <c r="CM193">
        <v>3.5000000000000003E-2</v>
      </c>
      <c r="CN193">
        <v>3.5000000000000003E-2</v>
      </c>
      <c r="CO193">
        <v>3.5000000000000003E-2</v>
      </c>
      <c r="CP193">
        <v>7.7777777777777784E-3</v>
      </c>
      <c r="CQ193">
        <v>7.7777777777777784E-3</v>
      </c>
      <c r="CR193">
        <v>7.7777777777777784E-3</v>
      </c>
      <c r="CS193">
        <v>7.7777777777777784E-3</v>
      </c>
      <c r="CT193">
        <v>7.7777777777777784E-3</v>
      </c>
      <c r="CU193">
        <v>7.7777777777777784E-3</v>
      </c>
      <c r="CV193">
        <v>7.7777777777777784E-3</v>
      </c>
      <c r="CW193">
        <v>7.7777777777777784E-3</v>
      </c>
      <c r="CX193">
        <v>7.7777777777777784E-3</v>
      </c>
      <c r="CZ193">
        <v>2.0000000000000004E-2</v>
      </c>
      <c r="DA193">
        <v>1.4999999999999999E-2</v>
      </c>
      <c r="DB193">
        <v>1.4999999999999999E-2</v>
      </c>
      <c r="DC193">
        <v>2.5000000000000001E-2</v>
      </c>
      <c r="DD193">
        <v>2.5000000000000001E-2</v>
      </c>
      <c r="DE193">
        <v>2.5000000000000008E-2</v>
      </c>
      <c r="DF193">
        <v>2.5000000000000008E-2</v>
      </c>
      <c r="DG193">
        <v>5.555555555555554E-3</v>
      </c>
      <c r="DH193">
        <v>5.555555555555554E-3</v>
      </c>
      <c r="DI193">
        <v>5.555555555555554E-3</v>
      </c>
      <c r="DJ193">
        <v>5.555555555555554E-3</v>
      </c>
      <c r="DK193">
        <v>5.555555555555554E-3</v>
      </c>
      <c r="DL193">
        <v>5.555555555555554E-3</v>
      </c>
      <c r="DM193">
        <v>5.555555555555554E-3</v>
      </c>
      <c r="DN193">
        <v>5.555555555555554E-3</v>
      </c>
      <c r="DO193">
        <v>5.555555555555554E-3</v>
      </c>
    </row>
    <row r="194" spans="61:119">
      <c r="BI194" t="str">
        <f t="shared" si="57"/>
        <v>43098IB</v>
      </c>
      <c r="BJ194" s="426">
        <v>43098</v>
      </c>
      <c r="BM194" t="s">
        <v>1354</v>
      </c>
      <c r="BN194" s="438">
        <v>1</v>
      </c>
      <c r="BO194" s="438">
        <v>1</v>
      </c>
      <c r="BR194">
        <v>1.2E-2</v>
      </c>
      <c r="BS194">
        <v>4.2000000000000003E-2</v>
      </c>
      <c r="BT194">
        <v>4.2000000000000003E-2</v>
      </c>
      <c r="BU194">
        <v>1.1999999999999997E-2</v>
      </c>
      <c r="BV194">
        <v>1.1999999999999997E-2</v>
      </c>
      <c r="BW194">
        <v>1.1999999999999997E-2</v>
      </c>
      <c r="BX194">
        <v>1.1999999999999997E-2</v>
      </c>
      <c r="BY194">
        <v>4.0000000000000001E-3</v>
      </c>
      <c r="BZ194">
        <v>4.0000000000000001E-3</v>
      </c>
      <c r="CA194">
        <v>4.0000000000000001E-3</v>
      </c>
      <c r="CB194">
        <v>4.0000000000000001E-3</v>
      </c>
      <c r="CC194">
        <v>4.0000000000000001E-3</v>
      </c>
      <c r="CD194">
        <v>4.0000000000000001E-3</v>
      </c>
      <c r="CE194">
        <v>4.0000000000000001E-3</v>
      </c>
      <c r="CF194">
        <v>4.0000000000000001E-3</v>
      </c>
      <c r="CG194">
        <v>4.0000000000000001E-3</v>
      </c>
      <c r="CI194">
        <v>3.0000000000000001E-3</v>
      </c>
      <c r="CJ194">
        <v>1.0500000000000001E-2</v>
      </c>
      <c r="CK194">
        <v>1.0500000000000001E-2</v>
      </c>
      <c r="CL194">
        <v>2.9999999999999992E-3</v>
      </c>
      <c r="CM194">
        <v>2.9999999999999992E-3</v>
      </c>
      <c r="CN194">
        <v>2.9999999999999992E-3</v>
      </c>
      <c r="CO194">
        <v>2.9999999999999992E-3</v>
      </c>
      <c r="CP194">
        <v>1E-3</v>
      </c>
      <c r="CQ194">
        <v>1E-3</v>
      </c>
      <c r="CR194">
        <v>1E-3</v>
      </c>
      <c r="CS194">
        <v>1E-3</v>
      </c>
      <c r="CT194">
        <v>1E-3</v>
      </c>
      <c r="CU194">
        <v>1E-3</v>
      </c>
      <c r="CV194">
        <v>1E-3</v>
      </c>
      <c r="CW194">
        <v>1E-3</v>
      </c>
      <c r="CX194">
        <v>1E-3</v>
      </c>
      <c r="CZ194">
        <v>1.0000000000000002E-2</v>
      </c>
      <c r="DA194">
        <v>3.5000000000000003E-2</v>
      </c>
      <c r="DB194">
        <v>3.5000000000000003E-2</v>
      </c>
      <c r="DC194">
        <v>9.999999999999995E-3</v>
      </c>
      <c r="DD194">
        <v>9.999999999999995E-3</v>
      </c>
      <c r="DE194">
        <v>9.999999999999995E-3</v>
      </c>
      <c r="DF194">
        <v>9.999999999999995E-3</v>
      </c>
      <c r="DG194">
        <v>3.3333333333333361E-3</v>
      </c>
      <c r="DH194">
        <v>3.3333333333333361E-3</v>
      </c>
      <c r="DI194">
        <v>3.3333333333333361E-3</v>
      </c>
      <c r="DJ194">
        <v>3.3333333333333361E-3</v>
      </c>
      <c r="DK194">
        <v>3.3333333333333361E-3</v>
      </c>
      <c r="DL194">
        <v>3.3333333333333361E-3</v>
      </c>
      <c r="DM194">
        <v>3.3333333333333361E-3</v>
      </c>
      <c r="DN194">
        <v>3.3333333333333361E-3</v>
      </c>
      <c r="DO194">
        <v>3.3333333333333361E-3</v>
      </c>
    </row>
    <row r="195" spans="61:119">
      <c r="BI195" t="str">
        <f t="shared" si="57"/>
        <v>43098AFF</v>
      </c>
      <c r="BJ195" s="426">
        <v>43098</v>
      </c>
      <c r="BM195" t="s">
        <v>1353</v>
      </c>
      <c r="BN195" s="438">
        <v>1</v>
      </c>
      <c r="BO195" s="438">
        <v>1</v>
      </c>
      <c r="BR195">
        <v>1.4999999999999999E-2</v>
      </c>
      <c r="BS195">
        <v>5.2499999999999998E-2</v>
      </c>
      <c r="BT195">
        <v>5.2499999999999998E-2</v>
      </c>
      <c r="BU195">
        <v>1.4999999999999999E-2</v>
      </c>
      <c r="BV195">
        <v>1.4999999999999999E-2</v>
      </c>
      <c r="BW195">
        <v>1.4999999999999999E-2</v>
      </c>
      <c r="BX195">
        <v>1.4999999999999999E-2</v>
      </c>
      <c r="BY195">
        <v>4.9999999999999984E-3</v>
      </c>
      <c r="BZ195">
        <v>4.9999999999999984E-3</v>
      </c>
      <c r="CA195">
        <v>4.9999999999999984E-3</v>
      </c>
      <c r="CB195">
        <v>4.9999999999999984E-3</v>
      </c>
      <c r="CC195">
        <v>4.9999999999999984E-3</v>
      </c>
      <c r="CD195">
        <v>4.9999999999999984E-3</v>
      </c>
      <c r="CE195">
        <v>4.9999999999999984E-3</v>
      </c>
      <c r="CF195">
        <v>4.9999999999999984E-3</v>
      </c>
      <c r="CG195">
        <v>4.9999999999999984E-3</v>
      </c>
      <c r="CI195">
        <v>1.2E-2</v>
      </c>
      <c r="CJ195">
        <v>4.2000000000000003E-2</v>
      </c>
      <c r="CK195">
        <v>4.2000000000000003E-2</v>
      </c>
      <c r="CL195">
        <v>1.1999999999999997E-2</v>
      </c>
      <c r="CM195">
        <v>1.1999999999999997E-2</v>
      </c>
      <c r="CN195">
        <v>1.1999999999999997E-2</v>
      </c>
      <c r="CO195">
        <v>1.1999999999999997E-2</v>
      </c>
      <c r="CP195">
        <v>4.0000000000000001E-3</v>
      </c>
      <c r="CQ195">
        <v>4.0000000000000001E-3</v>
      </c>
      <c r="CR195">
        <v>4.0000000000000001E-3</v>
      </c>
      <c r="CS195">
        <v>4.0000000000000001E-3</v>
      </c>
      <c r="CT195">
        <v>4.0000000000000001E-3</v>
      </c>
      <c r="CU195">
        <v>4.0000000000000001E-3</v>
      </c>
      <c r="CV195">
        <v>4.0000000000000001E-3</v>
      </c>
      <c r="CW195">
        <v>4.0000000000000001E-3</v>
      </c>
      <c r="CX195">
        <v>4.0000000000000001E-3</v>
      </c>
      <c r="CZ195">
        <v>5.000000000000001E-3</v>
      </c>
      <c r="DA195">
        <v>1.7500000000000002E-2</v>
      </c>
      <c r="DB195">
        <v>1.7500000000000002E-2</v>
      </c>
      <c r="DC195">
        <v>4.9999999999999975E-3</v>
      </c>
      <c r="DD195">
        <v>4.9999999999999975E-3</v>
      </c>
      <c r="DE195">
        <v>4.9999999999999975E-3</v>
      </c>
      <c r="DF195">
        <v>4.9999999999999975E-3</v>
      </c>
      <c r="DG195">
        <v>1.6666666666666681E-3</v>
      </c>
      <c r="DH195">
        <v>1.6666666666666681E-3</v>
      </c>
      <c r="DI195">
        <v>1.6666666666666681E-3</v>
      </c>
      <c r="DJ195">
        <v>1.6666666666666681E-3</v>
      </c>
      <c r="DK195">
        <v>1.6666666666666681E-3</v>
      </c>
      <c r="DL195">
        <v>1.6666666666666681E-3</v>
      </c>
      <c r="DM195">
        <v>1.6666666666666681E-3</v>
      </c>
      <c r="DN195">
        <v>1.6666666666666681E-3</v>
      </c>
      <c r="DO195">
        <v>1.6666666666666681E-3</v>
      </c>
    </row>
    <row r="196" spans="61:119">
      <c r="BI196" t="str">
        <f t="shared" si="57"/>
        <v>431311030623FI</v>
      </c>
      <c r="BJ196" s="426">
        <v>43131</v>
      </c>
      <c r="BK196" t="s">
        <v>1360</v>
      </c>
      <c r="BL196" t="s">
        <v>1369</v>
      </c>
      <c r="BM196" t="s">
        <v>1355</v>
      </c>
      <c r="BN196" s="438">
        <v>2</v>
      </c>
      <c r="BO196" s="438">
        <v>1</v>
      </c>
      <c r="BR196">
        <v>4.6000000000000006E-2</v>
      </c>
      <c r="BS196">
        <v>0.16100000000000003</v>
      </c>
      <c r="BT196">
        <v>0.16100000000000003</v>
      </c>
      <c r="BU196">
        <v>4.5999999999999985E-2</v>
      </c>
      <c r="BV196">
        <v>4.5999999999999985E-2</v>
      </c>
      <c r="BW196">
        <v>4.6000000000000013E-2</v>
      </c>
      <c r="BX196">
        <v>4.6000000000000013E-2</v>
      </c>
      <c r="BY196">
        <v>1.5333333333333334E-2</v>
      </c>
      <c r="BZ196">
        <v>1.5333333333333334E-2</v>
      </c>
      <c r="CA196">
        <v>1.5333333333333334E-2</v>
      </c>
      <c r="CB196">
        <v>1.5333333333333334E-2</v>
      </c>
      <c r="CC196">
        <v>1.5333333333333334E-2</v>
      </c>
      <c r="CD196">
        <v>1.5333333333333334E-2</v>
      </c>
      <c r="CE196">
        <v>1.5333333333333334E-2</v>
      </c>
      <c r="CF196">
        <v>1.5333333333333334E-2</v>
      </c>
      <c r="CG196">
        <v>1.5333333333333334E-2</v>
      </c>
      <c r="CI196">
        <v>4.0000000000000008E-2</v>
      </c>
      <c r="CJ196">
        <v>0.14000000000000001</v>
      </c>
      <c r="CK196">
        <v>0.14000000000000001</v>
      </c>
      <c r="CL196">
        <v>3.999999999999998E-2</v>
      </c>
      <c r="CM196">
        <v>3.999999999999998E-2</v>
      </c>
      <c r="CN196">
        <v>3.999999999999998E-2</v>
      </c>
      <c r="CO196">
        <v>3.999999999999998E-2</v>
      </c>
      <c r="CP196">
        <v>1.3333333333333345E-2</v>
      </c>
      <c r="CQ196">
        <v>1.3333333333333345E-2</v>
      </c>
      <c r="CR196">
        <v>1.3333333333333345E-2</v>
      </c>
      <c r="CS196">
        <v>1.3333333333333345E-2</v>
      </c>
      <c r="CT196">
        <v>1.3333333333333345E-2</v>
      </c>
      <c r="CU196">
        <v>1.3333333333333345E-2</v>
      </c>
      <c r="CV196">
        <v>1.3333333333333345E-2</v>
      </c>
      <c r="CW196">
        <v>1.3333333333333345E-2</v>
      </c>
      <c r="CX196">
        <v>1.3333333333333345E-2</v>
      </c>
      <c r="CZ196">
        <v>0.03</v>
      </c>
      <c r="DA196">
        <v>0.105</v>
      </c>
      <c r="DB196">
        <v>0.105</v>
      </c>
      <c r="DC196">
        <v>0.03</v>
      </c>
      <c r="DD196">
        <v>0.03</v>
      </c>
      <c r="DE196">
        <v>0.03</v>
      </c>
      <c r="DF196">
        <v>0.03</v>
      </c>
      <c r="DG196">
        <v>9.9999999999999967E-3</v>
      </c>
      <c r="DH196">
        <v>9.9999999999999967E-3</v>
      </c>
      <c r="DI196">
        <v>9.9999999999999967E-3</v>
      </c>
      <c r="DJ196">
        <v>9.9999999999999967E-3</v>
      </c>
      <c r="DK196">
        <v>9.9999999999999967E-3</v>
      </c>
      <c r="DL196">
        <v>9.9999999999999967E-3</v>
      </c>
      <c r="DM196">
        <v>9.9999999999999967E-3</v>
      </c>
      <c r="DN196">
        <v>9.9999999999999967E-3</v>
      </c>
      <c r="DO196">
        <v>9.9999999999999967E-3</v>
      </c>
    </row>
    <row r="197" spans="61:119">
      <c r="BI197" t="str">
        <f t="shared" ref="BI197:BI233" si="58">BJ197&amp;BK197&amp;BM197</f>
        <v>431311000526FI</v>
      </c>
      <c r="BJ197" s="426">
        <v>43131</v>
      </c>
      <c r="BK197" t="s">
        <v>1363</v>
      </c>
      <c r="BL197" t="s">
        <v>1368</v>
      </c>
      <c r="BM197" t="s">
        <v>1355</v>
      </c>
      <c r="BN197" s="438">
        <v>1.8152117819121045</v>
      </c>
      <c r="BO197" s="438">
        <v>1</v>
      </c>
      <c r="BR197">
        <v>4.1749870983978407E-2</v>
      </c>
      <c r="BS197">
        <v>0.14612454844392442</v>
      </c>
      <c r="BT197">
        <v>0.14612454844392442</v>
      </c>
      <c r="BU197">
        <v>4.1749870983978393E-2</v>
      </c>
      <c r="BV197">
        <v>4.1749870983978393E-2</v>
      </c>
      <c r="BW197">
        <v>4.1749870983978393E-2</v>
      </c>
      <c r="BX197">
        <v>4.1749870983978393E-2</v>
      </c>
      <c r="BY197">
        <v>1.3916623661326141E-2</v>
      </c>
      <c r="BZ197">
        <v>1.3916623661326141E-2</v>
      </c>
      <c r="CA197">
        <v>1.3916623661326141E-2</v>
      </c>
      <c r="CB197">
        <v>1.3916623661326141E-2</v>
      </c>
      <c r="CC197">
        <v>1.3916623661326141E-2</v>
      </c>
      <c r="CD197">
        <v>1.3916623661326141E-2</v>
      </c>
      <c r="CE197">
        <v>1.3916623661326141E-2</v>
      </c>
      <c r="CF197">
        <v>1.3916623661326141E-2</v>
      </c>
      <c r="CG197">
        <v>1.3916623661326141E-2</v>
      </c>
      <c r="CI197">
        <v>3.6304235638242095E-2</v>
      </c>
      <c r="CJ197">
        <v>0.12706482473384734</v>
      </c>
      <c r="CK197">
        <v>0.12706482473384734</v>
      </c>
      <c r="CL197">
        <v>3.6304235638242088E-2</v>
      </c>
      <c r="CM197">
        <v>3.6304235638242088E-2</v>
      </c>
      <c r="CN197">
        <v>3.6304235638242088E-2</v>
      </c>
      <c r="CO197">
        <v>3.6304235638242088E-2</v>
      </c>
      <c r="CP197">
        <v>1.2101411879414029E-2</v>
      </c>
      <c r="CQ197">
        <v>1.2101411879414029E-2</v>
      </c>
      <c r="CR197">
        <v>1.2101411879414029E-2</v>
      </c>
      <c r="CS197">
        <v>1.2101411879414029E-2</v>
      </c>
      <c r="CT197">
        <v>1.2101411879414029E-2</v>
      </c>
      <c r="CU197">
        <v>1.2101411879414029E-2</v>
      </c>
      <c r="CV197">
        <v>1.2101411879414029E-2</v>
      </c>
      <c r="CW197">
        <v>1.2101411879414029E-2</v>
      </c>
      <c r="CX197">
        <v>1.2101411879414029E-2</v>
      </c>
      <c r="CZ197">
        <v>2.722817672868157E-2</v>
      </c>
      <c r="DA197">
        <v>9.5298618550385489E-2</v>
      </c>
      <c r="DB197">
        <v>9.5298618550385489E-2</v>
      </c>
      <c r="DC197">
        <v>2.7228176728681566E-2</v>
      </c>
      <c r="DD197">
        <v>2.7228176728681566E-2</v>
      </c>
      <c r="DE197">
        <v>2.7228176728681552E-2</v>
      </c>
      <c r="DF197">
        <v>2.7228176728681552E-2</v>
      </c>
      <c r="DG197">
        <v>9.076058909560529E-3</v>
      </c>
      <c r="DH197">
        <v>9.076058909560529E-3</v>
      </c>
      <c r="DI197">
        <v>9.076058909560529E-3</v>
      </c>
      <c r="DJ197">
        <v>9.076058909560529E-3</v>
      </c>
      <c r="DK197">
        <v>9.076058909560529E-3</v>
      </c>
      <c r="DL197">
        <v>9.076058909560529E-3</v>
      </c>
      <c r="DM197">
        <v>9.076058909560529E-3</v>
      </c>
      <c r="DN197">
        <v>9.076058909560529E-3</v>
      </c>
      <c r="DO197">
        <v>9.076058909560529E-3</v>
      </c>
    </row>
    <row r="198" spans="61:119">
      <c r="BI198" t="str">
        <f t="shared" si="58"/>
        <v>431311000790IB</v>
      </c>
      <c r="BJ198" s="426">
        <v>43131</v>
      </c>
      <c r="BK198" t="s">
        <v>1358</v>
      </c>
      <c r="BL198" t="s">
        <v>1371</v>
      </c>
      <c r="BM198" t="s">
        <v>1354</v>
      </c>
      <c r="BN198" s="438">
        <v>1.4020862502391274</v>
      </c>
      <c r="BO198" s="438">
        <v>1</v>
      </c>
      <c r="BR198">
        <v>1.682503500286953E-2</v>
      </c>
      <c r="BS198">
        <v>5.8887622510043355E-2</v>
      </c>
      <c r="BT198">
        <v>5.8887622510043355E-2</v>
      </c>
      <c r="BU198">
        <v>1.6825035002869526E-2</v>
      </c>
      <c r="BV198">
        <v>1.6825035002869526E-2</v>
      </c>
      <c r="BW198">
        <v>1.6825035002869526E-2</v>
      </c>
      <c r="BX198">
        <v>1.6825035002869526E-2</v>
      </c>
      <c r="BY198">
        <v>5.6083450009565116E-3</v>
      </c>
      <c r="BZ198">
        <v>5.6083450009565116E-3</v>
      </c>
      <c r="CA198">
        <v>5.6083450009565116E-3</v>
      </c>
      <c r="CB198">
        <v>5.6083450009565116E-3</v>
      </c>
      <c r="CC198">
        <v>5.6083450009565116E-3</v>
      </c>
      <c r="CD198">
        <v>5.6083450009565116E-3</v>
      </c>
      <c r="CE198">
        <v>5.6083450009565116E-3</v>
      </c>
      <c r="CF198">
        <v>5.6083450009565116E-3</v>
      </c>
      <c r="CG198">
        <v>5.6083450009565116E-3</v>
      </c>
      <c r="CI198">
        <v>4.2062587507173824E-3</v>
      </c>
      <c r="CJ198">
        <v>1.4721905627510839E-2</v>
      </c>
      <c r="CK198">
        <v>1.4721905627510839E-2</v>
      </c>
      <c r="CL198">
        <v>4.2062587507173815E-3</v>
      </c>
      <c r="CM198">
        <v>4.2062587507173815E-3</v>
      </c>
      <c r="CN198">
        <v>4.2062587507173815E-3</v>
      </c>
      <c r="CO198">
        <v>4.2062587507173815E-3</v>
      </c>
      <c r="CP198">
        <v>1.4020862502391279E-3</v>
      </c>
      <c r="CQ198">
        <v>1.4020862502391279E-3</v>
      </c>
      <c r="CR198">
        <v>1.4020862502391279E-3</v>
      </c>
      <c r="CS198">
        <v>1.4020862502391279E-3</v>
      </c>
      <c r="CT198">
        <v>1.4020862502391279E-3</v>
      </c>
      <c r="CU198">
        <v>1.4020862502391279E-3</v>
      </c>
      <c r="CV198">
        <v>1.4020862502391279E-3</v>
      </c>
      <c r="CW198">
        <v>1.4020862502391279E-3</v>
      </c>
      <c r="CX198">
        <v>1.4020862502391279E-3</v>
      </c>
      <c r="CZ198">
        <v>1.4020862502391275E-2</v>
      </c>
      <c r="DA198">
        <v>4.907301875836946E-2</v>
      </c>
      <c r="DB198">
        <v>4.907301875836946E-2</v>
      </c>
      <c r="DC198">
        <v>1.4020862502391269E-2</v>
      </c>
      <c r="DD198">
        <v>1.4020862502391269E-2</v>
      </c>
      <c r="DE198">
        <v>1.4020862502391276E-2</v>
      </c>
      <c r="DF198">
        <v>1.4020862502391276E-2</v>
      </c>
      <c r="DG198">
        <v>4.6736208341304243E-3</v>
      </c>
      <c r="DH198">
        <v>4.6736208341304243E-3</v>
      </c>
      <c r="DI198">
        <v>4.6736208341304243E-3</v>
      </c>
      <c r="DJ198">
        <v>4.6736208341304243E-3</v>
      </c>
      <c r="DK198">
        <v>4.6736208341304243E-3</v>
      </c>
      <c r="DL198">
        <v>4.6736208341304243E-3</v>
      </c>
      <c r="DM198">
        <v>4.6736208341304243E-3</v>
      </c>
      <c r="DN198">
        <v>4.6736208341304243E-3</v>
      </c>
      <c r="DO198">
        <v>4.6736208341304243E-3</v>
      </c>
    </row>
    <row r="199" spans="61:119">
      <c r="BI199" t="str">
        <f t="shared" si="58"/>
        <v>431311126198FI</v>
      </c>
      <c r="BJ199" s="426">
        <v>43131</v>
      </c>
      <c r="BK199" t="s">
        <v>1359</v>
      </c>
      <c r="BL199" t="s">
        <v>1367</v>
      </c>
      <c r="BM199" t="s">
        <v>1355</v>
      </c>
      <c r="BN199" s="438">
        <v>1.1559095662547065</v>
      </c>
      <c r="BO199" s="438">
        <v>1</v>
      </c>
      <c r="BR199">
        <v>2.6585920023858251E-2</v>
      </c>
      <c r="BS199">
        <v>9.3050720083503874E-2</v>
      </c>
      <c r="BT199">
        <v>9.3050720083503874E-2</v>
      </c>
      <c r="BU199">
        <v>2.6585920023858248E-2</v>
      </c>
      <c r="BV199">
        <v>2.6585920023858248E-2</v>
      </c>
      <c r="BW199">
        <v>2.6585920023858234E-2</v>
      </c>
      <c r="BX199">
        <v>2.6585920023858234E-2</v>
      </c>
      <c r="BY199">
        <v>8.8619733412860901E-3</v>
      </c>
      <c r="BZ199">
        <v>8.8619733412860901E-3</v>
      </c>
      <c r="CA199">
        <v>8.8619733412860901E-3</v>
      </c>
      <c r="CB199">
        <v>8.8619733412860901E-3</v>
      </c>
      <c r="CC199">
        <v>8.8619733412860901E-3</v>
      </c>
      <c r="CD199">
        <v>8.8619733412860901E-3</v>
      </c>
      <c r="CE199">
        <v>8.8619733412860901E-3</v>
      </c>
      <c r="CF199">
        <v>8.8619733412860901E-3</v>
      </c>
      <c r="CG199">
        <v>8.8619733412860901E-3</v>
      </c>
      <c r="CI199">
        <v>2.3118191325094132E-2</v>
      </c>
      <c r="CJ199">
        <v>8.0913669637829463E-2</v>
      </c>
      <c r="CK199">
        <v>8.0913669637829463E-2</v>
      </c>
      <c r="CL199">
        <v>2.3118191325094128E-2</v>
      </c>
      <c r="CM199">
        <v>2.3118191325094128E-2</v>
      </c>
      <c r="CN199">
        <v>2.3118191325094115E-2</v>
      </c>
      <c r="CO199">
        <v>2.3118191325094115E-2</v>
      </c>
      <c r="CP199">
        <v>7.7060637750313819E-3</v>
      </c>
      <c r="CQ199">
        <v>7.7060637750313819E-3</v>
      </c>
      <c r="CR199">
        <v>7.7060637750313819E-3</v>
      </c>
      <c r="CS199">
        <v>7.7060637750313819E-3</v>
      </c>
      <c r="CT199">
        <v>7.7060637750313819E-3</v>
      </c>
      <c r="CU199">
        <v>7.7060637750313819E-3</v>
      </c>
      <c r="CV199">
        <v>7.7060637750313819E-3</v>
      </c>
      <c r="CW199">
        <v>7.7060637750313819E-3</v>
      </c>
      <c r="CX199">
        <v>7.7060637750313819E-3</v>
      </c>
      <c r="CZ199">
        <v>1.7338643493820596E-2</v>
      </c>
      <c r="DA199">
        <v>6.0685252228372087E-2</v>
      </c>
      <c r="DB199">
        <v>6.0685252228372087E-2</v>
      </c>
      <c r="DC199">
        <v>1.7338643493820596E-2</v>
      </c>
      <c r="DD199">
        <v>1.7338643493820596E-2</v>
      </c>
      <c r="DE199">
        <v>1.7338643493820596E-2</v>
      </c>
      <c r="DF199">
        <v>1.7338643493820596E-2</v>
      </c>
      <c r="DG199">
        <v>5.7795478312735338E-3</v>
      </c>
      <c r="DH199">
        <v>5.7795478312735338E-3</v>
      </c>
      <c r="DI199">
        <v>5.7795478312735338E-3</v>
      </c>
      <c r="DJ199">
        <v>5.7795478312735338E-3</v>
      </c>
      <c r="DK199">
        <v>5.7795478312735338E-3</v>
      </c>
      <c r="DL199">
        <v>5.7795478312735338E-3</v>
      </c>
      <c r="DM199">
        <v>5.7795478312735338E-3</v>
      </c>
      <c r="DN199">
        <v>5.7795478312735338E-3</v>
      </c>
      <c r="DO199">
        <v>5.7795478312735338E-3</v>
      </c>
    </row>
    <row r="200" spans="61:119">
      <c r="BI200" t="str">
        <f t="shared" si="58"/>
        <v>431311167651FI</v>
      </c>
      <c r="BJ200" s="426">
        <v>43131</v>
      </c>
      <c r="BK200" t="s">
        <v>1687</v>
      </c>
      <c r="BL200" t="s">
        <v>1688</v>
      </c>
      <c r="BM200" t="s">
        <v>1355</v>
      </c>
      <c r="BN200" s="438">
        <v>1.2762521953172361</v>
      </c>
      <c r="BO200" s="438">
        <v>0.14304124187504827</v>
      </c>
      <c r="BR200">
        <v>0.13106748165315352</v>
      </c>
      <c r="BS200">
        <v>0.26843316942056272</v>
      </c>
      <c r="BT200">
        <v>0.26843316942056272</v>
      </c>
      <c r="BU200">
        <v>4.1988040761704593E-3</v>
      </c>
      <c r="BV200">
        <v>4.1988040761704593E-3</v>
      </c>
      <c r="BW200">
        <v>6.7633142864662044E-2</v>
      </c>
      <c r="BX200">
        <v>6.7633142864662044E-2</v>
      </c>
      <c r="BY200">
        <v>1.203812276572944E-2</v>
      </c>
      <c r="BZ200">
        <v>1.203812276572944E-2</v>
      </c>
      <c r="CA200">
        <v>1.203812276572944E-2</v>
      </c>
      <c r="CB200">
        <v>1.203812276572944E-2</v>
      </c>
      <c r="CC200">
        <v>1.203812276572944E-2</v>
      </c>
      <c r="CD200">
        <v>1.203812276572944E-2</v>
      </c>
      <c r="CE200">
        <v>1.203812276572944E-2</v>
      </c>
      <c r="CF200">
        <v>1.203812276572944E-2</v>
      </c>
      <c r="CG200">
        <v>1.203812276572944E-2</v>
      </c>
      <c r="CI200">
        <v>0.12395763857814192</v>
      </c>
      <c r="CJ200">
        <v>0.25339197812520187</v>
      </c>
      <c r="CK200">
        <v>0.25339197812520187</v>
      </c>
      <c r="CL200">
        <v>3.6511339792786868E-3</v>
      </c>
      <c r="CM200">
        <v>3.6511339792786868E-3</v>
      </c>
      <c r="CN200">
        <v>6.3804386278710323E-2</v>
      </c>
      <c r="CO200">
        <v>6.3804386278710323E-2</v>
      </c>
      <c r="CP200">
        <v>1.6230348052178697E-2</v>
      </c>
      <c r="CQ200">
        <v>1.6230348052178697E-2</v>
      </c>
      <c r="CR200">
        <v>1.6230348052178697E-2</v>
      </c>
      <c r="CS200">
        <v>1.6230348052178697E-2</v>
      </c>
      <c r="CT200">
        <v>1.6230348052178697E-2</v>
      </c>
      <c r="CU200">
        <v>1.6230348052178697E-2</v>
      </c>
      <c r="CV200">
        <v>1.6230348052178697E-2</v>
      </c>
      <c r="CW200">
        <v>1.6230348052178697E-2</v>
      </c>
      <c r="CX200">
        <v>1.6230348052178697E-2</v>
      </c>
      <c r="CZ200">
        <v>5.7423125302124116E-2</v>
      </c>
      <c r="DA200">
        <v>0.11895377633093673</v>
      </c>
      <c r="DB200">
        <v>0.11895377633093673</v>
      </c>
      <c r="DC200">
        <v>2.7383504844590012E-3</v>
      </c>
      <c r="DD200">
        <v>2.7383504844590012E-3</v>
      </c>
      <c r="DE200">
        <v>3.0080737893291548E-2</v>
      </c>
      <c r="DF200">
        <v>3.0080737893291548E-2</v>
      </c>
      <c r="DG200">
        <v>1.0026912631097193E-2</v>
      </c>
      <c r="DH200">
        <v>1.0026912631097193E-2</v>
      </c>
      <c r="DI200">
        <v>1.0026912631097193E-2</v>
      </c>
      <c r="DJ200">
        <v>1.0026912631097193E-2</v>
      </c>
      <c r="DK200">
        <v>1.0026912631097193E-2</v>
      </c>
      <c r="DL200">
        <v>1.0026912631097193E-2</v>
      </c>
      <c r="DM200">
        <v>1.0026912631097193E-2</v>
      </c>
      <c r="DN200">
        <v>1.0026912631097193E-2</v>
      </c>
      <c r="DO200">
        <v>1.0026912631097193E-2</v>
      </c>
    </row>
    <row r="201" spans="61:119">
      <c r="BI201" t="str">
        <f t="shared" si="58"/>
        <v>431311000798AFF</v>
      </c>
      <c r="BJ201" s="426">
        <v>43131</v>
      </c>
      <c r="BK201" t="s">
        <v>1366</v>
      </c>
      <c r="BL201" t="s">
        <v>1374</v>
      </c>
      <c r="BM201" t="s">
        <v>1353</v>
      </c>
      <c r="BN201" s="438">
        <v>1.0104989091771106</v>
      </c>
      <c r="BO201" s="438">
        <v>1</v>
      </c>
      <c r="BR201">
        <v>1.5157483637656658E-2</v>
      </c>
      <c r="BS201">
        <v>5.30511927317983E-2</v>
      </c>
      <c r="BT201">
        <v>5.30511927317983E-2</v>
      </c>
      <c r="BU201">
        <v>1.5157483637656656E-2</v>
      </c>
      <c r="BV201">
        <v>1.5157483637656656E-2</v>
      </c>
      <c r="BW201">
        <v>1.5157483637656649E-2</v>
      </c>
      <c r="BX201">
        <v>1.5157483637656649E-2</v>
      </c>
      <c r="BY201">
        <v>5.0524945458855558E-3</v>
      </c>
      <c r="BZ201">
        <v>5.0524945458855558E-3</v>
      </c>
      <c r="CA201">
        <v>5.0524945458855558E-3</v>
      </c>
      <c r="CB201">
        <v>5.0524945458855558E-3</v>
      </c>
      <c r="CC201">
        <v>5.0524945458855558E-3</v>
      </c>
      <c r="CD201">
        <v>5.0524945458855558E-3</v>
      </c>
      <c r="CE201">
        <v>5.0524945458855558E-3</v>
      </c>
      <c r="CF201">
        <v>5.0524945458855558E-3</v>
      </c>
      <c r="CG201">
        <v>5.0524945458855558E-3</v>
      </c>
      <c r="CI201">
        <v>1.2125986910125328E-2</v>
      </c>
      <c r="CJ201">
        <v>4.2440954185438647E-2</v>
      </c>
      <c r="CK201">
        <v>4.2440954185438647E-2</v>
      </c>
      <c r="CL201">
        <v>1.2125986910125321E-2</v>
      </c>
      <c r="CM201">
        <v>1.2125986910125321E-2</v>
      </c>
      <c r="CN201">
        <v>1.2125986910125321E-2</v>
      </c>
      <c r="CO201">
        <v>1.2125986910125321E-2</v>
      </c>
      <c r="CP201">
        <v>4.0419956367084443E-3</v>
      </c>
      <c r="CQ201">
        <v>4.0419956367084443E-3</v>
      </c>
      <c r="CR201">
        <v>4.0419956367084443E-3</v>
      </c>
      <c r="CS201">
        <v>4.0419956367084443E-3</v>
      </c>
      <c r="CT201">
        <v>4.0419956367084443E-3</v>
      </c>
      <c r="CU201">
        <v>4.0419956367084443E-3</v>
      </c>
      <c r="CV201">
        <v>4.0419956367084443E-3</v>
      </c>
      <c r="CW201">
        <v>4.0419956367084443E-3</v>
      </c>
      <c r="CX201">
        <v>4.0419956367084443E-3</v>
      </c>
      <c r="CZ201">
        <v>5.0524945458855532E-3</v>
      </c>
      <c r="DA201">
        <v>1.7683730910599438E-2</v>
      </c>
      <c r="DB201">
        <v>1.7683730910599438E-2</v>
      </c>
      <c r="DC201">
        <v>5.0524945458855532E-3</v>
      </c>
      <c r="DD201">
        <v>5.0524945458855532E-3</v>
      </c>
      <c r="DE201">
        <v>5.0524945458855532E-3</v>
      </c>
      <c r="DF201">
        <v>5.0524945458855532E-3</v>
      </c>
      <c r="DG201">
        <v>1.6841648486285181E-3</v>
      </c>
      <c r="DH201">
        <v>1.6841648486285181E-3</v>
      </c>
      <c r="DI201">
        <v>1.6841648486285181E-3</v>
      </c>
      <c r="DJ201">
        <v>1.6841648486285181E-3</v>
      </c>
      <c r="DK201">
        <v>1.6841648486285181E-3</v>
      </c>
      <c r="DL201">
        <v>1.6841648486285181E-3</v>
      </c>
      <c r="DM201">
        <v>1.6841648486285181E-3</v>
      </c>
      <c r="DN201">
        <v>1.6841648486285181E-3</v>
      </c>
      <c r="DO201">
        <v>1.6841648486285181E-3</v>
      </c>
    </row>
    <row r="202" spans="61:119">
      <c r="BI202" t="str">
        <f t="shared" si="58"/>
        <v>431311151227FI</v>
      </c>
      <c r="BJ202" s="426">
        <v>43131</v>
      </c>
      <c r="BK202" t="s">
        <v>1362</v>
      </c>
      <c r="BL202" t="s">
        <v>1372</v>
      </c>
      <c r="BM202" t="s">
        <v>1355</v>
      </c>
      <c r="BN202" s="438">
        <v>1.2762521953172361</v>
      </c>
      <c r="BO202" s="438">
        <v>0.14304124187504827</v>
      </c>
      <c r="BR202">
        <v>0.13106748165315352</v>
      </c>
      <c r="BS202">
        <v>0.26843316942056272</v>
      </c>
      <c r="BT202">
        <v>0.26843316942056272</v>
      </c>
      <c r="BU202">
        <v>4.1988040761704593E-3</v>
      </c>
      <c r="BV202">
        <v>4.1988040761704593E-3</v>
      </c>
      <c r="BW202">
        <v>6.7633142864662044E-2</v>
      </c>
      <c r="BX202">
        <v>6.7633142864662044E-2</v>
      </c>
      <c r="BY202">
        <v>1.203812276572944E-2</v>
      </c>
      <c r="BZ202">
        <v>1.203812276572944E-2</v>
      </c>
      <c r="CA202">
        <v>1.203812276572944E-2</v>
      </c>
      <c r="CB202">
        <v>1.203812276572944E-2</v>
      </c>
      <c r="CC202">
        <v>1.203812276572944E-2</v>
      </c>
      <c r="CD202">
        <v>1.203812276572944E-2</v>
      </c>
      <c r="CE202">
        <v>1.203812276572944E-2</v>
      </c>
      <c r="CF202">
        <v>1.203812276572944E-2</v>
      </c>
      <c r="CG202">
        <v>1.203812276572944E-2</v>
      </c>
      <c r="CI202">
        <v>0.12395763857814192</v>
      </c>
      <c r="CJ202">
        <v>0.25339197812520187</v>
      </c>
      <c r="CK202">
        <v>0.25339197812520187</v>
      </c>
      <c r="CL202">
        <v>3.6511339792786868E-3</v>
      </c>
      <c r="CM202">
        <v>3.6511339792786868E-3</v>
      </c>
      <c r="CN202">
        <v>6.3804386278710323E-2</v>
      </c>
      <c r="CO202">
        <v>6.3804386278710323E-2</v>
      </c>
      <c r="CP202">
        <v>1.6230348052178697E-2</v>
      </c>
      <c r="CQ202">
        <v>1.6230348052178697E-2</v>
      </c>
      <c r="CR202">
        <v>1.6230348052178697E-2</v>
      </c>
      <c r="CS202">
        <v>1.6230348052178697E-2</v>
      </c>
      <c r="CT202">
        <v>1.6230348052178697E-2</v>
      </c>
      <c r="CU202">
        <v>1.6230348052178697E-2</v>
      </c>
      <c r="CV202">
        <v>1.6230348052178697E-2</v>
      </c>
      <c r="CW202">
        <v>1.6230348052178697E-2</v>
      </c>
      <c r="CX202">
        <v>1.6230348052178697E-2</v>
      </c>
      <c r="CZ202">
        <v>5.7423125302124116E-2</v>
      </c>
      <c r="DA202">
        <v>0.11895377633093673</v>
      </c>
      <c r="DB202">
        <v>0.11895377633093673</v>
      </c>
      <c r="DC202">
        <v>2.7383504844590012E-3</v>
      </c>
      <c r="DD202">
        <v>2.7383504844590012E-3</v>
      </c>
      <c r="DE202">
        <v>3.0080737893291548E-2</v>
      </c>
      <c r="DF202">
        <v>3.0080737893291548E-2</v>
      </c>
      <c r="DG202">
        <v>1.0026912631097193E-2</v>
      </c>
      <c r="DH202">
        <v>1.0026912631097193E-2</v>
      </c>
      <c r="DI202">
        <v>1.0026912631097193E-2</v>
      </c>
      <c r="DJ202">
        <v>1.0026912631097193E-2</v>
      </c>
      <c r="DK202">
        <v>1.0026912631097193E-2</v>
      </c>
      <c r="DL202">
        <v>1.0026912631097193E-2</v>
      </c>
      <c r="DM202">
        <v>1.0026912631097193E-2</v>
      </c>
      <c r="DN202">
        <v>1.0026912631097193E-2</v>
      </c>
      <c r="DO202">
        <v>1.0026912631097193E-2</v>
      </c>
    </row>
    <row r="203" spans="61:119">
      <c r="BI203" t="str">
        <f t="shared" si="58"/>
        <v>431311141467FI</v>
      </c>
      <c r="BJ203" s="426">
        <v>43131</v>
      </c>
      <c r="BK203" t="s">
        <v>1375</v>
      </c>
      <c r="BL203" t="s">
        <v>1376</v>
      </c>
      <c r="BM203" t="s">
        <v>1355</v>
      </c>
      <c r="BN203" s="438">
        <v>2</v>
      </c>
      <c r="BO203" s="438">
        <v>1</v>
      </c>
      <c r="BR203">
        <v>4.6000000000000006E-2</v>
      </c>
      <c r="BS203">
        <v>0.16100000000000003</v>
      </c>
      <c r="BT203">
        <v>0.16100000000000003</v>
      </c>
      <c r="BU203">
        <v>4.5999999999999985E-2</v>
      </c>
      <c r="BV203">
        <v>4.5999999999999985E-2</v>
      </c>
      <c r="BW203">
        <v>4.6000000000000013E-2</v>
      </c>
      <c r="BX203">
        <v>4.6000000000000013E-2</v>
      </c>
      <c r="BY203">
        <v>1.5333333333333334E-2</v>
      </c>
      <c r="BZ203">
        <v>1.5333333333333334E-2</v>
      </c>
      <c r="CA203">
        <v>1.5333333333333334E-2</v>
      </c>
      <c r="CB203">
        <v>1.5333333333333334E-2</v>
      </c>
      <c r="CC203">
        <v>1.5333333333333334E-2</v>
      </c>
      <c r="CD203">
        <v>1.5333333333333334E-2</v>
      </c>
      <c r="CE203">
        <v>1.5333333333333334E-2</v>
      </c>
      <c r="CF203">
        <v>1.5333333333333334E-2</v>
      </c>
      <c r="CG203">
        <v>1.5333333333333334E-2</v>
      </c>
      <c r="CI203">
        <v>4.0000000000000008E-2</v>
      </c>
      <c r="CJ203">
        <v>0.14000000000000001</v>
      </c>
      <c r="CK203">
        <v>0.14000000000000001</v>
      </c>
      <c r="CL203">
        <v>3.999999999999998E-2</v>
      </c>
      <c r="CM203">
        <v>3.999999999999998E-2</v>
      </c>
      <c r="CN203">
        <v>3.999999999999998E-2</v>
      </c>
      <c r="CO203">
        <v>3.999999999999998E-2</v>
      </c>
      <c r="CP203">
        <v>1.3333333333333345E-2</v>
      </c>
      <c r="CQ203">
        <v>1.3333333333333345E-2</v>
      </c>
      <c r="CR203">
        <v>1.3333333333333345E-2</v>
      </c>
      <c r="CS203">
        <v>1.3333333333333345E-2</v>
      </c>
      <c r="CT203">
        <v>1.3333333333333345E-2</v>
      </c>
      <c r="CU203">
        <v>1.3333333333333345E-2</v>
      </c>
      <c r="CV203">
        <v>1.3333333333333345E-2</v>
      </c>
      <c r="CW203">
        <v>1.3333333333333345E-2</v>
      </c>
      <c r="CX203">
        <v>1.3333333333333345E-2</v>
      </c>
      <c r="CZ203">
        <v>0.03</v>
      </c>
      <c r="DA203">
        <v>0.105</v>
      </c>
      <c r="DB203">
        <v>0.105</v>
      </c>
      <c r="DC203">
        <v>0.03</v>
      </c>
      <c r="DD203">
        <v>0.03</v>
      </c>
      <c r="DE203">
        <v>0.03</v>
      </c>
      <c r="DF203">
        <v>0.03</v>
      </c>
      <c r="DG203">
        <v>9.9999999999999967E-3</v>
      </c>
      <c r="DH203">
        <v>9.9999999999999967E-3</v>
      </c>
      <c r="DI203">
        <v>9.9999999999999967E-3</v>
      </c>
      <c r="DJ203">
        <v>9.9999999999999967E-3</v>
      </c>
      <c r="DK203">
        <v>9.9999999999999967E-3</v>
      </c>
      <c r="DL203">
        <v>9.9999999999999967E-3</v>
      </c>
      <c r="DM203">
        <v>9.9999999999999967E-3</v>
      </c>
      <c r="DN203">
        <v>9.9999999999999967E-3</v>
      </c>
      <c r="DO203">
        <v>9.9999999999999967E-3</v>
      </c>
    </row>
    <row r="204" spans="61:119">
      <c r="BI204" t="str">
        <f t="shared" si="58"/>
        <v>431311147542CME</v>
      </c>
      <c r="BJ204" s="426">
        <v>43131</v>
      </c>
      <c r="BK204" t="s">
        <v>1361</v>
      </c>
      <c r="BL204" t="s">
        <v>1370</v>
      </c>
      <c r="BM204" t="s">
        <v>1321</v>
      </c>
      <c r="BN204" s="438">
        <v>1</v>
      </c>
      <c r="BO204" s="438">
        <v>1</v>
      </c>
      <c r="BR204">
        <v>8.0000000000000016E-2</v>
      </c>
      <c r="BS204">
        <v>0.16</v>
      </c>
      <c r="BT204">
        <v>0.16</v>
      </c>
      <c r="BU204">
        <v>0</v>
      </c>
      <c r="BV204">
        <v>0</v>
      </c>
      <c r="BW204">
        <v>3.999999999999998E-2</v>
      </c>
      <c r="BX204">
        <v>3.999999999999998E-2</v>
      </c>
      <c r="BY204">
        <v>1.3333333333333345E-2</v>
      </c>
      <c r="BZ204">
        <v>1.3333333333333345E-2</v>
      </c>
      <c r="CA204">
        <v>1.3333333333333345E-2</v>
      </c>
      <c r="CB204">
        <v>1.3333333333333345E-2</v>
      </c>
      <c r="CC204">
        <v>1.3333333333333345E-2</v>
      </c>
      <c r="CD204">
        <v>1.3333333333333345E-2</v>
      </c>
      <c r="CE204">
        <v>1.3333333333333345E-2</v>
      </c>
      <c r="CF204">
        <v>1.3333333333333345E-2</v>
      </c>
      <c r="CG204">
        <v>1.3333333333333345E-2</v>
      </c>
      <c r="CI204">
        <v>6.9999999999999993E-2</v>
      </c>
      <c r="CJ204">
        <v>0.13999999999999999</v>
      </c>
      <c r="CK204">
        <v>0.13999999999999999</v>
      </c>
      <c r="CL204">
        <v>0</v>
      </c>
      <c r="CM204">
        <v>0</v>
      </c>
      <c r="CN204">
        <v>3.5000000000000003E-2</v>
      </c>
      <c r="CO204">
        <v>3.5000000000000003E-2</v>
      </c>
      <c r="CP204">
        <v>1.1666666666666659E-2</v>
      </c>
      <c r="CQ204">
        <v>1.1666666666666659E-2</v>
      </c>
      <c r="CR204">
        <v>1.1666666666666659E-2</v>
      </c>
      <c r="CS204">
        <v>1.1666666666666659E-2</v>
      </c>
      <c r="CT204">
        <v>1.1666666666666659E-2</v>
      </c>
      <c r="CU204">
        <v>1.1666666666666659E-2</v>
      </c>
      <c r="CV204">
        <v>1.1666666666666659E-2</v>
      </c>
      <c r="CW204">
        <v>1.1666666666666659E-2</v>
      </c>
      <c r="CX204">
        <v>1.1666666666666659E-2</v>
      </c>
      <c r="CZ204">
        <v>4.0000000000000008E-2</v>
      </c>
      <c r="DA204">
        <v>0.08</v>
      </c>
      <c r="DB204">
        <v>0.08</v>
      </c>
      <c r="DC204">
        <v>0</v>
      </c>
      <c r="DD204">
        <v>0</v>
      </c>
      <c r="DE204">
        <v>1.999999999999999E-2</v>
      </c>
      <c r="DF204">
        <v>1.999999999999999E-2</v>
      </c>
      <c r="DG204">
        <v>6.6666666666666723E-3</v>
      </c>
      <c r="DH204">
        <v>6.6666666666666723E-3</v>
      </c>
      <c r="DI204">
        <v>6.6666666666666723E-3</v>
      </c>
      <c r="DJ204">
        <v>6.6666666666666723E-3</v>
      </c>
      <c r="DK204">
        <v>6.6666666666666723E-3</v>
      </c>
      <c r="DL204">
        <v>6.6666666666666723E-3</v>
      </c>
      <c r="DM204">
        <v>6.6666666666666723E-3</v>
      </c>
      <c r="DN204">
        <v>6.6666666666666723E-3</v>
      </c>
      <c r="DO204">
        <v>6.6666666666666723E-3</v>
      </c>
    </row>
    <row r="205" spans="61:119">
      <c r="BI205" t="str">
        <f t="shared" si="58"/>
        <v>43131FI</v>
      </c>
      <c r="BJ205" s="426">
        <v>43131</v>
      </c>
      <c r="BM205" t="s">
        <v>1355</v>
      </c>
      <c r="BN205" s="438">
        <v>1</v>
      </c>
      <c r="BO205" s="438">
        <v>1</v>
      </c>
      <c r="BR205">
        <v>2.3000000000000003E-2</v>
      </c>
      <c r="BS205">
        <v>8.0500000000000016E-2</v>
      </c>
      <c r="BT205">
        <v>8.0500000000000016E-2</v>
      </c>
      <c r="BU205">
        <v>2.2999999999999993E-2</v>
      </c>
      <c r="BV205">
        <v>2.2999999999999993E-2</v>
      </c>
      <c r="BW205">
        <v>2.3000000000000007E-2</v>
      </c>
      <c r="BX205">
        <v>2.3000000000000007E-2</v>
      </c>
      <c r="BY205">
        <v>7.6666666666666671E-3</v>
      </c>
      <c r="BZ205">
        <v>7.6666666666666671E-3</v>
      </c>
      <c r="CA205">
        <v>7.6666666666666671E-3</v>
      </c>
      <c r="CB205">
        <v>7.6666666666666671E-3</v>
      </c>
      <c r="CC205">
        <v>7.6666666666666671E-3</v>
      </c>
      <c r="CD205">
        <v>7.6666666666666671E-3</v>
      </c>
      <c r="CE205">
        <v>7.6666666666666671E-3</v>
      </c>
      <c r="CF205">
        <v>7.6666666666666671E-3</v>
      </c>
      <c r="CG205">
        <v>7.6666666666666671E-3</v>
      </c>
      <c r="CI205">
        <v>2.0000000000000004E-2</v>
      </c>
      <c r="CJ205">
        <v>7.0000000000000007E-2</v>
      </c>
      <c r="CK205">
        <v>7.0000000000000007E-2</v>
      </c>
      <c r="CL205">
        <v>1.999999999999999E-2</v>
      </c>
      <c r="CM205">
        <v>1.999999999999999E-2</v>
      </c>
      <c r="CN205">
        <v>1.999999999999999E-2</v>
      </c>
      <c r="CO205">
        <v>1.999999999999999E-2</v>
      </c>
      <c r="CP205">
        <v>6.6666666666666723E-3</v>
      </c>
      <c r="CQ205">
        <v>6.6666666666666723E-3</v>
      </c>
      <c r="CR205">
        <v>6.6666666666666723E-3</v>
      </c>
      <c r="CS205">
        <v>6.6666666666666723E-3</v>
      </c>
      <c r="CT205">
        <v>6.6666666666666723E-3</v>
      </c>
      <c r="CU205">
        <v>6.6666666666666723E-3</v>
      </c>
      <c r="CV205">
        <v>6.6666666666666723E-3</v>
      </c>
      <c r="CW205">
        <v>6.6666666666666723E-3</v>
      </c>
      <c r="CX205">
        <v>6.6666666666666723E-3</v>
      </c>
      <c r="CZ205">
        <v>1.4999999999999999E-2</v>
      </c>
      <c r="DA205">
        <v>5.2499999999999998E-2</v>
      </c>
      <c r="DB205">
        <v>5.2499999999999998E-2</v>
      </c>
      <c r="DC205">
        <v>1.4999999999999999E-2</v>
      </c>
      <c r="DD205">
        <v>1.4999999999999999E-2</v>
      </c>
      <c r="DE205">
        <v>1.4999999999999999E-2</v>
      </c>
      <c r="DF205">
        <v>1.4999999999999999E-2</v>
      </c>
      <c r="DG205">
        <v>4.9999999999999984E-3</v>
      </c>
      <c r="DH205">
        <v>4.9999999999999984E-3</v>
      </c>
      <c r="DI205">
        <v>4.9999999999999984E-3</v>
      </c>
      <c r="DJ205">
        <v>4.9999999999999984E-3</v>
      </c>
      <c r="DK205">
        <v>4.9999999999999984E-3</v>
      </c>
      <c r="DL205">
        <v>4.9999999999999984E-3</v>
      </c>
      <c r="DM205">
        <v>4.9999999999999984E-3</v>
      </c>
      <c r="DN205">
        <v>4.9999999999999984E-3</v>
      </c>
      <c r="DO205">
        <v>4.9999999999999984E-3</v>
      </c>
    </row>
    <row r="206" spans="61:119">
      <c r="BI206" t="str">
        <f t="shared" si="58"/>
        <v>43131CORP</v>
      </c>
      <c r="BJ206" s="426">
        <v>43131</v>
      </c>
      <c r="BM206" t="s">
        <v>1356</v>
      </c>
      <c r="BN206" s="438">
        <v>1</v>
      </c>
      <c r="BO206" s="438">
        <v>0.82981359192841353</v>
      </c>
      <c r="BR206">
        <v>1.1403728161431731E-2</v>
      </c>
      <c r="BS206">
        <v>5.3190066035865673E-2</v>
      </c>
      <c r="BT206">
        <v>5.3190066035865673E-2</v>
      </c>
      <c r="BU206">
        <v>3.1319254367713649E-2</v>
      </c>
      <c r="BV206">
        <v>3.1319254367713649E-2</v>
      </c>
      <c r="BW206">
        <v>1.8042236896859049E-2</v>
      </c>
      <c r="BX206">
        <v>1.8042236896859049E-2</v>
      </c>
      <c r="BY206">
        <v>6.0140789656196797E-3</v>
      </c>
      <c r="BZ206">
        <v>6.0140789656196797E-3</v>
      </c>
      <c r="CA206">
        <v>6.0140789656196797E-3</v>
      </c>
      <c r="CB206">
        <v>6.0140789656196797E-3</v>
      </c>
      <c r="CC206">
        <v>6.0140789656196797E-3</v>
      </c>
      <c r="CD206">
        <v>6.0140789656196797E-3</v>
      </c>
      <c r="CE206">
        <v>6.0140789656196797E-3</v>
      </c>
      <c r="CF206">
        <v>6.0140789656196797E-3</v>
      </c>
      <c r="CG206">
        <v>6.0140789656196797E-3</v>
      </c>
      <c r="CI206">
        <v>9.8931689372169715E-3</v>
      </c>
      <c r="CJ206">
        <v>4.6243481567257189E-2</v>
      </c>
      <c r="CK206">
        <v>4.6243481567257189E-2</v>
      </c>
      <c r="CL206">
        <v>2.7319254367713659E-2</v>
      </c>
      <c r="CM206">
        <v>2.7319254367713659E-2</v>
      </c>
      <c r="CN206">
        <v>1.570186408071586E-2</v>
      </c>
      <c r="CO206">
        <v>1.570186408071586E-2</v>
      </c>
      <c r="CP206">
        <v>5.2339546935719567E-3</v>
      </c>
      <c r="CQ206">
        <v>5.2339546935719567E-3</v>
      </c>
      <c r="CR206">
        <v>5.2339546935719567E-3</v>
      </c>
      <c r="CS206">
        <v>5.2339546935719567E-3</v>
      </c>
      <c r="CT206">
        <v>5.2339546935719567E-3</v>
      </c>
      <c r="CU206">
        <v>5.2339546935719567E-3</v>
      </c>
      <c r="CV206">
        <v>5.2339546935719567E-3</v>
      </c>
      <c r="CW206">
        <v>5.2339546935719567E-3</v>
      </c>
      <c r="CX206">
        <v>5.2339546935719567E-3</v>
      </c>
      <c r="CZ206">
        <v>6.7018640807158646E-3</v>
      </c>
      <c r="DA206">
        <v>3.1754660201789658E-2</v>
      </c>
      <c r="DB206">
        <v>3.1754660201789658E-2</v>
      </c>
      <c r="DC206">
        <v>1.9149067959642073E-2</v>
      </c>
      <c r="DD206">
        <v>1.9149067959642073E-2</v>
      </c>
      <c r="DE206">
        <v>1.0850932040357933E-2</v>
      </c>
      <c r="DF206">
        <v>1.0850932040357933E-2</v>
      </c>
      <c r="DG206">
        <v>3.6169773467859792E-3</v>
      </c>
      <c r="DH206">
        <v>3.6169773467859792E-3</v>
      </c>
      <c r="DI206">
        <v>3.6169773467859792E-3</v>
      </c>
      <c r="DJ206">
        <v>3.6169773467859792E-3</v>
      </c>
      <c r="DK206">
        <v>3.6169773467859792E-3</v>
      </c>
      <c r="DL206">
        <v>3.6169773467859792E-3</v>
      </c>
      <c r="DM206">
        <v>3.6169773467859792E-3</v>
      </c>
      <c r="DN206">
        <v>3.6169773467859792E-3</v>
      </c>
      <c r="DO206">
        <v>3.6169773467859792E-3</v>
      </c>
    </row>
    <row r="207" spans="61:119">
      <c r="BI207" t="str">
        <f t="shared" si="58"/>
        <v>43131ESCROW</v>
      </c>
      <c r="BJ207" s="426">
        <v>43131</v>
      </c>
      <c r="BM207" t="s">
        <v>1339</v>
      </c>
      <c r="BN207" s="438">
        <v>1</v>
      </c>
      <c r="BO207" s="438">
        <v>1</v>
      </c>
      <c r="BR207">
        <v>3.2000000000000001E-2</v>
      </c>
      <c r="BS207">
        <v>2.4E-2</v>
      </c>
      <c r="BT207">
        <v>2.4E-2</v>
      </c>
      <c r="BU207">
        <v>0.04</v>
      </c>
      <c r="BV207">
        <v>0.04</v>
      </c>
      <c r="BW207">
        <v>3.9999999999999994E-2</v>
      </c>
      <c r="BX207">
        <v>3.9999999999999994E-2</v>
      </c>
      <c r="BY207">
        <v>8.8888888888888906E-3</v>
      </c>
      <c r="BZ207">
        <v>8.8888888888888906E-3</v>
      </c>
      <c r="CA207">
        <v>8.8888888888888906E-3</v>
      </c>
      <c r="CB207">
        <v>8.8888888888888906E-3</v>
      </c>
      <c r="CC207">
        <v>8.8888888888888906E-3</v>
      </c>
      <c r="CD207">
        <v>8.8888888888888906E-3</v>
      </c>
      <c r="CE207">
        <v>8.8888888888888906E-3</v>
      </c>
      <c r="CF207">
        <v>8.8888888888888906E-3</v>
      </c>
      <c r="CG207">
        <v>8.8888888888888906E-3</v>
      </c>
      <c r="CI207">
        <v>2.8000000000000004E-2</v>
      </c>
      <c r="CJ207">
        <v>2.1000000000000001E-2</v>
      </c>
      <c r="CK207">
        <v>2.1000000000000001E-2</v>
      </c>
      <c r="CL207">
        <v>3.5000000000000003E-2</v>
      </c>
      <c r="CM207">
        <v>3.5000000000000003E-2</v>
      </c>
      <c r="CN207">
        <v>3.5000000000000003E-2</v>
      </c>
      <c r="CO207">
        <v>3.5000000000000003E-2</v>
      </c>
      <c r="CP207">
        <v>7.7777777777777784E-3</v>
      </c>
      <c r="CQ207">
        <v>7.7777777777777784E-3</v>
      </c>
      <c r="CR207">
        <v>7.7777777777777784E-3</v>
      </c>
      <c r="CS207">
        <v>7.7777777777777784E-3</v>
      </c>
      <c r="CT207">
        <v>7.7777777777777784E-3</v>
      </c>
      <c r="CU207">
        <v>7.7777777777777784E-3</v>
      </c>
      <c r="CV207">
        <v>7.7777777777777784E-3</v>
      </c>
      <c r="CW207">
        <v>7.7777777777777784E-3</v>
      </c>
      <c r="CX207">
        <v>7.7777777777777784E-3</v>
      </c>
      <c r="CZ207">
        <v>2.0000000000000004E-2</v>
      </c>
      <c r="DA207">
        <v>1.4999999999999999E-2</v>
      </c>
      <c r="DB207">
        <v>1.4999999999999999E-2</v>
      </c>
      <c r="DC207">
        <v>2.5000000000000001E-2</v>
      </c>
      <c r="DD207">
        <v>2.5000000000000001E-2</v>
      </c>
      <c r="DE207">
        <v>2.5000000000000008E-2</v>
      </c>
      <c r="DF207">
        <v>2.5000000000000008E-2</v>
      </c>
      <c r="DG207">
        <v>5.555555555555554E-3</v>
      </c>
      <c r="DH207">
        <v>5.555555555555554E-3</v>
      </c>
      <c r="DI207">
        <v>5.555555555555554E-3</v>
      </c>
      <c r="DJ207">
        <v>5.555555555555554E-3</v>
      </c>
      <c r="DK207">
        <v>5.555555555555554E-3</v>
      </c>
      <c r="DL207">
        <v>5.555555555555554E-3</v>
      </c>
      <c r="DM207">
        <v>5.555555555555554E-3</v>
      </c>
      <c r="DN207">
        <v>5.555555555555554E-3</v>
      </c>
      <c r="DO207">
        <v>5.555555555555554E-3</v>
      </c>
    </row>
    <row r="208" spans="61:119">
      <c r="BI208" t="str">
        <f t="shared" si="58"/>
        <v>43131IB</v>
      </c>
      <c r="BJ208" s="426">
        <v>43131</v>
      </c>
      <c r="BM208" t="s">
        <v>1354</v>
      </c>
      <c r="BN208" s="438">
        <v>1</v>
      </c>
      <c r="BO208" s="438">
        <v>1</v>
      </c>
      <c r="BR208">
        <v>1.2E-2</v>
      </c>
      <c r="BS208">
        <v>4.2000000000000003E-2</v>
      </c>
      <c r="BT208">
        <v>4.2000000000000003E-2</v>
      </c>
      <c r="BU208">
        <v>1.1999999999999997E-2</v>
      </c>
      <c r="BV208">
        <v>1.1999999999999997E-2</v>
      </c>
      <c r="BW208">
        <v>1.1999999999999997E-2</v>
      </c>
      <c r="BX208">
        <v>1.1999999999999997E-2</v>
      </c>
      <c r="BY208">
        <v>4.0000000000000001E-3</v>
      </c>
      <c r="BZ208">
        <v>4.0000000000000001E-3</v>
      </c>
      <c r="CA208">
        <v>4.0000000000000001E-3</v>
      </c>
      <c r="CB208">
        <v>4.0000000000000001E-3</v>
      </c>
      <c r="CC208">
        <v>4.0000000000000001E-3</v>
      </c>
      <c r="CD208">
        <v>4.0000000000000001E-3</v>
      </c>
      <c r="CE208">
        <v>4.0000000000000001E-3</v>
      </c>
      <c r="CF208">
        <v>4.0000000000000001E-3</v>
      </c>
      <c r="CG208">
        <v>4.0000000000000001E-3</v>
      </c>
      <c r="CI208">
        <v>3.0000000000000001E-3</v>
      </c>
      <c r="CJ208">
        <v>1.0500000000000001E-2</v>
      </c>
      <c r="CK208">
        <v>1.0500000000000001E-2</v>
      </c>
      <c r="CL208">
        <v>2.9999999999999992E-3</v>
      </c>
      <c r="CM208">
        <v>2.9999999999999992E-3</v>
      </c>
      <c r="CN208">
        <v>2.9999999999999992E-3</v>
      </c>
      <c r="CO208">
        <v>2.9999999999999992E-3</v>
      </c>
      <c r="CP208">
        <v>1E-3</v>
      </c>
      <c r="CQ208">
        <v>1E-3</v>
      </c>
      <c r="CR208">
        <v>1E-3</v>
      </c>
      <c r="CS208">
        <v>1E-3</v>
      </c>
      <c r="CT208">
        <v>1E-3</v>
      </c>
      <c r="CU208">
        <v>1E-3</v>
      </c>
      <c r="CV208">
        <v>1E-3</v>
      </c>
      <c r="CW208">
        <v>1E-3</v>
      </c>
      <c r="CX208">
        <v>1E-3</v>
      </c>
      <c r="CZ208">
        <v>1.0000000000000002E-2</v>
      </c>
      <c r="DA208">
        <v>3.5000000000000003E-2</v>
      </c>
      <c r="DB208">
        <v>3.5000000000000003E-2</v>
      </c>
      <c r="DC208">
        <v>9.999999999999995E-3</v>
      </c>
      <c r="DD208">
        <v>9.999999999999995E-3</v>
      </c>
      <c r="DE208">
        <v>9.999999999999995E-3</v>
      </c>
      <c r="DF208">
        <v>9.999999999999995E-3</v>
      </c>
      <c r="DG208">
        <v>3.3333333333333361E-3</v>
      </c>
      <c r="DH208">
        <v>3.3333333333333361E-3</v>
      </c>
      <c r="DI208">
        <v>3.3333333333333361E-3</v>
      </c>
      <c r="DJ208">
        <v>3.3333333333333361E-3</v>
      </c>
      <c r="DK208">
        <v>3.3333333333333361E-3</v>
      </c>
      <c r="DL208">
        <v>3.3333333333333361E-3</v>
      </c>
      <c r="DM208">
        <v>3.3333333333333361E-3</v>
      </c>
      <c r="DN208">
        <v>3.3333333333333361E-3</v>
      </c>
      <c r="DO208">
        <v>3.3333333333333361E-3</v>
      </c>
    </row>
    <row r="209" spans="61:119">
      <c r="BI209" t="str">
        <f t="shared" si="58"/>
        <v>43131AFF</v>
      </c>
      <c r="BJ209" s="426">
        <v>43131</v>
      </c>
      <c r="BM209" t="s">
        <v>1353</v>
      </c>
      <c r="BN209" s="438">
        <v>1</v>
      </c>
      <c r="BO209" s="438">
        <v>1</v>
      </c>
      <c r="BR209">
        <v>1.4999999999999999E-2</v>
      </c>
      <c r="BS209">
        <v>5.2499999999999998E-2</v>
      </c>
      <c r="BT209">
        <v>5.2499999999999998E-2</v>
      </c>
      <c r="BU209">
        <v>1.4999999999999999E-2</v>
      </c>
      <c r="BV209">
        <v>1.4999999999999999E-2</v>
      </c>
      <c r="BW209">
        <v>1.4999999999999999E-2</v>
      </c>
      <c r="BX209">
        <v>1.4999999999999999E-2</v>
      </c>
      <c r="BY209">
        <v>4.9999999999999984E-3</v>
      </c>
      <c r="BZ209">
        <v>4.9999999999999984E-3</v>
      </c>
      <c r="CA209">
        <v>4.9999999999999984E-3</v>
      </c>
      <c r="CB209">
        <v>4.9999999999999984E-3</v>
      </c>
      <c r="CC209">
        <v>4.9999999999999984E-3</v>
      </c>
      <c r="CD209">
        <v>4.9999999999999984E-3</v>
      </c>
      <c r="CE209">
        <v>4.9999999999999984E-3</v>
      </c>
      <c r="CF209">
        <v>4.9999999999999984E-3</v>
      </c>
      <c r="CG209">
        <v>4.9999999999999984E-3</v>
      </c>
      <c r="CI209">
        <v>1.2E-2</v>
      </c>
      <c r="CJ209">
        <v>4.2000000000000003E-2</v>
      </c>
      <c r="CK209">
        <v>4.2000000000000003E-2</v>
      </c>
      <c r="CL209">
        <v>1.1999999999999997E-2</v>
      </c>
      <c r="CM209">
        <v>1.1999999999999997E-2</v>
      </c>
      <c r="CN209">
        <v>1.1999999999999997E-2</v>
      </c>
      <c r="CO209">
        <v>1.1999999999999997E-2</v>
      </c>
      <c r="CP209">
        <v>4.0000000000000001E-3</v>
      </c>
      <c r="CQ209">
        <v>4.0000000000000001E-3</v>
      </c>
      <c r="CR209">
        <v>4.0000000000000001E-3</v>
      </c>
      <c r="CS209">
        <v>4.0000000000000001E-3</v>
      </c>
      <c r="CT209">
        <v>4.0000000000000001E-3</v>
      </c>
      <c r="CU209">
        <v>4.0000000000000001E-3</v>
      </c>
      <c r="CV209">
        <v>4.0000000000000001E-3</v>
      </c>
      <c r="CW209">
        <v>4.0000000000000001E-3</v>
      </c>
      <c r="CX209">
        <v>4.0000000000000001E-3</v>
      </c>
      <c r="CZ209">
        <v>5.000000000000001E-3</v>
      </c>
      <c r="DA209">
        <v>1.7500000000000002E-2</v>
      </c>
      <c r="DB209">
        <v>1.7500000000000002E-2</v>
      </c>
      <c r="DC209">
        <v>4.9999999999999975E-3</v>
      </c>
      <c r="DD209">
        <v>4.9999999999999975E-3</v>
      </c>
      <c r="DE209">
        <v>4.9999999999999975E-3</v>
      </c>
      <c r="DF209">
        <v>4.9999999999999975E-3</v>
      </c>
      <c r="DG209">
        <v>1.6666666666666681E-3</v>
      </c>
      <c r="DH209">
        <v>1.6666666666666681E-3</v>
      </c>
      <c r="DI209">
        <v>1.6666666666666681E-3</v>
      </c>
      <c r="DJ209">
        <v>1.6666666666666681E-3</v>
      </c>
      <c r="DK209">
        <v>1.6666666666666681E-3</v>
      </c>
      <c r="DL209">
        <v>1.6666666666666681E-3</v>
      </c>
      <c r="DM209">
        <v>1.6666666666666681E-3</v>
      </c>
      <c r="DN209">
        <v>1.6666666666666681E-3</v>
      </c>
      <c r="DO209">
        <v>1.6666666666666681E-3</v>
      </c>
    </row>
    <row r="210" spans="61:119">
      <c r="BI210" t="str">
        <f t="shared" si="58"/>
        <v>431591000526FI</v>
      </c>
      <c r="BJ210" s="426">
        <v>43159</v>
      </c>
      <c r="BK210" t="s">
        <v>1363</v>
      </c>
      <c r="BL210" t="s">
        <v>1368</v>
      </c>
      <c r="BM210" t="s">
        <v>1355</v>
      </c>
      <c r="BN210" s="438">
        <v>2</v>
      </c>
      <c r="BO210" s="438">
        <v>1</v>
      </c>
      <c r="BR210">
        <v>4.6000000000000006E-2</v>
      </c>
      <c r="BS210">
        <v>0.16100000000000003</v>
      </c>
      <c r="BT210">
        <v>0.16100000000000003</v>
      </c>
      <c r="BU210">
        <v>4.5999999999999985E-2</v>
      </c>
      <c r="BV210">
        <v>4.5999999999999985E-2</v>
      </c>
      <c r="BW210">
        <v>4.6000000000000013E-2</v>
      </c>
      <c r="BX210">
        <v>4.6000000000000013E-2</v>
      </c>
      <c r="BY210">
        <v>1.5333333333333334E-2</v>
      </c>
      <c r="BZ210">
        <v>1.5333333333333334E-2</v>
      </c>
      <c r="CA210">
        <v>1.5333333333333334E-2</v>
      </c>
      <c r="CB210">
        <v>1.5333333333333334E-2</v>
      </c>
      <c r="CC210">
        <v>1.5333333333333334E-2</v>
      </c>
      <c r="CD210">
        <v>1.5333333333333334E-2</v>
      </c>
      <c r="CE210">
        <v>1.5333333333333334E-2</v>
      </c>
      <c r="CF210">
        <v>1.5333333333333334E-2</v>
      </c>
      <c r="CG210">
        <v>1.5333333333333334E-2</v>
      </c>
      <c r="CI210">
        <v>4.0000000000000008E-2</v>
      </c>
      <c r="CJ210">
        <v>0.14000000000000001</v>
      </c>
      <c r="CK210">
        <v>0.14000000000000001</v>
      </c>
      <c r="CL210">
        <v>3.999999999999998E-2</v>
      </c>
      <c r="CM210">
        <v>3.999999999999998E-2</v>
      </c>
      <c r="CN210">
        <v>3.999999999999998E-2</v>
      </c>
      <c r="CO210">
        <v>3.999999999999998E-2</v>
      </c>
      <c r="CP210">
        <v>1.3333333333333345E-2</v>
      </c>
      <c r="CQ210">
        <v>1.3333333333333345E-2</v>
      </c>
      <c r="CR210">
        <v>1.3333333333333345E-2</v>
      </c>
      <c r="CS210">
        <v>1.3333333333333345E-2</v>
      </c>
      <c r="CT210">
        <v>1.3333333333333345E-2</v>
      </c>
      <c r="CU210">
        <v>1.3333333333333345E-2</v>
      </c>
      <c r="CV210">
        <v>1.3333333333333345E-2</v>
      </c>
      <c r="CW210">
        <v>1.3333333333333345E-2</v>
      </c>
      <c r="CX210">
        <v>1.3333333333333345E-2</v>
      </c>
      <c r="CZ210">
        <v>0.03</v>
      </c>
      <c r="DA210">
        <v>0.105</v>
      </c>
      <c r="DB210">
        <v>0.105</v>
      </c>
      <c r="DC210">
        <v>0.03</v>
      </c>
      <c r="DD210">
        <v>0.03</v>
      </c>
      <c r="DE210">
        <v>0.03</v>
      </c>
      <c r="DF210">
        <v>0.03</v>
      </c>
      <c r="DG210">
        <v>9.9999999999999967E-3</v>
      </c>
      <c r="DH210">
        <v>9.9999999999999967E-3</v>
      </c>
      <c r="DI210">
        <v>9.9999999999999967E-3</v>
      </c>
      <c r="DJ210">
        <v>9.9999999999999967E-3</v>
      </c>
      <c r="DK210">
        <v>9.9999999999999967E-3</v>
      </c>
      <c r="DL210">
        <v>9.9999999999999967E-3</v>
      </c>
      <c r="DM210">
        <v>9.9999999999999967E-3</v>
      </c>
      <c r="DN210">
        <v>9.9999999999999967E-3</v>
      </c>
      <c r="DO210">
        <v>9.9999999999999967E-3</v>
      </c>
    </row>
    <row r="211" spans="61:119">
      <c r="BI211" t="str">
        <f t="shared" si="58"/>
        <v>431591030623FI</v>
      </c>
      <c r="BJ211" s="426">
        <v>43159</v>
      </c>
      <c r="BK211" t="s">
        <v>1360</v>
      </c>
      <c r="BL211" t="s">
        <v>1369</v>
      </c>
      <c r="BM211" t="s">
        <v>1355</v>
      </c>
      <c r="BN211" s="438">
        <v>2</v>
      </c>
      <c r="BO211" s="438">
        <v>1</v>
      </c>
      <c r="BR211">
        <v>4.6000000000000006E-2</v>
      </c>
      <c r="BS211">
        <v>0.16100000000000003</v>
      </c>
      <c r="BT211">
        <v>0.16100000000000003</v>
      </c>
      <c r="BU211">
        <v>4.5999999999999985E-2</v>
      </c>
      <c r="BV211">
        <v>4.5999999999999985E-2</v>
      </c>
      <c r="BW211">
        <v>4.6000000000000013E-2</v>
      </c>
      <c r="BX211">
        <v>4.6000000000000013E-2</v>
      </c>
      <c r="BY211">
        <v>1.5333333333333334E-2</v>
      </c>
      <c r="BZ211">
        <v>1.5333333333333334E-2</v>
      </c>
      <c r="CA211">
        <v>1.5333333333333334E-2</v>
      </c>
      <c r="CB211">
        <v>1.5333333333333334E-2</v>
      </c>
      <c r="CC211">
        <v>1.5333333333333334E-2</v>
      </c>
      <c r="CD211">
        <v>1.5333333333333334E-2</v>
      </c>
      <c r="CE211">
        <v>1.5333333333333334E-2</v>
      </c>
      <c r="CF211">
        <v>1.5333333333333334E-2</v>
      </c>
      <c r="CG211">
        <v>1.5333333333333334E-2</v>
      </c>
      <c r="CI211">
        <v>4.0000000000000008E-2</v>
      </c>
      <c r="CJ211">
        <v>0.14000000000000001</v>
      </c>
      <c r="CK211">
        <v>0.14000000000000001</v>
      </c>
      <c r="CL211">
        <v>3.999999999999998E-2</v>
      </c>
      <c r="CM211">
        <v>3.999999999999998E-2</v>
      </c>
      <c r="CN211">
        <v>3.999999999999998E-2</v>
      </c>
      <c r="CO211">
        <v>3.999999999999998E-2</v>
      </c>
      <c r="CP211">
        <v>1.3333333333333345E-2</v>
      </c>
      <c r="CQ211">
        <v>1.3333333333333345E-2</v>
      </c>
      <c r="CR211">
        <v>1.3333333333333345E-2</v>
      </c>
      <c r="CS211">
        <v>1.3333333333333345E-2</v>
      </c>
      <c r="CT211">
        <v>1.3333333333333345E-2</v>
      </c>
      <c r="CU211">
        <v>1.3333333333333345E-2</v>
      </c>
      <c r="CV211">
        <v>1.3333333333333345E-2</v>
      </c>
      <c r="CW211">
        <v>1.3333333333333345E-2</v>
      </c>
      <c r="CX211">
        <v>1.3333333333333345E-2</v>
      </c>
      <c r="CZ211">
        <v>0.03</v>
      </c>
      <c r="DA211">
        <v>0.105</v>
      </c>
      <c r="DB211">
        <v>0.105</v>
      </c>
      <c r="DC211">
        <v>0.03</v>
      </c>
      <c r="DD211">
        <v>0.03</v>
      </c>
      <c r="DE211">
        <v>0.03</v>
      </c>
      <c r="DF211">
        <v>0.03</v>
      </c>
      <c r="DG211">
        <v>9.9999999999999967E-3</v>
      </c>
      <c r="DH211">
        <v>9.9999999999999967E-3</v>
      </c>
      <c r="DI211">
        <v>9.9999999999999967E-3</v>
      </c>
      <c r="DJ211">
        <v>9.9999999999999967E-3</v>
      </c>
      <c r="DK211">
        <v>9.9999999999999967E-3</v>
      </c>
      <c r="DL211">
        <v>9.9999999999999967E-3</v>
      </c>
      <c r="DM211">
        <v>9.9999999999999967E-3</v>
      </c>
      <c r="DN211">
        <v>9.9999999999999967E-3</v>
      </c>
      <c r="DO211">
        <v>9.9999999999999967E-3</v>
      </c>
    </row>
    <row r="212" spans="61:119">
      <c r="BI212" t="str">
        <f t="shared" si="58"/>
        <v>431591000790IB</v>
      </c>
      <c r="BJ212" s="426">
        <v>43159</v>
      </c>
      <c r="BK212" t="s">
        <v>1358</v>
      </c>
      <c r="BL212" t="s">
        <v>1371</v>
      </c>
      <c r="BM212" t="s">
        <v>1354</v>
      </c>
      <c r="BN212" s="438">
        <v>1.6345757116573969</v>
      </c>
      <c r="BO212" s="438">
        <v>1</v>
      </c>
      <c r="BR212">
        <v>1.9614908539888763E-2</v>
      </c>
      <c r="BS212">
        <v>6.8652179889610671E-2</v>
      </c>
      <c r="BT212">
        <v>6.8652179889610671E-2</v>
      </c>
      <c r="BU212">
        <v>1.9614908539888759E-2</v>
      </c>
      <c r="BV212">
        <v>1.9614908539888759E-2</v>
      </c>
      <c r="BW212">
        <v>1.9614908539888759E-2</v>
      </c>
      <c r="BX212">
        <v>1.9614908539888759E-2</v>
      </c>
      <c r="BY212">
        <v>6.5383028466295861E-3</v>
      </c>
      <c r="BZ212">
        <v>6.5383028466295861E-3</v>
      </c>
      <c r="CA212">
        <v>6.5383028466295861E-3</v>
      </c>
      <c r="CB212">
        <v>6.5383028466295861E-3</v>
      </c>
      <c r="CC212">
        <v>6.5383028466295861E-3</v>
      </c>
      <c r="CD212">
        <v>6.5383028466295861E-3</v>
      </c>
      <c r="CE212">
        <v>6.5383028466295861E-3</v>
      </c>
      <c r="CF212">
        <v>6.5383028466295861E-3</v>
      </c>
      <c r="CG212">
        <v>6.5383028466295861E-3</v>
      </c>
      <c r="CI212">
        <v>4.9037271349721906E-3</v>
      </c>
      <c r="CJ212">
        <v>1.7163044972402668E-2</v>
      </c>
      <c r="CK212">
        <v>1.7163044972402668E-2</v>
      </c>
      <c r="CL212">
        <v>4.9037271349721898E-3</v>
      </c>
      <c r="CM212">
        <v>4.9037271349721898E-3</v>
      </c>
      <c r="CN212">
        <v>4.9037271349721898E-3</v>
      </c>
      <c r="CO212">
        <v>4.9037271349721898E-3</v>
      </c>
      <c r="CP212">
        <v>1.6345757116573965E-3</v>
      </c>
      <c r="CQ212">
        <v>1.6345757116573965E-3</v>
      </c>
      <c r="CR212">
        <v>1.6345757116573965E-3</v>
      </c>
      <c r="CS212">
        <v>1.6345757116573965E-3</v>
      </c>
      <c r="CT212">
        <v>1.6345757116573965E-3</v>
      </c>
      <c r="CU212">
        <v>1.6345757116573965E-3</v>
      </c>
      <c r="CV212">
        <v>1.6345757116573965E-3</v>
      </c>
      <c r="CW212">
        <v>1.6345757116573965E-3</v>
      </c>
      <c r="CX212">
        <v>1.6345757116573965E-3</v>
      </c>
      <c r="CZ212">
        <v>1.6345757116573972E-2</v>
      </c>
      <c r="DA212">
        <v>5.7210149908008899E-2</v>
      </c>
      <c r="DB212">
        <v>5.7210149908008899E-2</v>
      </c>
      <c r="DC212">
        <v>1.6345757116573961E-2</v>
      </c>
      <c r="DD212">
        <v>1.6345757116573961E-2</v>
      </c>
      <c r="DE212">
        <v>1.6345757116573961E-2</v>
      </c>
      <c r="DF212">
        <v>1.6345757116573961E-2</v>
      </c>
      <c r="DG212">
        <v>5.4485857055246601E-3</v>
      </c>
      <c r="DH212">
        <v>5.4485857055246601E-3</v>
      </c>
      <c r="DI212">
        <v>5.4485857055246601E-3</v>
      </c>
      <c r="DJ212">
        <v>5.4485857055246601E-3</v>
      </c>
      <c r="DK212">
        <v>5.4485857055246601E-3</v>
      </c>
      <c r="DL212">
        <v>5.4485857055246601E-3</v>
      </c>
      <c r="DM212">
        <v>5.4485857055246601E-3</v>
      </c>
      <c r="DN212">
        <v>5.4485857055246601E-3</v>
      </c>
      <c r="DO212">
        <v>5.4485857055246601E-3</v>
      </c>
    </row>
    <row r="213" spans="61:119">
      <c r="BI213" t="str">
        <f t="shared" si="58"/>
        <v>431591126198FI</v>
      </c>
      <c r="BJ213" s="426">
        <v>43159</v>
      </c>
      <c r="BK213" t="s">
        <v>1359</v>
      </c>
      <c r="BL213" t="s">
        <v>1367</v>
      </c>
      <c r="BM213" t="s">
        <v>1355</v>
      </c>
      <c r="BN213" s="438">
        <v>1.1561241879285555</v>
      </c>
      <c r="BO213" s="438">
        <v>1</v>
      </c>
      <c r="BR213">
        <v>2.6590856322356776E-2</v>
      </c>
      <c r="BS213">
        <v>9.3067997128248717E-2</v>
      </c>
      <c r="BT213">
        <v>9.3067997128248717E-2</v>
      </c>
      <c r="BU213">
        <v>2.6590856322356776E-2</v>
      </c>
      <c r="BV213">
        <v>2.6590856322356776E-2</v>
      </c>
      <c r="BW213">
        <v>2.6590856322356776E-2</v>
      </c>
      <c r="BX213">
        <v>2.6590856322356776E-2</v>
      </c>
      <c r="BY213">
        <v>8.8636187741189219E-3</v>
      </c>
      <c r="BZ213">
        <v>8.8636187741189219E-3</v>
      </c>
      <c r="CA213">
        <v>8.8636187741189219E-3</v>
      </c>
      <c r="CB213">
        <v>8.8636187741189219E-3</v>
      </c>
      <c r="CC213">
        <v>8.8636187741189219E-3</v>
      </c>
      <c r="CD213">
        <v>8.8636187741189219E-3</v>
      </c>
      <c r="CE213">
        <v>8.8636187741189219E-3</v>
      </c>
      <c r="CF213">
        <v>8.8636187741189219E-3</v>
      </c>
      <c r="CG213">
        <v>8.8636187741189219E-3</v>
      </c>
      <c r="CI213">
        <v>2.3122483758571111E-2</v>
      </c>
      <c r="CJ213">
        <v>8.0928693154998885E-2</v>
      </c>
      <c r="CK213">
        <v>8.0928693154998885E-2</v>
      </c>
      <c r="CL213">
        <v>2.3122483758571108E-2</v>
      </c>
      <c r="CM213">
        <v>2.3122483758571108E-2</v>
      </c>
      <c r="CN213">
        <v>2.3122483758571094E-2</v>
      </c>
      <c r="CO213">
        <v>2.3122483758571094E-2</v>
      </c>
      <c r="CP213">
        <v>7.7074945861903736E-3</v>
      </c>
      <c r="CQ213">
        <v>7.7074945861903736E-3</v>
      </c>
      <c r="CR213">
        <v>7.7074945861903736E-3</v>
      </c>
      <c r="CS213">
        <v>7.7074945861903736E-3</v>
      </c>
      <c r="CT213">
        <v>7.7074945861903736E-3</v>
      </c>
      <c r="CU213">
        <v>7.7074945861903736E-3</v>
      </c>
      <c r="CV213">
        <v>7.7074945861903736E-3</v>
      </c>
      <c r="CW213">
        <v>7.7074945861903736E-3</v>
      </c>
      <c r="CX213">
        <v>7.7074945861903736E-3</v>
      </c>
      <c r="CZ213">
        <v>1.7341862818928334E-2</v>
      </c>
      <c r="DA213">
        <v>6.0696519866249174E-2</v>
      </c>
      <c r="DB213">
        <v>6.0696519866249174E-2</v>
      </c>
      <c r="DC213">
        <v>1.7341862818928327E-2</v>
      </c>
      <c r="DD213">
        <v>1.7341862818928327E-2</v>
      </c>
      <c r="DE213">
        <v>1.7341862818928327E-2</v>
      </c>
      <c r="DF213">
        <v>1.7341862818928327E-2</v>
      </c>
      <c r="DG213">
        <v>5.7806209396427787E-3</v>
      </c>
      <c r="DH213">
        <v>5.7806209396427787E-3</v>
      </c>
      <c r="DI213">
        <v>5.7806209396427787E-3</v>
      </c>
      <c r="DJ213">
        <v>5.7806209396427787E-3</v>
      </c>
      <c r="DK213">
        <v>5.7806209396427787E-3</v>
      </c>
      <c r="DL213">
        <v>5.7806209396427787E-3</v>
      </c>
      <c r="DM213">
        <v>5.7806209396427787E-3</v>
      </c>
      <c r="DN213">
        <v>5.7806209396427787E-3</v>
      </c>
      <c r="DO213">
        <v>5.7806209396427787E-3</v>
      </c>
    </row>
    <row r="214" spans="61:119">
      <c r="BI214" t="str">
        <f t="shared" si="58"/>
        <v>431591167651FI</v>
      </c>
      <c r="BJ214" s="426">
        <v>43159</v>
      </c>
      <c r="BK214" t="s">
        <v>1687</v>
      </c>
      <c r="BL214" t="s">
        <v>1688</v>
      </c>
      <c r="BM214" t="s">
        <v>1355</v>
      </c>
      <c r="BN214" s="438">
        <v>1.3702057907489396</v>
      </c>
      <c r="BO214" s="438">
        <v>0.28076740577956255</v>
      </c>
      <c r="BR214">
        <v>0.1231659230783746</v>
      </c>
      <c r="BS214">
        <v>0.25960431097796782</v>
      </c>
      <c r="BT214">
        <v>0.25960431097796782</v>
      </c>
      <c r="BU214">
        <v>8.8483098808124216E-3</v>
      </c>
      <c r="BV214">
        <v>8.8483098808124216E-3</v>
      </c>
      <c r="BW214">
        <v>6.6007116479593453E-2</v>
      </c>
      <c r="BX214">
        <v>6.6007116479593453E-2</v>
      </c>
      <c r="BY214">
        <v>6.6524271863890811E-3</v>
      </c>
      <c r="BZ214">
        <v>6.6524271863890811E-3</v>
      </c>
      <c r="CA214">
        <v>6.6524271863890811E-3</v>
      </c>
      <c r="CB214">
        <v>6.6524271863890811E-3</v>
      </c>
      <c r="CC214">
        <v>6.6524271863890811E-3</v>
      </c>
      <c r="CD214">
        <v>6.6524271863890811E-3</v>
      </c>
      <c r="CE214">
        <v>6.6524271863890811E-3</v>
      </c>
      <c r="CF214">
        <v>6.6524271863890811E-3</v>
      </c>
      <c r="CG214">
        <v>6.6524271863890811E-3</v>
      </c>
      <c r="CI214">
        <v>0.11609881570963913</v>
      </c>
      <c r="CJ214">
        <v>0.24373890517685962</v>
      </c>
      <c r="CK214">
        <v>0.24373890517685962</v>
      </c>
      <c r="CL214">
        <v>7.69418250505427E-3</v>
      </c>
      <c r="CM214">
        <v>7.69418250505427E-3</v>
      </c>
      <c r="CN214">
        <v>6.1896499107346681E-2</v>
      </c>
      <c r="CO214">
        <v>6.1896499107346681E-2</v>
      </c>
      <c r="CP214">
        <v>1.0209704723121252E-2</v>
      </c>
      <c r="CQ214">
        <v>1.0209704723121252E-2</v>
      </c>
      <c r="CR214">
        <v>1.0209704723121252E-2</v>
      </c>
      <c r="CS214">
        <v>1.0209704723121252E-2</v>
      </c>
      <c r="CT214">
        <v>1.0209704723121252E-2</v>
      </c>
      <c r="CU214">
        <v>1.0209704723121252E-2</v>
      </c>
      <c r="CV214">
        <v>1.0209704723121252E-2</v>
      </c>
      <c r="CW214">
        <v>1.0209704723121252E-2</v>
      </c>
      <c r="CX214">
        <v>1.0209704723121252E-2</v>
      </c>
      <c r="CZ214">
        <v>5.5045470153601991E-2</v>
      </c>
      <c r="DA214">
        <v>0.11874689562539004</v>
      </c>
      <c r="DB214">
        <v>0.11874689562539004</v>
      </c>
      <c r="DC214">
        <v>5.7706368787907025E-3</v>
      </c>
      <c r="DD214">
        <v>5.7706368787907025E-3</v>
      </c>
      <c r="DE214">
        <v>3.0408053516196354E-2</v>
      </c>
      <c r="DF214">
        <v>3.0408053516196354E-2</v>
      </c>
      <c r="DG214">
        <v>1.0136017838732112E-2</v>
      </c>
      <c r="DH214">
        <v>1.0136017838732112E-2</v>
      </c>
      <c r="DI214">
        <v>1.0136017838732112E-2</v>
      </c>
      <c r="DJ214">
        <v>1.0136017838732112E-2</v>
      </c>
      <c r="DK214">
        <v>1.0136017838732112E-2</v>
      </c>
      <c r="DL214">
        <v>1.0136017838732112E-2</v>
      </c>
      <c r="DM214">
        <v>1.0136017838732112E-2</v>
      </c>
      <c r="DN214">
        <v>1.0136017838732112E-2</v>
      </c>
      <c r="DO214">
        <v>1.0136017838732112E-2</v>
      </c>
    </row>
    <row r="215" spans="61:119">
      <c r="BI215" t="str">
        <f t="shared" si="58"/>
        <v>431591139027FI</v>
      </c>
      <c r="BJ215" s="426">
        <v>43159</v>
      </c>
      <c r="BK215" t="s">
        <v>1444</v>
      </c>
      <c r="BL215" t="s">
        <v>1445</v>
      </c>
      <c r="BM215" t="s">
        <v>1355</v>
      </c>
      <c r="BN215" s="438">
        <v>1.0845762743171568</v>
      </c>
      <c r="BO215" s="438">
        <v>1</v>
      </c>
      <c r="BR215">
        <v>2.4945254309294607E-2</v>
      </c>
      <c r="BS215">
        <v>8.730839008253112E-2</v>
      </c>
      <c r="BT215">
        <v>8.730839008253112E-2</v>
      </c>
      <c r="BU215">
        <v>2.4945254309294604E-2</v>
      </c>
      <c r="BV215">
        <v>2.4945254309294604E-2</v>
      </c>
      <c r="BW215">
        <v>2.494525430929459E-2</v>
      </c>
      <c r="BX215">
        <v>2.494525430929459E-2</v>
      </c>
      <c r="BY215">
        <v>8.315084769764872E-3</v>
      </c>
      <c r="BZ215">
        <v>8.315084769764872E-3</v>
      </c>
      <c r="CA215">
        <v>8.315084769764872E-3</v>
      </c>
      <c r="CB215">
        <v>8.315084769764872E-3</v>
      </c>
      <c r="CC215">
        <v>8.315084769764872E-3</v>
      </c>
      <c r="CD215">
        <v>8.315084769764872E-3</v>
      </c>
      <c r="CE215">
        <v>8.315084769764872E-3</v>
      </c>
      <c r="CF215">
        <v>8.315084769764872E-3</v>
      </c>
      <c r="CG215">
        <v>8.315084769764872E-3</v>
      </c>
      <c r="CI215">
        <v>2.1691525486343136E-2</v>
      </c>
      <c r="CJ215">
        <v>7.5920339202200982E-2</v>
      </c>
      <c r="CK215">
        <v>7.5920339202200982E-2</v>
      </c>
      <c r="CL215">
        <v>2.1691525486343136E-2</v>
      </c>
      <c r="CM215">
        <v>2.1691525486343136E-2</v>
      </c>
      <c r="CN215">
        <v>2.1691525486343136E-2</v>
      </c>
      <c r="CO215">
        <v>2.1691525486343136E-2</v>
      </c>
      <c r="CP215">
        <v>7.2305084954477133E-3</v>
      </c>
      <c r="CQ215">
        <v>7.2305084954477133E-3</v>
      </c>
      <c r="CR215">
        <v>7.2305084954477133E-3</v>
      </c>
      <c r="CS215">
        <v>7.2305084954477133E-3</v>
      </c>
      <c r="CT215">
        <v>7.2305084954477133E-3</v>
      </c>
      <c r="CU215">
        <v>7.2305084954477133E-3</v>
      </c>
      <c r="CV215">
        <v>7.2305084954477133E-3</v>
      </c>
      <c r="CW215">
        <v>7.2305084954477133E-3</v>
      </c>
      <c r="CX215">
        <v>7.2305084954477133E-3</v>
      </c>
      <c r="CZ215">
        <v>1.6268644114757352E-2</v>
      </c>
      <c r="DA215">
        <v>5.6940254401650729E-2</v>
      </c>
      <c r="DB215">
        <v>5.6940254401650729E-2</v>
      </c>
      <c r="DC215">
        <v>1.6268644114757341E-2</v>
      </c>
      <c r="DD215">
        <v>1.6268644114757341E-2</v>
      </c>
      <c r="DE215">
        <v>1.6268644114757341E-2</v>
      </c>
      <c r="DF215">
        <v>1.6268644114757341E-2</v>
      </c>
      <c r="DG215">
        <v>5.4228813715857865E-3</v>
      </c>
      <c r="DH215">
        <v>5.4228813715857865E-3</v>
      </c>
      <c r="DI215">
        <v>5.4228813715857865E-3</v>
      </c>
      <c r="DJ215">
        <v>5.4228813715857865E-3</v>
      </c>
      <c r="DK215">
        <v>5.4228813715857865E-3</v>
      </c>
      <c r="DL215">
        <v>5.4228813715857865E-3</v>
      </c>
      <c r="DM215">
        <v>5.4228813715857865E-3</v>
      </c>
      <c r="DN215">
        <v>5.4228813715857865E-3</v>
      </c>
      <c r="DO215">
        <v>5.4228813715857865E-3</v>
      </c>
    </row>
    <row r="216" spans="61:119">
      <c r="BI216" t="str">
        <f t="shared" si="58"/>
        <v>431591151227FI</v>
      </c>
      <c r="BJ216" s="426">
        <v>43159</v>
      </c>
      <c r="BK216" t="s">
        <v>1362</v>
      </c>
      <c r="BL216" t="s">
        <v>1372</v>
      </c>
      <c r="BM216" t="s">
        <v>1355</v>
      </c>
      <c r="BN216" s="438">
        <v>1.3702057907489396</v>
      </c>
      <c r="BO216" s="438">
        <v>0.28076740577956255</v>
      </c>
      <c r="BR216">
        <v>0.1231659230783746</v>
      </c>
      <c r="BS216">
        <v>0.25960431097796782</v>
      </c>
      <c r="BT216">
        <v>0.25960431097796782</v>
      </c>
      <c r="BU216">
        <v>8.8483098808124216E-3</v>
      </c>
      <c r="BV216">
        <v>8.8483098808124216E-3</v>
      </c>
      <c r="BW216">
        <v>6.6007116479593453E-2</v>
      </c>
      <c r="BX216">
        <v>6.6007116479593453E-2</v>
      </c>
      <c r="BY216">
        <v>6.6524271863890811E-3</v>
      </c>
      <c r="BZ216">
        <v>6.6524271863890811E-3</v>
      </c>
      <c r="CA216">
        <v>6.6524271863890811E-3</v>
      </c>
      <c r="CB216">
        <v>6.6524271863890811E-3</v>
      </c>
      <c r="CC216">
        <v>6.6524271863890811E-3</v>
      </c>
      <c r="CD216">
        <v>6.6524271863890811E-3</v>
      </c>
      <c r="CE216">
        <v>6.6524271863890811E-3</v>
      </c>
      <c r="CF216">
        <v>6.6524271863890811E-3</v>
      </c>
      <c r="CG216">
        <v>6.6524271863890811E-3</v>
      </c>
      <c r="CI216">
        <v>0.11609881570963913</v>
      </c>
      <c r="CJ216">
        <v>0.24373890517685962</v>
      </c>
      <c r="CK216">
        <v>0.24373890517685962</v>
      </c>
      <c r="CL216">
        <v>7.69418250505427E-3</v>
      </c>
      <c r="CM216">
        <v>7.69418250505427E-3</v>
      </c>
      <c r="CN216">
        <v>6.1896499107346681E-2</v>
      </c>
      <c r="CO216">
        <v>6.1896499107346681E-2</v>
      </c>
      <c r="CP216">
        <v>1.0209704723121252E-2</v>
      </c>
      <c r="CQ216">
        <v>1.0209704723121252E-2</v>
      </c>
      <c r="CR216">
        <v>1.0209704723121252E-2</v>
      </c>
      <c r="CS216">
        <v>1.0209704723121252E-2</v>
      </c>
      <c r="CT216">
        <v>1.0209704723121252E-2</v>
      </c>
      <c r="CU216">
        <v>1.0209704723121252E-2</v>
      </c>
      <c r="CV216">
        <v>1.0209704723121252E-2</v>
      </c>
      <c r="CW216">
        <v>1.0209704723121252E-2</v>
      </c>
      <c r="CX216">
        <v>1.0209704723121252E-2</v>
      </c>
      <c r="CZ216">
        <v>5.5045470153601991E-2</v>
      </c>
      <c r="DA216">
        <v>0.11874689562539004</v>
      </c>
      <c r="DB216">
        <v>0.11874689562539004</v>
      </c>
      <c r="DC216">
        <v>5.7706368787907025E-3</v>
      </c>
      <c r="DD216">
        <v>5.7706368787907025E-3</v>
      </c>
      <c r="DE216">
        <v>3.0408053516196354E-2</v>
      </c>
      <c r="DF216">
        <v>3.0408053516196354E-2</v>
      </c>
      <c r="DG216">
        <v>1.0136017838732112E-2</v>
      </c>
      <c r="DH216">
        <v>1.0136017838732112E-2</v>
      </c>
      <c r="DI216">
        <v>1.0136017838732112E-2</v>
      </c>
      <c r="DJ216">
        <v>1.0136017838732112E-2</v>
      </c>
      <c r="DK216">
        <v>1.0136017838732112E-2</v>
      </c>
      <c r="DL216">
        <v>1.0136017838732112E-2</v>
      </c>
      <c r="DM216">
        <v>1.0136017838732112E-2</v>
      </c>
      <c r="DN216">
        <v>1.0136017838732112E-2</v>
      </c>
      <c r="DO216">
        <v>1.0136017838732112E-2</v>
      </c>
    </row>
    <row r="217" spans="61:119">
      <c r="BI217" t="str">
        <f t="shared" si="58"/>
        <v>431591141467FI</v>
      </c>
      <c r="BJ217" s="426">
        <v>43159</v>
      </c>
      <c r="BK217" t="s">
        <v>1375</v>
      </c>
      <c r="BL217" t="s">
        <v>1376</v>
      </c>
      <c r="BM217" t="s">
        <v>1355</v>
      </c>
      <c r="BN217" s="438">
        <v>2</v>
      </c>
      <c r="BO217" s="438">
        <v>1</v>
      </c>
      <c r="BR217">
        <v>4.6000000000000006E-2</v>
      </c>
      <c r="BS217">
        <v>0.16100000000000003</v>
      </c>
      <c r="BT217">
        <v>0.16100000000000003</v>
      </c>
      <c r="BU217">
        <v>4.5999999999999985E-2</v>
      </c>
      <c r="BV217">
        <v>4.5999999999999985E-2</v>
      </c>
      <c r="BW217">
        <v>4.6000000000000013E-2</v>
      </c>
      <c r="BX217">
        <v>4.6000000000000013E-2</v>
      </c>
      <c r="BY217">
        <v>1.5333333333333334E-2</v>
      </c>
      <c r="BZ217">
        <v>1.5333333333333334E-2</v>
      </c>
      <c r="CA217">
        <v>1.5333333333333334E-2</v>
      </c>
      <c r="CB217">
        <v>1.5333333333333334E-2</v>
      </c>
      <c r="CC217">
        <v>1.5333333333333334E-2</v>
      </c>
      <c r="CD217">
        <v>1.5333333333333334E-2</v>
      </c>
      <c r="CE217">
        <v>1.5333333333333334E-2</v>
      </c>
      <c r="CF217">
        <v>1.5333333333333334E-2</v>
      </c>
      <c r="CG217">
        <v>1.5333333333333334E-2</v>
      </c>
      <c r="CI217">
        <v>4.0000000000000008E-2</v>
      </c>
      <c r="CJ217">
        <v>0.14000000000000001</v>
      </c>
      <c r="CK217">
        <v>0.14000000000000001</v>
      </c>
      <c r="CL217">
        <v>3.999999999999998E-2</v>
      </c>
      <c r="CM217">
        <v>3.999999999999998E-2</v>
      </c>
      <c r="CN217">
        <v>3.999999999999998E-2</v>
      </c>
      <c r="CO217">
        <v>3.999999999999998E-2</v>
      </c>
      <c r="CP217">
        <v>1.3333333333333345E-2</v>
      </c>
      <c r="CQ217">
        <v>1.3333333333333345E-2</v>
      </c>
      <c r="CR217">
        <v>1.3333333333333345E-2</v>
      </c>
      <c r="CS217">
        <v>1.3333333333333345E-2</v>
      </c>
      <c r="CT217">
        <v>1.3333333333333345E-2</v>
      </c>
      <c r="CU217">
        <v>1.3333333333333345E-2</v>
      </c>
      <c r="CV217">
        <v>1.3333333333333345E-2</v>
      </c>
      <c r="CW217">
        <v>1.3333333333333345E-2</v>
      </c>
      <c r="CX217">
        <v>1.3333333333333345E-2</v>
      </c>
      <c r="CZ217">
        <v>0.03</v>
      </c>
      <c r="DA217">
        <v>0.105</v>
      </c>
      <c r="DB217">
        <v>0.105</v>
      </c>
      <c r="DC217">
        <v>0.03</v>
      </c>
      <c r="DD217">
        <v>0.03</v>
      </c>
      <c r="DE217">
        <v>0.03</v>
      </c>
      <c r="DF217">
        <v>0.03</v>
      </c>
      <c r="DG217">
        <v>9.9999999999999967E-3</v>
      </c>
      <c r="DH217">
        <v>9.9999999999999967E-3</v>
      </c>
      <c r="DI217">
        <v>9.9999999999999967E-3</v>
      </c>
      <c r="DJ217">
        <v>9.9999999999999967E-3</v>
      </c>
      <c r="DK217">
        <v>9.9999999999999967E-3</v>
      </c>
      <c r="DL217">
        <v>9.9999999999999967E-3</v>
      </c>
      <c r="DM217">
        <v>9.9999999999999967E-3</v>
      </c>
      <c r="DN217">
        <v>9.9999999999999967E-3</v>
      </c>
      <c r="DO217">
        <v>9.9999999999999967E-3</v>
      </c>
    </row>
    <row r="218" spans="61:119">
      <c r="BI218" t="str">
        <f t="shared" si="58"/>
        <v>431591147542CME</v>
      </c>
      <c r="BJ218" s="426">
        <v>43159</v>
      </c>
      <c r="BK218" t="s">
        <v>1361</v>
      </c>
      <c r="BL218" t="s">
        <v>1370</v>
      </c>
      <c r="BM218" t="s">
        <v>1321</v>
      </c>
      <c r="BN218" s="438">
        <v>1</v>
      </c>
      <c r="BO218" s="438">
        <v>1</v>
      </c>
      <c r="BR218">
        <v>8.0000000000000016E-2</v>
      </c>
      <c r="BS218">
        <v>0.16</v>
      </c>
      <c r="BT218">
        <v>0.16</v>
      </c>
      <c r="BU218">
        <v>0</v>
      </c>
      <c r="BV218">
        <v>0</v>
      </c>
      <c r="BW218">
        <v>3.999999999999998E-2</v>
      </c>
      <c r="BX218">
        <v>3.999999999999998E-2</v>
      </c>
      <c r="BY218">
        <v>1.3333333333333345E-2</v>
      </c>
      <c r="BZ218">
        <v>1.3333333333333345E-2</v>
      </c>
      <c r="CA218">
        <v>1.3333333333333345E-2</v>
      </c>
      <c r="CB218">
        <v>1.3333333333333345E-2</v>
      </c>
      <c r="CC218">
        <v>1.3333333333333345E-2</v>
      </c>
      <c r="CD218">
        <v>1.3333333333333345E-2</v>
      </c>
      <c r="CE218">
        <v>1.3333333333333345E-2</v>
      </c>
      <c r="CF218">
        <v>1.3333333333333345E-2</v>
      </c>
      <c r="CG218">
        <v>1.3333333333333345E-2</v>
      </c>
      <c r="CI218">
        <v>6.9999999999999993E-2</v>
      </c>
      <c r="CJ218">
        <v>0.13999999999999999</v>
      </c>
      <c r="CK218">
        <v>0.13999999999999999</v>
      </c>
      <c r="CL218">
        <v>0</v>
      </c>
      <c r="CM218">
        <v>0</v>
      </c>
      <c r="CN218">
        <v>3.5000000000000003E-2</v>
      </c>
      <c r="CO218">
        <v>3.5000000000000003E-2</v>
      </c>
      <c r="CP218">
        <v>1.1666666666666659E-2</v>
      </c>
      <c r="CQ218">
        <v>1.1666666666666659E-2</v>
      </c>
      <c r="CR218">
        <v>1.1666666666666659E-2</v>
      </c>
      <c r="CS218">
        <v>1.1666666666666659E-2</v>
      </c>
      <c r="CT218">
        <v>1.1666666666666659E-2</v>
      </c>
      <c r="CU218">
        <v>1.1666666666666659E-2</v>
      </c>
      <c r="CV218">
        <v>1.1666666666666659E-2</v>
      </c>
      <c r="CW218">
        <v>1.1666666666666659E-2</v>
      </c>
      <c r="CX218">
        <v>1.1666666666666659E-2</v>
      </c>
      <c r="CZ218">
        <v>4.0000000000000008E-2</v>
      </c>
      <c r="DA218">
        <v>0.08</v>
      </c>
      <c r="DB218">
        <v>0.08</v>
      </c>
      <c r="DC218">
        <v>0</v>
      </c>
      <c r="DD218">
        <v>0</v>
      </c>
      <c r="DE218">
        <v>1.999999999999999E-2</v>
      </c>
      <c r="DF218">
        <v>1.999999999999999E-2</v>
      </c>
      <c r="DG218">
        <v>6.6666666666666723E-3</v>
      </c>
      <c r="DH218">
        <v>6.6666666666666723E-3</v>
      </c>
      <c r="DI218">
        <v>6.6666666666666723E-3</v>
      </c>
      <c r="DJ218">
        <v>6.6666666666666723E-3</v>
      </c>
      <c r="DK218">
        <v>6.6666666666666723E-3</v>
      </c>
      <c r="DL218">
        <v>6.6666666666666723E-3</v>
      </c>
      <c r="DM218">
        <v>6.6666666666666723E-3</v>
      </c>
      <c r="DN218">
        <v>6.6666666666666723E-3</v>
      </c>
      <c r="DO218">
        <v>6.6666666666666723E-3</v>
      </c>
    </row>
    <row r="219" spans="61:119">
      <c r="BI219" t="str">
        <f t="shared" si="58"/>
        <v>43159FI</v>
      </c>
      <c r="BJ219" s="426">
        <v>43159</v>
      </c>
      <c r="BM219" t="s">
        <v>1355</v>
      </c>
      <c r="BN219" s="438">
        <v>1</v>
      </c>
      <c r="BO219" s="438">
        <v>1</v>
      </c>
      <c r="BR219">
        <v>2.3000000000000003E-2</v>
      </c>
      <c r="BS219">
        <v>8.0500000000000016E-2</v>
      </c>
      <c r="BT219">
        <v>8.0500000000000016E-2</v>
      </c>
      <c r="BU219">
        <v>2.2999999999999993E-2</v>
      </c>
      <c r="BV219">
        <v>2.2999999999999993E-2</v>
      </c>
      <c r="BW219">
        <v>2.3000000000000007E-2</v>
      </c>
      <c r="BX219">
        <v>2.3000000000000007E-2</v>
      </c>
      <c r="BY219">
        <v>7.6666666666666671E-3</v>
      </c>
      <c r="BZ219">
        <v>7.6666666666666671E-3</v>
      </c>
      <c r="CA219">
        <v>7.6666666666666671E-3</v>
      </c>
      <c r="CB219">
        <v>7.6666666666666671E-3</v>
      </c>
      <c r="CC219">
        <v>7.6666666666666671E-3</v>
      </c>
      <c r="CD219">
        <v>7.6666666666666671E-3</v>
      </c>
      <c r="CE219">
        <v>7.6666666666666671E-3</v>
      </c>
      <c r="CF219">
        <v>7.6666666666666671E-3</v>
      </c>
      <c r="CG219">
        <v>7.6666666666666671E-3</v>
      </c>
      <c r="CI219">
        <v>2.0000000000000004E-2</v>
      </c>
      <c r="CJ219">
        <v>7.0000000000000007E-2</v>
      </c>
      <c r="CK219">
        <v>7.0000000000000007E-2</v>
      </c>
      <c r="CL219">
        <v>1.999999999999999E-2</v>
      </c>
      <c r="CM219">
        <v>1.999999999999999E-2</v>
      </c>
      <c r="CN219">
        <v>1.999999999999999E-2</v>
      </c>
      <c r="CO219">
        <v>1.999999999999999E-2</v>
      </c>
      <c r="CP219">
        <v>6.6666666666666723E-3</v>
      </c>
      <c r="CQ219">
        <v>6.6666666666666723E-3</v>
      </c>
      <c r="CR219">
        <v>6.6666666666666723E-3</v>
      </c>
      <c r="CS219">
        <v>6.6666666666666723E-3</v>
      </c>
      <c r="CT219">
        <v>6.6666666666666723E-3</v>
      </c>
      <c r="CU219">
        <v>6.6666666666666723E-3</v>
      </c>
      <c r="CV219">
        <v>6.6666666666666723E-3</v>
      </c>
      <c r="CW219">
        <v>6.6666666666666723E-3</v>
      </c>
      <c r="CX219">
        <v>6.6666666666666723E-3</v>
      </c>
      <c r="CZ219">
        <v>1.4999999999999999E-2</v>
      </c>
      <c r="DA219">
        <v>5.2499999999999998E-2</v>
      </c>
      <c r="DB219">
        <v>5.2499999999999998E-2</v>
      </c>
      <c r="DC219">
        <v>1.4999999999999999E-2</v>
      </c>
      <c r="DD219">
        <v>1.4999999999999999E-2</v>
      </c>
      <c r="DE219">
        <v>1.4999999999999999E-2</v>
      </c>
      <c r="DF219">
        <v>1.4999999999999999E-2</v>
      </c>
      <c r="DG219">
        <v>4.9999999999999984E-3</v>
      </c>
      <c r="DH219">
        <v>4.9999999999999984E-3</v>
      </c>
      <c r="DI219">
        <v>4.9999999999999984E-3</v>
      </c>
      <c r="DJ219">
        <v>4.9999999999999984E-3</v>
      </c>
      <c r="DK219">
        <v>4.9999999999999984E-3</v>
      </c>
      <c r="DL219">
        <v>4.9999999999999984E-3</v>
      </c>
      <c r="DM219">
        <v>4.9999999999999984E-3</v>
      </c>
      <c r="DN219">
        <v>4.9999999999999984E-3</v>
      </c>
      <c r="DO219">
        <v>4.9999999999999984E-3</v>
      </c>
    </row>
    <row r="220" spans="61:119">
      <c r="BI220" t="str">
        <f t="shared" si="58"/>
        <v>43159CORP</v>
      </c>
      <c r="BJ220" s="426">
        <v>43159</v>
      </c>
      <c r="BM220" t="s">
        <v>1356</v>
      </c>
      <c r="BN220" s="438">
        <v>1</v>
      </c>
      <c r="BO220" s="438">
        <v>0.90403526095947007</v>
      </c>
      <c r="BR220">
        <v>9.9192947808105988E-3</v>
      </c>
      <c r="BS220">
        <v>4.9182095908188617E-2</v>
      </c>
      <c r="BT220">
        <v>4.9182095908188617E-2</v>
      </c>
      <c r="BU220">
        <v>3.1616141043837878E-2</v>
      </c>
      <c r="BV220">
        <v>3.1616141043837878E-2</v>
      </c>
      <c r="BW220">
        <v>1.7151576868486368E-2</v>
      </c>
      <c r="BX220">
        <v>1.7151576868486368E-2</v>
      </c>
      <c r="BY220">
        <v>5.7171922894954496E-3</v>
      </c>
      <c r="BZ220">
        <v>5.7171922894954496E-3</v>
      </c>
      <c r="CA220">
        <v>5.7171922894954496E-3</v>
      </c>
      <c r="CB220">
        <v>5.7171922894954496E-3</v>
      </c>
      <c r="CC220">
        <v>5.7171922894954496E-3</v>
      </c>
      <c r="CD220">
        <v>5.7171922894954496E-3</v>
      </c>
      <c r="CE220">
        <v>5.7171922894954496E-3</v>
      </c>
      <c r="CF220">
        <v>5.7171922894954496E-3</v>
      </c>
      <c r="CG220">
        <v>5.7171922894954496E-3</v>
      </c>
      <c r="CI220">
        <v>8.6314005636890095E-3</v>
      </c>
      <c r="CJ220">
        <v>4.286639562634411E-2</v>
      </c>
      <c r="CK220">
        <v>4.286639562634411E-2</v>
      </c>
      <c r="CL220">
        <v>2.7616141043837888E-2</v>
      </c>
      <c r="CM220">
        <v>2.7616141043837888E-2</v>
      </c>
      <c r="CN220">
        <v>1.4959647390405298E-2</v>
      </c>
      <c r="CO220">
        <v>1.4959647390405298E-2</v>
      </c>
      <c r="CP220">
        <v>4.9865491301351005E-3</v>
      </c>
      <c r="CQ220">
        <v>4.9865491301351005E-3</v>
      </c>
      <c r="CR220">
        <v>4.9865491301351005E-3</v>
      </c>
      <c r="CS220">
        <v>4.9865491301351005E-3</v>
      </c>
      <c r="CT220">
        <v>4.9865491301351005E-3</v>
      </c>
      <c r="CU220">
        <v>4.9865491301351005E-3</v>
      </c>
      <c r="CV220">
        <v>4.9865491301351005E-3</v>
      </c>
      <c r="CW220">
        <v>4.9865491301351005E-3</v>
      </c>
      <c r="CX220">
        <v>4.9865491301351005E-3</v>
      </c>
      <c r="CZ220">
        <v>5.9596473904053003E-3</v>
      </c>
      <c r="DA220">
        <v>2.9899118476013245E-2</v>
      </c>
      <c r="DB220">
        <v>2.9899118476013245E-2</v>
      </c>
      <c r="DC220">
        <v>1.9520176304797354E-2</v>
      </c>
      <c r="DD220">
        <v>1.9520176304797354E-2</v>
      </c>
      <c r="DE220">
        <v>1.0479823695202645E-2</v>
      </c>
      <c r="DF220">
        <v>1.0479823695202645E-2</v>
      </c>
      <c r="DG220">
        <v>3.4932745650675511E-3</v>
      </c>
      <c r="DH220">
        <v>3.4932745650675511E-3</v>
      </c>
      <c r="DI220">
        <v>3.4932745650675511E-3</v>
      </c>
      <c r="DJ220">
        <v>3.4932745650675511E-3</v>
      </c>
      <c r="DK220">
        <v>3.4932745650675511E-3</v>
      </c>
      <c r="DL220">
        <v>3.4932745650675511E-3</v>
      </c>
      <c r="DM220">
        <v>3.4932745650675511E-3</v>
      </c>
      <c r="DN220">
        <v>3.4932745650675511E-3</v>
      </c>
      <c r="DO220">
        <v>3.4932745650675511E-3</v>
      </c>
    </row>
    <row r="221" spans="61:119">
      <c r="BI221" t="str">
        <f t="shared" si="58"/>
        <v>43159ESCROW</v>
      </c>
      <c r="BJ221" s="426">
        <v>43159</v>
      </c>
      <c r="BM221" t="s">
        <v>1339</v>
      </c>
      <c r="BN221" s="438">
        <v>1</v>
      </c>
      <c r="BO221" s="438">
        <v>1</v>
      </c>
      <c r="BR221">
        <v>3.2000000000000001E-2</v>
      </c>
      <c r="BS221">
        <v>2.4E-2</v>
      </c>
      <c r="BT221">
        <v>2.4E-2</v>
      </c>
      <c r="BU221">
        <v>0.04</v>
      </c>
      <c r="BV221">
        <v>0.04</v>
      </c>
      <c r="BW221">
        <v>3.9999999999999994E-2</v>
      </c>
      <c r="BX221">
        <v>3.9999999999999994E-2</v>
      </c>
      <c r="BY221">
        <v>8.8888888888888906E-3</v>
      </c>
      <c r="BZ221">
        <v>8.8888888888888906E-3</v>
      </c>
      <c r="CA221">
        <v>8.8888888888888906E-3</v>
      </c>
      <c r="CB221">
        <v>8.8888888888888906E-3</v>
      </c>
      <c r="CC221">
        <v>8.8888888888888906E-3</v>
      </c>
      <c r="CD221">
        <v>8.8888888888888906E-3</v>
      </c>
      <c r="CE221">
        <v>8.8888888888888906E-3</v>
      </c>
      <c r="CF221">
        <v>8.8888888888888906E-3</v>
      </c>
      <c r="CG221">
        <v>8.8888888888888906E-3</v>
      </c>
      <c r="CI221">
        <v>2.8000000000000004E-2</v>
      </c>
      <c r="CJ221">
        <v>2.1000000000000001E-2</v>
      </c>
      <c r="CK221">
        <v>2.1000000000000001E-2</v>
      </c>
      <c r="CL221">
        <v>3.5000000000000003E-2</v>
      </c>
      <c r="CM221">
        <v>3.5000000000000003E-2</v>
      </c>
      <c r="CN221">
        <v>3.5000000000000003E-2</v>
      </c>
      <c r="CO221">
        <v>3.5000000000000003E-2</v>
      </c>
      <c r="CP221">
        <v>7.7777777777777784E-3</v>
      </c>
      <c r="CQ221">
        <v>7.7777777777777784E-3</v>
      </c>
      <c r="CR221">
        <v>7.7777777777777784E-3</v>
      </c>
      <c r="CS221">
        <v>7.7777777777777784E-3</v>
      </c>
      <c r="CT221">
        <v>7.7777777777777784E-3</v>
      </c>
      <c r="CU221">
        <v>7.7777777777777784E-3</v>
      </c>
      <c r="CV221">
        <v>7.7777777777777784E-3</v>
      </c>
      <c r="CW221">
        <v>7.7777777777777784E-3</v>
      </c>
      <c r="CX221">
        <v>7.7777777777777784E-3</v>
      </c>
      <c r="CZ221">
        <v>2.0000000000000004E-2</v>
      </c>
      <c r="DA221">
        <v>1.4999999999999999E-2</v>
      </c>
      <c r="DB221">
        <v>1.4999999999999999E-2</v>
      </c>
      <c r="DC221">
        <v>2.5000000000000001E-2</v>
      </c>
      <c r="DD221">
        <v>2.5000000000000001E-2</v>
      </c>
      <c r="DE221">
        <v>2.5000000000000008E-2</v>
      </c>
      <c r="DF221">
        <v>2.5000000000000008E-2</v>
      </c>
      <c r="DG221">
        <v>5.555555555555554E-3</v>
      </c>
      <c r="DH221">
        <v>5.555555555555554E-3</v>
      </c>
      <c r="DI221">
        <v>5.555555555555554E-3</v>
      </c>
      <c r="DJ221">
        <v>5.555555555555554E-3</v>
      </c>
      <c r="DK221">
        <v>5.555555555555554E-3</v>
      </c>
      <c r="DL221">
        <v>5.555555555555554E-3</v>
      </c>
      <c r="DM221">
        <v>5.555555555555554E-3</v>
      </c>
      <c r="DN221">
        <v>5.555555555555554E-3</v>
      </c>
      <c r="DO221">
        <v>5.555555555555554E-3</v>
      </c>
    </row>
    <row r="222" spans="61:119">
      <c r="BI222" t="str">
        <f t="shared" si="58"/>
        <v>43159IB</v>
      </c>
      <c r="BJ222" s="426">
        <v>43159</v>
      </c>
      <c r="BM222" t="s">
        <v>1354</v>
      </c>
      <c r="BN222" s="438">
        <v>1</v>
      </c>
      <c r="BO222" s="438">
        <v>1</v>
      </c>
      <c r="BR222">
        <v>1.2E-2</v>
      </c>
      <c r="BS222">
        <v>4.2000000000000003E-2</v>
      </c>
      <c r="BT222">
        <v>4.2000000000000003E-2</v>
      </c>
      <c r="BU222">
        <v>1.1999999999999997E-2</v>
      </c>
      <c r="BV222">
        <v>1.1999999999999997E-2</v>
      </c>
      <c r="BW222">
        <v>1.1999999999999997E-2</v>
      </c>
      <c r="BX222">
        <v>1.1999999999999997E-2</v>
      </c>
      <c r="BY222">
        <v>4.0000000000000001E-3</v>
      </c>
      <c r="BZ222">
        <v>4.0000000000000001E-3</v>
      </c>
      <c r="CA222">
        <v>4.0000000000000001E-3</v>
      </c>
      <c r="CB222">
        <v>4.0000000000000001E-3</v>
      </c>
      <c r="CC222">
        <v>4.0000000000000001E-3</v>
      </c>
      <c r="CD222">
        <v>4.0000000000000001E-3</v>
      </c>
      <c r="CE222">
        <v>4.0000000000000001E-3</v>
      </c>
      <c r="CF222">
        <v>4.0000000000000001E-3</v>
      </c>
      <c r="CG222">
        <v>4.0000000000000001E-3</v>
      </c>
      <c r="CI222">
        <v>3.0000000000000001E-3</v>
      </c>
      <c r="CJ222">
        <v>1.0500000000000001E-2</v>
      </c>
      <c r="CK222">
        <v>1.0500000000000001E-2</v>
      </c>
      <c r="CL222">
        <v>2.9999999999999992E-3</v>
      </c>
      <c r="CM222">
        <v>2.9999999999999992E-3</v>
      </c>
      <c r="CN222">
        <v>2.9999999999999992E-3</v>
      </c>
      <c r="CO222">
        <v>2.9999999999999992E-3</v>
      </c>
      <c r="CP222">
        <v>1E-3</v>
      </c>
      <c r="CQ222">
        <v>1E-3</v>
      </c>
      <c r="CR222">
        <v>1E-3</v>
      </c>
      <c r="CS222">
        <v>1E-3</v>
      </c>
      <c r="CT222">
        <v>1E-3</v>
      </c>
      <c r="CU222">
        <v>1E-3</v>
      </c>
      <c r="CV222">
        <v>1E-3</v>
      </c>
      <c r="CW222">
        <v>1E-3</v>
      </c>
      <c r="CX222">
        <v>1E-3</v>
      </c>
      <c r="CZ222">
        <v>1.0000000000000002E-2</v>
      </c>
      <c r="DA222">
        <v>3.5000000000000003E-2</v>
      </c>
      <c r="DB222">
        <v>3.5000000000000003E-2</v>
      </c>
      <c r="DC222">
        <v>9.999999999999995E-3</v>
      </c>
      <c r="DD222">
        <v>9.999999999999995E-3</v>
      </c>
      <c r="DE222">
        <v>9.999999999999995E-3</v>
      </c>
      <c r="DF222">
        <v>9.999999999999995E-3</v>
      </c>
      <c r="DG222">
        <v>3.3333333333333361E-3</v>
      </c>
      <c r="DH222">
        <v>3.3333333333333361E-3</v>
      </c>
      <c r="DI222">
        <v>3.3333333333333361E-3</v>
      </c>
      <c r="DJ222">
        <v>3.3333333333333361E-3</v>
      </c>
      <c r="DK222">
        <v>3.3333333333333361E-3</v>
      </c>
      <c r="DL222">
        <v>3.3333333333333361E-3</v>
      </c>
      <c r="DM222">
        <v>3.3333333333333361E-3</v>
      </c>
      <c r="DN222">
        <v>3.3333333333333361E-3</v>
      </c>
      <c r="DO222">
        <v>3.3333333333333361E-3</v>
      </c>
    </row>
    <row r="223" spans="61:119">
      <c r="BI223" t="str">
        <f t="shared" si="58"/>
        <v>43159AFF</v>
      </c>
      <c r="BJ223" s="426">
        <v>43159</v>
      </c>
      <c r="BM223" t="s">
        <v>1353</v>
      </c>
      <c r="BN223" s="438">
        <v>1</v>
      </c>
      <c r="BO223" s="438">
        <v>1</v>
      </c>
      <c r="BR223">
        <v>1.4999999999999999E-2</v>
      </c>
      <c r="BS223">
        <v>5.2499999999999998E-2</v>
      </c>
      <c r="BT223">
        <v>5.2499999999999998E-2</v>
      </c>
      <c r="BU223">
        <v>1.4999999999999999E-2</v>
      </c>
      <c r="BV223">
        <v>1.4999999999999999E-2</v>
      </c>
      <c r="BW223">
        <v>1.4999999999999999E-2</v>
      </c>
      <c r="BX223">
        <v>1.4999999999999999E-2</v>
      </c>
      <c r="BY223">
        <v>4.9999999999999984E-3</v>
      </c>
      <c r="BZ223">
        <v>4.9999999999999984E-3</v>
      </c>
      <c r="CA223">
        <v>4.9999999999999984E-3</v>
      </c>
      <c r="CB223">
        <v>4.9999999999999984E-3</v>
      </c>
      <c r="CC223">
        <v>4.9999999999999984E-3</v>
      </c>
      <c r="CD223">
        <v>4.9999999999999984E-3</v>
      </c>
      <c r="CE223">
        <v>4.9999999999999984E-3</v>
      </c>
      <c r="CF223">
        <v>4.9999999999999984E-3</v>
      </c>
      <c r="CG223">
        <v>4.9999999999999984E-3</v>
      </c>
      <c r="CI223">
        <v>1.2E-2</v>
      </c>
      <c r="CJ223">
        <v>4.2000000000000003E-2</v>
      </c>
      <c r="CK223">
        <v>4.2000000000000003E-2</v>
      </c>
      <c r="CL223">
        <v>1.1999999999999997E-2</v>
      </c>
      <c r="CM223">
        <v>1.1999999999999997E-2</v>
      </c>
      <c r="CN223">
        <v>1.1999999999999997E-2</v>
      </c>
      <c r="CO223">
        <v>1.1999999999999997E-2</v>
      </c>
      <c r="CP223">
        <v>4.0000000000000001E-3</v>
      </c>
      <c r="CQ223">
        <v>4.0000000000000001E-3</v>
      </c>
      <c r="CR223">
        <v>4.0000000000000001E-3</v>
      </c>
      <c r="CS223">
        <v>4.0000000000000001E-3</v>
      </c>
      <c r="CT223">
        <v>4.0000000000000001E-3</v>
      </c>
      <c r="CU223">
        <v>4.0000000000000001E-3</v>
      </c>
      <c r="CV223">
        <v>4.0000000000000001E-3</v>
      </c>
      <c r="CW223">
        <v>4.0000000000000001E-3</v>
      </c>
      <c r="CX223">
        <v>4.0000000000000001E-3</v>
      </c>
      <c r="CZ223">
        <v>5.000000000000001E-3</v>
      </c>
      <c r="DA223">
        <v>1.7500000000000002E-2</v>
      </c>
      <c r="DB223">
        <v>1.7500000000000002E-2</v>
      </c>
      <c r="DC223">
        <v>4.9999999999999975E-3</v>
      </c>
      <c r="DD223">
        <v>4.9999999999999975E-3</v>
      </c>
      <c r="DE223">
        <v>4.9999999999999975E-3</v>
      </c>
      <c r="DF223">
        <v>4.9999999999999975E-3</v>
      </c>
      <c r="DG223">
        <v>1.6666666666666681E-3</v>
      </c>
      <c r="DH223">
        <v>1.6666666666666681E-3</v>
      </c>
      <c r="DI223">
        <v>1.6666666666666681E-3</v>
      </c>
      <c r="DJ223">
        <v>1.6666666666666681E-3</v>
      </c>
      <c r="DK223">
        <v>1.6666666666666681E-3</v>
      </c>
      <c r="DL223">
        <v>1.6666666666666681E-3</v>
      </c>
      <c r="DM223">
        <v>1.6666666666666681E-3</v>
      </c>
      <c r="DN223">
        <v>1.6666666666666681E-3</v>
      </c>
      <c r="DO223">
        <v>1.6666666666666681E-3</v>
      </c>
    </row>
    <row r="224" spans="61:119">
      <c r="BI224" t="str">
        <f t="shared" si="58"/>
        <v>431891030623FI</v>
      </c>
      <c r="BJ224" s="426">
        <v>43189</v>
      </c>
      <c r="BK224" t="s">
        <v>1360</v>
      </c>
      <c r="BL224" t="s">
        <v>1369</v>
      </c>
      <c r="BM224" t="s">
        <v>1355</v>
      </c>
      <c r="BN224" s="438">
        <v>1.997966474314963</v>
      </c>
      <c r="BO224" s="438">
        <v>1</v>
      </c>
      <c r="BR224">
        <v>4.5953228909244151E-2</v>
      </c>
      <c r="BS224">
        <v>0.16083630118235454</v>
      </c>
      <c r="BT224">
        <v>0.16083630118235454</v>
      </c>
      <c r="BU224">
        <v>4.5953228909244137E-2</v>
      </c>
      <c r="BV224">
        <v>4.5953228909244137E-2</v>
      </c>
      <c r="BW224">
        <v>4.5953228909244137E-2</v>
      </c>
      <c r="BX224">
        <v>4.5953228909244137E-2</v>
      </c>
      <c r="BY224">
        <v>1.5317742969748058E-2</v>
      </c>
      <c r="BZ224">
        <v>1.5317742969748058E-2</v>
      </c>
      <c r="CA224">
        <v>1.5317742969748058E-2</v>
      </c>
      <c r="CB224">
        <v>1.5317742969748058E-2</v>
      </c>
      <c r="CC224">
        <v>1.5317742969748058E-2</v>
      </c>
      <c r="CD224">
        <v>1.5317742969748058E-2</v>
      </c>
      <c r="CE224">
        <v>1.5317742969748058E-2</v>
      </c>
      <c r="CF224">
        <v>1.5317742969748058E-2</v>
      </c>
      <c r="CG224">
        <v>1.5317742969748058E-2</v>
      </c>
      <c r="CI224">
        <v>3.9959329486299267E-2</v>
      </c>
      <c r="CJ224">
        <v>0.13985765320204743</v>
      </c>
      <c r="CK224">
        <v>0.13985765320204743</v>
      </c>
      <c r="CL224">
        <v>3.9959329486299239E-2</v>
      </c>
      <c r="CM224">
        <v>3.9959329486299239E-2</v>
      </c>
      <c r="CN224">
        <v>3.9959329486299239E-2</v>
      </c>
      <c r="CO224">
        <v>3.9959329486299239E-2</v>
      </c>
      <c r="CP224">
        <v>1.3319776495433096E-2</v>
      </c>
      <c r="CQ224">
        <v>1.3319776495433096E-2</v>
      </c>
      <c r="CR224">
        <v>1.3319776495433096E-2</v>
      </c>
      <c r="CS224">
        <v>1.3319776495433096E-2</v>
      </c>
      <c r="CT224">
        <v>1.3319776495433096E-2</v>
      </c>
      <c r="CU224">
        <v>1.3319776495433096E-2</v>
      </c>
      <c r="CV224">
        <v>1.3319776495433096E-2</v>
      </c>
      <c r="CW224">
        <v>1.3319776495433096E-2</v>
      </c>
      <c r="CX224">
        <v>1.3319776495433096E-2</v>
      </c>
      <c r="CZ224">
        <v>2.9969497114724443E-2</v>
      </c>
      <c r="DA224">
        <v>0.10489323990153555</v>
      </c>
      <c r="DB224">
        <v>0.10489323990153555</v>
      </c>
      <c r="DC224">
        <v>2.9969497114724436E-2</v>
      </c>
      <c r="DD224">
        <v>2.9969497114724436E-2</v>
      </c>
      <c r="DE224">
        <v>2.9969497114724436E-2</v>
      </c>
      <c r="DF224">
        <v>2.9969497114724436E-2</v>
      </c>
      <c r="DG224">
        <v>9.9898323715748149E-3</v>
      </c>
      <c r="DH224">
        <v>9.9898323715748149E-3</v>
      </c>
      <c r="DI224">
        <v>9.9898323715748149E-3</v>
      </c>
      <c r="DJ224">
        <v>9.9898323715748149E-3</v>
      </c>
      <c r="DK224">
        <v>9.9898323715748149E-3</v>
      </c>
      <c r="DL224">
        <v>9.9898323715748149E-3</v>
      </c>
      <c r="DM224">
        <v>9.9898323715748149E-3</v>
      </c>
      <c r="DN224">
        <v>9.9898323715748149E-3</v>
      </c>
      <c r="DO224">
        <v>9.9898323715748149E-3</v>
      </c>
    </row>
    <row r="225" spans="61:119">
      <c r="BI225" t="str">
        <f t="shared" si="58"/>
        <v>431891000526FI</v>
      </c>
      <c r="BJ225" s="426">
        <v>43189</v>
      </c>
      <c r="BK225" t="s">
        <v>1363</v>
      </c>
      <c r="BL225" t="s">
        <v>1368</v>
      </c>
      <c r="BM225" t="s">
        <v>1355</v>
      </c>
      <c r="BN225" s="438">
        <v>1.7589339932135</v>
      </c>
      <c r="BO225" s="438">
        <v>1</v>
      </c>
      <c r="BR225">
        <v>4.0455481843910505E-2</v>
      </c>
      <c r="BS225">
        <v>0.14159418645368677</v>
      </c>
      <c r="BT225">
        <v>0.14159418645368677</v>
      </c>
      <c r="BU225">
        <v>4.0455481843910485E-2</v>
      </c>
      <c r="BV225">
        <v>4.0455481843910485E-2</v>
      </c>
      <c r="BW225">
        <v>4.0455481843910485E-2</v>
      </c>
      <c r="BX225">
        <v>4.0455481843910485E-2</v>
      </c>
      <c r="BY225">
        <v>1.3485160614636837E-2</v>
      </c>
      <c r="BZ225">
        <v>1.3485160614636837E-2</v>
      </c>
      <c r="CA225">
        <v>1.3485160614636837E-2</v>
      </c>
      <c r="CB225">
        <v>1.3485160614636837E-2</v>
      </c>
      <c r="CC225">
        <v>1.3485160614636837E-2</v>
      </c>
      <c r="CD225">
        <v>1.3485160614636837E-2</v>
      </c>
      <c r="CE225">
        <v>1.3485160614636837E-2</v>
      </c>
      <c r="CF225">
        <v>1.3485160614636837E-2</v>
      </c>
      <c r="CG225">
        <v>1.3485160614636837E-2</v>
      </c>
      <c r="CI225">
        <v>3.517867986427E-2</v>
      </c>
      <c r="CJ225">
        <v>0.123125379524945</v>
      </c>
      <c r="CK225">
        <v>0.123125379524945</v>
      </c>
      <c r="CL225">
        <v>3.5178679864270007E-2</v>
      </c>
      <c r="CM225">
        <v>3.5178679864270007E-2</v>
      </c>
      <c r="CN225">
        <v>3.5178679864270007E-2</v>
      </c>
      <c r="CO225">
        <v>3.5178679864270007E-2</v>
      </c>
      <c r="CP225">
        <v>1.1726226621423327E-2</v>
      </c>
      <c r="CQ225">
        <v>1.1726226621423327E-2</v>
      </c>
      <c r="CR225">
        <v>1.1726226621423327E-2</v>
      </c>
      <c r="CS225">
        <v>1.1726226621423327E-2</v>
      </c>
      <c r="CT225">
        <v>1.1726226621423327E-2</v>
      </c>
      <c r="CU225">
        <v>1.1726226621423327E-2</v>
      </c>
      <c r="CV225">
        <v>1.1726226621423327E-2</v>
      </c>
      <c r="CW225">
        <v>1.1726226621423327E-2</v>
      </c>
      <c r="CX225">
        <v>1.1726226621423327E-2</v>
      </c>
      <c r="CZ225">
        <v>2.6384009898202498E-2</v>
      </c>
      <c r="DA225">
        <v>9.2344034643708744E-2</v>
      </c>
      <c r="DB225">
        <v>9.2344034643708744E-2</v>
      </c>
      <c r="DC225">
        <v>2.6384009898202498E-2</v>
      </c>
      <c r="DD225">
        <v>2.6384009898202498E-2</v>
      </c>
      <c r="DE225">
        <v>2.6384009898202498E-2</v>
      </c>
      <c r="DF225">
        <v>2.6384009898202498E-2</v>
      </c>
      <c r="DG225">
        <v>8.7946699660675001E-3</v>
      </c>
      <c r="DH225">
        <v>8.7946699660675001E-3</v>
      </c>
      <c r="DI225">
        <v>8.7946699660675001E-3</v>
      </c>
      <c r="DJ225">
        <v>8.7946699660675001E-3</v>
      </c>
      <c r="DK225">
        <v>8.7946699660675001E-3</v>
      </c>
      <c r="DL225">
        <v>8.7946699660675001E-3</v>
      </c>
      <c r="DM225">
        <v>8.7946699660675001E-3</v>
      </c>
      <c r="DN225">
        <v>8.7946699660675001E-3</v>
      </c>
      <c r="DO225">
        <v>8.7946699660675001E-3</v>
      </c>
    </row>
    <row r="226" spans="61:119">
      <c r="BI226" t="str">
        <f t="shared" si="58"/>
        <v>431891000790IB</v>
      </c>
      <c r="BJ226" s="426">
        <v>43189</v>
      </c>
      <c r="BK226" t="s">
        <v>1358</v>
      </c>
      <c r="BL226" t="s">
        <v>1371</v>
      </c>
      <c r="BM226" t="s">
        <v>1354</v>
      </c>
      <c r="BN226" s="438">
        <v>1.5846144154780346</v>
      </c>
      <c r="BO226" s="438">
        <v>1</v>
      </c>
      <c r="BR226">
        <v>1.9015372985736415E-2</v>
      </c>
      <c r="BS226">
        <v>6.6553805450077455E-2</v>
      </c>
      <c r="BT226">
        <v>6.6553805450077455E-2</v>
      </c>
      <c r="BU226">
        <v>1.9015372985736412E-2</v>
      </c>
      <c r="BV226">
        <v>1.9015372985736412E-2</v>
      </c>
      <c r="BW226">
        <v>1.9015372985736412E-2</v>
      </c>
      <c r="BX226">
        <v>1.9015372985736412E-2</v>
      </c>
      <c r="BY226">
        <v>6.3384576619121401E-3</v>
      </c>
      <c r="BZ226">
        <v>6.3384576619121401E-3</v>
      </c>
      <c r="CA226">
        <v>6.3384576619121401E-3</v>
      </c>
      <c r="CB226">
        <v>6.3384576619121401E-3</v>
      </c>
      <c r="CC226">
        <v>6.3384576619121401E-3</v>
      </c>
      <c r="CD226">
        <v>6.3384576619121401E-3</v>
      </c>
      <c r="CE226">
        <v>6.3384576619121401E-3</v>
      </c>
      <c r="CF226">
        <v>6.3384576619121401E-3</v>
      </c>
      <c r="CG226">
        <v>6.3384576619121401E-3</v>
      </c>
      <c r="CI226">
        <v>4.7538432464341038E-3</v>
      </c>
      <c r="CJ226">
        <v>1.6638451362519364E-2</v>
      </c>
      <c r="CK226">
        <v>1.6638451362519364E-2</v>
      </c>
      <c r="CL226">
        <v>4.7538432464341029E-3</v>
      </c>
      <c r="CM226">
        <v>4.7538432464341029E-3</v>
      </c>
      <c r="CN226">
        <v>4.7538432464341029E-3</v>
      </c>
      <c r="CO226">
        <v>4.7538432464341029E-3</v>
      </c>
      <c r="CP226">
        <v>1.584614415478035E-3</v>
      </c>
      <c r="CQ226">
        <v>1.584614415478035E-3</v>
      </c>
      <c r="CR226">
        <v>1.584614415478035E-3</v>
      </c>
      <c r="CS226">
        <v>1.584614415478035E-3</v>
      </c>
      <c r="CT226">
        <v>1.584614415478035E-3</v>
      </c>
      <c r="CU226">
        <v>1.584614415478035E-3</v>
      </c>
      <c r="CV226">
        <v>1.584614415478035E-3</v>
      </c>
      <c r="CW226">
        <v>1.584614415478035E-3</v>
      </c>
      <c r="CX226">
        <v>1.584614415478035E-3</v>
      </c>
      <c r="CZ226">
        <v>1.5846144154780348E-2</v>
      </c>
      <c r="DA226">
        <v>5.5461504541731217E-2</v>
      </c>
      <c r="DB226">
        <v>5.5461504541731217E-2</v>
      </c>
      <c r="DC226">
        <v>1.5846144154780348E-2</v>
      </c>
      <c r="DD226">
        <v>1.5846144154780348E-2</v>
      </c>
      <c r="DE226">
        <v>1.5846144154780348E-2</v>
      </c>
      <c r="DF226">
        <v>1.5846144154780348E-2</v>
      </c>
      <c r="DG226">
        <v>5.2820480515934475E-3</v>
      </c>
      <c r="DH226">
        <v>5.2820480515934475E-3</v>
      </c>
      <c r="DI226">
        <v>5.2820480515934475E-3</v>
      </c>
      <c r="DJ226">
        <v>5.2820480515934475E-3</v>
      </c>
      <c r="DK226">
        <v>5.2820480515934475E-3</v>
      </c>
      <c r="DL226">
        <v>5.2820480515934475E-3</v>
      </c>
      <c r="DM226">
        <v>5.2820480515934475E-3</v>
      </c>
      <c r="DN226">
        <v>5.2820480515934475E-3</v>
      </c>
      <c r="DO226">
        <v>5.2820480515934475E-3</v>
      </c>
    </row>
    <row r="227" spans="61:119">
      <c r="BI227" t="str">
        <f t="shared" si="58"/>
        <v>431891000798AFF</v>
      </c>
      <c r="BJ227" s="426">
        <v>43189</v>
      </c>
      <c r="BK227" t="s">
        <v>1366</v>
      </c>
      <c r="BL227" t="s">
        <v>1374</v>
      </c>
      <c r="BM227" t="s">
        <v>1353</v>
      </c>
      <c r="BN227" s="438">
        <v>1.1660172783484113</v>
      </c>
      <c r="BO227" s="438">
        <v>1</v>
      </c>
      <c r="BR227">
        <v>1.7490259175226171E-2</v>
      </c>
      <c r="BS227">
        <v>6.1215907113291598E-2</v>
      </c>
      <c r="BT227">
        <v>6.1215907113291598E-2</v>
      </c>
      <c r="BU227">
        <v>1.7490259175226161E-2</v>
      </c>
      <c r="BV227">
        <v>1.7490259175226161E-2</v>
      </c>
      <c r="BW227">
        <v>1.7490259175226161E-2</v>
      </c>
      <c r="BX227">
        <v>1.7490259175226161E-2</v>
      </c>
      <c r="BY227">
        <v>5.8300863917420554E-3</v>
      </c>
      <c r="BZ227">
        <v>5.8300863917420554E-3</v>
      </c>
      <c r="CA227">
        <v>5.8300863917420554E-3</v>
      </c>
      <c r="CB227">
        <v>5.8300863917420554E-3</v>
      </c>
      <c r="CC227">
        <v>5.8300863917420554E-3</v>
      </c>
      <c r="CD227">
        <v>5.8300863917420554E-3</v>
      </c>
      <c r="CE227">
        <v>5.8300863917420554E-3</v>
      </c>
      <c r="CF227">
        <v>5.8300863917420554E-3</v>
      </c>
      <c r="CG227">
        <v>5.8300863917420554E-3</v>
      </c>
      <c r="CI227">
        <v>1.3992207340180935E-2</v>
      </c>
      <c r="CJ227">
        <v>4.8972725690633274E-2</v>
      </c>
      <c r="CK227">
        <v>4.8972725690633274E-2</v>
      </c>
      <c r="CL227">
        <v>1.3992207340180932E-2</v>
      </c>
      <c r="CM227">
        <v>1.3992207340180932E-2</v>
      </c>
      <c r="CN227">
        <v>1.3992207340180932E-2</v>
      </c>
      <c r="CO227">
        <v>1.3992207340180932E-2</v>
      </c>
      <c r="CP227">
        <v>4.664069113393645E-3</v>
      </c>
      <c r="CQ227">
        <v>4.664069113393645E-3</v>
      </c>
      <c r="CR227">
        <v>4.664069113393645E-3</v>
      </c>
      <c r="CS227">
        <v>4.664069113393645E-3</v>
      </c>
      <c r="CT227">
        <v>4.664069113393645E-3</v>
      </c>
      <c r="CU227">
        <v>4.664069113393645E-3</v>
      </c>
      <c r="CV227">
        <v>4.664069113393645E-3</v>
      </c>
      <c r="CW227">
        <v>4.664069113393645E-3</v>
      </c>
      <c r="CX227">
        <v>4.664069113393645E-3</v>
      </c>
      <c r="CZ227">
        <v>5.8300863917420571E-3</v>
      </c>
      <c r="DA227">
        <v>2.0405302371097202E-2</v>
      </c>
      <c r="DB227">
        <v>2.0405302371097202E-2</v>
      </c>
      <c r="DC227">
        <v>5.8300863917420537E-3</v>
      </c>
      <c r="DD227">
        <v>5.8300863917420537E-3</v>
      </c>
      <c r="DE227">
        <v>5.8300863917420537E-3</v>
      </c>
      <c r="DF227">
        <v>5.8300863917420537E-3</v>
      </c>
      <c r="DG227">
        <v>1.9433621305806861E-3</v>
      </c>
      <c r="DH227">
        <v>1.9433621305806861E-3</v>
      </c>
      <c r="DI227">
        <v>1.9433621305806861E-3</v>
      </c>
      <c r="DJ227">
        <v>1.9433621305806861E-3</v>
      </c>
      <c r="DK227">
        <v>1.9433621305806861E-3</v>
      </c>
      <c r="DL227">
        <v>1.9433621305806861E-3</v>
      </c>
      <c r="DM227">
        <v>1.9433621305806861E-3</v>
      </c>
      <c r="DN227">
        <v>1.9433621305806861E-3</v>
      </c>
      <c r="DO227">
        <v>1.9433621305806861E-3</v>
      </c>
    </row>
    <row r="228" spans="61:119">
      <c r="BI228" t="str">
        <f t="shared" si="58"/>
        <v>431891167651FI</v>
      </c>
      <c r="BJ228" s="426">
        <v>43189</v>
      </c>
      <c r="BK228" t="s">
        <v>1687</v>
      </c>
      <c r="BL228" t="s">
        <v>1688</v>
      </c>
      <c r="BM228" t="s">
        <v>1355</v>
      </c>
      <c r="BN228" s="438">
        <v>1.4105899680984655</v>
      </c>
      <c r="BO228" s="438">
        <v>0.33799621591184603</v>
      </c>
      <c r="BR228">
        <v>0.11928844765731617</v>
      </c>
      <c r="BS228">
        <v>0.25502560077863928</v>
      </c>
      <c r="BT228">
        <v>0.25502560077863928</v>
      </c>
      <c r="BU228">
        <v>1.0965803642671301E-2</v>
      </c>
      <c r="BV228">
        <v>1.0965803642671301E-2</v>
      </c>
      <c r="BW228">
        <v>6.5127125649993789E-2</v>
      </c>
      <c r="BX228">
        <v>6.5127125649993789E-2</v>
      </c>
      <c r="BY228">
        <v>4.9961478809221254E-3</v>
      </c>
      <c r="BZ228">
        <v>4.9961478809221254E-3</v>
      </c>
      <c r="CA228">
        <v>4.9961478809221254E-3</v>
      </c>
      <c r="CB228">
        <v>4.9961478809221254E-3</v>
      </c>
      <c r="CC228">
        <v>4.9961478809221254E-3</v>
      </c>
      <c r="CD228">
        <v>4.9961478809221254E-3</v>
      </c>
      <c r="CE228">
        <v>4.9961478809221254E-3</v>
      </c>
      <c r="CF228">
        <v>4.9961478809221254E-3</v>
      </c>
      <c r="CG228">
        <v>4.9961478809221254E-3</v>
      </c>
      <c r="CI228">
        <v>0.11225523006298684</v>
      </c>
      <c r="CJ228">
        <v>0.23881368226858848</v>
      </c>
      <c r="CK228">
        <v>0.23881368226858848</v>
      </c>
      <c r="CL228">
        <v>9.5354814284098754E-3</v>
      </c>
      <c r="CM228">
        <v>9.5354814284098754E-3</v>
      </c>
      <c r="CN228">
        <v>6.0895355745698321E-2</v>
      </c>
      <c r="CO228">
        <v>6.0895355745698321E-2</v>
      </c>
      <c r="CP228">
        <v>8.2546373962135225E-3</v>
      </c>
      <c r="CQ228">
        <v>8.2546373962135225E-3</v>
      </c>
      <c r="CR228">
        <v>8.2546373962135225E-3</v>
      </c>
      <c r="CS228">
        <v>8.2546373962135225E-3</v>
      </c>
      <c r="CT228">
        <v>8.2546373962135225E-3</v>
      </c>
      <c r="CU228">
        <v>8.2546373962135225E-3</v>
      </c>
      <c r="CV228">
        <v>8.2546373962135225E-3</v>
      </c>
      <c r="CW228">
        <v>8.2546373962135225E-3</v>
      </c>
      <c r="CX228">
        <v>8.2546373962135225E-3</v>
      </c>
      <c r="CZ228">
        <v>5.3842405905206017E-2</v>
      </c>
      <c r="DA228">
        <v>0.11841222841737314</v>
      </c>
      <c r="DB228">
        <v>0.11841222841737314</v>
      </c>
      <c r="DC228">
        <v>7.1516110713073788E-3</v>
      </c>
      <c r="DD228">
        <v>7.1516110713073788E-3</v>
      </c>
      <c r="DE228">
        <v>3.0497008488256705E-2</v>
      </c>
      <c r="DF228">
        <v>3.0497008488256705E-2</v>
      </c>
      <c r="DG228">
        <v>1.0165669496085574E-2</v>
      </c>
      <c r="DH228">
        <v>1.0165669496085574E-2</v>
      </c>
      <c r="DI228">
        <v>1.0165669496085574E-2</v>
      </c>
      <c r="DJ228">
        <v>1.0165669496085574E-2</v>
      </c>
      <c r="DK228">
        <v>1.0165669496085574E-2</v>
      </c>
      <c r="DL228">
        <v>1.0165669496085574E-2</v>
      </c>
      <c r="DM228">
        <v>1.0165669496085574E-2</v>
      </c>
      <c r="DN228">
        <v>1.0165669496085574E-2</v>
      </c>
      <c r="DO228">
        <v>1.0165669496085574E-2</v>
      </c>
    </row>
    <row r="229" spans="61:119">
      <c r="BI229" t="str">
        <f t="shared" si="58"/>
        <v>431891151227FI</v>
      </c>
      <c r="BJ229" s="426">
        <v>43189</v>
      </c>
      <c r="BK229" t="s">
        <v>1362</v>
      </c>
      <c r="BL229" t="s">
        <v>1372</v>
      </c>
      <c r="BM229" t="s">
        <v>1355</v>
      </c>
      <c r="BN229" s="438">
        <v>1.4105899680984655</v>
      </c>
      <c r="BO229" s="438">
        <v>0.33799621591184603</v>
      </c>
      <c r="BR229">
        <v>0.11928844765731617</v>
      </c>
      <c r="BS229">
        <v>0.25502560077863928</v>
      </c>
      <c r="BT229">
        <v>0.25502560077863928</v>
      </c>
      <c r="BU229">
        <v>1.0965803642671301E-2</v>
      </c>
      <c r="BV229">
        <v>1.0965803642671301E-2</v>
      </c>
      <c r="BW229">
        <v>6.5127125649993789E-2</v>
      </c>
      <c r="BX229">
        <v>6.5127125649993789E-2</v>
      </c>
      <c r="BY229">
        <v>4.9961478809221254E-3</v>
      </c>
      <c r="BZ229">
        <v>4.9961478809221254E-3</v>
      </c>
      <c r="CA229">
        <v>4.9961478809221254E-3</v>
      </c>
      <c r="CB229">
        <v>4.9961478809221254E-3</v>
      </c>
      <c r="CC229">
        <v>4.9961478809221254E-3</v>
      </c>
      <c r="CD229">
        <v>4.9961478809221254E-3</v>
      </c>
      <c r="CE229">
        <v>4.9961478809221254E-3</v>
      </c>
      <c r="CF229">
        <v>4.9961478809221254E-3</v>
      </c>
      <c r="CG229">
        <v>4.9961478809221254E-3</v>
      </c>
      <c r="CI229">
        <v>0.11225523006298684</v>
      </c>
      <c r="CJ229">
        <v>0.23881368226858848</v>
      </c>
      <c r="CK229">
        <v>0.23881368226858848</v>
      </c>
      <c r="CL229">
        <v>9.5354814284098754E-3</v>
      </c>
      <c r="CM229">
        <v>9.5354814284098754E-3</v>
      </c>
      <c r="CN229">
        <v>6.0895355745698321E-2</v>
      </c>
      <c r="CO229">
        <v>6.0895355745698321E-2</v>
      </c>
      <c r="CP229">
        <v>8.2546373962135225E-3</v>
      </c>
      <c r="CQ229">
        <v>8.2546373962135225E-3</v>
      </c>
      <c r="CR229">
        <v>8.2546373962135225E-3</v>
      </c>
      <c r="CS229">
        <v>8.2546373962135225E-3</v>
      </c>
      <c r="CT229">
        <v>8.2546373962135225E-3</v>
      </c>
      <c r="CU229">
        <v>8.2546373962135225E-3</v>
      </c>
      <c r="CV229">
        <v>8.2546373962135225E-3</v>
      </c>
      <c r="CW229">
        <v>8.2546373962135225E-3</v>
      </c>
      <c r="CX229">
        <v>8.2546373962135225E-3</v>
      </c>
      <c r="CZ229">
        <v>5.3842405905206017E-2</v>
      </c>
      <c r="DA229">
        <v>0.11841222841737314</v>
      </c>
      <c r="DB229">
        <v>0.11841222841737314</v>
      </c>
      <c r="DC229">
        <v>7.1516110713073788E-3</v>
      </c>
      <c r="DD229">
        <v>7.1516110713073788E-3</v>
      </c>
      <c r="DE229">
        <v>3.0497008488256705E-2</v>
      </c>
      <c r="DF229">
        <v>3.0497008488256705E-2</v>
      </c>
      <c r="DG229">
        <v>1.0165669496085574E-2</v>
      </c>
      <c r="DH229">
        <v>1.0165669496085574E-2</v>
      </c>
      <c r="DI229">
        <v>1.0165669496085574E-2</v>
      </c>
      <c r="DJ229">
        <v>1.0165669496085574E-2</v>
      </c>
      <c r="DK229">
        <v>1.0165669496085574E-2</v>
      </c>
      <c r="DL229">
        <v>1.0165669496085574E-2</v>
      </c>
      <c r="DM229">
        <v>1.0165669496085574E-2</v>
      </c>
      <c r="DN229">
        <v>1.0165669496085574E-2</v>
      </c>
      <c r="DO229">
        <v>1.0165669496085574E-2</v>
      </c>
    </row>
    <row r="230" spans="61:119">
      <c r="BI230" t="str">
        <f t="shared" si="58"/>
        <v>431891000800IB</v>
      </c>
      <c r="BJ230" s="426">
        <v>43189</v>
      </c>
      <c r="BK230" t="s">
        <v>1423</v>
      </c>
      <c r="BL230" t="s">
        <v>1421</v>
      </c>
      <c r="BM230" t="s">
        <v>1354</v>
      </c>
      <c r="BN230" s="438">
        <v>1.018420317732879</v>
      </c>
      <c r="BO230" s="438">
        <v>1</v>
      </c>
      <c r="BR230">
        <v>1.2221043812794548E-2</v>
      </c>
      <c r="BS230">
        <v>4.2773653344780921E-2</v>
      </c>
      <c r="BT230">
        <v>4.2773653344780921E-2</v>
      </c>
      <c r="BU230">
        <v>1.2221043812794548E-2</v>
      </c>
      <c r="BV230">
        <v>1.2221043812794548E-2</v>
      </c>
      <c r="BW230">
        <v>1.2221043812794548E-2</v>
      </c>
      <c r="BX230">
        <v>1.2221043812794548E-2</v>
      </c>
      <c r="BY230">
        <v>4.0736812709315168E-3</v>
      </c>
      <c r="BZ230">
        <v>4.0736812709315168E-3</v>
      </c>
      <c r="CA230">
        <v>4.0736812709315168E-3</v>
      </c>
      <c r="CB230">
        <v>4.0736812709315168E-3</v>
      </c>
      <c r="CC230">
        <v>4.0736812709315168E-3</v>
      </c>
      <c r="CD230">
        <v>4.0736812709315168E-3</v>
      </c>
      <c r="CE230">
        <v>4.0736812709315168E-3</v>
      </c>
      <c r="CF230">
        <v>4.0736812709315168E-3</v>
      </c>
      <c r="CG230">
        <v>4.0736812709315168E-3</v>
      </c>
      <c r="CI230">
        <v>3.055260953198637E-3</v>
      </c>
      <c r="CJ230">
        <v>1.069341333619523E-2</v>
      </c>
      <c r="CK230">
        <v>1.069341333619523E-2</v>
      </c>
      <c r="CL230">
        <v>3.055260953198637E-3</v>
      </c>
      <c r="CM230">
        <v>3.055260953198637E-3</v>
      </c>
      <c r="CN230">
        <v>3.055260953198637E-3</v>
      </c>
      <c r="CO230">
        <v>3.055260953198637E-3</v>
      </c>
      <c r="CP230">
        <v>1.0184203177328792E-3</v>
      </c>
      <c r="CQ230">
        <v>1.0184203177328792E-3</v>
      </c>
      <c r="CR230">
        <v>1.0184203177328792E-3</v>
      </c>
      <c r="CS230">
        <v>1.0184203177328792E-3</v>
      </c>
      <c r="CT230">
        <v>1.0184203177328792E-3</v>
      </c>
      <c r="CU230">
        <v>1.0184203177328792E-3</v>
      </c>
      <c r="CV230">
        <v>1.0184203177328792E-3</v>
      </c>
      <c r="CW230">
        <v>1.0184203177328792E-3</v>
      </c>
      <c r="CX230">
        <v>1.0184203177328792E-3</v>
      </c>
      <c r="CZ230">
        <v>1.0184203177328792E-2</v>
      </c>
      <c r="DA230">
        <v>3.564471112065077E-2</v>
      </c>
      <c r="DB230">
        <v>3.564471112065077E-2</v>
      </c>
      <c r="DC230">
        <v>1.0184203177328786E-2</v>
      </c>
      <c r="DD230">
        <v>1.0184203177328786E-2</v>
      </c>
      <c r="DE230">
        <v>1.0184203177328786E-2</v>
      </c>
      <c r="DF230">
        <v>1.0184203177328786E-2</v>
      </c>
      <c r="DG230">
        <v>3.3947343924429327E-3</v>
      </c>
      <c r="DH230">
        <v>3.3947343924429327E-3</v>
      </c>
      <c r="DI230">
        <v>3.3947343924429327E-3</v>
      </c>
      <c r="DJ230">
        <v>3.3947343924429327E-3</v>
      </c>
      <c r="DK230">
        <v>3.3947343924429327E-3</v>
      </c>
      <c r="DL230">
        <v>3.3947343924429327E-3</v>
      </c>
      <c r="DM230">
        <v>3.3947343924429327E-3</v>
      </c>
      <c r="DN230">
        <v>3.3947343924429327E-3</v>
      </c>
      <c r="DO230">
        <v>3.3947343924429327E-3</v>
      </c>
    </row>
    <row r="231" spans="61:119">
      <c r="BI231" t="str">
        <f t="shared" si="58"/>
        <v>431891030150FI</v>
      </c>
      <c r="BJ231" s="426">
        <v>43189</v>
      </c>
      <c r="BK231" t="s">
        <v>2768</v>
      </c>
      <c r="BL231" t="s">
        <v>2769</v>
      </c>
      <c r="BM231" t="s">
        <v>1355</v>
      </c>
      <c r="BN231" s="438">
        <v>1.0142140654388498</v>
      </c>
      <c r="BO231" s="438">
        <v>1</v>
      </c>
      <c r="BR231">
        <v>2.332692350509355E-2</v>
      </c>
      <c r="BS231">
        <v>8.1644232267827424E-2</v>
      </c>
      <c r="BT231">
        <v>8.1644232267827424E-2</v>
      </c>
      <c r="BU231">
        <v>2.3326923505093536E-2</v>
      </c>
      <c r="BV231">
        <v>2.3326923505093536E-2</v>
      </c>
      <c r="BW231">
        <v>2.3326923505093536E-2</v>
      </c>
      <c r="BX231">
        <v>2.3326923505093536E-2</v>
      </c>
      <c r="BY231">
        <v>7.77564116836452E-3</v>
      </c>
      <c r="BZ231">
        <v>7.77564116836452E-3</v>
      </c>
      <c r="CA231">
        <v>7.77564116836452E-3</v>
      </c>
      <c r="CB231">
        <v>7.77564116836452E-3</v>
      </c>
      <c r="CC231">
        <v>7.77564116836452E-3</v>
      </c>
      <c r="CD231">
        <v>7.77564116836452E-3</v>
      </c>
      <c r="CE231">
        <v>7.77564116836452E-3</v>
      </c>
      <c r="CF231">
        <v>7.77564116836452E-3</v>
      </c>
      <c r="CG231">
        <v>7.77564116836452E-3</v>
      </c>
      <c r="CI231">
        <v>2.0284281308776998E-2</v>
      </c>
      <c r="CJ231">
        <v>7.0994984580719497E-2</v>
      </c>
      <c r="CK231">
        <v>7.0994984580719497E-2</v>
      </c>
      <c r="CL231">
        <v>2.0284281308776991E-2</v>
      </c>
      <c r="CM231">
        <v>2.0284281308776991E-2</v>
      </c>
      <c r="CN231">
        <v>2.0284281308776991E-2</v>
      </c>
      <c r="CO231">
        <v>2.0284281308776991E-2</v>
      </c>
      <c r="CP231">
        <v>6.7614271029256667E-3</v>
      </c>
      <c r="CQ231">
        <v>6.7614271029256667E-3</v>
      </c>
      <c r="CR231">
        <v>6.7614271029256667E-3</v>
      </c>
      <c r="CS231">
        <v>6.7614271029256667E-3</v>
      </c>
      <c r="CT231">
        <v>6.7614271029256667E-3</v>
      </c>
      <c r="CU231">
        <v>6.7614271029256667E-3</v>
      </c>
      <c r="CV231">
        <v>6.7614271029256667E-3</v>
      </c>
      <c r="CW231">
        <v>6.7614271029256667E-3</v>
      </c>
      <c r="CX231">
        <v>6.7614271029256667E-3</v>
      </c>
      <c r="CZ231">
        <v>1.5213210981582749E-2</v>
      </c>
      <c r="DA231">
        <v>5.324623843553962E-2</v>
      </c>
      <c r="DB231">
        <v>5.324623843553962E-2</v>
      </c>
      <c r="DC231">
        <v>1.5213210981582743E-2</v>
      </c>
      <c r="DD231">
        <v>1.5213210981582743E-2</v>
      </c>
      <c r="DE231">
        <v>1.521321098158275E-2</v>
      </c>
      <c r="DF231">
        <v>1.521321098158275E-2</v>
      </c>
      <c r="DG231">
        <v>5.0710703271942487E-3</v>
      </c>
      <c r="DH231">
        <v>5.0710703271942487E-3</v>
      </c>
      <c r="DI231">
        <v>5.0710703271942487E-3</v>
      </c>
      <c r="DJ231">
        <v>5.0710703271942487E-3</v>
      </c>
      <c r="DK231">
        <v>5.0710703271942487E-3</v>
      </c>
      <c r="DL231">
        <v>5.0710703271942487E-3</v>
      </c>
      <c r="DM231">
        <v>5.0710703271942487E-3</v>
      </c>
      <c r="DN231">
        <v>5.0710703271942487E-3</v>
      </c>
      <c r="DO231">
        <v>5.0710703271942487E-3</v>
      </c>
    </row>
    <row r="232" spans="61:119">
      <c r="BI232" t="str">
        <f t="shared" si="58"/>
        <v>431891141467FI</v>
      </c>
      <c r="BJ232" s="426">
        <v>43189</v>
      </c>
      <c r="BK232" t="s">
        <v>1375</v>
      </c>
      <c r="BL232" t="s">
        <v>1376</v>
      </c>
      <c r="BM232" t="s">
        <v>1355</v>
      </c>
      <c r="BN232" s="438">
        <v>1.997966474314963</v>
      </c>
      <c r="BO232" s="438">
        <v>1</v>
      </c>
      <c r="BR232">
        <v>4.5953228909244151E-2</v>
      </c>
      <c r="BS232">
        <v>0.16083630118235454</v>
      </c>
      <c r="BT232">
        <v>0.16083630118235454</v>
      </c>
      <c r="BU232">
        <v>4.5953228909244137E-2</v>
      </c>
      <c r="BV232">
        <v>4.5953228909244137E-2</v>
      </c>
      <c r="BW232">
        <v>4.5953228909244137E-2</v>
      </c>
      <c r="BX232">
        <v>4.5953228909244137E-2</v>
      </c>
      <c r="BY232">
        <v>1.5317742969748058E-2</v>
      </c>
      <c r="BZ232">
        <v>1.5317742969748058E-2</v>
      </c>
      <c r="CA232">
        <v>1.5317742969748058E-2</v>
      </c>
      <c r="CB232">
        <v>1.5317742969748058E-2</v>
      </c>
      <c r="CC232">
        <v>1.5317742969748058E-2</v>
      </c>
      <c r="CD232">
        <v>1.5317742969748058E-2</v>
      </c>
      <c r="CE232">
        <v>1.5317742969748058E-2</v>
      </c>
      <c r="CF232">
        <v>1.5317742969748058E-2</v>
      </c>
      <c r="CG232">
        <v>1.5317742969748058E-2</v>
      </c>
      <c r="CI232">
        <v>3.9959329486299267E-2</v>
      </c>
      <c r="CJ232">
        <v>0.13985765320204743</v>
      </c>
      <c r="CK232">
        <v>0.13985765320204743</v>
      </c>
      <c r="CL232">
        <v>3.9959329486299239E-2</v>
      </c>
      <c r="CM232">
        <v>3.9959329486299239E-2</v>
      </c>
      <c r="CN232">
        <v>3.9959329486299239E-2</v>
      </c>
      <c r="CO232">
        <v>3.9959329486299239E-2</v>
      </c>
      <c r="CP232">
        <v>1.3319776495433096E-2</v>
      </c>
      <c r="CQ232">
        <v>1.3319776495433096E-2</v>
      </c>
      <c r="CR232">
        <v>1.3319776495433096E-2</v>
      </c>
      <c r="CS232">
        <v>1.3319776495433096E-2</v>
      </c>
      <c r="CT232">
        <v>1.3319776495433096E-2</v>
      </c>
      <c r="CU232">
        <v>1.3319776495433096E-2</v>
      </c>
      <c r="CV232">
        <v>1.3319776495433096E-2</v>
      </c>
      <c r="CW232">
        <v>1.3319776495433096E-2</v>
      </c>
      <c r="CX232">
        <v>1.3319776495433096E-2</v>
      </c>
      <c r="CZ232">
        <v>2.9969497114724443E-2</v>
      </c>
      <c r="DA232">
        <v>0.10489323990153555</v>
      </c>
      <c r="DB232">
        <v>0.10489323990153555</v>
      </c>
      <c r="DC232">
        <v>2.9969497114724436E-2</v>
      </c>
      <c r="DD232">
        <v>2.9969497114724436E-2</v>
      </c>
      <c r="DE232">
        <v>2.9969497114724436E-2</v>
      </c>
      <c r="DF232">
        <v>2.9969497114724436E-2</v>
      </c>
      <c r="DG232">
        <v>9.9898323715748149E-3</v>
      </c>
      <c r="DH232">
        <v>9.9898323715748149E-3</v>
      </c>
      <c r="DI232">
        <v>9.9898323715748149E-3</v>
      </c>
      <c r="DJ232">
        <v>9.9898323715748149E-3</v>
      </c>
      <c r="DK232">
        <v>9.9898323715748149E-3</v>
      </c>
      <c r="DL232">
        <v>9.9898323715748149E-3</v>
      </c>
      <c r="DM232">
        <v>9.9898323715748149E-3</v>
      </c>
      <c r="DN232">
        <v>9.9898323715748149E-3</v>
      </c>
      <c r="DO232">
        <v>9.9898323715748149E-3</v>
      </c>
    </row>
    <row r="233" spans="61:119">
      <c r="BI233" t="str">
        <f t="shared" si="58"/>
        <v>431891147542CME</v>
      </c>
      <c r="BJ233" s="426">
        <v>43189</v>
      </c>
      <c r="BK233" t="s">
        <v>1361</v>
      </c>
      <c r="BL233" t="s">
        <v>1370</v>
      </c>
      <c r="BM233" t="s">
        <v>1321</v>
      </c>
      <c r="BN233" s="438">
        <v>1</v>
      </c>
      <c r="BO233" s="438">
        <v>1</v>
      </c>
      <c r="BR233">
        <v>8.0000000000000016E-2</v>
      </c>
      <c r="BS233">
        <v>0.16</v>
      </c>
      <c r="BT233">
        <v>0.16</v>
      </c>
      <c r="BU233">
        <v>0</v>
      </c>
      <c r="BV233">
        <v>0</v>
      </c>
      <c r="BW233">
        <v>3.999999999999998E-2</v>
      </c>
      <c r="BX233">
        <v>3.999999999999998E-2</v>
      </c>
      <c r="BY233">
        <v>1.3333333333333345E-2</v>
      </c>
      <c r="BZ233">
        <v>1.3333333333333345E-2</v>
      </c>
      <c r="CA233">
        <v>1.3333333333333345E-2</v>
      </c>
      <c r="CB233">
        <v>1.3333333333333345E-2</v>
      </c>
      <c r="CC233">
        <v>1.3333333333333345E-2</v>
      </c>
      <c r="CD233">
        <v>1.3333333333333345E-2</v>
      </c>
      <c r="CE233">
        <v>1.3333333333333345E-2</v>
      </c>
      <c r="CF233">
        <v>1.3333333333333345E-2</v>
      </c>
      <c r="CG233">
        <v>1.3333333333333345E-2</v>
      </c>
      <c r="CI233">
        <v>6.9999999999999993E-2</v>
      </c>
      <c r="CJ233">
        <v>0.13999999999999999</v>
      </c>
      <c r="CK233">
        <v>0.13999999999999999</v>
      </c>
      <c r="CL233">
        <v>0</v>
      </c>
      <c r="CM233">
        <v>0</v>
      </c>
      <c r="CN233">
        <v>3.5000000000000003E-2</v>
      </c>
      <c r="CO233">
        <v>3.5000000000000003E-2</v>
      </c>
      <c r="CP233">
        <v>1.1666666666666659E-2</v>
      </c>
      <c r="CQ233">
        <v>1.1666666666666659E-2</v>
      </c>
      <c r="CR233">
        <v>1.1666666666666659E-2</v>
      </c>
      <c r="CS233">
        <v>1.1666666666666659E-2</v>
      </c>
      <c r="CT233">
        <v>1.1666666666666659E-2</v>
      </c>
      <c r="CU233">
        <v>1.1666666666666659E-2</v>
      </c>
      <c r="CV233">
        <v>1.1666666666666659E-2</v>
      </c>
      <c r="CW233">
        <v>1.1666666666666659E-2</v>
      </c>
      <c r="CX233">
        <v>1.1666666666666659E-2</v>
      </c>
      <c r="CZ233">
        <v>4.0000000000000008E-2</v>
      </c>
      <c r="DA233">
        <v>0.08</v>
      </c>
      <c r="DB233">
        <v>0.08</v>
      </c>
      <c r="DC233">
        <v>0</v>
      </c>
      <c r="DD233">
        <v>0</v>
      </c>
      <c r="DE233">
        <v>1.999999999999999E-2</v>
      </c>
      <c r="DF233">
        <v>1.999999999999999E-2</v>
      </c>
      <c r="DG233">
        <v>6.6666666666666723E-3</v>
      </c>
      <c r="DH233">
        <v>6.6666666666666723E-3</v>
      </c>
      <c r="DI233">
        <v>6.6666666666666723E-3</v>
      </c>
      <c r="DJ233">
        <v>6.6666666666666723E-3</v>
      </c>
      <c r="DK233">
        <v>6.6666666666666723E-3</v>
      </c>
      <c r="DL233">
        <v>6.6666666666666723E-3</v>
      </c>
      <c r="DM233">
        <v>6.6666666666666723E-3</v>
      </c>
      <c r="DN233">
        <v>6.6666666666666723E-3</v>
      </c>
      <c r="DO233">
        <v>6.6666666666666723E-3</v>
      </c>
    </row>
    <row r="234" spans="61:119">
      <c r="BI234" t="str">
        <f t="shared" ref="BI234:BI297" si="59">BJ234&amp;BK234&amp;BM234</f>
        <v>43189FI</v>
      </c>
      <c r="BJ234" s="426">
        <v>43189</v>
      </c>
      <c r="BM234" t="s">
        <v>1355</v>
      </c>
      <c r="BN234" s="438">
        <v>1</v>
      </c>
      <c r="BO234" s="438">
        <v>1</v>
      </c>
      <c r="BR234">
        <v>2.3000000000000003E-2</v>
      </c>
      <c r="BS234">
        <v>8.0500000000000016E-2</v>
      </c>
      <c r="BT234">
        <v>8.0500000000000016E-2</v>
      </c>
      <c r="BU234">
        <v>2.2999999999999993E-2</v>
      </c>
      <c r="BV234">
        <v>2.2999999999999993E-2</v>
      </c>
      <c r="BW234">
        <v>2.3000000000000007E-2</v>
      </c>
      <c r="BX234">
        <v>2.3000000000000007E-2</v>
      </c>
      <c r="BY234">
        <v>7.6666666666666671E-3</v>
      </c>
      <c r="BZ234">
        <v>7.6666666666666671E-3</v>
      </c>
      <c r="CA234">
        <v>7.6666666666666671E-3</v>
      </c>
      <c r="CB234">
        <v>7.6666666666666671E-3</v>
      </c>
      <c r="CC234">
        <v>7.6666666666666671E-3</v>
      </c>
      <c r="CD234">
        <v>7.6666666666666671E-3</v>
      </c>
      <c r="CE234">
        <v>7.6666666666666671E-3</v>
      </c>
      <c r="CF234">
        <v>7.6666666666666671E-3</v>
      </c>
      <c r="CG234">
        <v>7.6666666666666671E-3</v>
      </c>
      <c r="CI234">
        <v>2.0000000000000004E-2</v>
      </c>
      <c r="CJ234">
        <v>7.0000000000000007E-2</v>
      </c>
      <c r="CK234">
        <v>7.0000000000000007E-2</v>
      </c>
      <c r="CL234">
        <v>1.999999999999999E-2</v>
      </c>
      <c r="CM234">
        <v>1.999999999999999E-2</v>
      </c>
      <c r="CN234">
        <v>1.999999999999999E-2</v>
      </c>
      <c r="CO234">
        <v>1.999999999999999E-2</v>
      </c>
      <c r="CP234">
        <v>6.6666666666666723E-3</v>
      </c>
      <c r="CQ234">
        <v>6.6666666666666723E-3</v>
      </c>
      <c r="CR234">
        <v>6.6666666666666723E-3</v>
      </c>
      <c r="CS234">
        <v>6.6666666666666723E-3</v>
      </c>
      <c r="CT234">
        <v>6.6666666666666723E-3</v>
      </c>
      <c r="CU234">
        <v>6.6666666666666723E-3</v>
      </c>
      <c r="CV234">
        <v>6.6666666666666723E-3</v>
      </c>
      <c r="CW234">
        <v>6.6666666666666723E-3</v>
      </c>
      <c r="CX234">
        <v>6.6666666666666723E-3</v>
      </c>
      <c r="CZ234">
        <v>1.4999999999999999E-2</v>
      </c>
      <c r="DA234">
        <v>5.2499999999999998E-2</v>
      </c>
      <c r="DB234">
        <v>5.2499999999999998E-2</v>
      </c>
      <c r="DC234">
        <v>1.4999999999999999E-2</v>
      </c>
      <c r="DD234">
        <v>1.4999999999999999E-2</v>
      </c>
      <c r="DE234">
        <v>1.4999999999999999E-2</v>
      </c>
      <c r="DF234">
        <v>1.4999999999999999E-2</v>
      </c>
      <c r="DG234">
        <v>4.9999999999999984E-3</v>
      </c>
      <c r="DH234">
        <v>4.9999999999999984E-3</v>
      </c>
      <c r="DI234">
        <v>4.9999999999999984E-3</v>
      </c>
      <c r="DJ234">
        <v>4.9999999999999984E-3</v>
      </c>
      <c r="DK234">
        <v>4.9999999999999984E-3</v>
      </c>
      <c r="DL234">
        <v>4.9999999999999984E-3</v>
      </c>
      <c r="DM234">
        <v>4.9999999999999984E-3</v>
      </c>
      <c r="DN234">
        <v>4.9999999999999984E-3</v>
      </c>
      <c r="DO234">
        <v>4.9999999999999984E-3</v>
      </c>
    </row>
    <row r="235" spans="61:119">
      <c r="BI235" t="str">
        <f t="shared" si="59"/>
        <v>43189CORP</v>
      </c>
      <c r="BJ235" s="426">
        <v>43189</v>
      </c>
      <c r="BM235" t="s">
        <v>1356</v>
      </c>
      <c r="BN235" s="438">
        <v>1</v>
      </c>
      <c r="BO235" s="438">
        <v>0.69887020655060705</v>
      </c>
      <c r="BR235">
        <v>1.402259586898786E-2</v>
      </c>
      <c r="BS235">
        <v>6.0261008846267228E-2</v>
      </c>
      <c r="BT235">
        <v>6.0261008846267228E-2</v>
      </c>
      <c r="BU235">
        <v>3.0795480826202426E-2</v>
      </c>
      <c r="BV235">
        <v>3.0795480826202426E-2</v>
      </c>
      <c r="BW235">
        <v>1.961355752139271E-2</v>
      </c>
      <c r="BX235">
        <v>1.961355752139271E-2</v>
      </c>
      <c r="BY235">
        <v>6.5378525071309096E-3</v>
      </c>
      <c r="BZ235">
        <v>6.5378525071309096E-3</v>
      </c>
      <c r="CA235">
        <v>6.5378525071309096E-3</v>
      </c>
      <c r="CB235">
        <v>6.5378525071309096E-3</v>
      </c>
      <c r="CC235">
        <v>6.5378525071309096E-3</v>
      </c>
      <c r="CD235">
        <v>6.5378525071309096E-3</v>
      </c>
      <c r="CE235">
        <v>6.5378525071309096E-3</v>
      </c>
      <c r="CF235">
        <v>6.5378525071309096E-3</v>
      </c>
      <c r="CG235">
        <v>6.5378525071309096E-3</v>
      </c>
      <c r="CI235">
        <v>1.2119206488639681E-2</v>
      </c>
      <c r="CJ235">
        <v>5.2201405601947387E-2</v>
      </c>
      <c r="CK235">
        <v>5.2201405601947387E-2</v>
      </c>
      <c r="CL235">
        <v>2.6795480826202422E-2</v>
      </c>
      <c r="CM235">
        <v>2.6795480826202422E-2</v>
      </c>
      <c r="CN235">
        <v>1.7011297934493935E-2</v>
      </c>
      <c r="CO235">
        <v>1.7011297934493935E-2</v>
      </c>
      <c r="CP235">
        <v>5.6704326448313086E-3</v>
      </c>
      <c r="CQ235">
        <v>5.6704326448313086E-3</v>
      </c>
      <c r="CR235">
        <v>5.6704326448313086E-3</v>
      </c>
      <c r="CS235">
        <v>5.6704326448313086E-3</v>
      </c>
      <c r="CT235">
        <v>5.6704326448313086E-3</v>
      </c>
      <c r="CU235">
        <v>5.6704326448313086E-3</v>
      </c>
      <c r="CV235">
        <v>5.6704326448313086E-3</v>
      </c>
      <c r="CW235">
        <v>5.6704326448313086E-3</v>
      </c>
      <c r="CX235">
        <v>5.6704326448313086E-3</v>
      </c>
      <c r="CZ235">
        <v>8.0112979344939307E-3</v>
      </c>
      <c r="DA235">
        <v>3.5028244836234818E-2</v>
      </c>
      <c r="DB235">
        <v>3.5028244836234818E-2</v>
      </c>
      <c r="DC235">
        <v>1.8494351032753042E-2</v>
      </c>
      <c r="DD235">
        <v>1.8494351032753042E-2</v>
      </c>
      <c r="DE235">
        <v>1.1505648967246956E-2</v>
      </c>
      <c r="DF235">
        <v>1.1505648967246956E-2</v>
      </c>
      <c r="DG235">
        <v>3.8352163224156582E-3</v>
      </c>
      <c r="DH235">
        <v>3.8352163224156582E-3</v>
      </c>
      <c r="DI235">
        <v>3.8352163224156582E-3</v>
      </c>
      <c r="DJ235">
        <v>3.8352163224156582E-3</v>
      </c>
      <c r="DK235">
        <v>3.8352163224156582E-3</v>
      </c>
      <c r="DL235">
        <v>3.8352163224156582E-3</v>
      </c>
      <c r="DM235">
        <v>3.8352163224156582E-3</v>
      </c>
      <c r="DN235">
        <v>3.8352163224156582E-3</v>
      </c>
      <c r="DO235">
        <v>3.8352163224156582E-3</v>
      </c>
    </row>
    <row r="236" spans="61:119">
      <c r="BI236" t="str">
        <f t="shared" si="59"/>
        <v>43189ESCROW</v>
      </c>
      <c r="BJ236" s="426">
        <v>43189</v>
      </c>
      <c r="BM236" t="s">
        <v>1339</v>
      </c>
      <c r="BN236" s="438">
        <v>1</v>
      </c>
      <c r="BO236" s="438">
        <v>1</v>
      </c>
      <c r="BR236">
        <v>3.2000000000000001E-2</v>
      </c>
      <c r="BS236">
        <v>2.4E-2</v>
      </c>
      <c r="BT236">
        <v>2.4E-2</v>
      </c>
      <c r="BU236">
        <v>0.04</v>
      </c>
      <c r="BV236">
        <v>0.04</v>
      </c>
      <c r="BW236">
        <v>3.9999999999999994E-2</v>
      </c>
      <c r="BX236">
        <v>3.9999999999999994E-2</v>
      </c>
      <c r="BY236">
        <v>8.8888888888888906E-3</v>
      </c>
      <c r="BZ236">
        <v>8.8888888888888906E-3</v>
      </c>
      <c r="CA236">
        <v>8.8888888888888906E-3</v>
      </c>
      <c r="CB236">
        <v>8.8888888888888906E-3</v>
      </c>
      <c r="CC236">
        <v>8.8888888888888906E-3</v>
      </c>
      <c r="CD236">
        <v>8.8888888888888906E-3</v>
      </c>
      <c r="CE236">
        <v>8.8888888888888906E-3</v>
      </c>
      <c r="CF236">
        <v>8.8888888888888906E-3</v>
      </c>
      <c r="CG236">
        <v>8.8888888888888906E-3</v>
      </c>
      <c r="CI236">
        <v>2.8000000000000004E-2</v>
      </c>
      <c r="CJ236">
        <v>2.1000000000000001E-2</v>
      </c>
      <c r="CK236">
        <v>2.1000000000000001E-2</v>
      </c>
      <c r="CL236">
        <v>3.5000000000000003E-2</v>
      </c>
      <c r="CM236">
        <v>3.5000000000000003E-2</v>
      </c>
      <c r="CN236">
        <v>3.5000000000000003E-2</v>
      </c>
      <c r="CO236">
        <v>3.5000000000000003E-2</v>
      </c>
      <c r="CP236">
        <v>7.7777777777777784E-3</v>
      </c>
      <c r="CQ236">
        <v>7.7777777777777784E-3</v>
      </c>
      <c r="CR236">
        <v>7.7777777777777784E-3</v>
      </c>
      <c r="CS236">
        <v>7.7777777777777784E-3</v>
      </c>
      <c r="CT236">
        <v>7.7777777777777784E-3</v>
      </c>
      <c r="CU236">
        <v>7.7777777777777784E-3</v>
      </c>
      <c r="CV236">
        <v>7.7777777777777784E-3</v>
      </c>
      <c r="CW236">
        <v>7.7777777777777784E-3</v>
      </c>
      <c r="CX236">
        <v>7.7777777777777784E-3</v>
      </c>
      <c r="CZ236">
        <v>2.0000000000000004E-2</v>
      </c>
      <c r="DA236">
        <v>1.4999999999999999E-2</v>
      </c>
      <c r="DB236">
        <v>1.4999999999999999E-2</v>
      </c>
      <c r="DC236">
        <v>2.5000000000000001E-2</v>
      </c>
      <c r="DD236">
        <v>2.5000000000000001E-2</v>
      </c>
      <c r="DE236">
        <v>2.5000000000000008E-2</v>
      </c>
      <c r="DF236">
        <v>2.5000000000000008E-2</v>
      </c>
      <c r="DG236">
        <v>5.555555555555554E-3</v>
      </c>
      <c r="DH236">
        <v>5.555555555555554E-3</v>
      </c>
      <c r="DI236">
        <v>5.555555555555554E-3</v>
      </c>
      <c r="DJ236">
        <v>5.555555555555554E-3</v>
      </c>
      <c r="DK236">
        <v>5.555555555555554E-3</v>
      </c>
      <c r="DL236">
        <v>5.555555555555554E-3</v>
      </c>
      <c r="DM236">
        <v>5.555555555555554E-3</v>
      </c>
      <c r="DN236">
        <v>5.555555555555554E-3</v>
      </c>
      <c r="DO236">
        <v>5.555555555555554E-3</v>
      </c>
    </row>
    <row r="237" spans="61:119">
      <c r="BI237" t="str">
        <f t="shared" si="59"/>
        <v>43189IB</v>
      </c>
      <c r="BJ237" s="426">
        <v>43189</v>
      </c>
      <c r="BM237" t="s">
        <v>1354</v>
      </c>
      <c r="BN237" s="438">
        <v>1</v>
      </c>
      <c r="BO237" s="438">
        <v>1</v>
      </c>
      <c r="BR237">
        <v>1.2E-2</v>
      </c>
      <c r="BS237">
        <v>4.2000000000000003E-2</v>
      </c>
      <c r="BT237">
        <v>4.2000000000000003E-2</v>
      </c>
      <c r="BU237">
        <v>1.1999999999999997E-2</v>
      </c>
      <c r="BV237">
        <v>1.1999999999999997E-2</v>
      </c>
      <c r="BW237">
        <v>1.1999999999999997E-2</v>
      </c>
      <c r="BX237">
        <v>1.1999999999999997E-2</v>
      </c>
      <c r="BY237">
        <v>4.0000000000000001E-3</v>
      </c>
      <c r="BZ237">
        <v>4.0000000000000001E-3</v>
      </c>
      <c r="CA237">
        <v>4.0000000000000001E-3</v>
      </c>
      <c r="CB237">
        <v>4.0000000000000001E-3</v>
      </c>
      <c r="CC237">
        <v>4.0000000000000001E-3</v>
      </c>
      <c r="CD237">
        <v>4.0000000000000001E-3</v>
      </c>
      <c r="CE237">
        <v>4.0000000000000001E-3</v>
      </c>
      <c r="CF237">
        <v>4.0000000000000001E-3</v>
      </c>
      <c r="CG237">
        <v>4.0000000000000001E-3</v>
      </c>
      <c r="CI237">
        <v>3.0000000000000001E-3</v>
      </c>
      <c r="CJ237">
        <v>1.0500000000000001E-2</v>
      </c>
      <c r="CK237">
        <v>1.0500000000000001E-2</v>
      </c>
      <c r="CL237">
        <v>2.9999999999999992E-3</v>
      </c>
      <c r="CM237">
        <v>2.9999999999999992E-3</v>
      </c>
      <c r="CN237">
        <v>2.9999999999999992E-3</v>
      </c>
      <c r="CO237">
        <v>2.9999999999999992E-3</v>
      </c>
      <c r="CP237">
        <v>1E-3</v>
      </c>
      <c r="CQ237">
        <v>1E-3</v>
      </c>
      <c r="CR237">
        <v>1E-3</v>
      </c>
      <c r="CS237">
        <v>1E-3</v>
      </c>
      <c r="CT237">
        <v>1E-3</v>
      </c>
      <c r="CU237">
        <v>1E-3</v>
      </c>
      <c r="CV237">
        <v>1E-3</v>
      </c>
      <c r="CW237">
        <v>1E-3</v>
      </c>
      <c r="CX237">
        <v>1E-3</v>
      </c>
      <c r="CZ237">
        <v>1.0000000000000002E-2</v>
      </c>
      <c r="DA237">
        <v>3.5000000000000003E-2</v>
      </c>
      <c r="DB237">
        <v>3.5000000000000003E-2</v>
      </c>
      <c r="DC237">
        <v>9.999999999999995E-3</v>
      </c>
      <c r="DD237">
        <v>9.999999999999995E-3</v>
      </c>
      <c r="DE237">
        <v>9.999999999999995E-3</v>
      </c>
      <c r="DF237">
        <v>9.999999999999995E-3</v>
      </c>
      <c r="DG237">
        <v>3.3333333333333361E-3</v>
      </c>
      <c r="DH237">
        <v>3.3333333333333361E-3</v>
      </c>
      <c r="DI237">
        <v>3.3333333333333361E-3</v>
      </c>
      <c r="DJ237">
        <v>3.3333333333333361E-3</v>
      </c>
      <c r="DK237">
        <v>3.3333333333333361E-3</v>
      </c>
      <c r="DL237">
        <v>3.3333333333333361E-3</v>
      </c>
      <c r="DM237">
        <v>3.3333333333333361E-3</v>
      </c>
      <c r="DN237">
        <v>3.3333333333333361E-3</v>
      </c>
      <c r="DO237">
        <v>3.3333333333333361E-3</v>
      </c>
    </row>
    <row r="238" spans="61:119">
      <c r="BI238" t="str">
        <f t="shared" si="59"/>
        <v>43189AFF</v>
      </c>
      <c r="BJ238" s="426">
        <v>43189</v>
      </c>
      <c r="BM238" t="s">
        <v>1353</v>
      </c>
      <c r="BN238" s="438">
        <v>1</v>
      </c>
      <c r="BO238" s="438">
        <v>1</v>
      </c>
      <c r="BR238">
        <v>1.4999999999999999E-2</v>
      </c>
      <c r="BS238">
        <v>5.2499999999999998E-2</v>
      </c>
      <c r="BT238">
        <v>5.2499999999999998E-2</v>
      </c>
      <c r="BU238">
        <v>1.4999999999999999E-2</v>
      </c>
      <c r="BV238">
        <v>1.4999999999999999E-2</v>
      </c>
      <c r="BW238">
        <v>1.4999999999999999E-2</v>
      </c>
      <c r="BX238">
        <v>1.4999999999999999E-2</v>
      </c>
      <c r="BY238">
        <v>4.9999999999999984E-3</v>
      </c>
      <c r="BZ238">
        <v>4.9999999999999984E-3</v>
      </c>
      <c r="CA238">
        <v>4.9999999999999984E-3</v>
      </c>
      <c r="CB238">
        <v>4.9999999999999984E-3</v>
      </c>
      <c r="CC238">
        <v>4.9999999999999984E-3</v>
      </c>
      <c r="CD238">
        <v>4.9999999999999984E-3</v>
      </c>
      <c r="CE238">
        <v>4.9999999999999984E-3</v>
      </c>
      <c r="CF238">
        <v>4.9999999999999984E-3</v>
      </c>
      <c r="CG238">
        <v>4.9999999999999984E-3</v>
      </c>
      <c r="CI238">
        <v>1.2E-2</v>
      </c>
      <c r="CJ238">
        <v>4.2000000000000003E-2</v>
      </c>
      <c r="CK238">
        <v>4.2000000000000003E-2</v>
      </c>
      <c r="CL238">
        <v>1.1999999999999997E-2</v>
      </c>
      <c r="CM238">
        <v>1.1999999999999997E-2</v>
      </c>
      <c r="CN238">
        <v>1.1999999999999997E-2</v>
      </c>
      <c r="CO238">
        <v>1.1999999999999997E-2</v>
      </c>
      <c r="CP238">
        <v>4.0000000000000001E-3</v>
      </c>
      <c r="CQ238">
        <v>4.0000000000000001E-3</v>
      </c>
      <c r="CR238">
        <v>4.0000000000000001E-3</v>
      </c>
      <c r="CS238">
        <v>4.0000000000000001E-3</v>
      </c>
      <c r="CT238">
        <v>4.0000000000000001E-3</v>
      </c>
      <c r="CU238">
        <v>4.0000000000000001E-3</v>
      </c>
      <c r="CV238">
        <v>4.0000000000000001E-3</v>
      </c>
      <c r="CW238">
        <v>4.0000000000000001E-3</v>
      </c>
      <c r="CX238">
        <v>4.0000000000000001E-3</v>
      </c>
      <c r="CZ238">
        <v>5.000000000000001E-3</v>
      </c>
      <c r="DA238">
        <v>1.7500000000000002E-2</v>
      </c>
      <c r="DB238">
        <v>1.7500000000000002E-2</v>
      </c>
      <c r="DC238">
        <v>4.9999999999999975E-3</v>
      </c>
      <c r="DD238">
        <v>4.9999999999999975E-3</v>
      </c>
      <c r="DE238">
        <v>4.9999999999999975E-3</v>
      </c>
      <c r="DF238">
        <v>4.9999999999999975E-3</v>
      </c>
      <c r="DG238">
        <v>1.6666666666666681E-3</v>
      </c>
      <c r="DH238">
        <v>1.6666666666666681E-3</v>
      </c>
      <c r="DI238">
        <v>1.6666666666666681E-3</v>
      </c>
      <c r="DJ238">
        <v>1.6666666666666681E-3</v>
      </c>
      <c r="DK238">
        <v>1.6666666666666681E-3</v>
      </c>
      <c r="DL238">
        <v>1.6666666666666681E-3</v>
      </c>
      <c r="DM238">
        <v>1.6666666666666681E-3</v>
      </c>
      <c r="DN238">
        <v>1.6666666666666681E-3</v>
      </c>
      <c r="DO238">
        <v>1.6666666666666681E-3</v>
      </c>
    </row>
    <row r="239" spans="61:119">
      <c r="BI239" t="str">
        <f t="shared" si="59"/>
        <v>432201030623FI</v>
      </c>
      <c r="BJ239" s="426">
        <v>43220</v>
      </c>
      <c r="BK239" t="s">
        <v>1360</v>
      </c>
      <c r="BL239" t="s">
        <v>1369</v>
      </c>
      <c r="BM239" t="s">
        <v>1355</v>
      </c>
      <c r="BN239" s="438">
        <v>2</v>
      </c>
      <c r="BO239" s="438">
        <v>1</v>
      </c>
      <c r="BR239">
        <v>4.6000000000000006E-2</v>
      </c>
      <c r="BS239">
        <v>0.16100000000000003</v>
      </c>
      <c r="BT239">
        <v>0.16100000000000003</v>
      </c>
      <c r="BU239">
        <v>4.5999999999999985E-2</v>
      </c>
      <c r="BV239">
        <v>4.5999999999999985E-2</v>
      </c>
      <c r="BW239">
        <v>4.6000000000000013E-2</v>
      </c>
      <c r="BX239">
        <v>4.6000000000000013E-2</v>
      </c>
      <c r="BY239">
        <v>1.5333333333333334E-2</v>
      </c>
      <c r="BZ239">
        <v>1.5333333333333334E-2</v>
      </c>
      <c r="CA239">
        <v>1.5333333333333334E-2</v>
      </c>
      <c r="CB239">
        <v>1.5333333333333334E-2</v>
      </c>
      <c r="CC239">
        <v>1.5333333333333334E-2</v>
      </c>
      <c r="CD239">
        <v>1.5333333333333334E-2</v>
      </c>
      <c r="CE239">
        <v>1.5333333333333334E-2</v>
      </c>
      <c r="CF239">
        <v>1.5333333333333334E-2</v>
      </c>
      <c r="CG239">
        <v>1.5333333333333334E-2</v>
      </c>
      <c r="CI239">
        <v>4.0000000000000008E-2</v>
      </c>
      <c r="CJ239">
        <v>0.14000000000000001</v>
      </c>
      <c r="CK239">
        <v>0.14000000000000001</v>
      </c>
      <c r="CL239">
        <v>3.999999999999998E-2</v>
      </c>
      <c r="CM239">
        <v>3.999999999999998E-2</v>
      </c>
      <c r="CN239">
        <v>3.999999999999998E-2</v>
      </c>
      <c r="CO239">
        <v>3.999999999999998E-2</v>
      </c>
      <c r="CP239">
        <v>1.3333333333333345E-2</v>
      </c>
      <c r="CQ239">
        <v>1.3333333333333345E-2</v>
      </c>
      <c r="CR239">
        <v>1.3333333333333345E-2</v>
      </c>
      <c r="CS239">
        <v>1.3333333333333345E-2</v>
      </c>
      <c r="CT239">
        <v>1.3333333333333345E-2</v>
      </c>
      <c r="CU239">
        <v>1.3333333333333345E-2</v>
      </c>
      <c r="CV239">
        <v>1.3333333333333345E-2</v>
      </c>
      <c r="CW239">
        <v>1.3333333333333345E-2</v>
      </c>
      <c r="CX239">
        <v>1.3333333333333345E-2</v>
      </c>
      <c r="CZ239">
        <v>0.03</v>
      </c>
      <c r="DA239">
        <v>0.105</v>
      </c>
      <c r="DB239">
        <v>0.105</v>
      </c>
      <c r="DC239">
        <v>0.03</v>
      </c>
      <c r="DD239">
        <v>0.03</v>
      </c>
      <c r="DE239">
        <v>0.03</v>
      </c>
      <c r="DF239">
        <v>0.03</v>
      </c>
      <c r="DG239">
        <v>9.9999999999999967E-3</v>
      </c>
      <c r="DH239">
        <v>9.9999999999999967E-3</v>
      </c>
      <c r="DI239">
        <v>9.9999999999999967E-3</v>
      </c>
      <c r="DJ239">
        <v>9.9999999999999967E-3</v>
      </c>
      <c r="DK239">
        <v>9.9999999999999967E-3</v>
      </c>
      <c r="DL239">
        <v>9.9999999999999967E-3</v>
      </c>
      <c r="DM239">
        <v>9.9999999999999967E-3</v>
      </c>
      <c r="DN239">
        <v>9.9999999999999967E-3</v>
      </c>
      <c r="DO239">
        <v>9.9999999999999967E-3</v>
      </c>
    </row>
    <row r="240" spans="61:119">
      <c r="BI240" t="str">
        <f t="shared" si="59"/>
        <v>432201000526FI</v>
      </c>
      <c r="BJ240" s="426">
        <v>43220</v>
      </c>
      <c r="BK240" t="s">
        <v>1363</v>
      </c>
      <c r="BL240" t="s">
        <v>1368</v>
      </c>
      <c r="BM240" t="s">
        <v>1355</v>
      </c>
      <c r="BN240" s="438">
        <v>2</v>
      </c>
      <c r="BO240" s="438">
        <v>1</v>
      </c>
      <c r="BR240">
        <v>4.6000000000000006E-2</v>
      </c>
      <c r="BS240">
        <v>0.16100000000000003</v>
      </c>
      <c r="BT240">
        <v>0.16100000000000003</v>
      </c>
      <c r="BU240">
        <v>4.5999999999999985E-2</v>
      </c>
      <c r="BV240">
        <v>4.5999999999999985E-2</v>
      </c>
      <c r="BW240">
        <v>4.6000000000000013E-2</v>
      </c>
      <c r="BX240">
        <v>4.6000000000000013E-2</v>
      </c>
      <c r="BY240">
        <v>1.5333333333333334E-2</v>
      </c>
      <c r="BZ240">
        <v>1.5333333333333334E-2</v>
      </c>
      <c r="CA240">
        <v>1.5333333333333334E-2</v>
      </c>
      <c r="CB240">
        <v>1.5333333333333334E-2</v>
      </c>
      <c r="CC240">
        <v>1.5333333333333334E-2</v>
      </c>
      <c r="CD240">
        <v>1.5333333333333334E-2</v>
      </c>
      <c r="CE240">
        <v>1.5333333333333334E-2</v>
      </c>
      <c r="CF240">
        <v>1.5333333333333334E-2</v>
      </c>
      <c r="CG240">
        <v>1.5333333333333334E-2</v>
      </c>
      <c r="CI240">
        <v>4.0000000000000008E-2</v>
      </c>
      <c r="CJ240">
        <v>0.14000000000000001</v>
      </c>
      <c r="CK240">
        <v>0.14000000000000001</v>
      </c>
      <c r="CL240">
        <v>3.999999999999998E-2</v>
      </c>
      <c r="CM240">
        <v>3.999999999999998E-2</v>
      </c>
      <c r="CN240">
        <v>3.999999999999998E-2</v>
      </c>
      <c r="CO240">
        <v>3.999999999999998E-2</v>
      </c>
      <c r="CP240">
        <v>1.3333333333333345E-2</v>
      </c>
      <c r="CQ240">
        <v>1.3333333333333345E-2</v>
      </c>
      <c r="CR240">
        <v>1.3333333333333345E-2</v>
      </c>
      <c r="CS240">
        <v>1.3333333333333345E-2</v>
      </c>
      <c r="CT240">
        <v>1.3333333333333345E-2</v>
      </c>
      <c r="CU240">
        <v>1.3333333333333345E-2</v>
      </c>
      <c r="CV240">
        <v>1.3333333333333345E-2</v>
      </c>
      <c r="CW240">
        <v>1.3333333333333345E-2</v>
      </c>
      <c r="CX240">
        <v>1.3333333333333345E-2</v>
      </c>
      <c r="CZ240">
        <v>0.03</v>
      </c>
      <c r="DA240">
        <v>0.105</v>
      </c>
      <c r="DB240">
        <v>0.105</v>
      </c>
      <c r="DC240">
        <v>0.03</v>
      </c>
      <c r="DD240">
        <v>0.03</v>
      </c>
      <c r="DE240">
        <v>0.03</v>
      </c>
      <c r="DF240">
        <v>0.03</v>
      </c>
      <c r="DG240">
        <v>9.9999999999999967E-3</v>
      </c>
      <c r="DH240">
        <v>9.9999999999999967E-3</v>
      </c>
      <c r="DI240">
        <v>9.9999999999999967E-3</v>
      </c>
      <c r="DJ240">
        <v>9.9999999999999967E-3</v>
      </c>
      <c r="DK240">
        <v>9.9999999999999967E-3</v>
      </c>
      <c r="DL240">
        <v>9.9999999999999967E-3</v>
      </c>
      <c r="DM240">
        <v>9.9999999999999967E-3</v>
      </c>
      <c r="DN240">
        <v>9.9999999999999967E-3</v>
      </c>
      <c r="DO240">
        <v>9.9999999999999967E-3</v>
      </c>
    </row>
    <row r="241" spans="61:119">
      <c r="BI241" t="str">
        <f t="shared" si="59"/>
        <v>432201000790IB</v>
      </c>
      <c r="BJ241" s="426">
        <v>43220</v>
      </c>
      <c r="BK241" t="s">
        <v>1358</v>
      </c>
      <c r="BL241" t="s">
        <v>1371</v>
      </c>
      <c r="BM241" t="s">
        <v>1354</v>
      </c>
      <c r="BN241" s="438">
        <v>1.7250261595029626</v>
      </c>
      <c r="BO241" s="438">
        <v>1</v>
      </c>
      <c r="BR241">
        <v>2.0700313914035554E-2</v>
      </c>
      <c r="BS241">
        <v>7.2451098699124444E-2</v>
      </c>
      <c r="BT241">
        <v>7.2451098699124444E-2</v>
      </c>
      <c r="BU241">
        <v>2.070031391403554E-2</v>
      </c>
      <c r="BV241">
        <v>2.070031391403554E-2</v>
      </c>
      <c r="BW241">
        <v>2.070031391403554E-2</v>
      </c>
      <c r="BX241">
        <v>2.070031391403554E-2</v>
      </c>
      <c r="BY241">
        <v>6.9001046380118523E-3</v>
      </c>
      <c r="BZ241">
        <v>6.9001046380118523E-3</v>
      </c>
      <c r="CA241">
        <v>6.9001046380118523E-3</v>
      </c>
      <c r="CB241">
        <v>6.9001046380118523E-3</v>
      </c>
      <c r="CC241">
        <v>6.9001046380118523E-3</v>
      </c>
      <c r="CD241">
        <v>6.9001046380118523E-3</v>
      </c>
      <c r="CE241">
        <v>6.9001046380118523E-3</v>
      </c>
      <c r="CF241">
        <v>6.9001046380118523E-3</v>
      </c>
      <c r="CG241">
        <v>6.9001046380118523E-3</v>
      </c>
      <c r="CI241">
        <v>5.1750784785088884E-3</v>
      </c>
      <c r="CJ241">
        <v>1.8112774674781111E-2</v>
      </c>
      <c r="CK241">
        <v>1.8112774674781111E-2</v>
      </c>
      <c r="CL241">
        <v>5.1750784785088849E-3</v>
      </c>
      <c r="CM241">
        <v>5.1750784785088849E-3</v>
      </c>
      <c r="CN241">
        <v>5.1750784785088849E-3</v>
      </c>
      <c r="CO241">
        <v>5.1750784785088849E-3</v>
      </c>
      <c r="CP241">
        <v>1.7250261595029631E-3</v>
      </c>
      <c r="CQ241">
        <v>1.7250261595029631E-3</v>
      </c>
      <c r="CR241">
        <v>1.7250261595029631E-3</v>
      </c>
      <c r="CS241">
        <v>1.7250261595029631E-3</v>
      </c>
      <c r="CT241">
        <v>1.7250261595029631E-3</v>
      </c>
      <c r="CU241">
        <v>1.7250261595029631E-3</v>
      </c>
      <c r="CV241">
        <v>1.7250261595029631E-3</v>
      </c>
      <c r="CW241">
        <v>1.7250261595029631E-3</v>
      </c>
      <c r="CX241">
        <v>1.7250261595029631E-3</v>
      </c>
      <c r="CZ241">
        <v>1.7250261595029626E-2</v>
      </c>
      <c r="DA241">
        <v>6.037591558260369E-2</v>
      </c>
      <c r="DB241">
        <v>6.037591558260369E-2</v>
      </c>
      <c r="DC241">
        <v>1.7250261595029626E-2</v>
      </c>
      <c r="DD241">
        <v>1.7250261595029626E-2</v>
      </c>
      <c r="DE241">
        <v>1.7250261595029626E-2</v>
      </c>
      <c r="DF241">
        <v>1.7250261595029626E-2</v>
      </c>
      <c r="DG241">
        <v>5.7500871983432083E-3</v>
      </c>
      <c r="DH241">
        <v>5.7500871983432083E-3</v>
      </c>
      <c r="DI241">
        <v>5.7500871983432083E-3</v>
      </c>
      <c r="DJ241">
        <v>5.7500871983432083E-3</v>
      </c>
      <c r="DK241">
        <v>5.7500871983432083E-3</v>
      </c>
      <c r="DL241">
        <v>5.7500871983432083E-3</v>
      </c>
      <c r="DM241">
        <v>5.7500871983432083E-3</v>
      </c>
      <c r="DN241">
        <v>5.7500871983432083E-3</v>
      </c>
      <c r="DO241">
        <v>5.7500871983432083E-3</v>
      </c>
    </row>
    <row r="242" spans="61:119">
      <c r="BI242" t="str">
        <f t="shared" si="59"/>
        <v>432201167651FI</v>
      </c>
      <c r="BJ242" s="426">
        <v>43220</v>
      </c>
      <c r="BK242" t="s">
        <v>1687</v>
      </c>
      <c r="BL242" t="s">
        <v>1688</v>
      </c>
      <c r="BM242" t="s">
        <v>1355</v>
      </c>
      <c r="BN242" s="438">
        <v>1.496434400287235</v>
      </c>
      <c r="BO242" s="438">
        <v>0.19911806557748227</v>
      </c>
      <c r="BR242">
        <v>0.14587544798978141</v>
      </c>
      <c r="BS242">
        <v>0.30203076172474619</v>
      </c>
      <c r="BT242">
        <v>0.30203076172474619</v>
      </c>
      <c r="BU242">
        <v>6.8532438301223131E-3</v>
      </c>
      <c r="BV242">
        <v>6.8532438301223131E-3</v>
      </c>
      <c r="BW242">
        <v>5.9738700642233189E-2</v>
      </c>
      <c r="BX242">
        <v>5.9738700642233189E-2</v>
      </c>
      <c r="BY242">
        <v>2.2844146100407586E-3</v>
      </c>
      <c r="BZ242">
        <v>2.2844146100407586E-3</v>
      </c>
      <c r="CA242">
        <v>2.2844146100407586E-3</v>
      </c>
      <c r="CB242">
        <v>2.2844146100407586E-3</v>
      </c>
      <c r="CC242">
        <v>2.2844146100407586E-3</v>
      </c>
      <c r="CD242">
        <v>2.2844146100407586E-3</v>
      </c>
      <c r="CE242">
        <v>2.2844146100407586E-3</v>
      </c>
      <c r="CF242">
        <v>2.2844146100407586E-3</v>
      </c>
      <c r="CG242">
        <v>2.2844146100407586E-3</v>
      </c>
      <c r="CI242">
        <v>0.13779074295720439</v>
      </c>
      <c r="CJ242">
        <v>0.28452049960587261</v>
      </c>
      <c r="CK242">
        <v>0.28452049960587261</v>
      </c>
      <c r="CL242">
        <v>5.9593424609759027E-3</v>
      </c>
      <c r="CM242">
        <v>5.9593424609759027E-3</v>
      </c>
      <c r="CN242">
        <v>7.187504270909012E-2</v>
      </c>
      <c r="CO242">
        <v>7.187504270909012E-2</v>
      </c>
      <c r="CP242">
        <v>3.0857287586749165E-3</v>
      </c>
      <c r="CQ242">
        <v>3.0857287586749165E-3</v>
      </c>
      <c r="CR242">
        <v>3.0857287586749165E-3</v>
      </c>
      <c r="CS242">
        <v>3.0857287586749165E-3</v>
      </c>
      <c r="CT242">
        <v>3.0857287586749165E-3</v>
      </c>
      <c r="CU242">
        <v>3.0857287586749165E-3</v>
      </c>
      <c r="CV242">
        <v>3.0857287586749165E-3</v>
      </c>
      <c r="CW242">
        <v>3.0857287586749165E-3</v>
      </c>
      <c r="CX242">
        <v>3.0857287586749165E-3</v>
      </c>
      <c r="CZ242">
        <v>6.4392870707653968E-2</v>
      </c>
      <c r="DA242">
        <v>0.13549000168390579</v>
      </c>
      <c r="DB242">
        <v>0.13549000168390579</v>
      </c>
      <c r="DC242">
        <v>4.4695068457318854E-3</v>
      </c>
      <c r="DD242">
        <v>4.4695068457318854E-3</v>
      </c>
      <c r="DE242">
        <v>3.4431188776692906E-2</v>
      </c>
      <c r="DF242">
        <v>3.4431188776692906E-2</v>
      </c>
      <c r="DG242">
        <v>1.1477062925564318E-2</v>
      </c>
      <c r="DH242">
        <v>1.1477062925564318E-2</v>
      </c>
      <c r="DI242">
        <v>1.1477062925564318E-2</v>
      </c>
      <c r="DJ242">
        <v>1.1477062925564318E-2</v>
      </c>
      <c r="DK242">
        <v>1.1477062925564318E-2</v>
      </c>
      <c r="DL242">
        <v>1.1477062925564318E-2</v>
      </c>
      <c r="DM242">
        <v>1.1477062925564318E-2</v>
      </c>
      <c r="DN242">
        <v>1.1477062925564318E-2</v>
      </c>
      <c r="DO242">
        <v>1.1477062925564318E-2</v>
      </c>
    </row>
    <row r="243" spans="61:119">
      <c r="BI243" t="str">
        <f t="shared" si="59"/>
        <v>432201151227FI</v>
      </c>
      <c r="BJ243" s="426">
        <v>43220</v>
      </c>
      <c r="BK243" t="s">
        <v>1362</v>
      </c>
      <c r="BL243" t="s">
        <v>1372</v>
      </c>
      <c r="BM243" t="s">
        <v>1355</v>
      </c>
      <c r="BN243" s="438">
        <v>1.496434400287235</v>
      </c>
      <c r="BO243" s="438">
        <v>0.19911806557748227</v>
      </c>
      <c r="BR243">
        <v>0.14587544798978141</v>
      </c>
      <c r="BS243">
        <v>0.30203076172474619</v>
      </c>
      <c r="BT243">
        <v>0.30203076172474619</v>
      </c>
      <c r="BU243">
        <v>6.8532438301223131E-3</v>
      </c>
      <c r="BV243">
        <v>6.8532438301223131E-3</v>
      </c>
      <c r="BW243">
        <v>5.9738700642233189E-2</v>
      </c>
      <c r="BX243">
        <v>5.9738700642233189E-2</v>
      </c>
      <c r="BY243">
        <v>2.2844146100407586E-3</v>
      </c>
      <c r="BZ243">
        <v>2.2844146100407586E-3</v>
      </c>
      <c r="CA243">
        <v>2.2844146100407586E-3</v>
      </c>
      <c r="CB243">
        <v>2.2844146100407586E-3</v>
      </c>
      <c r="CC243">
        <v>2.2844146100407586E-3</v>
      </c>
      <c r="CD243">
        <v>2.2844146100407586E-3</v>
      </c>
      <c r="CE243">
        <v>2.2844146100407586E-3</v>
      </c>
      <c r="CF243">
        <v>2.2844146100407586E-3</v>
      </c>
      <c r="CG243">
        <v>2.2844146100407586E-3</v>
      </c>
      <c r="CI243">
        <v>0.13779074295720439</v>
      </c>
      <c r="CJ243">
        <v>0.28452049960587261</v>
      </c>
      <c r="CK243">
        <v>0.28452049960587261</v>
      </c>
      <c r="CL243">
        <v>5.9593424609759027E-3</v>
      </c>
      <c r="CM243">
        <v>5.9593424609759027E-3</v>
      </c>
      <c r="CN243">
        <v>7.187504270909012E-2</v>
      </c>
      <c r="CO243">
        <v>7.187504270909012E-2</v>
      </c>
      <c r="CP243">
        <v>3.0857287586749165E-3</v>
      </c>
      <c r="CQ243">
        <v>3.0857287586749165E-3</v>
      </c>
      <c r="CR243">
        <v>3.0857287586749165E-3</v>
      </c>
      <c r="CS243">
        <v>3.0857287586749165E-3</v>
      </c>
      <c r="CT243">
        <v>3.0857287586749165E-3</v>
      </c>
      <c r="CU243">
        <v>3.0857287586749165E-3</v>
      </c>
      <c r="CV243">
        <v>3.0857287586749165E-3</v>
      </c>
      <c r="CW243">
        <v>3.0857287586749165E-3</v>
      </c>
      <c r="CX243">
        <v>3.0857287586749165E-3</v>
      </c>
      <c r="CZ243">
        <v>6.4392870707653968E-2</v>
      </c>
      <c r="DA243">
        <v>0.13549000168390579</v>
      </c>
      <c r="DB243">
        <v>0.13549000168390579</v>
      </c>
      <c r="DC243">
        <v>4.4695068457318854E-3</v>
      </c>
      <c r="DD243">
        <v>4.4695068457318854E-3</v>
      </c>
      <c r="DE243">
        <v>3.4431188776692906E-2</v>
      </c>
      <c r="DF243">
        <v>3.4431188776692906E-2</v>
      </c>
      <c r="DG243">
        <v>1.1477062925564318E-2</v>
      </c>
      <c r="DH243">
        <v>1.1477062925564318E-2</v>
      </c>
      <c r="DI243">
        <v>1.1477062925564318E-2</v>
      </c>
      <c r="DJ243">
        <v>1.1477062925564318E-2</v>
      </c>
      <c r="DK243">
        <v>1.1477062925564318E-2</v>
      </c>
      <c r="DL243">
        <v>1.1477062925564318E-2</v>
      </c>
      <c r="DM243">
        <v>1.1477062925564318E-2</v>
      </c>
      <c r="DN243">
        <v>1.1477062925564318E-2</v>
      </c>
      <c r="DO243">
        <v>1.1477062925564318E-2</v>
      </c>
    </row>
    <row r="244" spans="61:119">
      <c r="BI244" t="str">
        <f t="shared" si="59"/>
        <v>432201000800IB</v>
      </c>
      <c r="BJ244" s="426">
        <v>43220</v>
      </c>
      <c r="BK244" t="s">
        <v>1423</v>
      </c>
      <c r="BL244" t="s">
        <v>1421</v>
      </c>
      <c r="BM244" t="s">
        <v>1354</v>
      </c>
      <c r="BN244" s="438">
        <v>1.0192020678014817</v>
      </c>
      <c r="BO244" s="438">
        <v>1</v>
      </c>
      <c r="BR244">
        <v>1.2230424813617781E-2</v>
      </c>
      <c r="BS244">
        <v>4.2806486847662237E-2</v>
      </c>
      <c r="BT244">
        <v>4.2806486847662237E-2</v>
      </c>
      <c r="BU244">
        <v>1.2230424813617774E-2</v>
      </c>
      <c r="BV244">
        <v>1.2230424813617774E-2</v>
      </c>
      <c r="BW244">
        <v>1.2230424813617774E-2</v>
      </c>
      <c r="BX244">
        <v>1.2230424813617774E-2</v>
      </c>
      <c r="BY244">
        <v>4.0768082712059278E-3</v>
      </c>
      <c r="BZ244">
        <v>4.0768082712059278E-3</v>
      </c>
      <c r="CA244">
        <v>4.0768082712059278E-3</v>
      </c>
      <c r="CB244">
        <v>4.0768082712059278E-3</v>
      </c>
      <c r="CC244">
        <v>4.0768082712059278E-3</v>
      </c>
      <c r="CD244">
        <v>4.0768082712059278E-3</v>
      </c>
      <c r="CE244">
        <v>4.0768082712059278E-3</v>
      </c>
      <c r="CF244">
        <v>4.0768082712059278E-3</v>
      </c>
      <c r="CG244">
        <v>4.0768082712059278E-3</v>
      </c>
      <c r="CI244">
        <v>3.0576062034044452E-3</v>
      </c>
      <c r="CJ244">
        <v>1.0701621711915559E-2</v>
      </c>
      <c r="CK244">
        <v>1.0701621711915559E-2</v>
      </c>
      <c r="CL244">
        <v>3.0576062034044435E-3</v>
      </c>
      <c r="CM244">
        <v>3.0576062034044435E-3</v>
      </c>
      <c r="CN244">
        <v>3.0576062034044435E-3</v>
      </c>
      <c r="CO244">
        <v>3.0576062034044435E-3</v>
      </c>
      <c r="CP244">
        <v>1.019202067801482E-3</v>
      </c>
      <c r="CQ244">
        <v>1.019202067801482E-3</v>
      </c>
      <c r="CR244">
        <v>1.019202067801482E-3</v>
      </c>
      <c r="CS244">
        <v>1.019202067801482E-3</v>
      </c>
      <c r="CT244">
        <v>1.019202067801482E-3</v>
      </c>
      <c r="CU244">
        <v>1.019202067801482E-3</v>
      </c>
      <c r="CV244">
        <v>1.019202067801482E-3</v>
      </c>
      <c r="CW244">
        <v>1.019202067801482E-3</v>
      </c>
      <c r="CX244">
        <v>1.019202067801482E-3</v>
      </c>
      <c r="CZ244">
        <v>1.0192020678014819E-2</v>
      </c>
      <c r="DA244">
        <v>3.5672072373051866E-2</v>
      </c>
      <c r="DB244">
        <v>3.5672072373051866E-2</v>
      </c>
      <c r="DC244">
        <v>1.0192020678014814E-2</v>
      </c>
      <c r="DD244">
        <v>1.0192020678014814E-2</v>
      </c>
      <c r="DE244">
        <v>1.0192020678014814E-2</v>
      </c>
      <c r="DF244">
        <v>1.0192020678014814E-2</v>
      </c>
      <c r="DG244">
        <v>3.3973402260049405E-3</v>
      </c>
      <c r="DH244">
        <v>3.3973402260049405E-3</v>
      </c>
      <c r="DI244">
        <v>3.3973402260049405E-3</v>
      </c>
      <c r="DJ244">
        <v>3.3973402260049405E-3</v>
      </c>
      <c r="DK244">
        <v>3.3973402260049405E-3</v>
      </c>
      <c r="DL244">
        <v>3.3973402260049405E-3</v>
      </c>
      <c r="DM244">
        <v>3.3973402260049405E-3</v>
      </c>
      <c r="DN244">
        <v>3.3973402260049405E-3</v>
      </c>
      <c r="DO244">
        <v>3.3973402260049405E-3</v>
      </c>
    </row>
    <row r="245" spans="61:119">
      <c r="BI245" t="str">
        <f t="shared" si="59"/>
        <v>432201141467FI</v>
      </c>
      <c r="BJ245" s="426">
        <v>43220</v>
      </c>
      <c r="BK245" t="s">
        <v>1375</v>
      </c>
      <c r="BL245" t="s">
        <v>1376</v>
      </c>
      <c r="BM245" t="s">
        <v>1355</v>
      </c>
      <c r="BN245" s="438">
        <v>2</v>
      </c>
      <c r="BO245" s="438">
        <v>1</v>
      </c>
      <c r="BR245">
        <v>4.6000000000000006E-2</v>
      </c>
      <c r="BS245">
        <v>0.16100000000000003</v>
      </c>
      <c r="BT245">
        <v>0.16100000000000003</v>
      </c>
      <c r="BU245">
        <v>4.5999999999999985E-2</v>
      </c>
      <c r="BV245">
        <v>4.5999999999999985E-2</v>
      </c>
      <c r="BW245">
        <v>4.6000000000000013E-2</v>
      </c>
      <c r="BX245">
        <v>4.6000000000000013E-2</v>
      </c>
      <c r="BY245">
        <v>1.5333333333333334E-2</v>
      </c>
      <c r="BZ245">
        <v>1.5333333333333334E-2</v>
      </c>
      <c r="CA245">
        <v>1.5333333333333334E-2</v>
      </c>
      <c r="CB245">
        <v>1.5333333333333334E-2</v>
      </c>
      <c r="CC245">
        <v>1.5333333333333334E-2</v>
      </c>
      <c r="CD245">
        <v>1.5333333333333334E-2</v>
      </c>
      <c r="CE245">
        <v>1.5333333333333334E-2</v>
      </c>
      <c r="CF245">
        <v>1.5333333333333334E-2</v>
      </c>
      <c r="CG245">
        <v>1.5333333333333334E-2</v>
      </c>
      <c r="CI245">
        <v>4.0000000000000008E-2</v>
      </c>
      <c r="CJ245">
        <v>0.14000000000000001</v>
      </c>
      <c r="CK245">
        <v>0.14000000000000001</v>
      </c>
      <c r="CL245">
        <v>3.999999999999998E-2</v>
      </c>
      <c r="CM245">
        <v>3.999999999999998E-2</v>
      </c>
      <c r="CN245">
        <v>3.999999999999998E-2</v>
      </c>
      <c r="CO245">
        <v>3.999999999999998E-2</v>
      </c>
      <c r="CP245">
        <v>1.3333333333333345E-2</v>
      </c>
      <c r="CQ245">
        <v>1.3333333333333345E-2</v>
      </c>
      <c r="CR245">
        <v>1.3333333333333345E-2</v>
      </c>
      <c r="CS245">
        <v>1.3333333333333345E-2</v>
      </c>
      <c r="CT245">
        <v>1.3333333333333345E-2</v>
      </c>
      <c r="CU245">
        <v>1.3333333333333345E-2</v>
      </c>
      <c r="CV245">
        <v>1.3333333333333345E-2</v>
      </c>
      <c r="CW245">
        <v>1.3333333333333345E-2</v>
      </c>
      <c r="CX245">
        <v>1.3333333333333345E-2</v>
      </c>
      <c r="CZ245">
        <v>0.03</v>
      </c>
      <c r="DA245">
        <v>0.105</v>
      </c>
      <c r="DB245">
        <v>0.105</v>
      </c>
      <c r="DC245">
        <v>0.03</v>
      </c>
      <c r="DD245">
        <v>0.03</v>
      </c>
      <c r="DE245">
        <v>0.03</v>
      </c>
      <c r="DF245">
        <v>0.03</v>
      </c>
      <c r="DG245">
        <v>9.9999999999999967E-3</v>
      </c>
      <c r="DH245">
        <v>9.9999999999999967E-3</v>
      </c>
      <c r="DI245">
        <v>9.9999999999999967E-3</v>
      </c>
      <c r="DJ245">
        <v>9.9999999999999967E-3</v>
      </c>
      <c r="DK245">
        <v>9.9999999999999967E-3</v>
      </c>
      <c r="DL245">
        <v>9.9999999999999967E-3</v>
      </c>
      <c r="DM245">
        <v>9.9999999999999967E-3</v>
      </c>
      <c r="DN245">
        <v>9.9999999999999967E-3</v>
      </c>
      <c r="DO245">
        <v>9.9999999999999967E-3</v>
      </c>
    </row>
    <row r="246" spans="61:119">
      <c r="BI246" t="str">
        <f t="shared" si="59"/>
        <v>432201147542CME</v>
      </c>
      <c r="BJ246" s="426">
        <v>43220</v>
      </c>
      <c r="BK246" t="s">
        <v>1361</v>
      </c>
      <c r="BL246" t="s">
        <v>1370</v>
      </c>
      <c r="BM246" t="s">
        <v>1321</v>
      </c>
      <c r="BN246" s="438">
        <v>1</v>
      </c>
      <c r="BO246" s="438">
        <v>1</v>
      </c>
      <c r="BR246">
        <v>8.0000000000000016E-2</v>
      </c>
      <c r="BS246">
        <v>0.16</v>
      </c>
      <c r="BT246">
        <v>0.16</v>
      </c>
      <c r="BU246">
        <v>0</v>
      </c>
      <c r="BV246">
        <v>0</v>
      </c>
      <c r="BW246">
        <v>3.999999999999998E-2</v>
      </c>
      <c r="BX246">
        <v>3.999999999999998E-2</v>
      </c>
      <c r="BY246">
        <v>1.3333333333333345E-2</v>
      </c>
      <c r="BZ246">
        <v>1.3333333333333345E-2</v>
      </c>
      <c r="CA246">
        <v>1.3333333333333345E-2</v>
      </c>
      <c r="CB246">
        <v>1.3333333333333345E-2</v>
      </c>
      <c r="CC246">
        <v>1.3333333333333345E-2</v>
      </c>
      <c r="CD246">
        <v>1.3333333333333345E-2</v>
      </c>
      <c r="CE246">
        <v>1.3333333333333345E-2</v>
      </c>
      <c r="CF246">
        <v>1.3333333333333345E-2</v>
      </c>
      <c r="CG246">
        <v>1.3333333333333345E-2</v>
      </c>
      <c r="CI246">
        <v>6.9999999999999993E-2</v>
      </c>
      <c r="CJ246">
        <v>0.13999999999999999</v>
      </c>
      <c r="CK246">
        <v>0.13999999999999999</v>
      </c>
      <c r="CL246">
        <v>0</v>
      </c>
      <c r="CM246">
        <v>0</v>
      </c>
      <c r="CN246">
        <v>3.5000000000000003E-2</v>
      </c>
      <c r="CO246">
        <v>3.5000000000000003E-2</v>
      </c>
      <c r="CP246">
        <v>1.1666666666666659E-2</v>
      </c>
      <c r="CQ246">
        <v>1.1666666666666659E-2</v>
      </c>
      <c r="CR246">
        <v>1.1666666666666659E-2</v>
      </c>
      <c r="CS246">
        <v>1.1666666666666659E-2</v>
      </c>
      <c r="CT246">
        <v>1.1666666666666659E-2</v>
      </c>
      <c r="CU246">
        <v>1.1666666666666659E-2</v>
      </c>
      <c r="CV246">
        <v>1.1666666666666659E-2</v>
      </c>
      <c r="CW246">
        <v>1.1666666666666659E-2</v>
      </c>
      <c r="CX246">
        <v>1.1666666666666659E-2</v>
      </c>
      <c r="CZ246">
        <v>4.0000000000000008E-2</v>
      </c>
      <c r="DA246">
        <v>0.08</v>
      </c>
      <c r="DB246">
        <v>0.08</v>
      </c>
      <c r="DC246">
        <v>0</v>
      </c>
      <c r="DD246">
        <v>0</v>
      </c>
      <c r="DE246">
        <v>1.999999999999999E-2</v>
      </c>
      <c r="DF246">
        <v>1.999999999999999E-2</v>
      </c>
      <c r="DG246">
        <v>6.6666666666666723E-3</v>
      </c>
      <c r="DH246">
        <v>6.6666666666666723E-3</v>
      </c>
      <c r="DI246">
        <v>6.6666666666666723E-3</v>
      </c>
      <c r="DJ246">
        <v>6.6666666666666723E-3</v>
      </c>
      <c r="DK246">
        <v>6.6666666666666723E-3</v>
      </c>
      <c r="DL246">
        <v>6.6666666666666723E-3</v>
      </c>
      <c r="DM246">
        <v>6.6666666666666723E-3</v>
      </c>
      <c r="DN246">
        <v>6.6666666666666723E-3</v>
      </c>
      <c r="DO246">
        <v>6.6666666666666723E-3</v>
      </c>
    </row>
    <row r="247" spans="61:119">
      <c r="BI247" t="str">
        <f t="shared" si="59"/>
        <v>43220FI</v>
      </c>
      <c r="BJ247" s="426">
        <v>43220</v>
      </c>
      <c r="BM247" t="s">
        <v>1355</v>
      </c>
      <c r="BN247" s="438">
        <v>1</v>
      </c>
      <c r="BO247" s="438">
        <v>1</v>
      </c>
      <c r="BR247">
        <v>2.3000000000000003E-2</v>
      </c>
      <c r="BS247">
        <v>8.0500000000000016E-2</v>
      </c>
      <c r="BT247">
        <v>8.0500000000000016E-2</v>
      </c>
      <c r="BU247">
        <v>2.2999999999999993E-2</v>
      </c>
      <c r="BV247">
        <v>2.2999999999999993E-2</v>
      </c>
      <c r="BW247">
        <v>2.3000000000000007E-2</v>
      </c>
      <c r="BX247">
        <v>2.3000000000000007E-2</v>
      </c>
      <c r="BY247">
        <v>7.6666666666666671E-3</v>
      </c>
      <c r="BZ247">
        <v>7.6666666666666671E-3</v>
      </c>
      <c r="CA247">
        <v>7.6666666666666671E-3</v>
      </c>
      <c r="CB247">
        <v>7.6666666666666671E-3</v>
      </c>
      <c r="CC247">
        <v>7.6666666666666671E-3</v>
      </c>
      <c r="CD247">
        <v>7.6666666666666671E-3</v>
      </c>
      <c r="CE247">
        <v>7.6666666666666671E-3</v>
      </c>
      <c r="CF247">
        <v>7.6666666666666671E-3</v>
      </c>
      <c r="CG247">
        <v>7.6666666666666671E-3</v>
      </c>
      <c r="CI247">
        <v>2.0000000000000004E-2</v>
      </c>
      <c r="CJ247">
        <v>7.0000000000000007E-2</v>
      </c>
      <c r="CK247">
        <v>7.0000000000000007E-2</v>
      </c>
      <c r="CL247">
        <v>1.999999999999999E-2</v>
      </c>
      <c r="CM247">
        <v>1.999999999999999E-2</v>
      </c>
      <c r="CN247">
        <v>1.999999999999999E-2</v>
      </c>
      <c r="CO247">
        <v>1.999999999999999E-2</v>
      </c>
      <c r="CP247">
        <v>6.6666666666666723E-3</v>
      </c>
      <c r="CQ247">
        <v>6.6666666666666723E-3</v>
      </c>
      <c r="CR247">
        <v>6.6666666666666723E-3</v>
      </c>
      <c r="CS247">
        <v>6.6666666666666723E-3</v>
      </c>
      <c r="CT247">
        <v>6.6666666666666723E-3</v>
      </c>
      <c r="CU247">
        <v>6.6666666666666723E-3</v>
      </c>
      <c r="CV247">
        <v>6.6666666666666723E-3</v>
      </c>
      <c r="CW247">
        <v>6.6666666666666723E-3</v>
      </c>
      <c r="CX247">
        <v>6.6666666666666723E-3</v>
      </c>
      <c r="CZ247">
        <v>1.4999999999999999E-2</v>
      </c>
      <c r="DA247">
        <v>5.2499999999999998E-2</v>
      </c>
      <c r="DB247">
        <v>5.2499999999999998E-2</v>
      </c>
      <c r="DC247">
        <v>1.4999999999999999E-2</v>
      </c>
      <c r="DD247">
        <v>1.4999999999999999E-2</v>
      </c>
      <c r="DE247">
        <v>1.4999999999999999E-2</v>
      </c>
      <c r="DF247">
        <v>1.4999999999999999E-2</v>
      </c>
      <c r="DG247">
        <v>4.9999999999999984E-3</v>
      </c>
      <c r="DH247">
        <v>4.9999999999999984E-3</v>
      </c>
      <c r="DI247">
        <v>4.9999999999999984E-3</v>
      </c>
      <c r="DJ247">
        <v>4.9999999999999984E-3</v>
      </c>
      <c r="DK247">
        <v>4.9999999999999984E-3</v>
      </c>
      <c r="DL247">
        <v>4.9999999999999984E-3</v>
      </c>
      <c r="DM247">
        <v>4.9999999999999984E-3</v>
      </c>
      <c r="DN247">
        <v>4.9999999999999984E-3</v>
      </c>
      <c r="DO247">
        <v>4.9999999999999984E-3</v>
      </c>
    </row>
    <row r="248" spans="61:119">
      <c r="BI248" t="str">
        <f t="shared" si="59"/>
        <v>43220CORP</v>
      </c>
      <c r="BJ248" s="426">
        <v>43220</v>
      </c>
      <c r="BM248" t="s">
        <v>1356</v>
      </c>
      <c r="BN248" s="438">
        <v>1</v>
      </c>
      <c r="BO248" s="438">
        <v>0.58182463854064226</v>
      </c>
      <c r="BR248">
        <v>1.6363507229187155E-2</v>
      </c>
      <c r="BS248">
        <v>6.6581469518805309E-2</v>
      </c>
      <c r="BT248">
        <v>6.6581469518805309E-2</v>
      </c>
      <c r="BU248">
        <v>3.0327298554162579E-2</v>
      </c>
      <c r="BV248">
        <v>3.0327298554162579E-2</v>
      </c>
      <c r="BW248">
        <v>2.1018104337512306E-2</v>
      </c>
      <c r="BX248">
        <v>2.1018104337512306E-2</v>
      </c>
      <c r="BY248">
        <v>7.0060347791707596E-3</v>
      </c>
      <c r="BZ248">
        <v>7.0060347791707596E-3</v>
      </c>
      <c r="CA248">
        <v>7.0060347791707596E-3</v>
      </c>
      <c r="CB248">
        <v>7.0060347791707596E-3</v>
      </c>
      <c r="CC248">
        <v>7.0060347791707596E-3</v>
      </c>
      <c r="CD248">
        <v>7.0060347791707596E-3</v>
      </c>
      <c r="CE248">
        <v>7.0060347791707596E-3</v>
      </c>
      <c r="CF248">
        <v>7.0060347791707596E-3</v>
      </c>
      <c r="CG248">
        <v>7.0060347791707596E-3</v>
      </c>
      <c r="CI248">
        <v>1.4108981144809083E-2</v>
      </c>
      <c r="CJ248">
        <v>5.7526978946400777E-2</v>
      </c>
      <c r="CK248">
        <v>5.7526978946400777E-2</v>
      </c>
      <c r="CL248">
        <v>2.6327298554162562E-2</v>
      </c>
      <c r="CM248">
        <v>2.6327298554162562E-2</v>
      </c>
      <c r="CN248">
        <v>1.8181753614593579E-2</v>
      </c>
      <c r="CO248">
        <v>1.8181753614593579E-2</v>
      </c>
      <c r="CP248">
        <v>6.0605845381978586E-3</v>
      </c>
      <c r="CQ248">
        <v>6.0605845381978586E-3</v>
      </c>
      <c r="CR248">
        <v>6.0605845381978586E-3</v>
      </c>
      <c r="CS248">
        <v>6.0605845381978586E-3</v>
      </c>
      <c r="CT248">
        <v>6.0605845381978586E-3</v>
      </c>
      <c r="CU248">
        <v>6.0605845381978586E-3</v>
      </c>
      <c r="CV248">
        <v>6.0605845381978586E-3</v>
      </c>
      <c r="CW248">
        <v>6.0605845381978586E-3</v>
      </c>
      <c r="CX248">
        <v>6.0605845381978586E-3</v>
      </c>
      <c r="CZ248">
        <v>9.1817536145935782E-3</v>
      </c>
      <c r="DA248">
        <v>3.7954384036483935E-2</v>
      </c>
      <c r="DB248">
        <v>3.7954384036483935E-2</v>
      </c>
      <c r="DC248">
        <v>1.7909123192703214E-2</v>
      </c>
      <c r="DD248">
        <v>1.7909123192703214E-2</v>
      </c>
      <c r="DE248">
        <v>1.2090876807296785E-2</v>
      </c>
      <c r="DF248">
        <v>1.2090876807296785E-2</v>
      </c>
      <c r="DG248">
        <v>4.0302922690989319E-3</v>
      </c>
      <c r="DH248">
        <v>4.0302922690989319E-3</v>
      </c>
      <c r="DI248">
        <v>4.0302922690989319E-3</v>
      </c>
      <c r="DJ248">
        <v>4.0302922690989319E-3</v>
      </c>
      <c r="DK248">
        <v>4.0302922690989319E-3</v>
      </c>
      <c r="DL248">
        <v>4.0302922690989319E-3</v>
      </c>
      <c r="DM248">
        <v>4.0302922690989319E-3</v>
      </c>
      <c r="DN248">
        <v>4.0302922690989319E-3</v>
      </c>
      <c r="DO248">
        <v>4.0302922690989319E-3</v>
      </c>
    </row>
    <row r="249" spans="61:119">
      <c r="BI249" t="str">
        <f t="shared" si="59"/>
        <v>43220ESCROW</v>
      </c>
      <c r="BJ249" s="426">
        <v>43220</v>
      </c>
      <c r="BM249" t="s">
        <v>1339</v>
      </c>
      <c r="BN249" s="438">
        <v>1</v>
      </c>
      <c r="BO249" s="438">
        <v>1</v>
      </c>
      <c r="BR249">
        <v>3.2000000000000001E-2</v>
      </c>
      <c r="BS249">
        <v>2.4E-2</v>
      </c>
      <c r="BT249">
        <v>2.4E-2</v>
      </c>
      <c r="BU249">
        <v>0.04</v>
      </c>
      <c r="BV249">
        <v>0.04</v>
      </c>
      <c r="BW249">
        <v>3.9999999999999994E-2</v>
      </c>
      <c r="BX249">
        <v>3.9999999999999994E-2</v>
      </c>
      <c r="BY249">
        <v>8.8888888888888906E-3</v>
      </c>
      <c r="BZ249">
        <v>8.8888888888888906E-3</v>
      </c>
      <c r="CA249">
        <v>8.8888888888888906E-3</v>
      </c>
      <c r="CB249">
        <v>8.8888888888888906E-3</v>
      </c>
      <c r="CC249">
        <v>8.8888888888888906E-3</v>
      </c>
      <c r="CD249">
        <v>8.8888888888888906E-3</v>
      </c>
      <c r="CE249">
        <v>8.8888888888888906E-3</v>
      </c>
      <c r="CF249">
        <v>8.8888888888888906E-3</v>
      </c>
      <c r="CG249">
        <v>8.8888888888888906E-3</v>
      </c>
      <c r="CI249">
        <v>2.8000000000000004E-2</v>
      </c>
      <c r="CJ249">
        <v>2.1000000000000001E-2</v>
      </c>
      <c r="CK249">
        <v>2.1000000000000001E-2</v>
      </c>
      <c r="CL249">
        <v>3.5000000000000003E-2</v>
      </c>
      <c r="CM249">
        <v>3.5000000000000003E-2</v>
      </c>
      <c r="CN249">
        <v>3.5000000000000003E-2</v>
      </c>
      <c r="CO249">
        <v>3.5000000000000003E-2</v>
      </c>
      <c r="CP249">
        <v>7.7777777777777784E-3</v>
      </c>
      <c r="CQ249">
        <v>7.7777777777777784E-3</v>
      </c>
      <c r="CR249">
        <v>7.7777777777777784E-3</v>
      </c>
      <c r="CS249">
        <v>7.7777777777777784E-3</v>
      </c>
      <c r="CT249">
        <v>7.7777777777777784E-3</v>
      </c>
      <c r="CU249">
        <v>7.7777777777777784E-3</v>
      </c>
      <c r="CV249">
        <v>7.7777777777777784E-3</v>
      </c>
      <c r="CW249">
        <v>7.7777777777777784E-3</v>
      </c>
      <c r="CX249">
        <v>7.7777777777777784E-3</v>
      </c>
      <c r="CZ249">
        <v>2.0000000000000004E-2</v>
      </c>
      <c r="DA249">
        <v>1.4999999999999999E-2</v>
      </c>
      <c r="DB249">
        <v>1.4999999999999999E-2</v>
      </c>
      <c r="DC249">
        <v>2.5000000000000001E-2</v>
      </c>
      <c r="DD249">
        <v>2.5000000000000001E-2</v>
      </c>
      <c r="DE249">
        <v>2.5000000000000008E-2</v>
      </c>
      <c r="DF249">
        <v>2.5000000000000008E-2</v>
      </c>
      <c r="DG249">
        <v>5.555555555555554E-3</v>
      </c>
      <c r="DH249">
        <v>5.555555555555554E-3</v>
      </c>
      <c r="DI249">
        <v>5.555555555555554E-3</v>
      </c>
      <c r="DJ249">
        <v>5.555555555555554E-3</v>
      </c>
      <c r="DK249">
        <v>5.555555555555554E-3</v>
      </c>
      <c r="DL249">
        <v>5.555555555555554E-3</v>
      </c>
      <c r="DM249">
        <v>5.555555555555554E-3</v>
      </c>
      <c r="DN249">
        <v>5.555555555555554E-3</v>
      </c>
      <c r="DO249">
        <v>5.555555555555554E-3</v>
      </c>
    </row>
    <row r="250" spans="61:119">
      <c r="BI250" t="str">
        <f t="shared" si="59"/>
        <v>43220IB</v>
      </c>
      <c r="BJ250" s="426">
        <v>43220</v>
      </c>
      <c r="BM250" t="s">
        <v>1354</v>
      </c>
      <c r="BN250" s="438">
        <v>1</v>
      </c>
      <c r="BO250" s="438">
        <v>1</v>
      </c>
      <c r="BR250">
        <v>1.2E-2</v>
      </c>
      <c r="BS250">
        <v>4.2000000000000003E-2</v>
      </c>
      <c r="BT250">
        <v>4.2000000000000003E-2</v>
      </c>
      <c r="BU250">
        <v>1.1999999999999997E-2</v>
      </c>
      <c r="BV250">
        <v>1.1999999999999997E-2</v>
      </c>
      <c r="BW250">
        <v>1.1999999999999997E-2</v>
      </c>
      <c r="BX250">
        <v>1.1999999999999997E-2</v>
      </c>
      <c r="BY250">
        <v>4.0000000000000001E-3</v>
      </c>
      <c r="BZ250">
        <v>4.0000000000000001E-3</v>
      </c>
      <c r="CA250">
        <v>4.0000000000000001E-3</v>
      </c>
      <c r="CB250">
        <v>4.0000000000000001E-3</v>
      </c>
      <c r="CC250">
        <v>4.0000000000000001E-3</v>
      </c>
      <c r="CD250">
        <v>4.0000000000000001E-3</v>
      </c>
      <c r="CE250">
        <v>4.0000000000000001E-3</v>
      </c>
      <c r="CF250">
        <v>4.0000000000000001E-3</v>
      </c>
      <c r="CG250">
        <v>4.0000000000000001E-3</v>
      </c>
      <c r="CI250">
        <v>3.0000000000000001E-3</v>
      </c>
      <c r="CJ250">
        <v>1.0500000000000001E-2</v>
      </c>
      <c r="CK250">
        <v>1.0500000000000001E-2</v>
      </c>
      <c r="CL250">
        <v>2.9999999999999992E-3</v>
      </c>
      <c r="CM250">
        <v>2.9999999999999992E-3</v>
      </c>
      <c r="CN250">
        <v>2.9999999999999992E-3</v>
      </c>
      <c r="CO250">
        <v>2.9999999999999992E-3</v>
      </c>
      <c r="CP250">
        <v>1E-3</v>
      </c>
      <c r="CQ250">
        <v>1E-3</v>
      </c>
      <c r="CR250">
        <v>1E-3</v>
      </c>
      <c r="CS250">
        <v>1E-3</v>
      </c>
      <c r="CT250">
        <v>1E-3</v>
      </c>
      <c r="CU250">
        <v>1E-3</v>
      </c>
      <c r="CV250">
        <v>1E-3</v>
      </c>
      <c r="CW250">
        <v>1E-3</v>
      </c>
      <c r="CX250">
        <v>1E-3</v>
      </c>
      <c r="CZ250">
        <v>1.0000000000000002E-2</v>
      </c>
      <c r="DA250">
        <v>3.5000000000000003E-2</v>
      </c>
      <c r="DB250">
        <v>3.5000000000000003E-2</v>
      </c>
      <c r="DC250">
        <v>9.999999999999995E-3</v>
      </c>
      <c r="DD250">
        <v>9.999999999999995E-3</v>
      </c>
      <c r="DE250">
        <v>9.999999999999995E-3</v>
      </c>
      <c r="DF250">
        <v>9.999999999999995E-3</v>
      </c>
      <c r="DG250">
        <v>3.3333333333333361E-3</v>
      </c>
      <c r="DH250">
        <v>3.3333333333333361E-3</v>
      </c>
      <c r="DI250">
        <v>3.3333333333333361E-3</v>
      </c>
      <c r="DJ250">
        <v>3.3333333333333361E-3</v>
      </c>
      <c r="DK250">
        <v>3.3333333333333361E-3</v>
      </c>
      <c r="DL250">
        <v>3.3333333333333361E-3</v>
      </c>
      <c r="DM250">
        <v>3.3333333333333361E-3</v>
      </c>
      <c r="DN250">
        <v>3.3333333333333361E-3</v>
      </c>
      <c r="DO250">
        <v>3.3333333333333361E-3</v>
      </c>
    </row>
    <row r="251" spans="61:119">
      <c r="BI251" t="str">
        <f t="shared" si="59"/>
        <v>43220AFF</v>
      </c>
      <c r="BJ251" s="426">
        <v>43220</v>
      </c>
      <c r="BM251" t="s">
        <v>1353</v>
      </c>
      <c r="BN251" s="438">
        <v>1</v>
      </c>
      <c r="BO251" s="438">
        <v>1</v>
      </c>
      <c r="BR251">
        <v>1.4999999999999999E-2</v>
      </c>
      <c r="BS251">
        <v>5.2499999999999998E-2</v>
      </c>
      <c r="BT251">
        <v>5.2499999999999998E-2</v>
      </c>
      <c r="BU251">
        <v>1.4999999999999999E-2</v>
      </c>
      <c r="BV251">
        <v>1.4999999999999999E-2</v>
      </c>
      <c r="BW251">
        <v>1.4999999999999999E-2</v>
      </c>
      <c r="BX251">
        <v>1.4999999999999999E-2</v>
      </c>
      <c r="BY251">
        <v>4.9999999999999984E-3</v>
      </c>
      <c r="BZ251">
        <v>4.9999999999999984E-3</v>
      </c>
      <c r="CA251">
        <v>4.9999999999999984E-3</v>
      </c>
      <c r="CB251">
        <v>4.9999999999999984E-3</v>
      </c>
      <c r="CC251">
        <v>4.9999999999999984E-3</v>
      </c>
      <c r="CD251">
        <v>4.9999999999999984E-3</v>
      </c>
      <c r="CE251">
        <v>4.9999999999999984E-3</v>
      </c>
      <c r="CF251">
        <v>4.9999999999999984E-3</v>
      </c>
      <c r="CG251">
        <v>4.9999999999999984E-3</v>
      </c>
      <c r="CI251">
        <v>1.2E-2</v>
      </c>
      <c r="CJ251">
        <v>4.2000000000000003E-2</v>
      </c>
      <c r="CK251">
        <v>4.2000000000000003E-2</v>
      </c>
      <c r="CL251">
        <v>1.1999999999999997E-2</v>
      </c>
      <c r="CM251">
        <v>1.1999999999999997E-2</v>
      </c>
      <c r="CN251">
        <v>1.1999999999999997E-2</v>
      </c>
      <c r="CO251">
        <v>1.1999999999999997E-2</v>
      </c>
      <c r="CP251">
        <v>4.0000000000000001E-3</v>
      </c>
      <c r="CQ251">
        <v>4.0000000000000001E-3</v>
      </c>
      <c r="CR251">
        <v>4.0000000000000001E-3</v>
      </c>
      <c r="CS251">
        <v>4.0000000000000001E-3</v>
      </c>
      <c r="CT251">
        <v>4.0000000000000001E-3</v>
      </c>
      <c r="CU251">
        <v>4.0000000000000001E-3</v>
      </c>
      <c r="CV251">
        <v>4.0000000000000001E-3</v>
      </c>
      <c r="CW251">
        <v>4.0000000000000001E-3</v>
      </c>
      <c r="CX251">
        <v>4.0000000000000001E-3</v>
      </c>
      <c r="CZ251">
        <v>5.000000000000001E-3</v>
      </c>
      <c r="DA251">
        <v>1.7500000000000002E-2</v>
      </c>
      <c r="DB251">
        <v>1.7500000000000002E-2</v>
      </c>
      <c r="DC251">
        <v>4.9999999999999975E-3</v>
      </c>
      <c r="DD251">
        <v>4.9999999999999975E-3</v>
      </c>
      <c r="DE251">
        <v>4.9999999999999975E-3</v>
      </c>
      <c r="DF251">
        <v>4.9999999999999975E-3</v>
      </c>
      <c r="DG251">
        <v>1.6666666666666681E-3</v>
      </c>
      <c r="DH251">
        <v>1.6666666666666681E-3</v>
      </c>
      <c r="DI251">
        <v>1.6666666666666681E-3</v>
      </c>
      <c r="DJ251">
        <v>1.6666666666666681E-3</v>
      </c>
      <c r="DK251">
        <v>1.6666666666666681E-3</v>
      </c>
      <c r="DL251">
        <v>1.6666666666666681E-3</v>
      </c>
      <c r="DM251">
        <v>1.6666666666666681E-3</v>
      </c>
      <c r="DN251">
        <v>1.6666666666666681E-3</v>
      </c>
      <c r="DO251">
        <v>1.6666666666666681E-3</v>
      </c>
    </row>
    <row r="252" spans="61:119">
      <c r="BI252" t="str">
        <f t="shared" si="59"/>
        <v>432511000526FI</v>
      </c>
      <c r="BJ252" s="426">
        <v>43251</v>
      </c>
      <c r="BK252" t="s">
        <v>1363</v>
      </c>
      <c r="BL252" t="s">
        <v>1368</v>
      </c>
      <c r="BM252" t="s">
        <v>1355</v>
      </c>
      <c r="BN252" s="438">
        <v>2</v>
      </c>
      <c r="BO252" s="438">
        <v>1</v>
      </c>
      <c r="BR252">
        <v>4.6000000000000006E-2</v>
      </c>
      <c r="BS252">
        <v>0.16100000000000003</v>
      </c>
      <c r="BT252">
        <v>0.16100000000000003</v>
      </c>
      <c r="BU252">
        <v>4.5999999999999985E-2</v>
      </c>
      <c r="BV252">
        <v>4.5999999999999985E-2</v>
      </c>
      <c r="BW252">
        <v>4.6000000000000013E-2</v>
      </c>
      <c r="BX252">
        <v>4.6000000000000013E-2</v>
      </c>
      <c r="BY252">
        <v>1.5333333333333334E-2</v>
      </c>
      <c r="BZ252">
        <v>1.5333333333333334E-2</v>
      </c>
      <c r="CA252">
        <v>1.5333333333333334E-2</v>
      </c>
      <c r="CB252">
        <v>1.5333333333333334E-2</v>
      </c>
      <c r="CC252">
        <v>1.5333333333333334E-2</v>
      </c>
      <c r="CD252">
        <v>1.5333333333333334E-2</v>
      </c>
      <c r="CE252">
        <v>1.5333333333333334E-2</v>
      </c>
      <c r="CF252">
        <v>1.5333333333333334E-2</v>
      </c>
      <c r="CG252">
        <v>1.5333333333333334E-2</v>
      </c>
      <c r="CI252">
        <v>4.0000000000000008E-2</v>
      </c>
      <c r="CJ252">
        <v>0.14000000000000001</v>
      </c>
      <c r="CK252">
        <v>0.14000000000000001</v>
      </c>
      <c r="CL252">
        <v>3.999999999999998E-2</v>
      </c>
      <c r="CM252">
        <v>3.999999999999998E-2</v>
      </c>
      <c r="CN252">
        <v>3.999999999999998E-2</v>
      </c>
      <c r="CO252">
        <v>3.999999999999998E-2</v>
      </c>
      <c r="CP252">
        <v>1.3333333333333345E-2</v>
      </c>
      <c r="CQ252">
        <v>1.3333333333333345E-2</v>
      </c>
      <c r="CR252">
        <v>1.3333333333333345E-2</v>
      </c>
      <c r="CS252">
        <v>1.3333333333333345E-2</v>
      </c>
      <c r="CT252">
        <v>1.3333333333333345E-2</v>
      </c>
      <c r="CU252">
        <v>1.3333333333333345E-2</v>
      </c>
      <c r="CV252">
        <v>1.3333333333333345E-2</v>
      </c>
      <c r="CW252">
        <v>1.3333333333333345E-2</v>
      </c>
      <c r="CX252">
        <v>1.3333333333333345E-2</v>
      </c>
      <c r="CZ252">
        <v>0.03</v>
      </c>
      <c r="DA252">
        <v>0.105</v>
      </c>
      <c r="DB252">
        <v>0.105</v>
      </c>
      <c r="DC252">
        <v>0.03</v>
      </c>
      <c r="DD252">
        <v>0.03</v>
      </c>
      <c r="DE252">
        <v>0.03</v>
      </c>
      <c r="DF252">
        <v>0.03</v>
      </c>
      <c r="DG252">
        <v>9.9999999999999967E-3</v>
      </c>
      <c r="DH252">
        <v>9.9999999999999967E-3</v>
      </c>
      <c r="DI252">
        <v>9.9999999999999967E-3</v>
      </c>
      <c r="DJ252">
        <v>9.9999999999999967E-3</v>
      </c>
      <c r="DK252">
        <v>9.9999999999999967E-3</v>
      </c>
      <c r="DL252">
        <v>9.9999999999999967E-3</v>
      </c>
      <c r="DM252">
        <v>9.9999999999999967E-3</v>
      </c>
      <c r="DN252">
        <v>9.9999999999999967E-3</v>
      </c>
      <c r="DO252">
        <v>9.9999999999999967E-3</v>
      </c>
    </row>
    <row r="253" spans="61:119">
      <c r="BI253" t="str">
        <f t="shared" si="59"/>
        <v>432511000790IB</v>
      </c>
      <c r="BJ253" s="426">
        <v>43251</v>
      </c>
      <c r="BK253" t="s">
        <v>1358</v>
      </c>
      <c r="BL253" t="s">
        <v>1371</v>
      </c>
      <c r="BM253" t="s">
        <v>1354</v>
      </c>
      <c r="BN253" s="438">
        <v>1.8109120451556127</v>
      </c>
      <c r="BO253" s="438">
        <v>1</v>
      </c>
      <c r="BR253">
        <v>2.1730944541867352E-2</v>
      </c>
      <c r="BS253">
        <v>7.6058305896535727E-2</v>
      </c>
      <c r="BT253">
        <v>7.6058305896535727E-2</v>
      </c>
      <c r="BU253">
        <v>2.1730944541867345E-2</v>
      </c>
      <c r="BV253">
        <v>2.1730944541867345E-2</v>
      </c>
      <c r="BW253">
        <v>2.1730944541867345E-2</v>
      </c>
      <c r="BX253">
        <v>2.1730944541867345E-2</v>
      </c>
      <c r="BY253">
        <v>7.2436481806224529E-3</v>
      </c>
      <c r="BZ253">
        <v>7.2436481806224529E-3</v>
      </c>
      <c r="CA253">
        <v>7.2436481806224529E-3</v>
      </c>
      <c r="CB253">
        <v>7.2436481806224529E-3</v>
      </c>
      <c r="CC253">
        <v>7.2436481806224529E-3</v>
      </c>
      <c r="CD253">
        <v>7.2436481806224529E-3</v>
      </c>
      <c r="CE253">
        <v>7.2436481806224529E-3</v>
      </c>
      <c r="CF253">
        <v>7.2436481806224529E-3</v>
      </c>
      <c r="CG253">
        <v>7.2436481806224529E-3</v>
      </c>
      <c r="CI253">
        <v>5.4327361354668379E-3</v>
      </c>
      <c r="CJ253">
        <v>1.9014576474133932E-2</v>
      </c>
      <c r="CK253">
        <v>1.9014576474133932E-2</v>
      </c>
      <c r="CL253">
        <v>5.4327361354668362E-3</v>
      </c>
      <c r="CM253">
        <v>5.4327361354668362E-3</v>
      </c>
      <c r="CN253">
        <v>5.4327361354668362E-3</v>
      </c>
      <c r="CO253">
        <v>5.4327361354668362E-3</v>
      </c>
      <c r="CP253">
        <v>1.8109120451556132E-3</v>
      </c>
      <c r="CQ253">
        <v>1.8109120451556132E-3</v>
      </c>
      <c r="CR253">
        <v>1.8109120451556132E-3</v>
      </c>
      <c r="CS253">
        <v>1.8109120451556132E-3</v>
      </c>
      <c r="CT253">
        <v>1.8109120451556132E-3</v>
      </c>
      <c r="CU253">
        <v>1.8109120451556132E-3</v>
      </c>
      <c r="CV253">
        <v>1.8109120451556132E-3</v>
      </c>
      <c r="CW253">
        <v>1.8109120451556132E-3</v>
      </c>
      <c r="CX253">
        <v>1.8109120451556132E-3</v>
      </c>
      <c r="CZ253">
        <v>1.8109120451556129E-2</v>
      </c>
      <c r="DA253">
        <v>6.3381921580446449E-2</v>
      </c>
      <c r="DB253">
        <v>6.3381921580446449E-2</v>
      </c>
      <c r="DC253">
        <v>1.8109120451556118E-2</v>
      </c>
      <c r="DD253">
        <v>1.8109120451556118E-2</v>
      </c>
      <c r="DE253">
        <v>1.8109120451556118E-2</v>
      </c>
      <c r="DF253">
        <v>1.8109120451556118E-2</v>
      </c>
      <c r="DG253">
        <v>6.0363734838520438E-3</v>
      </c>
      <c r="DH253">
        <v>6.0363734838520438E-3</v>
      </c>
      <c r="DI253">
        <v>6.0363734838520438E-3</v>
      </c>
      <c r="DJ253">
        <v>6.0363734838520438E-3</v>
      </c>
      <c r="DK253">
        <v>6.0363734838520438E-3</v>
      </c>
      <c r="DL253">
        <v>6.0363734838520438E-3</v>
      </c>
      <c r="DM253">
        <v>6.0363734838520438E-3</v>
      </c>
      <c r="DN253">
        <v>6.0363734838520438E-3</v>
      </c>
      <c r="DO253">
        <v>6.0363734838520438E-3</v>
      </c>
    </row>
    <row r="254" spans="61:119">
      <c r="BI254" t="str">
        <f t="shared" si="59"/>
        <v>432511030623FI</v>
      </c>
      <c r="BJ254" s="426">
        <v>43251</v>
      </c>
      <c r="BK254" t="s">
        <v>1360</v>
      </c>
      <c r="BL254" t="s">
        <v>1369</v>
      </c>
      <c r="BM254" t="s">
        <v>1355</v>
      </c>
      <c r="BN254" s="438">
        <v>1.6634567658936503</v>
      </c>
      <c r="BO254" s="438">
        <v>1</v>
      </c>
      <c r="BR254">
        <v>3.8259505615553961E-2</v>
      </c>
      <c r="BS254">
        <v>0.13390826965443886</v>
      </c>
      <c r="BT254">
        <v>0.13390826965443886</v>
      </c>
      <c r="BU254">
        <v>3.825950561555394E-2</v>
      </c>
      <c r="BV254">
        <v>3.825950561555394E-2</v>
      </c>
      <c r="BW254">
        <v>3.825950561555394E-2</v>
      </c>
      <c r="BX254">
        <v>3.825950561555394E-2</v>
      </c>
      <c r="BY254">
        <v>1.2753168538517989E-2</v>
      </c>
      <c r="BZ254">
        <v>1.2753168538517989E-2</v>
      </c>
      <c r="CA254">
        <v>1.2753168538517989E-2</v>
      </c>
      <c r="CB254">
        <v>1.2753168538517989E-2</v>
      </c>
      <c r="CC254">
        <v>1.2753168538517989E-2</v>
      </c>
      <c r="CD254">
        <v>1.2753168538517989E-2</v>
      </c>
      <c r="CE254">
        <v>1.2753168538517989E-2</v>
      </c>
      <c r="CF254">
        <v>1.2753168538517989E-2</v>
      </c>
      <c r="CG254">
        <v>1.2753168538517989E-2</v>
      </c>
      <c r="CI254">
        <v>3.3269135317873011E-2</v>
      </c>
      <c r="CJ254">
        <v>0.11644197361255554</v>
      </c>
      <c r="CK254">
        <v>0.11644197361255554</v>
      </c>
      <c r="CL254">
        <v>3.3269135317873011E-2</v>
      </c>
      <c r="CM254">
        <v>3.3269135317873011E-2</v>
      </c>
      <c r="CN254">
        <v>3.3269135317873011E-2</v>
      </c>
      <c r="CO254">
        <v>3.3269135317873011E-2</v>
      </c>
      <c r="CP254">
        <v>1.1089711772624336E-2</v>
      </c>
      <c r="CQ254">
        <v>1.1089711772624336E-2</v>
      </c>
      <c r="CR254">
        <v>1.1089711772624336E-2</v>
      </c>
      <c r="CS254">
        <v>1.1089711772624336E-2</v>
      </c>
      <c r="CT254">
        <v>1.1089711772624336E-2</v>
      </c>
      <c r="CU254">
        <v>1.1089711772624336E-2</v>
      </c>
      <c r="CV254">
        <v>1.1089711772624336E-2</v>
      </c>
      <c r="CW254">
        <v>1.1089711772624336E-2</v>
      </c>
      <c r="CX254">
        <v>1.1089711772624336E-2</v>
      </c>
      <c r="CZ254">
        <v>2.4951851488404755E-2</v>
      </c>
      <c r="DA254">
        <v>8.733148020941664E-2</v>
      </c>
      <c r="DB254">
        <v>8.733148020941664E-2</v>
      </c>
      <c r="DC254">
        <v>2.4951851488404744E-2</v>
      </c>
      <c r="DD254">
        <v>2.4951851488404744E-2</v>
      </c>
      <c r="DE254">
        <v>2.4951851488404758E-2</v>
      </c>
      <c r="DF254">
        <v>2.4951851488404758E-2</v>
      </c>
      <c r="DG254">
        <v>8.3172838294682493E-3</v>
      </c>
      <c r="DH254">
        <v>8.3172838294682493E-3</v>
      </c>
      <c r="DI254">
        <v>8.3172838294682493E-3</v>
      </c>
      <c r="DJ254">
        <v>8.3172838294682493E-3</v>
      </c>
      <c r="DK254">
        <v>8.3172838294682493E-3</v>
      </c>
      <c r="DL254">
        <v>8.3172838294682493E-3</v>
      </c>
      <c r="DM254">
        <v>8.3172838294682493E-3</v>
      </c>
      <c r="DN254">
        <v>8.3172838294682493E-3</v>
      </c>
      <c r="DO254">
        <v>8.3172838294682493E-3</v>
      </c>
    </row>
    <row r="255" spans="61:119">
      <c r="BI255" t="str">
        <f t="shared" si="59"/>
        <v>432511167651FI</v>
      </c>
      <c r="BJ255" s="426">
        <v>43251</v>
      </c>
      <c r="BK255" t="s">
        <v>1687</v>
      </c>
      <c r="BL255" t="s">
        <v>1688</v>
      </c>
      <c r="BM255" t="s">
        <v>1355</v>
      </c>
      <c r="BN255" s="438">
        <v>1.3855320486136595</v>
      </c>
      <c r="BO255" s="438">
        <v>0.18802906538377417</v>
      </c>
      <c r="BR255">
        <v>0.13649333009629594</v>
      </c>
      <c r="BS255">
        <v>0.28197461041011501</v>
      </c>
      <c r="BT255">
        <v>0.28197461041011501</v>
      </c>
      <c r="BU255">
        <v>5.9919668116821256E-3</v>
      </c>
      <c r="BV255">
        <v>5.9919668116821256E-3</v>
      </c>
      <c r="BW255">
        <v>7.1242648453988977E-2</v>
      </c>
      <c r="BX255">
        <v>7.1242648453988977E-2</v>
      </c>
      <c r="BY255">
        <v>5.2154061492877268E-3</v>
      </c>
      <c r="BZ255">
        <v>5.2154061492877268E-3</v>
      </c>
      <c r="CA255">
        <v>5.2154061492877268E-3</v>
      </c>
      <c r="CB255">
        <v>5.2154061492877268E-3</v>
      </c>
      <c r="CC255">
        <v>5.2154061492877268E-3</v>
      </c>
      <c r="CD255">
        <v>5.2154061492877268E-3</v>
      </c>
      <c r="CE255">
        <v>5.2154061492877268E-3</v>
      </c>
      <c r="CF255">
        <v>5.2154061492877268E-3</v>
      </c>
      <c r="CG255">
        <v>5.2154061492877268E-3</v>
      </c>
      <c r="CI255">
        <v>0.12896169869309426</v>
      </c>
      <c r="CJ255">
        <v>0.26573900627099123</v>
      </c>
      <c r="CK255">
        <v>0.26573900627099123</v>
      </c>
      <c r="CL255">
        <v>5.2104059232018218E-3</v>
      </c>
      <c r="CM255">
        <v>5.2104059232018218E-3</v>
      </c>
      <c r="CN255">
        <v>6.708605230814807E-2</v>
      </c>
      <c r="CO255">
        <v>6.708605230814807E-2</v>
      </c>
      <c r="CP255">
        <v>9.4549328629418925E-3</v>
      </c>
      <c r="CQ255">
        <v>9.4549328629418925E-3</v>
      </c>
      <c r="CR255">
        <v>9.4549328629418925E-3</v>
      </c>
      <c r="CS255">
        <v>9.4549328629418925E-3</v>
      </c>
      <c r="CT255">
        <v>9.4549328629418925E-3</v>
      </c>
      <c r="CU255">
        <v>9.4549328629418925E-3</v>
      </c>
      <c r="CV255">
        <v>9.4549328629418925E-3</v>
      </c>
      <c r="CW255">
        <v>9.4549328629418925E-3</v>
      </c>
      <c r="CX255">
        <v>9.4549328629418925E-3</v>
      </c>
      <c r="CZ255">
        <v>6.0158392065079752E-2</v>
      </c>
      <c r="DA255">
        <v>0.12617849079376159</v>
      </c>
      <c r="DB255">
        <v>0.12617849079376159</v>
      </c>
      <c r="DC255">
        <v>3.9078044424013803E-3</v>
      </c>
      <c r="DD255">
        <v>3.9078044424013803E-3</v>
      </c>
      <c r="DE255">
        <v>3.2033098253740538E-2</v>
      </c>
      <c r="DF255">
        <v>3.2033098253740538E-2</v>
      </c>
      <c r="DG255">
        <v>1.0677699417913529E-2</v>
      </c>
      <c r="DH255">
        <v>1.0677699417913529E-2</v>
      </c>
      <c r="DI255">
        <v>1.0677699417913529E-2</v>
      </c>
      <c r="DJ255">
        <v>1.0677699417913529E-2</v>
      </c>
      <c r="DK255">
        <v>1.0677699417913529E-2</v>
      </c>
      <c r="DL255">
        <v>1.0677699417913529E-2</v>
      </c>
      <c r="DM255">
        <v>1.0677699417913529E-2</v>
      </c>
      <c r="DN255">
        <v>1.0677699417913529E-2</v>
      </c>
      <c r="DO255">
        <v>1.0677699417913529E-2</v>
      </c>
    </row>
    <row r="256" spans="61:119">
      <c r="BI256" t="str">
        <f t="shared" si="59"/>
        <v>432511151227FI</v>
      </c>
      <c r="BJ256" s="426">
        <v>43251</v>
      </c>
      <c r="BK256" t="s">
        <v>1362</v>
      </c>
      <c r="BL256" t="s">
        <v>1372</v>
      </c>
      <c r="BM256" t="s">
        <v>1355</v>
      </c>
      <c r="BN256" s="438">
        <v>1.3855320486136595</v>
      </c>
      <c r="BO256" s="438">
        <v>0.18802906538377417</v>
      </c>
      <c r="BR256">
        <v>0.13649333009629594</v>
      </c>
      <c r="BS256">
        <v>0.28197461041011501</v>
      </c>
      <c r="BT256">
        <v>0.28197461041011501</v>
      </c>
      <c r="BU256">
        <v>5.9919668116821256E-3</v>
      </c>
      <c r="BV256">
        <v>5.9919668116821256E-3</v>
      </c>
      <c r="BW256">
        <v>7.1242648453988977E-2</v>
      </c>
      <c r="BX256">
        <v>7.1242648453988977E-2</v>
      </c>
      <c r="BY256">
        <v>5.2154061492877268E-3</v>
      </c>
      <c r="BZ256">
        <v>5.2154061492877268E-3</v>
      </c>
      <c r="CA256">
        <v>5.2154061492877268E-3</v>
      </c>
      <c r="CB256">
        <v>5.2154061492877268E-3</v>
      </c>
      <c r="CC256">
        <v>5.2154061492877268E-3</v>
      </c>
      <c r="CD256">
        <v>5.2154061492877268E-3</v>
      </c>
      <c r="CE256">
        <v>5.2154061492877268E-3</v>
      </c>
      <c r="CF256">
        <v>5.2154061492877268E-3</v>
      </c>
      <c r="CG256">
        <v>5.2154061492877268E-3</v>
      </c>
      <c r="CI256">
        <v>0.12896169869309426</v>
      </c>
      <c r="CJ256">
        <v>0.26573900627099123</v>
      </c>
      <c r="CK256">
        <v>0.26573900627099123</v>
      </c>
      <c r="CL256">
        <v>5.2104059232018218E-3</v>
      </c>
      <c r="CM256">
        <v>5.2104059232018218E-3</v>
      </c>
      <c r="CN256">
        <v>6.708605230814807E-2</v>
      </c>
      <c r="CO256">
        <v>6.708605230814807E-2</v>
      </c>
      <c r="CP256">
        <v>9.4549328629418925E-3</v>
      </c>
      <c r="CQ256">
        <v>9.4549328629418925E-3</v>
      </c>
      <c r="CR256">
        <v>9.4549328629418925E-3</v>
      </c>
      <c r="CS256">
        <v>9.4549328629418925E-3</v>
      </c>
      <c r="CT256">
        <v>9.4549328629418925E-3</v>
      </c>
      <c r="CU256">
        <v>9.4549328629418925E-3</v>
      </c>
      <c r="CV256">
        <v>9.4549328629418925E-3</v>
      </c>
      <c r="CW256">
        <v>9.4549328629418925E-3</v>
      </c>
      <c r="CX256">
        <v>9.4549328629418925E-3</v>
      </c>
      <c r="CZ256">
        <v>6.0158392065079752E-2</v>
      </c>
      <c r="DA256">
        <v>0.12617849079376159</v>
      </c>
      <c r="DB256">
        <v>0.12617849079376159</v>
      </c>
      <c r="DC256">
        <v>3.9078044424013803E-3</v>
      </c>
      <c r="DD256">
        <v>3.9078044424013803E-3</v>
      </c>
      <c r="DE256">
        <v>3.2033098253740538E-2</v>
      </c>
      <c r="DF256">
        <v>3.2033098253740538E-2</v>
      </c>
      <c r="DG256">
        <v>1.0677699417913529E-2</v>
      </c>
      <c r="DH256">
        <v>1.0677699417913529E-2</v>
      </c>
      <c r="DI256">
        <v>1.0677699417913529E-2</v>
      </c>
      <c r="DJ256">
        <v>1.0677699417913529E-2</v>
      </c>
      <c r="DK256">
        <v>1.0677699417913529E-2</v>
      </c>
      <c r="DL256">
        <v>1.0677699417913529E-2</v>
      </c>
      <c r="DM256">
        <v>1.0677699417913529E-2</v>
      </c>
      <c r="DN256">
        <v>1.0677699417913529E-2</v>
      </c>
      <c r="DO256">
        <v>1.0677699417913529E-2</v>
      </c>
    </row>
    <row r="257" spans="61:119">
      <c r="BI257" t="str">
        <f t="shared" si="59"/>
        <v>432511000798AFF</v>
      </c>
      <c r="BJ257" s="426">
        <v>43251</v>
      </c>
      <c r="BK257" t="s">
        <v>1366</v>
      </c>
      <c r="BL257" t="s">
        <v>1374</v>
      </c>
      <c r="BM257" t="s">
        <v>1353</v>
      </c>
      <c r="BN257" s="438">
        <v>1.0107287322120557</v>
      </c>
      <c r="BO257" s="438">
        <v>1</v>
      </c>
      <c r="BR257">
        <v>1.5160930983180835E-2</v>
      </c>
      <c r="BS257">
        <v>5.3063258441132924E-2</v>
      </c>
      <c r="BT257">
        <v>5.3063258441132924E-2</v>
      </c>
      <c r="BU257">
        <v>1.5160930983180831E-2</v>
      </c>
      <c r="BV257">
        <v>1.5160930983180831E-2</v>
      </c>
      <c r="BW257">
        <v>1.5160930983180831E-2</v>
      </c>
      <c r="BX257">
        <v>1.5160930983180831E-2</v>
      </c>
      <c r="BY257">
        <v>5.0536436610602803E-3</v>
      </c>
      <c r="BZ257">
        <v>5.0536436610602803E-3</v>
      </c>
      <c r="CA257">
        <v>5.0536436610602803E-3</v>
      </c>
      <c r="CB257">
        <v>5.0536436610602803E-3</v>
      </c>
      <c r="CC257">
        <v>5.0536436610602803E-3</v>
      </c>
      <c r="CD257">
        <v>5.0536436610602803E-3</v>
      </c>
      <c r="CE257">
        <v>5.0536436610602803E-3</v>
      </c>
      <c r="CF257">
        <v>5.0536436610602803E-3</v>
      </c>
      <c r="CG257">
        <v>5.0536436610602803E-3</v>
      </c>
      <c r="CI257">
        <v>1.2128744786544668E-2</v>
      </c>
      <c r="CJ257">
        <v>4.2450606752906336E-2</v>
      </c>
      <c r="CK257">
        <v>4.2450606752906336E-2</v>
      </c>
      <c r="CL257">
        <v>1.2128744786544667E-2</v>
      </c>
      <c r="CM257">
        <v>1.2128744786544667E-2</v>
      </c>
      <c r="CN257">
        <v>1.212874478654466E-2</v>
      </c>
      <c r="CO257">
        <v>1.212874478654466E-2</v>
      </c>
      <c r="CP257">
        <v>4.0429149288482256E-3</v>
      </c>
      <c r="CQ257">
        <v>4.0429149288482256E-3</v>
      </c>
      <c r="CR257">
        <v>4.0429149288482256E-3</v>
      </c>
      <c r="CS257">
        <v>4.0429149288482256E-3</v>
      </c>
      <c r="CT257">
        <v>4.0429149288482256E-3</v>
      </c>
      <c r="CU257">
        <v>4.0429149288482256E-3</v>
      </c>
      <c r="CV257">
        <v>4.0429149288482256E-3</v>
      </c>
      <c r="CW257">
        <v>4.0429149288482256E-3</v>
      </c>
      <c r="CX257">
        <v>4.0429149288482256E-3</v>
      </c>
      <c r="CZ257">
        <v>5.0536436610602795E-3</v>
      </c>
      <c r="DA257">
        <v>1.7687752813710978E-2</v>
      </c>
      <c r="DB257">
        <v>1.7687752813710978E-2</v>
      </c>
      <c r="DC257">
        <v>5.053643661060276E-3</v>
      </c>
      <c r="DD257">
        <v>5.053643661060276E-3</v>
      </c>
      <c r="DE257">
        <v>5.053643661060276E-3</v>
      </c>
      <c r="DF257">
        <v>5.053643661060276E-3</v>
      </c>
      <c r="DG257">
        <v>1.6845478870200939E-3</v>
      </c>
      <c r="DH257">
        <v>1.6845478870200939E-3</v>
      </c>
      <c r="DI257">
        <v>1.6845478870200939E-3</v>
      </c>
      <c r="DJ257">
        <v>1.6845478870200939E-3</v>
      </c>
      <c r="DK257">
        <v>1.6845478870200939E-3</v>
      </c>
      <c r="DL257">
        <v>1.6845478870200939E-3</v>
      </c>
      <c r="DM257">
        <v>1.6845478870200939E-3</v>
      </c>
      <c r="DN257">
        <v>1.6845478870200939E-3</v>
      </c>
      <c r="DO257">
        <v>1.6845478870200939E-3</v>
      </c>
    </row>
    <row r="258" spans="61:119">
      <c r="BI258" t="str">
        <f t="shared" si="59"/>
        <v>432511141467FI</v>
      </c>
      <c r="BJ258" s="426">
        <v>43251</v>
      </c>
      <c r="BK258" t="s">
        <v>1375</v>
      </c>
      <c r="BL258" t="s">
        <v>1376</v>
      </c>
      <c r="BM258" t="s">
        <v>1355</v>
      </c>
      <c r="BN258" s="438">
        <v>1.6634567658936503</v>
      </c>
      <c r="BO258" s="438">
        <v>1</v>
      </c>
      <c r="BR258">
        <v>3.8259505615553961E-2</v>
      </c>
      <c r="BS258">
        <v>0.13390826965443886</v>
      </c>
      <c r="BT258">
        <v>0.13390826965443886</v>
      </c>
      <c r="BU258">
        <v>3.825950561555394E-2</v>
      </c>
      <c r="BV258">
        <v>3.825950561555394E-2</v>
      </c>
      <c r="BW258">
        <v>3.825950561555394E-2</v>
      </c>
      <c r="BX258">
        <v>3.825950561555394E-2</v>
      </c>
      <c r="BY258">
        <v>1.2753168538517989E-2</v>
      </c>
      <c r="BZ258">
        <v>1.2753168538517989E-2</v>
      </c>
      <c r="CA258">
        <v>1.2753168538517989E-2</v>
      </c>
      <c r="CB258">
        <v>1.2753168538517989E-2</v>
      </c>
      <c r="CC258">
        <v>1.2753168538517989E-2</v>
      </c>
      <c r="CD258">
        <v>1.2753168538517989E-2</v>
      </c>
      <c r="CE258">
        <v>1.2753168538517989E-2</v>
      </c>
      <c r="CF258">
        <v>1.2753168538517989E-2</v>
      </c>
      <c r="CG258">
        <v>1.2753168538517989E-2</v>
      </c>
      <c r="CI258">
        <v>3.3269135317873011E-2</v>
      </c>
      <c r="CJ258">
        <v>0.11644197361255554</v>
      </c>
      <c r="CK258">
        <v>0.11644197361255554</v>
      </c>
      <c r="CL258">
        <v>3.3269135317873011E-2</v>
      </c>
      <c r="CM258">
        <v>3.3269135317873011E-2</v>
      </c>
      <c r="CN258">
        <v>3.3269135317873011E-2</v>
      </c>
      <c r="CO258">
        <v>3.3269135317873011E-2</v>
      </c>
      <c r="CP258">
        <v>1.1089711772624336E-2</v>
      </c>
      <c r="CQ258">
        <v>1.1089711772624336E-2</v>
      </c>
      <c r="CR258">
        <v>1.1089711772624336E-2</v>
      </c>
      <c r="CS258">
        <v>1.1089711772624336E-2</v>
      </c>
      <c r="CT258">
        <v>1.1089711772624336E-2</v>
      </c>
      <c r="CU258">
        <v>1.1089711772624336E-2</v>
      </c>
      <c r="CV258">
        <v>1.1089711772624336E-2</v>
      </c>
      <c r="CW258">
        <v>1.1089711772624336E-2</v>
      </c>
      <c r="CX258">
        <v>1.1089711772624336E-2</v>
      </c>
      <c r="CZ258">
        <v>2.4951851488404755E-2</v>
      </c>
      <c r="DA258">
        <v>8.733148020941664E-2</v>
      </c>
      <c r="DB258">
        <v>8.733148020941664E-2</v>
      </c>
      <c r="DC258">
        <v>2.4951851488404744E-2</v>
      </c>
      <c r="DD258">
        <v>2.4951851488404744E-2</v>
      </c>
      <c r="DE258">
        <v>2.4951851488404758E-2</v>
      </c>
      <c r="DF258">
        <v>2.4951851488404758E-2</v>
      </c>
      <c r="DG258">
        <v>8.3172838294682493E-3</v>
      </c>
      <c r="DH258">
        <v>8.3172838294682493E-3</v>
      </c>
      <c r="DI258">
        <v>8.3172838294682493E-3</v>
      </c>
      <c r="DJ258">
        <v>8.3172838294682493E-3</v>
      </c>
      <c r="DK258">
        <v>8.3172838294682493E-3</v>
      </c>
      <c r="DL258">
        <v>8.3172838294682493E-3</v>
      </c>
      <c r="DM258">
        <v>8.3172838294682493E-3</v>
      </c>
      <c r="DN258">
        <v>8.3172838294682493E-3</v>
      </c>
      <c r="DO258">
        <v>8.3172838294682493E-3</v>
      </c>
    </row>
    <row r="259" spans="61:119">
      <c r="BI259" t="str">
        <f t="shared" si="59"/>
        <v>432511147542CME</v>
      </c>
      <c r="BJ259" s="426">
        <v>43251</v>
      </c>
      <c r="BK259" t="s">
        <v>1361</v>
      </c>
      <c r="BL259" t="s">
        <v>1370</v>
      </c>
      <c r="BM259" t="s">
        <v>1321</v>
      </c>
      <c r="BN259" s="438">
        <v>1</v>
      </c>
      <c r="BO259" s="438">
        <v>1</v>
      </c>
      <c r="BR259">
        <v>8.0000000000000016E-2</v>
      </c>
      <c r="BS259">
        <v>0.16</v>
      </c>
      <c r="BT259">
        <v>0.16</v>
      </c>
      <c r="BU259">
        <v>0</v>
      </c>
      <c r="BV259">
        <v>0</v>
      </c>
      <c r="BW259">
        <v>3.999999999999998E-2</v>
      </c>
      <c r="BX259">
        <v>3.999999999999998E-2</v>
      </c>
      <c r="BY259">
        <v>1.3333333333333345E-2</v>
      </c>
      <c r="BZ259">
        <v>1.3333333333333345E-2</v>
      </c>
      <c r="CA259">
        <v>1.3333333333333345E-2</v>
      </c>
      <c r="CB259">
        <v>1.3333333333333345E-2</v>
      </c>
      <c r="CC259">
        <v>1.3333333333333345E-2</v>
      </c>
      <c r="CD259">
        <v>1.3333333333333345E-2</v>
      </c>
      <c r="CE259">
        <v>1.3333333333333345E-2</v>
      </c>
      <c r="CF259">
        <v>1.3333333333333345E-2</v>
      </c>
      <c r="CG259">
        <v>1.3333333333333345E-2</v>
      </c>
      <c r="CI259">
        <v>6.9999999999999993E-2</v>
      </c>
      <c r="CJ259">
        <v>0.13999999999999999</v>
      </c>
      <c r="CK259">
        <v>0.13999999999999999</v>
      </c>
      <c r="CL259">
        <v>0</v>
      </c>
      <c r="CM259">
        <v>0</v>
      </c>
      <c r="CN259">
        <v>3.5000000000000003E-2</v>
      </c>
      <c r="CO259">
        <v>3.5000000000000003E-2</v>
      </c>
      <c r="CP259">
        <v>1.1666666666666659E-2</v>
      </c>
      <c r="CQ259">
        <v>1.1666666666666659E-2</v>
      </c>
      <c r="CR259">
        <v>1.1666666666666659E-2</v>
      </c>
      <c r="CS259">
        <v>1.1666666666666659E-2</v>
      </c>
      <c r="CT259">
        <v>1.1666666666666659E-2</v>
      </c>
      <c r="CU259">
        <v>1.1666666666666659E-2</v>
      </c>
      <c r="CV259">
        <v>1.1666666666666659E-2</v>
      </c>
      <c r="CW259">
        <v>1.1666666666666659E-2</v>
      </c>
      <c r="CX259">
        <v>1.1666666666666659E-2</v>
      </c>
      <c r="CZ259">
        <v>4.0000000000000008E-2</v>
      </c>
      <c r="DA259">
        <v>0.08</v>
      </c>
      <c r="DB259">
        <v>0.08</v>
      </c>
      <c r="DC259">
        <v>0</v>
      </c>
      <c r="DD259">
        <v>0</v>
      </c>
      <c r="DE259">
        <v>1.999999999999999E-2</v>
      </c>
      <c r="DF259">
        <v>1.999999999999999E-2</v>
      </c>
      <c r="DG259">
        <v>6.6666666666666723E-3</v>
      </c>
      <c r="DH259">
        <v>6.6666666666666723E-3</v>
      </c>
      <c r="DI259">
        <v>6.6666666666666723E-3</v>
      </c>
      <c r="DJ259">
        <v>6.6666666666666723E-3</v>
      </c>
      <c r="DK259">
        <v>6.6666666666666723E-3</v>
      </c>
      <c r="DL259">
        <v>6.6666666666666723E-3</v>
      </c>
      <c r="DM259">
        <v>6.6666666666666723E-3</v>
      </c>
      <c r="DN259">
        <v>6.6666666666666723E-3</v>
      </c>
      <c r="DO259">
        <v>6.6666666666666723E-3</v>
      </c>
    </row>
    <row r="260" spans="61:119">
      <c r="BI260" t="str">
        <f t="shared" si="59"/>
        <v>43251FI</v>
      </c>
      <c r="BJ260" s="426">
        <v>43251</v>
      </c>
      <c r="BM260" t="s">
        <v>1355</v>
      </c>
      <c r="BN260" s="438">
        <v>1</v>
      </c>
      <c r="BO260" s="438">
        <v>1</v>
      </c>
      <c r="BR260">
        <v>2.3000000000000003E-2</v>
      </c>
      <c r="BS260">
        <v>8.0500000000000016E-2</v>
      </c>
      <c r="BT260">
        <v>8.0500000000000016E-2</v>
      </c>
      <c r="BU260">
        <v>2.2999999999999993E-2</v>
      </c>
      <c r="BV260">
        <v>2.2999999999999993E-2</v>
      </c>
      <c r="BW260">
        <v>2.3000000000000007E-2</v>
      </c>
      <c r="BX260">
        <v>2.3000000000000007E-2</v>
      </c>
      <c r="BY260">
        <v>7.6666666666666671E-3</v>
      </c>
      <c r="BZ260">
        <v>7.6666666666666671E-3</v>
      </c>
      <c r="CA260">
        <v>7.6666666666666671E-3</v>
      </c>
      <c r="CB260">
        <v>7.6666666666666671E-3</v>
      </c>
      <c r="CC260">
        <v>7.6666666666666671E-3</v>
      </c>
      <c r="CD260">
        <v>7.6666666666666671E-3</v>
      </c>
      <c r="CE260">
        <v>7.6666666666666671E-3</v>
      </c>
      <c r="CF260">
        <v>7.6666666666666671E-3</v>
      </c>
      <c r="CG260">
        <v>7.6666666666666671E-3</v>
      </c>
      <c r="CI260">
        <v>2.0000000000000004E-2</v>
      </c>
      <c r="CJ260">
        <v>7.0000000000000007E-2</v>
      </c>
      <c r="CK260">
        <v>7.0000000000000007E-2</v>
      </c>
      <c r="CL260">
        <v>1.999999999999999E-2</v>
      </c>
      <c r="CM260">
        <v>1.999999999999999E-2</v>
      </c>
      <c r="CN260">
        <v>1.999999999999999E-2</v>
      </c>
      <c r="CO260">
        <v>1.999999999999999E-2</v>
      </c>
      <c r="CP260">
        <v>6.6666666666666723E-3</v>
      </c>
      <c r="CQ260">
        <v>6.6666666666666723E-3</v>
      </c>
      <c r="CR260">
        <v>6.6666666666666723E-3</v>
      </c>
      <c r="CS260">
        <v>6.6666666666666723E-3</v>
      </c>
      <c r="CT260">
        <v>6.6666666666666723E-3</v>
      </c>
      <c r="CU260">
        <v>6.6666666666666723E-3</v>
      </c>
      <c r="CV260">
        <v>6.6666666666666723E-3</v>
      </c>
      <c r="CW260">
        <v>6.6666666666666723E-3</v>
      </c>
      <c r="CX260">
        <v>6.6666666666666723E-3</v>
      </c>
      <c r="CZ260">
        <v>1.4999999999999999E-2</v>
      </c>
      <c r="DA260">
        <v>5.2499999999999998E-2</v>
      </c>
      <c r="DB260">
        <v>5.2499999999999998E-2</v>
      </c>
      <c r="DC260">
        <v>1.4999999999999999E-2</v>
      </c>
      <c r="DD260">
        <v>1.4999999999999999E-2</v>
      </c>
      <c r="DE260">
        <v>1.4999999999999999E-2</v>
      </c>
      <c r="DF260">
        <v>1.4999999999999999E-2</v>
      </c>
      <c r="DG260">
        <v>4.9999999999999984E-3</v>
      </c>
      <c r="DH260">
        <v>4.9999999999999984E-3</v>
      </c>
      <c r="DI260">
        <v>4.9999999999999984E-3</v>
      </c>
      <c r="DJ260">
        <v>4.9999999999999984E-3</v>
      </c>
      <c r="DK260">
        <v>4.9999999999999984E-3</v>
      </c>
      <c r="DL260">
        <v>4.9999999999999984E-3</v>
      </c>
      <c r="DM260">
        <v>4.9999999999999984E-3</v>
      </c>
      <c r="DN260">
        <v>4.9999999999999984E-3</v>
      </c>
      <c r="DO260">
        <v>4.9999999999999984E-3</v>
      </c>
    </row>
    <row r="261" spans="61:119">
      <c r="BI261" t="str">
        <f t="shared" si="59"/>
        <v>43251CORP</v>
      </c>
      <c r="BJ261" s="426">
        <v>43251</v>
      </c>
      <c r="BM261" t="s">
        <v>1356</v>
      </c>
      <c r="BN261" s="438">
        <v>1</v>
      </c>
      <c r="BO261" s="438">
        <v>0.64032853579193938</v>
      </c>
      <c r="BR261">
        <v>1.5193429284161213E-2</v>
      </c>
      <c r="BS261">
        <v>6.3422259067235282E-2</v>
      </c>
      <c r="BT261">
        <v>6.3422259067235282E-2</v>
      </c>
      <c r="BU261">
        <v>3.0561314143167748E-2</v>
      </c>
      <c r="BV261">
        <v>3.0561314143167748E-2</v>
      </c>
      <c r="BW261">
        <v>2.0316057570496732E-2</v>
      </c>
      <c r="BX261">
        <v>2.0316057570496732E-2</v>
      </c>
      <c r="BY261">
        <v>6.772019190165574E-3</v>
      </c>
      <c r="BZ261">
        <v>6.772019190165574E-3</v>
      </c>
      <c r="CA261">
        <v>6.772019190165574E-3</v>
      </c>
      <c r="CB261">
        <v>6.772019190165574E-3</v>
      </c>
      <c r="CC261">
        <v>6.772019190165574E-3</v>
      </c>
      <c r="CD261">
        <v>6.772019190165574E-3</v>
      </c>
      <c r="CE261">
        <v>6.772019190165574E-3</v>
      </c>
      <c r="CF261">
        <v>6.772019190165574E-3</v>
      </c>
      <c r="CG261">
        <v>6.772019190165574E-3</v>
      </c>
      <c r="CI261">
        <v>1.3114414891537033E-2</v>
      </c>
      <c r="CJ261">
        <v>5.4865051621466765E-2</v>
      </c>
      <c r="CK261">
        <v>5.4865051621466765E-2</v>
      </c>
      <c r="CL261">
        <v>2.6561314143167758E-2</v>
      </c>
      <c r="CM261">
        <v>2.6561314143167758E-2</v>
      </c>
      <c r="CN261">
        <v>1.7596714642080596E-2</v>
      </c>
      <c r="CO261">
        <v>1.7596714642080596E-2</v>
      </c>
      <c r="CP261">
        <v>5.8655715473602023E-3</v>
      </c>
      <c r="CQ261">
        <v>5.8655715473602023E-3</v>
      </c>
      <c r="CR261">
        <v>5.8655715473602023E-3</v>
      </c>
      <c r="CS261">
        <v>5.8655715473602023E-3</v>
      </c>
      <c r="CT261">
        <v>5.8655715473602023E-3</v>
      </c>
      <c r="CU261">
        <v>5.8655715473602023E-3</v>
      </c>
      <c r="CV261">
        <v>5.8655715473602023E-3</v>
      </c>
      <c r="CW261">
        <v>5.8655715473602023E-3</v>
      </c>
      <c r="CX261">
        <v>5.8655715473602023E-3</v>
      </c>
      <c r="CZ261">
        <v>8.5967146420806058E-3</v>
      </c>
      <c r="DA261">
        <v>3.6491786605201519E-2</v>
      </c>
      <c r="DB261">
        <v>3.6491786605201519E-2</v>
      </c>
      <c r="DC261">
        <v>1.8201642678959698E-2</v>
      </c>
      <c r="DD261">
        <v>1.8201642678959698E-2</v>
      </c>
      <c r="DE261">
        <v>1.1798357321040301E-2</v>
      </c>
      <c r="DF261">
        <v>1.1798357321040301E-2</v>
      </c>
      <c r="DG261">
        <v>3.9327857736800986E-3</v>
      </c>
      <c r="DH261">
        <v>3.9327857736800986E-3</v>
      </c>
      <c r="DI261">
        <v>3.9327857736800986E-3</v>
      </c>
      <c r="DJ261">
        <v>3.9327857736800986E-3</v>
      </c>
      <c r="DK261">
        <v>3.9327857736800986E-3</v>
      </c>
      <c r="DL261">
        <v>3.9327857736800986E-3</v>
      </c>
      <c r="DM261">
        <v>3.9327857736800986E-3</v>
      </c>
      <c r="DN261">
        <v>3.9327857736800986E-3</v>
      </c>
      <c r="DO261">
        <v>3.9327857736800986E-3</v>
      </c>
    </row>
    <row r="262" spans="61:119">
      <c r="BI262" t="str">
        <f t="shared" si="59"/>
        <v>43251ESCROW</v>
      </c>
      <c r="BJ262" s="426">
        <v>43251</v>
      </c>
      <c r="BM262" t="s">
        <v>1339</v>
      </c>
      <c r="BN262" s="438">
        <v>1</v>
      </c>
      <c r="BO262" s="438">
        <v>1</v>
      </c>
      <c r="BR262">
        <v>3.2000000000000001E-2</v>
      </c>
      <c r="BS262">
        <v>2.4E-2</v>
      </c>
      <c r="BT262">
        <v>2.4E-2</v>
      </c>
      <c r="BU262">
        <v>0.04</v>
      </c>
      <c r="BV262">
        <v>0.04</v>
      </c>
      <c r="BW262">
        <v>3.9999999999999994E-2</v>
      </c>
      <c r="BX262">
        <v>3.9999999999999994E-2</v>
      </c>
      <c r="BY262">
        <v>8.8888888888888906E-3</v>
      </c>
      <c r="BZ262">
        <v>8.8888888888888906E-3</v>
      </c>
      <c r="CA262">
        <v>8.8888888888888906E-3</v>
      </c>
      <c r="CB262">
        <v>8.8888888888888906E-3</v>
      </c>
      <c r="CC262">
        <v>8.8888888888888906E-3</v>
      </c>
      <c r="CD262">
        <v>8.8888888888888906E-3</v>
      </c>
      <c r="CE262">
        <v>8.8888888888888906E-3</v>
      </c>
      <c r="CF262">
        <v>8.8888888888888906E-3</v>
      </c>
      <c r="CG262">
        <v>8.8888888888888906E-3</v>
      </c>
      <c r="CI262">
        <v>2.8000000000000004E-2</v>
      </c>
      <c r="CJ262">
        <v>2.1000000000000001E-2</v>
      </c>
      <c r="CK262">
        <v>2.1000000000000001E-2</v>
      </c>
      <c r="CL262">
        <v>3.5000000000000003E-2</v>
      </c>
      <c r="CM262">
        <v>3.5000000000000003E-2</v>
      </c>
      <c r="CN262">
        <v>3.5000000000000003E-2</v>
      </c>
      <c r="CO262">
        <v>3.5000000000000003E-2</v>
      </c>
      <c r="CP262">
        <v>7.7777777777777784E-3</v>
      </c>
      <c r="CQ262">
        <v>7.7777777777777784E-3</v>
      </c>
      <c r="CR262">
        <v>7.7777777777777784E-3</v>
      </c>
      <c r="CS262">
        <v>7.7777777777777784E-3</v>
      </c>
      <c r="CT262">
        <v>7.7777777777777784E-3</v>
      </c>
      <c r="CU262">
        <v>7.7777777777777784E-3</v>
      </c>
      <c r="CV262">
        <v>7.7777777777777784E-3</v>
      </c>
      <c r="CW262">
        <v>7.7777777777777784E-3</v>
      </c>
      <c r="CX262">
        <v>7.7777777777777784E-3</v>
      </c>
      <c r="CZ262">
        <v>2.0000000000000004E-2</v>
      </c>
      <c r="DA262">
        <v>1.4999999999999999E-2</v>
      </c>
      <c r="DB262">
        <v>1.4999999999999999E-2</v>
      </c>
      <c r="DC262">
        <v>2.5000000000000001E-2</v>
      </c>
      <c r="DD262">
        <v>2.5000000000000001E-2</v>
      </c>
      <c r="DE262">
        <v>2.5000000000000008E-2</v>
      </c>
      <c r="DF262">
        <v>2.5000000000000008E-2</v>
      </c>
      <c r="DG262">
        <v>5.555555555555554E-3</v>
      </c>
      <c r="DH262">
        <v>5.555555555555554E-3</v>
      </c>
      <c r="DI262">
        <v>5.555555555555554E-3</v>
      </c>
      <c r="DJ262">
        <v>5.555555555555554E-3</v>
      </c>
      <c r="DK262">
        <v>5.555555555555554E-3</v>
      </c>
      <c r="DL262">
        <v>5.555555555555554E-3</v>
      </c>
      <c r="DM262">
        <v>5.555555555555554E-3</v>
      </c>
      <c r="DN262">
        <v>5.555555555555554E-3</v>
      </c>
      <c r="DO262">
        <v>5.555555555555554E-3</v>
      </c>
    </row>
    <row r="263" spans="61:119">
      <c r="BI263" t="str">
        <f t="shared" si="59"/>
        <v>43251IB</v>
      </c>
      <c r="BJ263" s="426">
        <v>43251</v>
      </c>
      <c r="BM263" t="s">
        <v>1354</v>
      </c>
      <c r="BN263" s="438">
        <v>1</v>
      </c>
      <c r="BO263" s="438">
        <v>1</v>
      </c>
      <c r="BR263">
        <v>1.2E-2</v>
      </c>
      <c r="BS263">
        <v>4.2000000000000003E-2</v>
      </c>
      <c r="BT263">
        <v>4.2000000000000003E-2</v>
      </c>
      <c r="BU263">
        <v>1.1999999999999997E-2</v>
      </c>
      <c r="BV263">
        <v>1.1999999999999997E-2</v>
      </c>
      <c r="BW263">
        <v>1.1999999999999997E-2</v>
      </c>
      <c r="BX263">
        <v>1.1999999999999997E-2</v>
      </c>
      <c r="BY263">
        <v>4.0000000000000001E-3</v>
      </c>
      <c r="BZ263">
        <v>4.0000000000000001E-3</v>
      </c>
      <c r="CA263">
        <v>4.0000000000000001E-3</v>
      </c>
      <c r="CB263">
        <v>4.0000000000000001E-3</v>
      </c>
      <c r="CC263">
        <v>4.0000000000000001E-3</v>
      </c>
      <c r="CD263">
        <v>4.0000000000000001E-3</v>
      </c>
      <c r="CE263">
        <v>4.0000000000000001E-3</v>
      </c>
      <c r="CF263">
        <v>4.0000000000000001E-3</v>
      </c>
      <c r="CG263">
        <v>4.0000000000000001E-3</v>
      </c>
      <c r="CI263">
        <v>3.0000000000000001E-3</v>
      </c>
      <c r="CJ263">
        <v>1.0500000000000001E-2</v>
      </c>
      <c r="CK263">
        <v>1.0500000000000001E-2</v>
      </c>
      <c r="CL263">
        <v>2.9999999999999992E-3</v>
      </c>
      <c r="CM263">
        <v>2.9999999999999992E-3</v>
      </c>
      <c r="CN263">
        <v>2.9999999999999992E-3</v>
      </c>
      <c r="CO263">
        <v>2.9999999999999992E-3</v>
      </c>
      <c r="CP263">
        <v>1E-3</v>
      </c>
      <c r="CQ263">
        <v>1E-3</v>
      </c>
      <c r="CR263">
        <v>1E-3</v>
      </c>
      <c r="CS263">
        <v>1E-3</v>
      </c>
      <c r="CT263">
        <v>1E-3</v>
      </c>
      <c r="CU263">
        <v>1E-3</v>
      </c>
      <c r="CV263">
        <v>1E-3</v>
      </c>
      <c r="CW263">
        <v>1E-3</v>
      </c>
      <c r="CX263">
        <v>1E-3</v>
      </c>
      <c r="CZ263">
        <v>1.0000000000000002E-2</v>
      </c>
      <c r="DA263">
        <v>3.5000000000000003E-2</v>
      </c>
      <c r="DB263">
        <v>3.5000000000000003E-2</v>
      </c>
      <c r="DC263">
        <v>9.999999999999995E-3</v>
      </c>
      <c r="DD263">
        <v>9.999999999999995E-3</v>
      </c>
      <c r="DE263">
        <v>9.999999999999995E-3</v>
      </c>
      <c r="DF263">
        <v>9.999999999999995E-3</v>
      </c>
      <c r="DG263">
        <v>3.3333333333333361E-3</v>
      </c>
      <c r="DH263">
        <v>3.3333333333333361E-3</v>
      </c>
      <c r="DI263">
        <v>3.3333333333333361E-3</v>
      </c>
      <c r="DJ263">
        <v>3.3333333333333361E-3</v>
      </c>
      <c r="DK263">
        <v>3.3333333333333361E-3</v>
      </c>
      <c r="DL263">
        <v>3.3333333333333361E-3</v>
      </c>
      <c r="DM263">
        <v>3.3333333333333361E-3</v>
      </c>
      <c r="DN263">
        <v>3.3333333333333361E-3</v>
      </c>
      <c r="DO263">
        <v>3.3333333333333361E-3</v>
      </c>
    </row>
    <row r="264" spans="61:119">
      <c r="BI264" t="str">
        <f t="shared" si="59"/>
        <v>43251AFF</v>
      </c>
      <c r="BJ264" s="426">
        <v>43251</v>
      </c>
      <c r="BM264" t="s">
        <v>1353</v>
      </c>
      <c r="BN264" s="438">
        <v>1</v>
      </c>
      <c r="BO264" s="438">
        <v>1</v>
      </c>
      <c r="BR264">
        <v>1.4999999999999999E-2</v>
      </c>
      <c r="BS264">
        <v>5.2499999999999998E-2</v>
      </c>
      <c r="BT264">
        <v>5.2499999999999998E-2</v>
      </c>
      <c r="BU264">
        <v>1.4999999999999999E-2</v>
      </c>
      <c r="BV264">
        <v>1.4999999999999999E-2</v>
      </c>
      <c r="BW264">
        <v>1.4999999999999999E-2</v>
      </c>
      <c r="BX264">
        <v>1.4999999999999999E-2</v>
      </c>
      <c r="BY264">
        <v>4.9999999999999984E-3</v>
      </c>
      <c r="BZ264">
        <v>4.9999999999999984E-3</v>
      </c>
      <c r="CA264">
        <v>4.9999999999999984E-3</v>
      </c>
      <c r="CB264">
        <v>4.9999999999999984E-3</v>
      </c>
      <c r="CC264">
        <v>4.9999999999999984E-3</v>
      </c>
      <c r="CD264">
        <v>4.9999999999999984E-3</v>
      </c>
      <c r="CE264">
        <v>4.9999999999999984E-3</v>
      </c>
      <c r="CF264">
        <v>4.9999999999999984E-3</v>
      </c>
      <c r="CG264">
        <v>4.9999999999999984E-3</v>
      </c>
      <c r="CI264">
        <v>1.2E-2</v>
      </c>
      <c r="CJ264">
        <v>4.2000000000000003E-2</v>
      </c>
      <c r="CK264">
        <v>4.2000000000000003E-2</v>
      </c>
      <c r="CL264">
        <v>1.1999999999999997E-2</v>
      </c>
      <c r="CM264">
        <v>1.1999999999999997E-2</v>
      </c>
      <c r="CN264">
        <v>1.1999999999999997E-2</v>
      </c>
      <c r="CO264">
        <v>1.1999999999999997E-2</v>
      </c>
      <c r="CP264">
        <v>4.0000000000000001E-3</v>
      </c>
      <c r="CQ264">
        <v>4.0000000000000001E-3</v>
      </c>
      <c r="CR264">
        <v>4.0000000000000001E-3</v>
      </c>
      <c r="CS264">
        <v>4.0000000000000001E-3</v>
      </c>
      <c r="CT264">
        <v>4.0000000000000001E-3</v>
      </c>
      <c r="CU264">
        <v>4.0000000000000001E-3</v>
      </c>
      <c r="CV264">
        <v>4.0000000000000001E-3</v>
      </c>
      <c r="CW264">
        <v>4.0000000000000001E-3</v>
      </c>
      <c r="CX264">
        <v>4.0000000000000001E-3</v>
      </c>
      <c r="CZ264">
        <v>5.000000000000001E-3</v>
      </c>
      <c r="DA264">
        <v>1.7500000000000002E-2</v>
      </c>
      <c r="DB264">
        <v>1.7500000000000002E-2</v>
      </c>
      <c r="DC264">
        <v>4.9999999999999975E-3</v>
      </c>
      <c r="DD264">
        <v>4.9999999999999975E-3</v>
      </c>
      <c r="DE264">
        <v>4.9999999999999975E-3</v>
      </c>
      <c r="DF264">
        <v>4.9999999999999975E-3</v>
      </c>
      <c r="DG264">
        <v>1.6666666666666681E-3</v>
      </c>
      <c r="DH264">
        <v>1.6666666666666681E-3</v>
      </c>
      <c r="DI264">
        <v>1.6666666666666681E-3</v>
      </c>
      <c r="DJ264">
        <v>1.6666666666666681E-3</v>
      </c>
      <c r="DK264">
        <v>1.6666666666666681E-3</v>
      </c>
      <c r="DL264">
        <v>1.6666666666666681E-3</v>
      </c>
      <c r="DM264">
        <v>1.6666666666666681E-3</v>
      </c>
      <c r="DN264">
        <v>1.6666666666666681E-3</v>
      </c>
      <c r="DO264">
        <v>1.6666666666666681E-3</v>
      </c>
    </row>
    <row r="265" spans="61:119">
      <c r="BI265" t="str">
        <f t="shared" si="59"/>
        <v>432801000526FI</v>
      </c>
      <c r="BJ265" s="426">
        <v>43280</v>
      </c>
      <c r="BK265" t="s">
        <v>1363</v>
      </c>
      <c r="BL265" t="s">
        <v>1368</v>
      </c>
      <c r="BM265" t="s">
        <v>1355</v>
      </c>
      <c r="BN265" s="438">
        <v>2</v>
      </c>
      <c r="BO265" s="438">
        <v>1</v>
      </c>
      <c r="BR265">
        <v>4.6000000000000006E-2</v>
      </c>
      <c r="BS265">
        <v>0.16100000000000003</v>
      </c>
      <c r="BT265">
        <v>0.16100000000000003</v>
      </c>
      <c r="BU265">
        <v>4.5999999999999985E-2</v>
      </c>
      <c r="BV265">
        <v>4.5999999999999985E-2</v>
      </c>
      <c r="BW265">
        <v>4.6000000000000013E-2</v>
      </c>
      <c r="BX265">
        <v>4.6000000000000013E-2</v>
      </c>
      <c r="BY265">
        <v>1.5333333333333334E-2</v>
      </c>
      <c r="BZ265">
        <v>1.5333333333333334E-2</v>
      </c>
      <c r="CA265">
        <v>1.5333333333333334E-2</v>
      </c>
      <c r="CB265">
        <v>1.5333333333333334E-2</v>
      </c>
      <c r="CC265">
        <v>1.5333333333333334E-2</v>
      </c>
      <c r="CD265">
        <v>1.5333333333333334E-2</v>
      </c>
      <c r="CE265">
        <v>1.5333333333333334E-2</v>
      </c>
      <c r="CF265">
        <v>1.5333333333333334E-2</v>
      </c>
      <c r="CG265">
        <v>1.5333333333333334E-2</v>
      </c>
      <c r="CI265">
        <v>4.0000000000000008E-2</v>
      </c>
      <c r="CJ265">
        <v>0.14000000000000001</v>
      </c>
      <c r="CK265">
        <v>0.14000000000000001</v>
      </c>
      <c r="CL265">
        <v>3.999999999999998E-2</v>
      </c>
      <c r="CM265">
        <v>3.999999999999998E-2</v>
      </c>
      <c r="CN265">
        <v>3.999999999999998E-2</v>
      </c>
      <c r="CO265">
        <v>3.999999999999998E-2</v>
      </c>
      <c r="CP265">
        <v>1.3333333333333345E-2</v>
      </c>
      <c r="CQ265">
        <v>1.3333333333333345E-2</v>
      </c>
      <c r="CR265">
        <v>1.3333333333333345E-2</v>
      </c>
      <c r="CS265">
        <v>1.3333333333333345E-2</v>
      </c>
      <c r="CT265">
        <v>1.3333333333333345E-2</v>
      </c>
      <c r="CU265">
        <v>1.3333333333333345E-2</v>
      </c>
      <c r="CV265">
        <v>1.3333333333333345E-2</v>
      </c>
      <c r="CW265">
        <v>1.3333333333333345E-2</v>
      </c>
      <c r="CX265">
        <v>1.3333333333333345E-2</v>
      </c>
      <c r="CZ265">
        <v>0.03</v>
      </c>
      <c r="DA265">
        <v>0.105</v>
      </c>
      <c r="DB265">
        <v>0.105</v>
      </c>
      <c r="DC265">
        <v>0.03</v>
      </c>
      <c r="DD265">
        <v>0.03</v>
      </c>
      <c r="DE265">
        <v>0.03</v>
      </c>
      <c r="DF265">
        <v>0.03</v>
      </c>
      <c r="DG265">
        <v>9.9999999999999967E-3</v>
      </c>
      <c r="DH265">
        <v>9.9999999999999967E-3</v>
      </c>
      <c r="DI265">
        <v>9.9999999999999967E-3</v>
      </c>
      <c r="DJ265">
        <v>9.9999999999999967E-3</v>
      </c>
      <c r="DK265">
        <v>9.9999999999999967E-3</v>
      </c>
      <c r="DL265">
        <v>9.9999999999999967E-3</v>
      </c>
      <c r="DM265">
        <v>9.9999999999999967E-3</v>
      </c>
      <c r="DN265">
        <v>9.9999999999999967E-3</v>
      </c>
      <c r="DO265">
        <v>9.9999999999999967E-3</v>
      </c>
    </row>
    <row r="266" spans="61:119">
      <c r="BI266" t="str">
        <f t="shared" si="59"/>
        <v>432801030623FI</v>
      </c>
      <c r="BJ266" s="426">
        <v>43280</v>
      </c>
      <c r="BK266" t="s">
        <v>1360</v>
      </c>
      <c r="BL266" t="s">
        <v>1369</v>
      </c>
      <c r="BM266" t="s">
        <v>1355</v>
      </c>
      <c r="BN266" s="438">
        <v>2</v>
      </c>
      <c r="BO266" s="438">
        <v>1</v>
      </c>
      <c r="BR266">
        <v>4.6000000000000006E-2</v>
      </c>
      <c r="BS266">
        <v>0.16100000000000003</v>
      </c>
      <c r="BT266">
        <v>0.16100000000000003</v>
      </c>
      <c r="BU266">
        <v>4.5999999999999985E-2</v>
      </c>
      <c r="BV266">
        <v>4.5999999999999985E-2</v>
      </c>
      <c r="BW266">
        <v>4.6000000000000013E-2</v>
      </c>
      <c r="BX266">
        <v>4.6000000000000013E-2</v>
      </c>
      <c r="BY266">
        <v>1.5333333333333334E-2</v>
      </c>
      <c r="BZ266">
        <v>1.5333333333333334E-2</v>
      </c>
      <c r="CA266">
        <v>1.5333333333333334E-2</v>
      </c>
      <c r="CB266">
        <v>1.5333333333333334E-2</v>
      </c>
      <c r="CC266">
        <v>1.5333333333333334E-2</v>
      </c>
      <c r="CD266">
        <v>1.5333333333333334E-2</v>
      </c>
      <c r="CE266">
        <v>1.5333333333333334E-2</v>
      </c>
      <c r="CF266">
        <v>1.5333333333333334E-2</v>
      </c>
      <c r="CG266">
        <v>1.5333333333333334E-2</v>
      </c>
      <c r="CI266">
        <v>4.0000000000000008E-2</v>
      </c>
      <c r="CJ266">
        <v>0.14000000000000001</v>
      </c>
      <c r="CK266">
        <v>0.14000000000000001</v>
      </c>
      <c r="CL266">
        <v>3.999999999999998E-2</v>
      </c>
      <c r="CM266">
        <v>3.999999999999998E-2</v>
      </c>
      <c r="CN266">
        <v>3.999999999999998E-2</v>
      </c>
      <c r="CO266">
        <v>3.999999999999998E-2</v>
      </c>
      <c r="CP266">
        <v>1.3333333333333345E-2</v>
      </c>
      <c r="CQ266">
        <v>1.3333333333333345E-2</v>
      </c>
      <c r="CR266">
        <v>1.3333333333333345E-2</v>
      </c>
      <c r="CS266">
        <v>1.3333333333333345E-2</v>
      </c>
      <c r="CT266">
        <v>1.3333333333333345E-2</v>
      </c>
      <c r="CU266">
        <v>1.3333333333333345E-2</v>
      </c>
      <c r="CV266">
        <v>1.3333333333333345E-2</v>
      </c>
      <c r="CW266">
        <v>1.3333333333333345E-2</v>
      </c>
      <c r="CX266">
        <v>1.3333333333333345E-2</v>
      </c>
      <c r="CZ266">
        <v>0.03</v>
      </c>
      <c r="DA266">
        <v>0.105</v>
      </c>
      <c r="DB266">
        <v>0.105</v>
      </c>
      <c r="DC266">
        <v>0.03</v>
      </c>
      <c r="DD266">
        <v>0.03</v>
      </c>
      <c r="DE266">
        <v>0.03</v>
      </c>
      <c r="DF266">
        <v>0.03</v>
      </c>
      <c r="DG266">
        <v>9.9999999999999967E-3</v>
      </c>
      <c r="DH266">
        <v>9.9999999999999967E-3</v>
      </c>
      <c r="DI266">
        <v>9.9999999999999967E-3</v>
      </c>
      <c r="DJ266">
        <v>9.9999999999999967E-3</v>
      </c>
      <c r="DK266">
        <v>9.9999999999999967E-3</v>
      </c>
      <c r="DL266">
        <v>9.9999999999999967E-3</v>
      </c>
      <c r="DM266">
        <v>9.9999999999999967E-3</v>
      </c>
      <c r="DN266">
        <v>9.9999999999999967E-3</v>
      </c>
      <c r="DO266">
        <v>9.9999999999999967E-3</v>
      </c>
    </row>
    <row r="267" spans="61:119">
      <c r="BI267" t="str">
        <f t="shared" si="59"/>
        <v>432801000790IB</v>
      </c>
      <c r="BJ267" s="426">
        <v>43280</v>
      </c>
      <c r="BK267" t="s">
        <v>1358</v>
      </c>
      <c r="BL267" t="s">
        <v>1371</v>
      </c>
      <c r="BM267" t="s">
        <v>1354</v>
      </c>
      <c r="BN267" s="438">
        <v>1.7361466045727716</v>
      </c>
      <c r="BO267" s="438">
        <v>1</v>
      </c>
      <c r="BR267">
        <v>2.0833759254873258E-2</v>
      </c>
      <c r="BS267">
        <v>7.2918157392056399E-2</v>
      </c>
      <c r="BT267">
        <v>7.2918157392056399E-2</v>
      </c>
      <c r="BU267">
        <v>2.0833759254873255E-2</v>
      </c>
      <c r="BV267">
        <v>2.0833759254873255E-2</v>
      </c>
      <c r="BW267">
        <v>2.0833759254873241E-2</v>
      </c>
      <c r="BX267">
        <v>2.0833759254873241E-2</v>
      </c>
      <c r="BY267">
        <v>6.9445864182910927E-3</v>
      </c>
      <c r="BZ267">
        <v>6.9445864182910927E-3</v>
      </c>
      <c r="CA267">
        <v>6.9445864182910927E-3</v>
      </c>
      <c r="CB267">
        <v>6.9445864182910927E-3</v>
      </c>
      <c r="CC267">
        <v>6.9445864182910927E-3</v>
      </c>
      <c r="CD267">
        <v>6.9445864182910927E-3</v>
      </c>
      <c r="CE267">
        <v>6.9445864182910927E-3</v>
      </c>
      <c r="CF267">
        <v>6.9445864182910927E-3</v>
      </c>
      <c r="CG267">
        <v>6.9445864182910927E-3</v>
      </c>
      <c r="CI267">
        <v>5.2084398137183146E-3</v>
      </c>
      <c r="CJ267">
        <v>1.82295393480141E-2</v>
      </c>
      <c r="CK267">
        <v>1.82295393480141E-2</v>
      </c>
      <c r="CL267">
        <v>5.2084398137183137E-3</v>
      </c>
      <c r="CM267">
        <v>5.2084398137183137E-3</v>
      </c>
      <c r="CN267">
        <v>5.2084398137183102E-3</v>
      </c>
      <c r="CO267">
        <v>5.2084398137183102E-3</v>
      </c>
      <c r="CP267">
        <v>1.7361466045727732E-3</v>
      </c>
      <c r="CQ267">
        <v>1.7361466045727732E-3</v>
      </c>
      <c r="CR267">
        <v>1.7361466045727732E-3</v>
      </c>
      <c r="CS267">
        <v>1.7361466045727732E-3</v>
      </c>
      <c r="CT267">
        <v>1.7361466045727732E-3</v>
      </c>
      <c r="CU267">
        <v>1.7361466045727732E-3</v>
      </c>
      <c r="CV267">
        <v>1.7361466045727732E-3</v>
      </c>
      <c r="CW267">
        <v>1.7361466045727732E-3</v>
      </c>
      <c r="CX267">
        <v>1.7361466045727732E-3</v>
      </c>
      <c r="CZ267">
        <v>1.7361466045727716E-2</v>
      </c>
      <c r="DA267">
        <v>6.0765131160047003E-2</v>
      </c>
      <c r="DB267">
        <v>6.0765131160047003E-2</v>
      </c>
      <c r="DC267">
        <v>1.7361466045727719E-2</v>
      </c>
      <c r="DD267">
        <v>1.7361466045727719E-2</v>
      </c>
      <c r="DE267">
        <v>1.7361466045727719E-2</v>
      </c>
      <c r="DF267">
        <v>1.7361466045727719E-2</v>
      </c>
      <c r="DG267">
        <v>5.7871553485759064E-3</v>
      </c>
      <c r="DH267">
        <v>5.7871553485759064E-3</v>
      </c>
      <c r="DI267">
        <v>5.7871553485759064E-3</v>
      </c>
      <c r="DJ267">
        <v>5.7871553485759064E-3</v>
      </c>
      <c r="DK267">
        <v>5.7871553485759064E-3</v>
      </c>
      <c r="DL267">
        <v>5.7871553485759064E-3</v>
      </c>
      <c r="DM267">
        <v>5.7871553485759064E-3</v>
      </c>
      <c r="DN267">
        <v>5.7871553485759064E-3</v>
      </c>
      <c r="DO267">
        <v>5.7871553485759064E-3</v>
      </c>
    </row>
    <row r="268" spans="61:119">
      <c r="BI268" t="str">
        <f t="shared" si="59"/>
        <v>432801167651FI</v>
      </c>
      <c r="BJ268" s="426">
        <v>43280</v>
      </c>
      <c r="BK268" t="s">
        <v>1687</v>
      </c>
      <c r="BL268" t="s">
        <v>1688</v>
      </c>
      <c r="BM268" t="s">
        <v>1355</v>
      </c>
      <c r="BN268" s="438">
        <v>1.493749601235796</v>
      </c>
      <c r="BO268" s="438">
        <v>0.10071114797087187</v>
      </c>
      <c r="BR268">
        <v>0.15928429069105385</v>
      </c>
      <c r="BS268">
        <v>0.32375866606279907</v>
      </c>
      <c r="BT268">
        <v>0.32375866606279907</v>
      </c>
      <c r="BU268">
        <v>3.4600564537942136E-3</v>
      </c>
      <c r="BV268">
        <v>3.4600564537942136E-3</v>
      </c>
      <c r="BW268">
        <v>6.3543896875209338E-2</v>
      </c>
      <c r="BX268">
        <v>6.3543896875209338E-2</v>
      </c>
      <c r="BY268">
        <v>1.1533521512647501E-3</v>
      </c>
      <c r="BZ268">
        <v>1.1533521512647501E-3</v>
      </c>
      <c r="CA268">
        <v>1.1533521512647501E-3</v>
      </c>
      <c r="CB268">
        <v>1.1533521512647501E-3</v>
      </c>
      <c r="CC268">
        <v>1.1533521512647501E-3</v>
      </c>
      <c r="CD268">
        <v>1.1533521512647501E-3</v>
      </c>
      <c r="CE268">
        <v>1.1533521512647501E-3</v>
      </c>
      <c r="CF268">
        <v>1.1533521512647501E-3</v>
      </c>
      <c r="CG268">
        <v>1.1533521512647501E-3</v>
      </c>
      <c r="CI268">
        <v>0.15077310479500358</v>
      </c>
      <c r="CJ268">
        <v>0.30605932670365171</v>
      </c>
      <c r="CK268">
        <v>0.30605932670365171</v>
      </c>
      <c r="CL268">
        <v>3.008744742429792E-3</v>
      </c>
      <c r="CM268">
        <v>3.008744742429792E-3</v>
      </c>
      <c r="CN268">
        <v>7.6890924768716618E-2</v>
      </c>
      <c r="CO268">
        <v>7.6890924768716618E-2</v>
      </c>
      <c r="CP268">
        <v>2.414325104552775E-3</v>
      </c>
      <c r="CQ268">
        <v>2.414325104552775E-3</v>
      </c>
      <c r="CR268">
        <v>2.414325104552775E-3</v>
      </c>
      <c r="CS268">
        <v>2.414325104552775E-3</v>
      </c>
      <c r="CT268">
        <v>2.414325104552775E-3</v>
      </c>
      <c r="CU268">
        <v>2.414325104552775E-3</v>
      </c>
      <c r="CV268">
        <v>2.414325104552775E-3</v>
      </c>
      <c r="CW268">
        <v>2.414325104552775E-3</v>
      </c>
      <c r="CX268">
        <v>2.414325104552775E-3</v>
      </c>
      <c r="CZ268">
        <v>6.9422176762537688E-2</v>
      </c>
      <c r="DA268">
        <v>0.14222919136030887</v>
      </c>
      <c r="DB268">
        <v>0.14222919136030887</v>
      </c>
      <c r="DC268">
        <v>2.2565585568223301E-3</v>
      </c>
      <c r="DD268">
        <v>2.2565585568223301E-3</v>
      </c>
      <c r="DE268">
        <v>3.5839367659679988E-2</v>
      </c>
      <c r="DF268">
        <v>3.5839367659679988E-2</v>
      </c>
      <c r="DG268">
        <v>1.1946455886559995E-2</v>
      </c>
      <c r="DH268">
        <v>1.1946455886559995E-2</v>
      </c>
      <c r="DI268">
        <v>1.1946455886559995E-2</v>
      </c>
      <c r="DJ268">
        <v>1.1946455886559995E-2</v>
      </c>
      <c r="DK268">
        <v>1.1946455886559995E-2</v>
      </c>
      <c r="DL268">
        <v>1.1946455886559995E-2</v>
      </c>
      <c r="DM268">
        <v>1.1946455886559995E-2</v>
      </c>
      <c r="DN268">
        <v>1.1946455886559995E-2</v>
      </c>
      <c r="DO268">
        <v>1.1946455886559995E-2</v>
      </c>
    </row>
    <row r="269" spans="61:119">
      <c r="BI269" t="str">
        <f t="shared" si="59"/>
        <v>432801151227FI</v>
      </c>
      <c r="BJ269" s="426">
        <v>43280</v>
      </c>
      <c r="BK269" t="s">
        <v>1362</v>
      </c>
      <c r="BL269" t="s">
        <v>1372</v>
      </c>
      <c r="BM269" t="s">
        <v>1355</v>
      </c>
      <c r="BN269" s="438">
        <v>1.493749601235796</v>
      </c>
      <c r="BO269" s="438">
        <v>0.10071114797087187</v>
      </c>
      <c r="BR269">
        <v>0.15928429069105385</v>
      </c>
      <c r="BS269">
        <v>0.32375866606279907</v>
      </c>
      <c r="BT269">
        <v>0.32375866606279907</v>
      </c>
      <c r="BU269">
        <v>3.4600564537942136E-3</v>
      </c>
      <c r="BV269">
        <v>3.4600564537942136E-3</v>
      </c>
      <c r="BW269">
        <v>6.3543896875209338E-2</v>
      </c>
      <c r="BX269">
        <v>6.3543896875209338E-2</v>
      </c>
      <c r="BY269">
        <v>1.1533521512647501E-3</v>
      </c>
      <c r="BZ269">
        <v>1.1533521512647501E-3</v>
      </c>
      <c r="CA269">
        <v>1.1533521512647501E-3</v>
      </c>
      <c r="CB269">
        <v>1.1533521512647501E-3</v>
      </c>
      <c r="CC269">
        <v>1.1533521512647501E-3</v>
      </c>
      <c r="CD269">
        <v>1.1533521512647501E-3</v>
      </c>
      <c r="CE269">
        <v>1.1533521512647501E-3</v>
      </c>
      <c r="CF269">
        <v>1.1533521512647501E-3</v>
      </c>
      <c r="CG269">
        <v>1.1533521512647501E-3</v>
      </c>
      <c r="CI269">
        <v>0.15077310479500358</v>
      </c>
      <c r="CJ269">
        <v>0.30605932670365171</v>
      </c>
      <c r="CK269">
        <v>0.30605932670365171</v>
      </c>
      <c r="CL269">
        <v>3.008744742429792E-3</v>
      </c>
      <c r="CM269">
        <v>3.008744742429792E-3</v>
      </c>
      <c r="CN269">
        <v>7.6890924768716618E-2</v>
      </c>
      <c r="CO269">
        <v>7.6890924768716618E-2</v>
      </c>
      <c r="CP269">
        <v>2.414325104552775E-3</v>
      </c>
      <c r="CQ269">
        <v>2.414325104552775E-3</v>
      </c>
      <c r="CR269">
        <v>2.414325104552775E-3</v>
      </c>
      <c r="CS269">
        <v>2.414325104552775E-3</v>
      </c>
      <c r="CT269">
        <v>2.414325104552775E-3</v>
      </c>
      <c r="CU269">
        <v>2.414325104552775E-3</v>
      </c>
      <c r="CV269">
        <v>2.414325104552775E-3</v>
      </c>
      <c r="CW269">
        <v>2.414325104552775E-3</v>
      </c>
      <c r="CX269">
        <v>2.414325104552775E-3</v>
      </c>
      <c r="CZ269">
        <v>6.9422176762537688E-2</v>
      </c>
      <c r="DA269">
        <v>0.14222919136030887</v>
      </c>
      <c r="DB269">
        <v>0.14222919136030887</v>
      </c>
      <c r="DC269">
        <v>2.2565585568223301E-3</v>
      </c>
      <c r="DD269">
        <v>2.2565585568223301E-3</v>
      </c>
      <c r="DE269">
        <v>3.5839367659679988E-2</v>
      </c>
      <c r="DF269">
        <v>3.5839367659679988E-2</v>
      </c>
      <c r="DG269">
        <v>1.1946455886559995E-2</v>
      </c>
      <c r="DH269">
        <v>1.1946455886559995E-2</v>
      </c>
      <c r="DI269">
        <v>1.1946455886559995E-2</v>
      </c>
      <c r="DJ269">
        <v>1.1946455886559995E-2</v>
      </c>
      <c r="DK269">
        <v>1.1946455886559995E-2</v>
      </c>
      <c r="DL269">
        <v>1.1946455886559995E-2</v>
      </c>
      <c r="DM269">
        <v>1.1946455886559995E-2</v>
      </c>
      <c r="DN269">
        <v>1.1946455886559995E-2</v>
      </c>
      <c r="DO269">
        <v>1.1946455886559995E-2</v>
      </c>
    </row>
    <row r="270" spans="61:119">
      <c r="BI270" t="str">
        <f t="shared" si="59"/>
        <v>432801141467FI</v>
      </c>
      <c r="BJ270" s="426">
        <v>43280</v>
      </c>
      <c r="BK270" t="s">
        <v>1375</v>
      </c>
      <c r="BL270" t="s">
        <v>1376</v>
      </c>
      <c r="BM270" t="s">
        <v>1355</v>
      </c>
      <c r="BN270" s="438">
        <v>2</v>
      </c>
      <c r="BO270" s="438">
        <v>1</v>
      </c>
      <c r="BR270">
        <v>4.6000000000000006E-2</v>
      </c>
      <c r="BS270">
        <v>0.16100000000000003</v>
      </c>
      <c r="BT270">
        <v>0.16100000000000003</v>
      </c>
      <c r="BU270">
        <v>4.5999999999999985E-2</v>
      </c>
      <c r="BV270">
        <v>4.5999999999999985E-2</v>
      </c>
      <c r="BW270">
        <v>4.6000000000000013E-2</v>
      </c>
      <c r="BX270">
        <v>4.6000000000000013E-2</v>
      </c>
      <c r="BY270">
        <v>1.5333333333333334E-2</v>
      </c>
      <c r="BZ270">
        <v>1.5333333333333334E-2</v>
      </c>
      <c r="CA270">
        <v>1.5333333333333334E-2</v>
      </c>
      <c r="CB270">
        <v>1.5333333333333334E-2</v>
      </c>
      <c r="CC270">
        <v>1.5333333333333334E-2</v>
      </c>
      <c r="CD270">
        <v>1.5333333333333334E-2</v>
      </c>
      <c r="CE270">
        <v>1.5333333333333334E-2</v>
      </c>
      <c r="CF270">
        <v>1.5333333333333334E-2</v>
      </c>
      <c r="CG270">
        <v>1.5333333333333334E-2</v>
      </c>
      <c r="CI270">
        <v>4.0000000000000008E-2</v>
      </c>
      <c r="CJ270">
        <v>0.14000000000000001</v>
      </c>
      <c r="CK270">
        <v>0.14000000000000001</v>
      </c>
      <c r="CL270">
        <v>3.999999999999998E-2</v>
      </c>
      <c r="CM270">
        <v>3.999999999999998E-2</v>
      </c>
      <c r="CN270">
        <v>3.999999999999998E-2</v>
      </c>
      <c r="CO270">
        <v>3.999999999999998E-2</v>
      </c>
      <c r="CP270">
        <v>1.3333333333333345E-2</v>
      </c>
      <c r="CQ270">
        <v>1.3333333333333345E-2</v>
      </c>
      <c r="CR270">
        <v>1.3333333333333345E-2</v>
      </c>
      <c r="CS270">
        <v>1.3333333333333345E-2</v>
      </c>
      <c r="CT270">
        <v>1.3333333333333345E-2</v>
      </c>
      <c r="CU270">
        <v>1.3333333333333345E-2</v>
      </c>
      <c r="CV270">
        <v>1.3333333333333345E-2</v>
      </c>
      <c r="CW270">
        <v>1.3333333333333345E-2</v>
      </c>
      <c r="CX270">
        <v>1.3333333333333345E-2</v>
      </c>
      <c r="CZ270">
        <v>0.03</v>
      </c>
      <c r="DA270">
        <v>0.105</v>
      </c>
      <c r="DB270">
        <v>0.105</v>
      </c>
      <c r="DC270">
        <v>0.03</v>
      </c>
      <c r="DD270">
        <v>0.03</v>
      </c>
      <c r="DE270">
        <v>0.03</v>
      </c>
      <c r="DF270">
        <v>0.03</v>
      </c>
      <c r="DG270">
        <v>9.9999999999999967E-3</v>
      </c>
      <c r="DH270">
        <v>9.9999999999999967E-3</v>
      </c>
      <c r="DI270">
        <v>9.9999999999999967E-3</v>
      </c>
      <c r="DJ270">
        <v>9.9999999999999967E-3</v>
      </c>
      <c r="DK270">
        <v>9.9999999999999967E-3</v>
      </c>
      <c r="DL270">
        <v>9.9999999999999967E-3</v>
      </c>
      <c r="DM270">
        <v>9.9999999999999967E-3</v>
      </c>
      <c r="DN270">
        <v>9.9999999999999967E-3</v>
      </c>
      <c r="DO270">
        <v>9.9999999999999967E-3</v>
      </c>
    </row>
    <row r="271" spans="61:119">
      <c r="BI271" t="str">
        <f t="shared" si="59"/>
        <v>432801147542CME</v>
      </c>
      <c r="BJ271" s="426">
        <v>43280</v>
      </c>
      <c r="BK271" t="s">
        <v>1361</v>
      </c>
      <c r="BL271" t="s">
        <v>1370</v>
      </c>
      <c r="BM271" t="s">
        <v>1321</v>
      </c>
      <c r="BN271" s="438">
        <v>1</v>
      </c>
      <c r="BO271" s="438">
        <v>1</v>
      </c>
      <c r="BR271">
        <v>8.0000000000000016E-2</v>
      </c>
      <c r="BS271">
        <v>0.16</v>
      </c>
      <c r="BT271">
        <v>0.16</v>
      </c>
      <c r="BU271">
        <v>0</v>
      </c>
      <c r="BV271">
        <v>0</v>
      </c>
      <c r="BW271">
        <v>3.999999999999998E-2</v>
      </c>
      <c r="BX271">
        <v>3.999999999999998E-2</v>
      </c>
      <c r="BY271">
        <v>1.3333333333333345E-2</v>
      </c>
      <c r="BZ271">
        <v>1.3333333333333345E-2</v>
      </c>
      <c r="CA271">
        <v>1.3333333333333345E-2</v>
      </c>
      <c r="CB271">
        <v>1.3333333333333345E-2</v>
      </c>
      <c r="CC271">
        <v>1.3333333333333345E-2</v>
      </c>
      <c r="CD271">
        <v>1.3333333333333345E-2</v>
      </c>
      <c r="CE271">
        <v>1.3333333333333345E-2</v>
      </c>
      <c r="CF271">
        <v>1.3333333333333345E-2</v>
      </c>
      <c r="CG271">
        <v>1.3333333333333345E-2</v>
      </c>
      <c r="CI271">
        <v>6.9999999999999993E-2</v>
      </c>
      <c r="CJ271">
        <v>0.13999999999999999</v>
      </c>
      <c r="CK271">
        <v>0.13999999999999999</v>
      </c>
      <c r="CL271">
        <v>0</v>
      </c>
      <c r="CM271">
        <v>0</v>
      </c>
      <c r="CN271">
        <v>3.5000000000000003E-2</v>
      </c>
      <c r="CO271">
        <v>3.5000000000000003E-2</v>
      </c>
      <c r="CP271">
        <v>1.1666666666666659E-2</v>
      </c>
      <c r="CQ271">
        <v>1.1666666666666659E-2</v>
      </c>
      <c r="CR271">
        <v>1.1666666666666659E-2</v>
      </c>
      <c r="CS271">
        <v>1.1666666666666659E-2</v>
      </c>
      <c r="CT271">
        <v>1.1666666666666659E-2</v>
      </c>
      <c r="CU271">
        <v>1.1666666666666659E-2</v>
      </c>
      <c r="CV271">
        <v>1.1666666666666659E-2</v>
      </c>
      <c r="CW271">
        <v>1.1666666666666659E-2</v>
      </c>
      <c r="CX271">
        <v>1.1666666666666659E-2</v>
      </c>
      <c r="CZ271">
        <v>4.0000000000000008E-2</v>
      </c>
      <c r="DA271">
        <v>0.08</v>
      </c>
      <c r="DB271">
        <v>0.08</v>
      </c>
      <c r="DC271">
        <v>0</v>
      </c>
      <c r="DD271">
        <v>0</v>
      </c>
      <c r="DE271">
        <v>1.999999999999999E-2</v>
      </c>
      <c r="DF271">
        <v>1.999999999999999E-2</v>
      </c>
      <c r="DG271">
        <v>6.6666666666666723E-3</v>
      </c>
      <c r="DH271">
        <v>6.6666666666666723E-3</v>
      </c>
      <c r="DI271">
        <v>6.6666666666666723E-3</v>
      </c>
      <c r="DJ271">
        <v>6.6666666666666723E-3</v>
      </c>
      <c r="DK271">
        <v>6.6666666666666723E-3</v>
      </c>
      <c r="DL271">
        <v>6.6666666666666723E-3</v>
      </c>
      <c r="DM271">
        <v>6.6666666666666723E-3</v>
      </c>
      <c r="DN271">
        <v>6.6666666666666723E-3</v>
      </c>
      <c r="DO271">
        <v>6.6666666666666723E-3</v>
      </c>
    </row>
    <row r="272" spans="61:119">
      <c r="BI272" t="str">
        <f t="shared" si="59"/>
        <v>43280FI</v>
      </c>
      <c r="BJ272" s="426">
        <v>43280</v>
      </c>
      <c r="BM272" t="s">
        <v>1355</v>
      </c>
      <c r="BN272" s="438">
        <v>1</v>
      </c>
      <c r="BO272" s="438">
        <v>1</v>
      </c>
      <c r="BR272">
        <v>2.3000000000000003E-2</v>
      </c>
      <c r="BS272">
        <v>8.0500000000000016E-2</v>
      </c>
      <c r="BT272">
        <v>8.0500000000000016E-2</v>
      </c>
      <c r="BU272">
        <v>2.2999999999999993E-2</v>
      </c>
      <c r="BV272">
        <v>2.2999999999999993E-2</v>
      </c>
      <c r="BW272">
        <v>2.3000000000000007E-2</v>
      </c>
      <c r="BX272">
        <v>2.3000000000000007E-2</v>
      </c>
      <c r="BY272">
        <v>7.6666666666666671E-3</v>
      </c>
      <c r="BZ272">
        <v>7.6666666666666671E-3</v>
      </c>
      <c r="CA272">
        <v>7.6666666666666671E-3</v>
      </c>
      <c r="CB272">
        <v>7.6666666666666671E-3</v>
      </c>
      <c r="CC272">
        <v>7.6666666666666671E-3</v>
      </c>
      <c r="CD272">
        <v>7.6666666666666671E-3</v>
      </c>
      <c r="CE272">
        <v>7.6666666666666671E-3</v>
      </c>
      <c r="CF272">
        <v>7.6666666666666671E-3</v>
      </c>
      <c r="CG272">
        <v>7.6666666666666671E-3</v>
      </c>
      <c r="CI272">
        <v>2.0000000000000004E-2</v>
      </c>
      <c r="CJ272">
        <v>7.0000000000000007E-2</v>
      </c>
      <c r="CK272">
        <v>7.0000000000000007E-2</v>
      </c>
      <c r="CL272">
        <v>1.999999999999999E-2</v>
      </c>
      <c r="CM272">
        <v>1.999999999999999E-2</v>
      </c>
      <c r="CN272">
        <v>1.999999999999999E-2</v>
      </c>
      <c r="CO272">
        <v>1.999999999999999E-2</v>
      </c>
      <c r="CP272">
        <v>6.6666666666666723E-3</v>
      </c>
      <c r="CQ272">
        <v>6.6666666666666723E-3</v>
      </c>
      <c r="CR272">
        <v>6.6666666666666723E-3</v>
      </c>
      <c r="CS272">
        <v>6.6666666666666723E-3</v>
      </c>
      <c r="CT272">
        <v>6.6666666666666723E-3</v>
      </c>
      <c r="CU272">
        <v>6.6666666666666723E-3</v>
      </c>
      <c r="CV272">
        <v>6.6666666666666723E-3</v>
      </c>
      <c r="CW272">
        <v>6.6666666666666723E-3</v>
      </c>
      <c r="CX272">
        <v>6.6666666666666723E-3</v>
      </c>
      <c r="CZ272">
        <v>1.4999999999999999E-2</v>
      </c>
      <c r="DA272">
        <v>5.2499999999999998E-2</v>
      </c>
      <c r="DB272">
        <v>5.2499999999999998E-2</v>
      </c>
      <c r="DC272">
        <v>1.4999999999999999E-2</v>
      </c>
      <c r="DD272">
        <v>1.4999999999999999E-2</v>
      </c>
      <c r="DE272">
        <v>1.4999999999999999E-2</v>
      </c>
      <c r="DF272">
        <v>1.4999999999999999E-2</v>
      </c>
      <c r="DG272">
        <v>4.9999999999999984E-3</v>
      </c>
      <c r="DH272">
        <v>4.9999999999999984E-3</v>
      </c>
      <c r="DI272">
        <v>4.9999999999999984E-3</v>
      </c>
      <c r="DJ272">
        <v>4.9999999999999984E-3</v>
      </c>
      <c r="DK272">
        <v>4.9999999999999984E-3</v>
      </c>
      <c r="DL272">
        <v>4.9999999999999984E-3</v>
      </c>
      <c r="DM272">
        <v>4.9999999999999984E-3</v>
      </c>
      <c r="DN272">
        <v>4.9999999999999984E-3</v>
      </c>
      <c r="DO272">
        <v>4.9999999999999984E-3</v>
      </c>
    </row>
    <row r="273" spans="61:119">
      <c r="BI273" t="str">
        <f t="shared" si="59"/>
        <v>43280CORP</v>
      </c>
      <c r="BJ273" s="426">
        <v>43280</v>
      </c>
      <c r="BM273" t="s">
        <v>1356</v>
      </c>
      <c r="BN273" s="438">
        <v>1</v>
      </c>
      <c r="BO273" s="438">
        <v>0.94421464636194008</v>
      </c>
      <c r="BR273">
        <v>9.1157070727611988E-3</v>
      </c>
      <c r="BS273">
        <v>4.7012409096455231E-2</v>
      </c>
      <c r="BT273">
        <v>4.7012409096455231E-2</v>
      </c>
      <c r="BU273">
        <v>3.1776858585447779E-2</v>
      </c>
      <c r="BV273">
        <v>3.1776858585447779E-2</v>
      </c>
      <c r="BW273">
        <v>1.6669424243656694E-2</v>
      </c>
      <c r="BX273">
        <v>1.6669424243656694E-2</v>
      </c>
      <c r="BY273">
        <v>5.5564747478855769E-3</v>
      </c>
      <c r="BZ273">
        <v>5.5564747478855769E-3</v>
      </c>
      <c r="CA273">
        <v>5.5564747478855769E-3</v>
      </c>
      <c r="CB273">
        <v>5.5564747478855769E-3</v>
      </c>
      <c r="CC273">
        <v>5.5564747478855769E-3</v>
      </c>
      <c r="CD273">
        <v>5.5564747478855769E-3</v>
      </c>
      <c r="CE273">
        <v>5.5564747478855769E-3</v>
      </c>
      <c r="CF273">
        <v>5.5564747478855769E-3</v>
      </c>
      <c r="CG273">
        <v>5.5564747478855769E-3</v>
      </c>
      <c r="CI273">
        <v>7.9483510118470192E-3</v>
      </c>
      <c r="CJ273">
        <v>4.1038233590531728E-2</v>
      </c>
      <c r="CK273">
        <v>4.1038233590531728E-2</v>
      </c>
      <c r="CL273">
        <v>2.7776858585447761E-2</v>
      </c>
      <c r="CM273">
        <v>2.7776858585447761E-2</v>
      </c>
      <c r="CN273">
        <v>1.4557853536380602E-2</v>
      </c>
      <c r="CO273">
        <v>1.4557853536380602E-2</v>
      </c>
      <c r="CP273">
        <v>4.8526178454601993E-3</v>
      </c>
      <c r="CQ273">
        <v>4.8526178454601993E-3</v>
      </c>
      <c r="CR273">
        <v>4.8526178454601993E-3</v>
      </c>
      <c r="CS273">
        <v>4.8526178454601993E-3</v>
      </c>
      <c r="CT273">
        <v>4.8526178454601993E-3</v>
      </c>
      <c r="CU273">
        <v>4.8526178454601993E-3</v>
      </c>
      <c r="CV273">
        <v>4.8526178454601993E-3</v>
      </c>
      <c r="CW273">
        <v>4.8526178454601993E-3</v>
      </c>
      <c r="CX273">
        <v>4.8526178454601993E-3</v>
      </c>
      <c r="CZ273">
        <v>5.5578535363805994E-3</v>
      </c>
      <c r="DA273">
        <v>2.8894633840951495E-2</v>
      </c>
      <c r="DB273">
        <v>2.8894633840951495E-2</v>
      </c>
      <c r="DC273">
        <v>1.9721073231809702E-2</v>
      </c>
      <c r="DD273">
        <v>1.9721073231809702E-2</v>
      </c>
      <c r="DE273">
        <v>1.0278926768190297E-2</v>
      </c>
      <c r="DF273">
        <v>1.0278926768190297E-2</v>
      </c>
      <c r="DG273">
        <v>3.4263089227301005E-3</v>
      </c>
      <c r="DH273">
        <v>3.4263089227301005E-3</v>
      </c>
      <c r="DI273">
        <v>3.4263089227301005E-3</v>
      </c>
      <c r="DJ273">
        <v>3.4263089227301005E-3</v>
      </c>
      <c r="DK273">
        <v>3.4263089227301005E-3</v>
      </c>
      <c r="DL273">
        <v>3.4263089227301005E-3</v>
      </c>
      <c r="DM273">
        <v>3.4263089227301005E-3</v>
      </c>
      <c r="DN273">
        <v>3.4263089227301005E-3</v>
      </c>
      <c r="DO273">
        <v>3.4263089227301005E-3</v>
      </c>
    </row>
    <row r="274" spans="61:119">
      <c r="BI274" t="str">
        <f t="shared" si="59"/>
        <v>43280ESCROW</v>
      </c>
      <c r="BJ274" s="426">
        <v>43280</v>
      </c>
      <c r="BM274" t="s">
        <v>1339</v>
      </c>
      <c r="BN274" s="438">
        <v>1</v>
      </c>
      <c r="BO274" s="438">
        <v>1</v>
      </c>
      <c r="BR274">
        <v>3.2000000000000001E-2</v>
      </c>
      <c r="BS274">
        <v>2.4E-2</v>
      </c>
      <c r="BT274">
        <v>2.4E-2</v>
      </c>
      <c r="BU274">
        <v>0.04</v>
      </c>
      <c r="BV274">
        <v>0.04</v>
      </c>
      <c r="BW274">
        <v>3.9999999999999994E-2</v>
      </c>
      <c r="BX274">
        <v>3.9999999999999994E-2</v>
      </c>
      <c r="BY274">
        <v>8.8888888888888906E-3</v>
      </c>
      <c r="BZ274">
        <v>8.8888888888888906E-3</v>
      </c>
      <c r="CA274">
        <v>8.8888888888888906E-3</v>
      </c>
      <c r="CB274">
        <v>8.8888888888888906E-3</v>
      </c>
      <c r="CC274">
        <v>8.8888888888888906E-3</v>
      </c>
      <c r="CD274">
        <v>8.8888888888888906E-3</v>
      </c>
      <c r="CE274">
        <v>8.8888888888888906E-3</v>
      </c>
      <c r="CF274">
        <v>8.8888888888888906E-3</v>
      </c>
      <c r="CG274">
        <v>8.8888888888888906E-3</v>
      </c>
      <c r="CI274">
        <v>2.8000000000000004E-2</v>
      </c>
      <c r="CJ274">
        <v>2.1000000000000001E-2</v>
      </c>
      <c r="CK274">
        <v>2.1000000000000001E-2</v>
      </c>
      <c r="CL274">
        <v>3.5000000000000003E-2</v>
      </c>
      <c r="CM274">
        <v>3.5000000000000003E-2</v>
      </c>
      <c r="CN274">
        <v>3.5000000000000003E-2</v>
      </c>
      <c r="CO274">
        <v>3.5000000000000003E-2</v>
      </c>
      <c r="CP274">
        <v>7.7777777777777784E-3</v>
      </c>
      <c r="CQ274">
        <v>7.7777777777777784E-3</v>
      </c>
      <c r="CR274">
        <v>7.7777777777777784E-3</v>
      </c>
      <c r="CS274">
        <v>7.7777777777777784E-3</v>
      </c>
      <c r="CT274">
        <v>7.7777777777777784E-3</v>
      </c>
      <c r="CU274">
        <v>7.7777777777777784E-3</v>
      </c>
      <c r="CV274">
        <v>7.7777777777777784E-3</v>
      </c>
      <c r="CW274">
        <v>7.7777777777777784E-3</v>
      </c>
      <c r="CX274">
        <v>7.7777777777777784E-3</v>
      </c>
      <c r="CZ274">
        <v>2.0000000000000004E-2</v>
      </c>
      <c r="DA274">
        <v>1.4999999999999999E-2</v>
      </c>
      <c r="DB274">
        <v>1.4999999999999999E-2</v>
      </c>
      <c r="DC274">
        <v>2.5000000000000001E-2</v>
      </c>
      <c r="DD274">
        <v>2.5000000000000001E-2</v>
      </c>
      <c r="DE274">
        <v>2.5000000000000008E-2</v>
      </c>
      <c r="DF274">
        <v>2.5000000000000008E-2</v>
      </c>
      <c r="DG274">
        <v>5.555555555555554E-3</v>
      </c>
      <c r="DH274">
        <v>5.555555555555554E-3</v>
      </c>
      <c r="DI274">
        <v>5.555555555555554E-3</v>
      </c>
      <c r="DJ274">
        <v>5.555555555555554E-3</v>
      </c>
      <c r="DK274">
        <v>5.555555555555554E-3</v>
      </c>
      <c r="DL274">
        <v>5.555555555555554E-3</v>
      </c>
      <c r="DM274">
        <v>5.555555555555554E-3</v>
      </c>
      <c r="DN274">
        <v>5.555555555555554E-3</v>
      </c>
      <c r="DO274">
        <v>5.555555555555554E-3</v>
      </c>
    </row>
    <row r="275" spans="61:119">
      <c r="BI275" t="str">
        <f t="shared" si="59"/>
        <v>43280IB</v>
      </c>
      <c r="BJ275" s="426">
        <v>43280</v>
      </c>
      <c r="BM275" t="s">
        <v>1354</v>
      </c>
      <c r="BN275" s="438">
        <v>1</v>
      </c>
      <c r="BO275" s="438">
        <v>1</v>
      </c>
      <c r="BR275">
        <v>1.2E-2</v>
      </c>
      <c r="BS275">
        <v>4.2000000000000003E-2</v>
      </c>
      <c r="BT275">
        <v>4.2000000000000003E-2</v>
      </c>
      <c r="BU275">
        <v>1.1999999999999997E-2</v>
      </c>
      <c r="BV275">
        <v>1.1999999999999997E-2</v>
      </c>
      <c r="BW275">
        <v>1.1999999999999997E-2</v>
      </c>
      <c r="BX275">
        <v>1.1999999999999997E-2</v>
      </c>
      <c r="BY275">
        <v>4.0000000000000001E-3</v>
      </c>
      <c r="BZ275">
        <v>4.0000000000000001E-3</v>
      </c>
      <c r="CA275">
        <v>4.0000000000000001E-3</v>
      </c>
      <c r="CB275">
        <v>4.0000000000000001E-3</v>
      </c>
      <c r="CC275">
        <v>4.0000000000000001E-3</v>
      </c>
      <c r="CD275">
        <v>4.0000000000000001E-3</v>
      </c>
      <c r="CE275">
        <v>4.0000000000000001E-3</v>
      </c>
      <c r="CF275">
        <v>4.0000000000000001E-3</v>
      </c>
      <c r="CG275">
        <v>4.0000000000000001E-3</v>
      </c>
      <c r="CI275">
        <v>3.0000000000000001E-3</v>
      </c>
      <c r="CJ275">
        <v>1.0500000000000001E-2</v>
      </c>
      <c r="CK275">
        <v>1.0500000000000001E-2</v>
      </c>
      <c r="CL275">
        <v>2.9999999999999992E-3</v>
      </c>
      <c r="CM275">
        <v>2.9999999999999992E-3</v>
      </c>
      <c r="CN275">
        <v>2.9999999999999992E-3</v>
      </c>
      <c r="CO275">
        <v>2.9999999999999992E-3</v>
      </c>
      <c r="CP275">
        <v>1E-3</v>
      </c>
      <c r="CQ275">
        <v>1E-3</v>
      </c>
      <c r="CR275">
        <v>1E-3</v>
      </c>
      <c r="CS275">
        <v>1E-3</v>
      </c>
      <c r="CT275">
        <v>1E-3</v>
      </c>
      <c r="CU275">
        <v>1E-3</v>
      </c>
      <c r="CV275">
        <v>1E-3</v>
      </c>
      <c r="CW275">
        <v>1E-3</v>
      </c>
      <c r="CX275">
        <v>1E-3</v>
      </c>
      <c r="CZ275">
        <v>1.0000000000000002E-2</v>
      </c>
      <c r="DA275">
        <v>3.5000000000000003E-2</v>
      </c>
      <c r="DB275">
        <v>3.5000000000000003E-2</v>
      </c>
      <c r="DC275">
        <v>9.999999999999995E-3</v>
      </c>
      <c r="DD275">
        <v>9.999999999999995E-3</v>
      </c>
      <c r="DE275">
        <v>9.999999999999995E-3</v>
      </c>
      <c r="DF275">
        <v>9.999999999999995E-3</v>
      </c>
      <c r="DG275">
        <v>3.3333333333333361E-3</v>
      </c>
      <c r="DH275">
        <v>3.3333333333333361E-3</v>
      </c>
      <c r="DI275">
        <v>3.3333333333333361E-3</v>
      </c>
      <c r="DJ275">
        <v>3.3333333333333361E-3</v>
      </c>
      <c r="DK275">
        <v>3.3333333333333361E-3</v>
      </c>
      <c r="DL275">
        <v>3.3333333333333361E-3</v>
      </c>
      <c r="DM275">
        <v>3.3333333333333361E-3</v>
      </c>
      <c r="DN275">
        <v>3.3333333333333361E-3</v>
      </c>
      <c r="DO275">
        <v>3.3333333333333361E-3</v>
      </c>
    </row>
    <row r="276" spans="61:119">
      <c r="BI276" t="str">
        <f t="shared" si="59"/>
        <v>43280AFF</v>
      </c>
      <c r="BJ276" s="426">
        <v>43280</v>
      </c>
      <c r="BM276" t="s">
        <v>1353</v>
      </c>
      <c r="BN276" s="438">
        <v>1</v>
      </c>
      <c r="BO276" s="438">
        <v>1</v>
      </c>
      <c r="BR276">
        <v>1.4999999999999999E-2</v>
      </c>
      <c r="BS276">
        <v>5.2499999999999998E-2</v>
      </c>
      <c r="BT276">
        <v>5.2499999999999998E-2</v>
      </c>
      <c r="BU276">
        <v>1.4999999999999999E-2</v>
      </c>
      <c r="BV276">
        <v>1.4999999999999999E-2</v>
      </c>
      <c r="BW276">
        <v>1.4999999999999999E-2</v>
      </c>
      <c r="BX276">
        <v>1.4999999999999999E-2</v>
      </c>
      <c r="BY276">
        <v>4.9999999999999984E-3</v>
      </c>
      <c r="BZ276">
        <v>4.9999999999999984E-3</v>
      </c>
      <c r="CA276">
        <v>4.9999999999999984E-3</v>
      </c>
      <c r="CB276">
        <v>4.9999999999999984E-3</v>
      </c>
      <c r="CC276">
        <v>4.9999999999999984E-3</v>
      </c>
      <c r="CD276">
        <v>4.9999999999999984E-3</v>
      </c>
      <c r="CE276">
        <v>4.9999999999999984E-3</v>
      </c>
      <c r="CF276">
        <v>4.9999999999999984E-3</v>
      </c>
      <c r="CG276">
        <v>4.9999999999999984E-3</v>
      </c>
      <c r="CI276">
        <v>1.2E-2</v>
      </c>
      <c r="CJ276">
        <v>4.2000000000000003E-2</v>
      </c>
      <c r="CK276">
        <v>4.2000000000000003E-2</v>
      </c>
      <c r="CL276">
        <v>1.1999999999999997E-2</v>
      </c>
      <c r="CM276">
        <v>1.1999999999999997E-2</v>
      </c>
      <c r="CN276">
        <v>1.1999999999999997E-2</v>
      </c>
      <c r="CO276">
        <v>1.1999999999999997E-2</v>
      </c>
      <c r="CP276">
        <v>4.0000000000000001E-3</v>
      </c>
      <c r="CQ276">
        <v>4.0000000000000001E-3</v>
      </c>
      <c r="CR276">
        <v>4.0000000000000001E-3</v>
      </c>
      <c r="CS276">
        <v>4.0000000000000001E-3</v>
      </c>
      <c r="CT276">
        <v>4.0000000000000001E-3</v>
      </c>
      <c r="CU276">
        <v>4.0000000000000001E-3</v>
      </c>
      <c r="CV276">
        <v>4.0000000000000001E-3</v>
      </c>
      <c r="CW276">
        <v>4.0000000000000001E-3</v>
      </c>
      <c r="CX276">
        <v>4.0000000000000001E-3</v>
      </c>
      <c r="CZ276">
        <v>5.000000000000001E-3</v>
      </c>
      <c r="DA276">
        <v>1.7500000000000002E-2</v>
      </c>
      <c r="DB276">
        <v>1.7500000000000002E-2</v>
      </c>
      <c r="DC276">
        <v>4.9999999999999975E-3</v>
      </c>
      <c r="DD276">
        <v>4.9999999999999975E-3</v>
      </c>
      <c r="DE276">
        <v>4.9999999999999975E-3</v>
      </c>
      <c r="DF276">
        <v>4.9999999999999975E-3</v>
      </c>
      <c r="DG276">
        <v>1.6666666666666681E-3</v>
      </c>
      <c r="DH276">
        <v>1.6666666666666681E-3</v>
      </c>
      <c r="DI276">
        <v>1.6666666666666681E-3</v>
      </c>
      <c r="DJ276">
        <v>1.6666666666666681E-3</v>
      </c>
      <c r="DK276">
        <v>1.6666666666666681E-3</v>
      </c>
      <c r="DL276">
        <v>1.6666666666666681E-3</v>
      </c>
      <c r="DM276">
        <v>1.6666666666666681E-3</v>
      </c>
      <c r="DN276">
        <v>1.6666666666666681E-3</v>
      </c>
      <c r="DO276">
        <v>1.6666666666666681E-3</v>
      </c>
    </row>
    <row r="277" spans="61:119">
      <c r="BI277" t="str">
        <f t="shared" si="59"/>
        <v>433121000526FI</v>
      </c>
      <c r="BJ277" s="426">
        <v>43312</v>
      </c>
      <c r="BK277" t="s">
        <v>1363</v>
      </c>
      <c r="BL277" t="s">
        <v>1368</v>
      </c>
      <c r="BM277" t="s">
        <v>1355</v>
      </c>
      <c r="BN277" s="438">
        <v>2</v>
      </c>
      <c r="BO277" s="438">
        <v>1</v>
      </c>
      <c r="BR277">
        <v>4.6000000000000006E-2</v>
      </c>
      <c r="BS277">
        <v>0.16100000000000003</v>
      </c>
      <c r="BT277">
        <v>0.16100000000000003</v>
      </c>
      <c r="BU277">
        <v>4.5999999999999985E-2</v>
      </c>
      <c r="BV277">
        <v>4.5999999999999985E-2</v>
      </c>
      <c r="BW277">
        <v>4.6000000000000013E-2</v>
      </c>
      <c r="BX277">
        <v>4.6000000000000013E-2</v>
      </c>
      <c r="BY277">
        <v>1.5333333333333334E-2</v>
      </c>
      <c r="BZ277">
        <v>1.5333333333333334E-2</v>
      </c>
      <c r="CA277">
        <v>1.5333333333333334E-2</v>
      </c>
      <c r="CB277">
        <v>1.5333333333333334E-2</v>
      </c>
      <c r="CC277">
        <v>1.5333333333333334E-2</v>
      </c>
      <c r="CD277">
        <v>1.5333333333333334E-2</v>
      </c>
      <c r="CE277">
        <v>1.5333333333333334E-2</v>
      </c>
      <c r="CF277">
        <v>1.5333333333333334E-2</v>
      </c>
      <c r="CG277">
        <v>1.5333333333333334E-2</v>
      </c>
      <c r="CI277">
        <v>4.0000000000000008E-2</v>
      </c>
      <c r="CJ277">
        <v>0.14000000000000001</v>
      </c>
      <c r="CK277">
        <v>0.14000000000000001</v>
      </c>
      <c r="CL277">
        <v>3.999999999999998E-2</v>
      </c>
      <c r="CM277">
        <v>3.999999999999998E-2</v>
      </c>
      <c r="CN277">
        <v>3.999999999999998E-2</v>
      </c>
      <c r="CO277">
        <v>3.999999999999998E-2</v>
      </c>
      <c r="CP277">
        <v>1.3333333333333345E-2</v>
      </c>
      <c r="CQ277">
        <v>1.3333333333333345E-2</v>
      </c>
      <c r="CR277">
        <v>1.3333333333333345E-2</v>
      </c>
      <c r="CS277">
        <v>1.3333333333333345E-2</v>
      </c>
      <c r="CT277">
        <v>1.3333333333333345E-2</v>
      </c>
      <c r="CU277">
        <v>1.3333333333333345E-2</v>
      </c>
      <c r="CV277">
        <v>1.3333333333333345E-2</v>
      </c>
      <c r="CW277">
        <v>1.3333333333333345E-2</v>
      </c>
      <c r="CX277">
        <v>1.3333333333333345E-2</v>
      </c>
      <c r="CZ277">
        <v>0.03</v>
      </c>
      <c r="DA277">
        <v>0.105</v>
      </c>
      <c r="DB277">
        <v>0.105</v>
      </c>
      <c r="DC277">
        <v>0.03</v>
      </c>
      <c r="DD277">
        <v>0.03</v>
      </c>
      <c r="DE277">
        <v>0.03</v>
      </c>
      <c r="DF277">
        <v>0.03</v>
      </c>
      <c r="DG277">
        <v>9.9999999999999967E-3</v>
      </c>
      <c r="DH277">
        <v>9.9999999999999967E-3</v>
      </c>
      <c r="DI277">
        <v>9.9999999999999967E-3</v>
      </c>
      <c r="DJ277">
        <v>9.9999999999999967E-3</v>
      </c>
      <c r="DK277">
        <v>9.9999999999999967E-3</v>
      </c>
      <c r="DL277">
        <v>9.9999999999999967E-3</v>
      </c>
      <c r="DM277">
        <v>9.9999999999999967E-3</v>
      </c>
      <c r="DN277">
        <v>9.9999999999999967E-3</v>
      </c>
      <c r="DO277">
        <v>9.9999999999999967E-3</v>
      </c>
    </row>
    <row r="278" spans="61:119">
      <c r="BI278" t="str">
        <f t="shared" si="59"/>
        <v>433121030623FI</v>
      </c>
      <c r="BJ278" s="426">
        <v>43312</v>
      </c>
      <c r="BK278" t="s">
        <v>1360</v>
      </c>
      <c r="BL278" t="s">
        <v>1369</v>
      </c>
      <c r="BM278" t="s">
        <v>1355</v>
      </c>
      <c r="BN278" s="438">
        <v>1.9025963864729551</v>
      </c>
      <c r="BO278" s="438">
        <v>1</v>
      </c>
      <c r="BR278">
        <v>4.3759716888877975E-2</v>
      </c>
      <c r="BS278">
        <v>0.15315900911107291</v>
      </c>
      <c r="BT278">
        <v>0.15315900911107291</v>
      </c>
      <c r="BU278">
        <v>4.3759716888877948E-2</v>
      </c>
      <c r="BV278">
        <v>4.3759716888877948E-2</v>
      </c>
      <c r="BW278">
        <v>4.3759716888877948E-2</v>
      </c>
      <c r="BX278">
        <v>4.3759716888877948E-2</v>
      </c>
      <c r="BY278">
        <v>1.4586572296292665E-2</v>
      </c>
      <c r="BZ278">
        <v>1.4586572296292665E-2</v>
      </c>
      <c r="CA278">
        <v>1.4586572296292665E-2</v>
      </c>
      <c r="CB278">
        <v>1.4586572296292665E-2</v>
      </c>
      <c r="CC278">
        <v>1.4586572296292665E-2</v>
      </c>
      <c r="CD278">
        <v>1.4586572296292665E-2</v>
      </c>
      <c r="CE278">
        <v>1.4586572296292665E-2</v>
      </c>
      <c r="CF278">
        <v>1.4586572296292665E-2</v>
      </c>
      <c r="CG278">
        <v>1.4586572296292665E-2</v>
      </c>
      <c r="CI278">
        <v>3.805192772945911E-2</v>
      </c>
      <c r="CJ278">
        <v>0.1331817470531069</v>
      </c>
      <c r="CK278">
        <v>0.1331817470531069</v>
      </c>
      <c r="CL278">
        <v>3.805192772945909E-2</v>
      </c>
      <c r="CM278">
        <v>3.805192772945909E-2</v>
      </c>
      <c r="CN278">
        <v>3.805192772945909E-2</v>
      </c>
      <c r="CO278">
        <v>3.805192772945909E-2</v>
      </c>
      <c r="CP278">
        <v>1.2683975909819702E-2</v>
      </c>
      <c r="CQ278">
        <v>1.2683975909819702E-2</v>
      </c>
      <c r="CR278">
        <v>1.2683975909819702E-2</v>
      </c>
      <c r="CS278">
        <v>1.2683975909819702E-2</v>
      </c>
      <c r="CT278">
        <v>1.2683975909819702E-2</v>
      </c>
      <c r="CU278">
        <v>1.2683975909819702E-2</v>
      </c>
      <c r="CV278">
        <v>1.2683975909819702E-2</v>
      </c>
      <c r="CW278">
        <v>1.2683975909819702E-2</v>
      </c>
      <c r="CX278">
        <v>1.2683975909819702E-2</v>
      </c>
      <c r="CZ278">
        <v>2.8538945797094331E-2</v>
      </c>
      <c r="DA278">
        <v>9.9886310289830166E-2</v>
      </c>
      <c r="DB278">
        <v>9.9886310289830166E-2</v>
      </c>
      <c r="DC278">
        <v>2.8538945797094317E-2</v>
      </c>
      <c r="DD278">
        <v>2.8538945797094317E-2</v>
      </c>
      <c r="DE278">
        <v>2.8538945797094317E-2</v>
      </c>
      <c r="DF278">
        <v>2.8538945797094317E-2</v>
      </c>
      <c r="DG278">
        <v>9.5129819323647793E-3</v>
      </c>
      <c r="DH278">
        <v>9.5129819323647793E-3</v>
      </c>
      <c r="DI278">
        <v>9.5129819323647793E-3</v>
      </c>
      <c r="DJ278">
        <v>9.5129819323647793E-3</v>
      </c>
      <c r="DK278">
        <v>9.5129819323647793E-3</v>
      </c>
      <c r="DL278">
        <v>9.5129819323647793E-3</v>
      </c>
      <c r="DM278">
        <v>9.5129819323647793E-3</v>
      </c>
      <c r="DN278">
        <v>9.5129819323647793E-3</v>
      </c>
      <c r="DO278">
        <v>9.5129819323647793E-3</v>
      </c>
    </row>
    <row r="279" spans="61:119">
      <c r="BI279" t="str">
        <f t="shared" si="59"/>
        <v>433121000790IB</v>
      </c>
      <c r="BJ279" s="426">
        <v>43312</v>
      </c>
      <c r="BK279" t="s">
        <v>1358</v>
      </c>
      <c r="BL279" t="s">
        <v>1371</v>
      </c>
      <c r="BM279" t="s">
        <v>1354</v>
      </c>
      <c r="BN279" s="438">
        <v>1.5379571309143389</v>
      </c>
      <c r="BO279" s="438">
        <v>1</v>
      </c>
      <c r="BR279">
        <v>1.8455485570972065E-2</v>
      </c>
      <c r="BS279">
        <v>6.4594199498402227E-2</v>
      </c>
      <c r="BT279">
        <v>6.4594199498402227E-2</v>
      </c>
      <c r="BU279">
        <v>1.8455485570972069E-2</v>
      </c>
      <c r="BV279">
        <v>1.8455485570972069E-2</v>
      </c>
      <c r="BW279">
        <v>1.8455485570972069E-2</v>
      </c>
      <c r="BX279">
        <v>1.8455485570972069E-2</v>
      </c>
      <c r="BY279">
        <v>6.151828523657356E-3</v>
      </c>
      <c r="BZ279">
        <v>6.151828523657356E-3</v>
      </c>
      <c r="CA279">
        <v>6.151828523657356E-3</v>
      </c>
      <c r="CB279">
        <v>6.151828523657356E-3</v>
      </c>
      <c r="CC279">
        <v>6.151828523657356E-3</v>
      </c>
      <c r="CD279">
        <v>6.151828523657356E-3</v>
      </c>
      <c r="CE279">
        <v>6.151828523657356E-3</v>
      </c>
      <c r="CF279">
        <v>6.151828523657356E-3</v>
      </c>
      <c r="CG279">
        <v>6.151828523657356E-3</v>
      </c>
      <c r="CI279">
        <v>4.6138713927430164E-3</v>
      </c>
      <c r="CJ279">
        <v>1.6148549874600557E-2</v>
      </c>
      <c r="CK279">
        <v>1.6148549874600557E-2</v>
      </c>
      <c r="CL279">
        <v>4.6138713927430172E-3</v>
      </c>
      <c r="CM279">
        <v>4.6138713927430172E-3</v>
      </c>
      <c r="CN279">
        <v>4.6138713927430172E-3</v>
      </c>
      <c r="CO279">
        <v>4.6138713927430172E-3</v>
      </c>
      <c r="CP279">
        <v>1.537957130914339E-3</v>
      </c>
      <c r="CQ279">
        <v>1.537957130914339E-3</v>
      </c>
      <c r="CR279">
        <v>1.537957130914339E-3</v>
      </c>
      <c r="CS279">
        <v>1.537957130914339E-3</v>
      </c>
      <c r="CT279">
        <v>1.537957130914339E-3</v>
      </c>
      <c r="CU279">
        <v>1.537957130914339E-3</v>
      </c>
      <c r="CV279">
        <v>1.537957130914339E-3</v>
      </c>
      <c r="CW279">
        <v>1.537957130914339E-3</v>
      </c>
      <c r="CX279">
        <v>1.537957130914339E-3</v>
      </c>
      <c r="CZ279">
        <v>1.5379571309143393E-2</v>
      </c>
      <c r="DA279">
        <v>5.3828499582001879E-2</v>
      </c>
      <c r="DB279">
        <v>5.3828499582001879E-2</v>
      </c>
      <c r="DC279">
        <v>1.5379571309143386E-2</v>
      </c>
      <c r="DD279">
        <v>1.5379571309143386E-2</v>
      </c>
      <c r="DE279">
        <v>1.5379571309143386E-2</v>
      </c>
      <c r="DF279">
        <v>1.5379571309143386E-2</v>
      </c>
      <c r="DG279">
        <v>5.1265237697144649E-3</v>
      </c>
      <c r="DH279">
        <v>5.1265237697144649E-3</v>
      </c>
      <c r="DI279">
        <v>5.1265237697144649E-3</v>
      </c>
      <c r="DJ279">
        <v>5.1265237697144649E-3</v>
      </c>
      <c r="DK279">
        <v>5.1265237697144649E-3</v>
      </c>
      <c r="DL279">
        <v>5.1265237697144649E-3</v>
      </c>
      <c r="DM279">
        <v>5.1265237697144649E-3</v>
      </c>
      <c r="DN279">
        <v>5.1265237697144649E-3</v>
      </c>
      <c r="DO279">
        <v>5.1265237697144649E-3</v>
      </c>
    </row>
    <row r="280" spans="61:119">
      <c r="BI280" t="str">
        <f t="shared" si="59"/>
        <v>433121167651FI</v>
      </c>
      <c r="BJ280" s="426">
        <v>43312</v>
      </c>
      <c r="BK280" t="s">
        <v>1687</v>
      </c>
      <c r="BL280" t="s">
        <v>1688</v>
      </c>
      <c r="BM280" t="s">
        <v>1355</v>
      </c>
      <c r="BN280" s="438">
        <v>1.3541108445465302</v>
      </c>
      <c r="BO280" s="438">
        <v>9.5375760380473934E-2</v>
      </c>
      <c r="BR280">
        <v>0.14506596828365689</v>
      </c>
      <c r="BS280">
        <v>0.29458758919192723</v>
      </c>
      <c r="BT280">
        <v>0.29458758919192723</v>
      </c>
      <c r="BU280">
        <v>2.9704350830755955E-3</v>
      </c>
      <c r="BV280">
        <v>2.9704350830755955E-3</v>
      </c>
      <c r="BW280">
        <v>7.4018201683366258E-2</v>
      </c>
      <c r="BX280">
        <v>7.4018201683366258E-2</v>
      </c>
      <c r="BY280">
        <v>6.7735939628072762E-3</v>
      </c>
      <c r="BZ280">
        <v>6.7735939628072762E-3</v>
      </c>
      <c r="CA280">
        <v>6.7735939628072762E-3</v>
      </c>
      <c r="CB280">
        <v>6.7735939628072762E-3</v>
      </c>
      <c r="CC280">
        <v>6.7735939628072762E-3</v>
      </c>
      <c r="CD280">
        <v>6.7735939628072762E-3</v>
      </c>
      <c r="CE280">
        <v>6.7735939628072762E-3</v>
      </c>
      <c r="CF280">
        <v>6.7735939628072762E-3</v>
      </c>
      <c r="CG280">
        <v>6.7735939628072762E-3</v>
      </c>
      <c r="CI280">
        <v>0.13732875127069197</v>
      </c>
      <c r="CJ280">
        <v>0.27853198308452598</v>
      </c>
      <c r="CK280">
        <v>0.27853198308452598</v>
      </c>
      <c r="CL280">
        <v>2.5829870287614187E-3</v>
      </c>
      <c r="CM280">
        <v>2.5829870287614187E-3</v>
      </c>
      <c r="CN280">
        <v>6.9955869149726679E-2</v>
      </c>
      <c r="CO280">
        <v>6.9955869149726679E-2</v>
      </c>
      <c r="CP280">
        <v>1.1544290583803031E-2</v>
      </c>
      <c r="CQ280">
        <v>1.1544290583803031E-2</v>
      </c>
      <c r="CR280">
        <v>1.1544290583803031E-2</v>
      </c>
      <c r="CS280">
        <v>1.1544290583803031E-2</v>
      </c>
      <c r="CT280">
        <v>1.1544290583803031E-2</v>
      </c>
      <c r="CU280">
        <v>1.1544290583803031E-2</v>
      </c>
      <c r="CV280">
        <v>1.1544290583803031E-2</v>
      </c>
      <c r="CW280">
        <v>1.1544290583803031E-2</v>
      </c>
      <c r="CX280">
        <v>1.1544290583803031E-2</v>
      </c>
      <c r="CZ280">
        <v>6.318531492699403E-2</v>
      </c>
      <c r="DA280">
        <v>0.12927649026134463</v>
      </c>
      <c r="DB280">
        <v>0.12927649026134463</v>
      </c>
      <c r="DC280">
        <v>1.9372402715710779E-3</v>
      </c>
      <c r="DD280">
        <v>1.9372402715710779E-3</v>
      </c>
      <c r="DE280">
        <v>3.256127759928254E-2</v>
      </c>
      <c r="DF280">
        <v>3.256127759928254E-2</v>
      </c>
      <c r="DG280">
        <v>1.085375919976085E-2</v>
      </c>
      <c r="DH280">
        <v>1.085375919976085E-2</v>
      </c>
      <c r="DI280">
        <v>1.085375919976085E-2</v>
      </c>
      <c r="DJ280">
        <v>1.085375919976085E-2</v>
      </c>
      <c r="DK280">
        <v>1.085375919976085E-2</v>
      </c>
      <c r="DL280">
        <v>1.085375919976085E-2</v>
      </c>
      <c r="DM280">
        <v>1.085375919976085E-2</v>
      </c>
      <c r="DN280">
        <v>1.085375919976085E-2</v>
      </c>
      <c r="DO280">
        <v>1.085375919976085E-2</v>
      </c>
    </row>
    <row r="281" spans="61:119">
      <c r="BI281" t="str">
        <f t="shared" si="59"/>
        <v>433121151227FI</v>
      </c>
      <c r="BJ281" s="426">
        <v>43312</v>
      </c>
      <c r="BK281" t="s">
        <v>1362</v>
      </c>
      <c r="BL281" t="s">
        <v>1372</v>
      </c>
      <c r="BM281" t="s">
        <v>1355</v>
      </c>
      <c r="BN281" s="438">
        <v>1.3541108445465302</v>
      </c>
      <c r="BO281" s="438">
        <v>9.5375760380473934E-2</v>
      </c>
      <c r="BR281">
        <v>0.14506596828365689</v>
      </c>
      <c r="BS281">
        <v>0.29458758919192723</v>
      </c>
      <c r="BT281">
        <v>0.29458758919192723</v>
      </c>
      <c r="BU281">
        <v>2.9704350830755955E-3</v>
      </c>
      <c r="BV281">
        <v>2.9704350830755955E-3</v>
      </c>
      <c r="BW281">
        <v>7.4018201683366258E-2</v>
      </c>
      <c r="BX281">
        <v>7.4018201683366258E-2</v>
      </c>
      <c r="BY281">
        <v>6.7735939628072762E-3</v>
      </c>
      <c r="BZ281">
        <v>6.7735939628072762E-3</v>
      </c>
      <c r="CA281">
        <v>6.7735939628072762E-3</v>
      </c>
      <c r="CB281">
        <v>6.7735939628072762E-3</v>
      </c>
      <c r="CC281">
        <v>6.7735939628072762E-3</v>
      </c>
      <c r="CD281">
        <v>6.7735939628072762E-3</v>
      </c>
      <c r="CE281">
        <v>6.7735939628072762E-3</v>
      </c>
      <c r="CF281">
        <v>6.7735939628072762E-3</v>
      </c>
      <c r="CG281">
        <v>6.7735939628072762E-3</v>
      </c>
      <c r="CI281">
        <v>0.13732875127069197</v>
      </c>
      <c r="CJ281">
        <v>0.27853198308452598</v>
      </c>
      <c r="CK281">
        <v>0.27853198308452598</v>
      </c>
      <c r="CL281">
        <v>2.5829870287614187E-3</v>
      </c>
      <c r="CM281">
        <v>2.5829870287614187E-3</v>
      </c>
      <c r="CN281">
        <v>6.9955869149726679E-2</v>
      </c>
      <c r="CO281">
        <v>6.9955869149726679E-2</v>
      </c>
      <c r="CP281">
        <v>1.1544290583803031E-2</v>
      </c>
      <c r="CQ281">
        <v>1.1544290583803031E-2</v>
      </c>
      <c r="CR281">
        <v>1.1544290583803031E-2</v>
      </c>
      <c r="CS281">
        <v>1.1544290583803031E-2</v>
      </c>
      <c r="CT281">
        <v>1.1544290583803031E-2</v>
      </c>
      <c r="CU281">
        <v>1.1544290583803031E-2</v>
      </c>
      <c r="CV281">
        <v>1.1544290583803031E-2</v>
      </c>
      <c r="CW281">
        <v>1.1544290583803031E-2</v>
      </c>
      <c r="CX281">
        <v>1.1544290583803031E-2</v>
      </c>
      <c r="CZ281">
        <v>6.318531492699403E-2</v>
      </c>
      <c r="DA281">
        <v>0.12927649026134463</v>
      </c>
      <c r="DB281">
        <v>0.12927649026134463</v>
      </c>
      <c r="DC281">
        <v>1.9372402715710779E-3</v>
      </c>
      <c r="DD281">
        <v>1.9372402715710779E-3</v>
      </c>
      <c r="DE281">
        <v>3.256127759928254E-2</v>
      </c>
      <c r="DF281">
        <v>3.256127759928254E-2</v>
      </c>
      <c r="DG281">
        <v>1.085375919976085E-2</v>
      </c>
      <c r="DH281">
        <v>1.085375919976085E-2</v>
      </c>
      <c r="DI281">
        <v>1.085375919976085E-2</v>
      </c>
      <c r="DJ281">
        <v>1.085375919976085E-2</v>
      </c>
      <c r="DK281">
        <v>1.085375919976085E-2</v>
      </c>
      <c r="DL281">
        <v>1.085375919976085E-2</v>
      </c>
      <c r="DM281">
        <v>1.085375919976085E-2</v>
      </c>
      <c r="DN281">
        <v>1.085375919976085E-2</v>
      </c>
      <c r="DO281">
        <v>1.085375919976085E-2</v>
      </c>
    </row>
    <row r="282" spans="61:119">
      <c r="BI282" t="str">
        <f t="shared" si="59"/>
        <v>433121141467FI</v>
      </c>
      <c r="BJ282" s="426">
        <v>43312</v>
      </c>
      <c r="BK282" t="s">
        <v>1375</v>
      </c>
      <c r="BL282" t="s">
        <v>1376</v>
      </c>
      <c r="BM282" t="s">
        <v>1355</v>
      </c>
      <c r="BN282" s="438">
        <v>1.9025963864729551</v>
      </c>
      <c r="BO282" s="438">
        <v>1</v>
      </c>
      <c r="BR282">
        <v>4.3759716888877975E-2</v>
      </c>
      <c r="BS282">
        <v>0.15315900911107291</v>
      </c>
      <c r="BT282">
        <v>0.15315900911107291</v>
      </c>
      <c r="BU282">
        <v>4.3759716888877948E-2</v>
      </c>
      <c r="BV282">
        <v>4.3759716888877948E-2</v>
      </c>
      <c r="BW282">
        <v>4.3759716888877948E-2</v>
      </c>
      <c r="BX282">
        <v>4.3759716888877948E-2</v>
      </c>
      <c r="BY282">
        <v>1.4586572296292665E-2</v>
      </c>
      <c r="BZ282">
        <v>1.4586572296292665E-2</v>
      </c>
      <c r="CA282">
        <v>1.4586572296292665E-2</v>
      </c>
      <c r="CB282">
        <v>1.4586572296292665E-2</v>
      </c>
      <c r="CC282">
        <v>1.4586572296292665E-2</v>
      </c>
      <c r="CD282">
        <v>1.4586572296292665E-2</v>
      </c>
      <c r="CE282">
        <v>1.4586572296292665E-2</v>
      </c>
      <c r="CF282">
        <v>1.4586572296292665E-2</v>
      </c>
      <c r="CG282">
        <v>1.4586572296292665E-2</v>
      </c>
      <c r="CI282">
        <v>3.805192772945911E-2</v>
      </c>
      <c r="CJ282">
        <v>0.1331817470531069</v>
      </c>
      <c r="CK282">
        <v>0.1331817470531069</v>
      </c>
      <c r="CL282">
        <v>3.805192772945909E-2</v>
      </c>
      <c r="CM282">
        <v>3.805192772945909E-2</v>
      </c>
      <c r="CN282">
        <v>3.805192772945909E-2</v>
      </c>
      <c r="CO282">
        <v>3.805192772945909E-2</v>
      </c>
      <c r="CP282">
        <v>1.2683975909819702E-2</v>
      </c>
      <c r="CQ282">
        <v>1.2683975909819702E-2</v>
      </c>
      <c r="CR282">
        <v>1.2683975909819702E-2</v>
      </c>
      <c r="CS282">
        <v>1.2683975909819702E-2</v>
      </c>
      <c r="CT282">
        <v>1.2683975909819702E-2</v>
      </c>
      <c r="CU282">
        <v>1.2683975909819702E-2</v>
      </c>
      <c r="CV282">
        <v>1.2683975909819702E-2</v>
      </c>
      <c r="CW282">
        <v>1.2683975909819702E-2</v>
      </c>
      <c r="CX282">
        <v>1.2683975909819702E-2</v>
      </c>
      <c r="CZ282">
        <v>2.8538945797094331E-2</v>
      </c>
      <c r="DA282">
        <v>9.9886310289830166E-2</v>
      </c>
      <c r="DB282">
        <v>9.9886310289830166E-2</v>
      </c>
      <c r="DC282">
        <v>2.8538945797094317E-2</v>
      </c>
      <c r="DD282">
        <v>2.8538945797094317E-2</v>
      </c>
      <c r="DE282">
        <v>2.8538945797094317E-2</v>
      </c>
      <c r="DF282">
        <v>2.8538945797094317E-2</v>
      </c>
      <c r="DG282">
        <v>9.5129819323647793E-3</v>
      </c>
      <c r="DH282">
        <v>9.5129819323647793E-3</v>
      </c>
      <c r="DI282">
        <v>9.5129819323647793E-3</v>
      </c>
      <c r="DJ282">
        <v>9.5129819323647793E-3</v>
      </c>
      <c r="DK282">
        <v>9.5129819323647793E-3</v>
      </c>
      <c r="DL282">
        <v>9.5129819323647793E-3</v>
      </c>
      <c r="DM282">
        <v>9.5129819323647793E-3</v>
      </c>
      <c r="DN282">
        <v>9.5129819323647793E-3</v>
      </c>
      <c r="DO282">
        <v>9.5129819323647793E-3</v>
      </c>
    </row>
    <row r="283" spans="61:119">
      <c r="BI283" t="str">
        <f t="shared" si="59"/>
        <v>433121147542CME</v>
      </c>
      <c r="BJ283" s="426">
        <v>43312</v>
      </c>
      <c r="BK283" t="s">
        <v>1361</v>
      </c>
      <c r="BL283" t="s">
        <v>1370</v>
      </c>
      <c r="BM283" t="s">
        <v>1321</v>
      </c>
      <c r="BN283" s="438">
        <v>1</v>
      </c>
      <c r="BO283" s="438">
        <v>1</v>
      </c>
      <c r="BR283">
        <v>8.0000000000000016E-2</v>
      </c>
      <c r="BS283">
        <v>0.16</v>
      </c>
      <c r="BT283">
        <v>0.16</v>
      </c>
      <c r="BU283">
        <v>0</v>
      </c>
      <c r="BV283">
        <v>0</v>
      </c>
      <c r="BW283">
        <v>3.999999999999998E-2</v>
      </c>
      <c r="BX283">
        <v>3.999999999999998E-2</v>
      </c>
      <c r="BY283">
        <v>1.3333333333333345E-2</v>
      </c>
      <c r="BZ283">
        <v>1.3333333333333345E-2</v>
      </c>
      <c r="CA283">
        <v>1.3333333333333345E-2</v>
      </c>
      <c r="CB283">
        <v>1.3333333333333345E-2</v>
      </c>
      <c r="CC283">
        <v>1.3333333333333345E-2</v>
      </c>
      <c r="CD283">
        <v>1.3333333333333345E-2</v>
      </c>
      <c r="CE283">
        <v>1.3333333333333345E-2</v>
      </c>
      <c r="CF283">
        <v>1.3333333333333345E-2</v>
      </c>
      <c r="CG283">
        <v>1.3333333333333345E-2</v>
      </c>
      <c r="CI283">
        <v>6.9999999999999993E-2</v>
      </c>
      <c r="CJ283">
        <v>0.13999999999999999</v>
      </c>
      <c r="CK283">
        <v>0.13999999999999999</v>
      </c>
      <c r="CL283">
        <v>0</v>
      </c>
      <c r="CM283">
        <v>0</v>
      </c>
      <c r="CN283">
        <v>3.5000000000000003E-2</v>
      </c>
      <c r="CO283">
        <v>3.5000000000000003E-2</v>
      </c>
      <c r="CP283">
        <v>1.1666666666666659E-2</v>
      </c>
      <c r="CQ283">
        <v>1.1666666666666659E-2</v>
      </c>
      <c r="CR283">
        <v>1.1666666666666659E-2</v>
      </c>
      <c r="CS283">
        <v>1.1666666666666659E-2</v>
      </c>
      <c r="CT283">
        <v>1.1666666666666659E-2</v>
      </c>
      <c r="CU283">
        <v>1.1666666666666659E-2</v>
      </c>
      <c r="CV283">
        <v>1.1666666666666659E-2</v>
      </c>
      <c r="CW283">
        <v>1.1666666666666659E-2</v>
      </c>
      <c r="CX283">
        <v>1.1666666666666659E-2</v>
      </c>
      <c r="CZ283">
        <v>4.0000000000000008E-2</v>
      </c>
      <c r="DA283">
        <v>0.08</v>
      </c>
      <c r="DB283">
        <v>0.08</v>
      </c>
      <c r="DC283">
        <v>0</v>
      </c>
      <c r="DD283">
        <v>0</v>
      </c>
      <c r="DE283">
        <v>1.999999999999999E-2</v>
      </c>
      <c r="DF283">
        <v>1.999999999999999E-2</v>
      </c>
      <c r="DG283">
        <v>6.6666666666666723E-3</v>
      </c>
      <c r="DH283">
        <v>6.6666666666666723E-3</v>
      </c>
      <c r="DI283">
        <v>6.6666666666666723E-3</v>
      </c>
      <c r="DJ283">
        <v>6.6666666666666723E-3</v>
      </c>
      <c r="DK283">
        <v>6.6666666666666723E-3</v>
      </c>
      <c r="DL283">
        <v>6.6666666666666723E-3</v>
      </c>
      <c r="DM283">
        <v>6.6666666666666723E-3</v>
      </c>
      <c r="DN283">
        <v>6.6666666666666723E-3</v>
      </c>
      <c r="DO283">
        <v>6.6666666666666723E-3</v>
      </c>
    </row>
    <row r="284" spans="61:119">
      <c r="BI284" t="str">
        <f t="shared" si="59"/>
        <v>43312FI</v>
      </c>
      <c r="BJ284" s="426">
        <v>43312</v>
      </c>
      <c r="BM284" t="s">
        <v>1355</v>
      </c>
      <c r="BN284" s="438">
        <v>1</v>
      </c>
      <c r="BO284" s="438">
        <v>1</v>
      </c>
      <c r="BR284">
        <v>2.3000000000000003E-2</v>
      </c>
      <c r="BS284">
        <v>8.0500000000000016E-2</v>
      </c>
      <c r="BT284">
        <v>8.0500000000000016E-2</v>
      </c>
      <c r="BU284">
        <v>2.2999999999999993E-2</v>
      </c>
      <c r="BV284">
        <v>2.2999999999999993E-2</v>
      </c>
      <c r="BW284">
        <v>2.3000000000000007E-2</v>
      </c>
      <c r="BX284">
        <v>2.3000000000000007E-2</v>
      </c>
      <c r="BY284">
        <v>7.6666666666666671E-3</v>
      </c>
      <c r="BZ284">
        <v>7.6666666666666671E-3</v>
      </c>
      <c r="CA284">
        <v>7.6666666666666671E-3</v>
      </c>
      <c r="CB284">
        <v>7.6666666666666671E-3</v>
      </c>
      <c r="CC284">
        <v>7.6666666666666671E-3</v>
      </c>
      <c r="CD284">
        <v>7.6666666666666671E-3</v>
      </c>
      <c r="CE284">
        <v>7.6666666666666671E-3</v>
      </c>
      <c r="CF284">
        <v>7.6666666666666671E-3</v>
      </c>
      <c r="CG284">
        <v>7.6666666666666671E-3</v>
      </c>
      <c r="CI284">
        <v>2.0000000000000004E-2</v>
      </c>
      <c r="CJ284">
        <v>7.0000000000000007E-2</v>
      </c>
      <c r="CK284">
        <v>7.0000000000000007E-2</v>
      </c>
      <c r="CL284">
        <v>1.999999999999999E-2</v>
      </c>
      <c r="CM284">
        <v>1.999999999999999E-2</v>
      </c>
      <c r="CN284">
        <v>1.999999999999999E-2</v>
      </c>
      <c r="CO284">
        <v>1.999999999999999E-2</v>
      </c>
      <c r="CP284">
        <v>6.6666666666666723E-3</v>
      </c>
      <c r="CQ284">
        <v>6.6666666666666723E-3</v>
      </c>
      <c r="CR284">
        <v>6.6666666666666723E-3</v>
      </c>
      <c r="CS284">
        <v>6.6666666666666723E-3</v>
      </c>
      <c r="CT284">
        <v>6.6666666666666723E-3</v>
      </c>
      <c r="CU284">
        <v>6.6666666666666723E-3</v>
      </c>
      <c r="CV284">
        <v>6.6666666666666723E-3</v>
      </c>
      <c r="CW284">
        <v>6.6666666666666723E-3</v>
      </c>
      <c r="CX284">
        <v>6.6666666666666723E-3</v>
      </c>
      <c r="CZ284">
        <v>1.4999999999999999E-2</v>
      </c>
      <c r="DA284">
        <v>5.2499999999999998E-2</v>
      </c>
      <c r="DB284">
        <v>5.2499999999999998E-2</v>
      </c>
      <c r="DC284">
        <v>1.4999999999999999E-2</v>
      </c>
      <c r="DD284">
        <v>1.4999999999999999E-2</v>
      </c>
      <c r="DE284">
        <v>1.4999999999999999E-2</v>
      </c>
      <c r="DF284">
        <v>1.4999999999999999E-2</v>
      </c>
      <c r="DG284">
        <v>4.9999999999999984E-3</v>
      </c>
      <c r="DH284">
        <v>4.9999999999999984E-3</v>
      </c>
      <c r="DI284">
        <v>4.9999999999999984E-3</v>
      </c>
      <c r="DJ284">
        <v>4.9999999999999984E-3</v>
      </c>
      <c r="DK284">
        <v>4.9999999999999984E-3</v>
      </c>
      <c r="DL284">
        <v>4.9999999999999984E-3</v>
      </c>
      <c r="DM284">
        <v>4.9999999999999984E-3</v>
      </c>
      <c r="DN284">
        <v>4.9999999999999984E-3</v>
      </c>
      <c r="DO284">
        <v>4.9999999999999984E-3</v>
      </c>
    </row>
    <row r="285" spans="61:119">
      <c r="BI285" t="str">
        <f t="shared" si="59"/>
        <v>43312CORP</v>
      </c>
      <c r="BJ285" s="426">
        <v>43312</v>
      </c>
      <c r="BM285" t="s">
        <v>1356</v>
      </c>
      <c r="BN285" s="438">
        <v>1</v>
      </c>
      <c r="BO285" s="438">
        <v>0.81161502085977855</v>
      </c>
      <c r="BR285">
        <v>1.1767699582804429E-2</v>
      </c>
      <c r="BS285">
        <v>5.4172788873571964E-2</v>
      </c>
      <c r="BT285">
        <v>5.4172788873571964E-2</v>
      </c>
      <c r="BU285">
        <v>3.1246460083439113E-2</v>
      </c>
      <c r="BV285">
        <v>3.1246460083439113E-2</v>
      </c>
      <c r="BW285">
        <v>1.8260619749682655E-2</v>
      </c>
      <c r="BX285">
        <v>1.8260619749682655E-2</v>
      </c>
      <c r="BY285">
        <v>6.0868732498942186E-3</v>
      </c>
      <c r="BZ285">
        <v>6.0868732498942186E-3</v>
      </c>
      <c r="CA285">
        <v>6.0868732498942186E-3</v>
      </c>
      <c r="CB285">
        <v>6.0868732498942186E-3</v>
      </c>
      <c r="CC285">
        <v>6.0868732498942186E-3</v>
      </c>
      <c r="CD285">
        <v>6.0868732498942186E-3</v>
      </c>
      <c r="CE285">
        <v>6.0868732498942186E-3</v>
      </c>
      <c r="CF285">
        <v>6.0868732498942186E-3</v>
      </c>
      <c r="CG285">
        <v>6.0868732498942186E-3</v>
      </c>
      <c r="CI285">
        <v>1.0202544645383766E-2</v>
      </c>
      <c r="CJ285">
        <v>4.7071516550880078E-2</v>
      </c>
      <c r="CK285">
        <v>4.7071516550880078E-2</v>
      </c>
      <c r="CL285">
        <v>2.7246460083439117E-2</v>
      </c>
      <c r="CM285">
        <v>2.7246460083439117E-2</v>
      </c>
      <c r="CN285">
        <v>1.5883849791402213E-2</v>
      </c>
      <c r="CO285">
        <v>1.5883849791402213E-2</v>
      </c>
      <c r="CP285">
        <v>5.2946165971340725E-3</v>
      </c>
      <c r="CQ285">
        <v>5.2946165971340725E-3</v>
      </c>
      <c r="CR285">
        <v>5.2946165971340725E-3</v>
      </c>
      <c r="CS285">
        <v>5.2946165971340725E-3</v>
      </c>
      <c r="CT285">
        <v>5.2946165971340725E-3</v>
      </c>
      <c r="CU285">
        <v>5.2946165971340725E-3</v>
      </c>
      <c r="CV285">
        <v>5.2946165971340725E-3</v>
      </c>
      <c r="CW285">
        <v>5.2946165971340725E-3</v>
      </c>
      <c r="CX285">
        <v>5.2946165971340725E-3</v>
      </c>
      <c r="CZ285">
        <v>6.8838497914022155E-3</v>
      </c>
      <c r="DA285">
        <v>3.2209624478505533E-2</v>
      </c>
      <c r="DB285">
        <v>3.2209624478505533E-2</v>
      </c>
      <c r="DC285">
        <v>1.9058075104298897E-2</v>
      </c>
      <c r="DD285">
        <v>1.9058075104298897E-2</v>
      </c>
      <c r="DE285">
        <v>1.0941924895701102E-2</v>
      </c>
      <c r="DF285">
        <v>1.0941924895701102E-2</v>
      </c>
      <c r="DG285">
        <v>3.6473082985670389E-3</v>
      </c>
      <c r="DH285">
        <v>3.6473082985670389E-3</v>
      </c>
      <c r="DI285">
        <v>3.6473082985670389E-3</v>
      </c>
      <c r="DJ285">
        <v>3.6473082985670389E-3</v>
      </c>
      <c r="DK285">
        <v>3.6473082985670389E-3</v>
      </c>
      <c r="DL285">
        <v>3.6473082985670389E-3</v>
      </c>
      <c r="DM285">
        <v>3.6473082985670389E-3</v>
      </c>
      <c r="DN285">
        <v>3.6473082985670389E-3</v>
      </c>
      <c r="DO285">
        <v>3.6473082985670389E-3</v>
      </c>
    </row>
    <row r="286" spans="61:119">
      <c r="BI286" t="str">
        <f t="shared" si="59"/>
        <v>43312ESCROW</v>
      </c>
      <c r="BJ286" s="426">
        <v>43312</v>
      </c>
      <c r="BM286" t="s">
        <v>1339</v>
      </c>
      <c r="BN286" s="438">
        <v>1</v>
      </c>
      <c r="BO286" s="438">
        <v>1</v>
      </c>
      <c r="BR286">
        <v>3.2000000000000001E-2</v>
      </c>
      <c r="BS286">
        <v>2.4E-2</v>
      </c>
      <c r="BT286">
        <v>2.4E-2</v>
      </c>
      <c r="BU286">
        <v>0.04</v>
      </c>
      <c r="BV286">
        <v>0.04</v>
      </c>
      <c r="BW286">
        <v>3.9999999999999994E-2</v>
      </c>
      <c r="BX286">
        <v>3.9999999999999994E-2</v>
      </c>
      <c r="BY286">
        <v>8.8888888888888906E-3</v>
      </c>
      <c r="BZ286">
        <v>8.8888888888888906E-3</v>
      </c>
      <c r="CA286">
        <v>8.8888888888888906E-3</v>
      </c>
      <c r="CB286">
        <v>8.8888888888888906E-3</v>
      </c>
      <c r="CC286">
        <v>8.8888888888888906E-3</v>
      </c>
      <c r="CD286">
        <v>8.8888888888888906E-3</v>
      </c>
      <c r="CE286">
        <v>8.8888888888888906E-3</v>
      </c>
      <c r="CF286">
        <v>8.8888888888888906E-3</v>
      </c>
      <c r="CG286">
        <v>8.8888888888888906E-3</v>
      </c>
      <c r="CI286">
        <v>2.8000000000000004E-2</v>
      </c>
      <c r="CJ286">
        <v>2.1000000000000001E-2</v>
      </c>
      <c r="CK286">
        <v>2.1000000000000001E-2</v>
      </c>
      <c r="CL286">
        <v>3.5000000000000003E-2</v>
      </c>
      <c r="CM286">
        <v>3.5000000000000003E-2</v>
      </c>
      <c r="CN286">
        <v>3.5000000000000003E-2</v>
      </c>
      <c r="CO286">
        <v>3.5000000000000003E-2</v>
      </c>
      <c r="CP286">
        <v>7.7777777777777784E-3</v>
      </c>
      <c r="CQ286">
        <v>7.7777777777777784E-3</v>
      </c>
      <c r="CR286">
        <v>7.7777777777777784E-3</v>
      </c>
      <c r="CS286">
        <v>7.7777777777777784E-3</v>
      </c>
      <c r="CT286">
        <v>7.7777777777777784E-3</v>
      </c>
      <c r="CU286">
        <v>7.7777777777777784E-3</v>
      </c>
      <c r="CV286">
        <v>7.7777777777777784E-3</v>
      </c>
      <c r="CW286">
        <v>7.7777777777777784E-3</v>
      </c>
      <c r="CX286">
        <v>7.7777777777777784E-3</v>
      </c>
      <c r="CZ286">
        <v>2.0000000000000004E-2</v>
      </c>
      <c r="DA286">
        <v>1.4999999999999999E-2</v>
      </c>
      <c r="DB286">
        <v>1.4999999999999999E-2</v>
      </c>
      <c r="DC286">
        <v>2.5000000000000001E-2</v>
      </c>
      <c r="DD286">
        <v>2.5000000000000001E-2</v>
      </c>
      <c r="DE286">
        <v>2.5000000000000008E-2</v>
      </c>
      <c r="DF286">
        <v>2.5000000000000008E-2</v>
      </c>
      <c r="DG286">
        <v>5.555555555555554E-3</v>
      </c>
      <c r="DH286">
        <v>5.555555555555554E-3</v>
      </c>
      <c r="DI286">
        <v>5.555555555555554E-3</v>
      </c>
      <c r="DJ286">
        <v>5.555555555555554E-3</v>
      </c>
      <c r="DK286">
        <v>5.555555555555554E-3</v>
      </c>
      <c r="DL286">
        <v>5.555555555555554E-3</v>
      </c>
      <c r="DM286">
        <v>5.555555555555554E-3</v>
      </c>
      <c r="DN286">
        <v>5.555555555555554E-3</v>
      </c>
      <c r="DO286">
        <v>5.555555555555554E-3</v>
      </c>
    </row>
    <row r="287" spans="61:119">
      <c r="BI287" t="str">
        <f t="shared" si="59"/>
        <v>43312IB</v>
      </c>
      <c r="BJ287" s="426">
        <v>43312</v>
      </c>
      <c r="BM287" t="s">
        <v>1354</v>
      </c>
      <c r="BN287" s="438">
        <v>1</v>
      </c>
      <c r="BO287" s="438">
        <v>1</v>
      </c>
      <c r="BR287">
        <v>1.2E-2</v>
      </c>
      <c r="BS287">
        <v>4.2000000000000003E-2</v>
      </c>
      <c r="BT287">
        <v>4.2000000000000003E-2</v>
      </c>
      <c r="BU287">
        <v>1.1999999999999997E-2</v>
      </c>
      <c r="BV287">
        <v>1.1999999999999997E-2</v>
      </c>
      <c r="BW287">
        <v>1.1999999999999997E-2</v>
      </c>
      <c r="BX287">
        <v>1.1999999999999997E-2</v>
      </c>
      <c r="BY287">
        <v>4.0000000000000001E-3</v>
      </c>
      <c r="BZ287">
        <v>4.0000000000000001E-3</v>
      </c>
      <c r="CA287">
        <v>4.0000000000000001E-3</v>
      </c>
      <c r="CB287">
        <v>4.0000000000000001E-3</v>
      </c>
      <c r="CC287">
        <v>4.0000000000000001E-3</v>
      </c>
      <c r="CD287">
        <v>4.0000000000000001E-3</v>
      </c>
      <c r="CE287">
        <v>4.0000000000000001E-3</v>
      </c>
      <c r="CF287">
        <v>4.0000000000000001E-3</v>
      </c>
      <c r="CG287">
        <v>4.0000000000000001E-3</v>
      </c>
      <c r="CI287">
        <v>3.0000000000000001E-3</v>
      </c>
      <c r="CJ287">
        <v>1.0500000000000001E-2</v>
      </c>
      <c r="CK287">
        <v>1.0500000000000001E-2</v>
      </c>
      <c r="CL287">
        <v>2.9999999999999992E-3</v>
      </c>
      <c r="CM287">
        <v>2.9999999999999992E-3</v>
      </c>
      <c r="CN287">
        <v>2.9999999999999992E-3</v>
      </c>
      <c r="CO287">
        <v>2.9999999999999992E-3</v>
      </c>
      <c r="CP287">
        <v>1E-3</v>
      </c>
      <c r="CQ287">
        <v>1E-3</v>
      </c>
      <c r="CR287">
        <v>1E-3</v>
      </c>
      <c r="CS287">
        <v>1E-3</v>
      </c>
      <c r="CT287">
        <v>1E-3</v>
      </c>
      <c r="CU287">
        <v>1E-3</v>
      </c>
      <c r="CV287">
        <v>1E-3</v>
      </c>
      <c r="CW287">
        <v>1E-3</v>
      </c>
      <c r="CX287">
        <v>1E-3</v>
      </c>
      <c r="CZ287">
        <v>1.0000000000000002E-2</v>
      </c>
      <c r="DA287">
        <v>3.5000000000000003E-2</v>
      </c>
      <c r="DB287">
        <v>3.5000000000000003E-2</v>
      </c>
      <c r="DC287">
        <v>9.999999999999995E-3</v>
      </c>
      <c r="DD287">
        <v>9.999999999999995E-3</v>
      </c>
      <c r="DE287">
        <v>9.999999999999995E-3</v>
      </c>
      <c r="DF287">
        <v>9.999999999999995E-3</v>
      </c>
      <c r="DG287">
        <v>3.3333333333333361E-3</v>
      </c>
      <c r="DH287">
        <v>3.3333333333333361E-3</v>
      </c>
      <c r="DI287">
        <v>3.3333333333333361E-3</v>
      </c>
      <c r="DJ287">
        <v>3.3333333333333361E-3</v>
      </c>
      <c r="DK287">
        <v>3.3333333333333361E-3</v>
      </c>
      <c r="DL287">
        <v>3.3333333333333361E-3</v>
      </c>
      <c r="DM287">
        <v>3.3333333333333361E-3</v>
      </c>
      <c r="DN287">
        <v>3.3333333333333361E-3</v>
      </c>
      <c r="DO287">
        <v>3.3333333333333361E-3</v>
      </c>
    </row>
    <row r="288" spans="61:119">
      <c r="BI288" t="str">
        <f t="shared" si="59"/>
        <v>43312AFF</v>
      </c>
      <c r="BJ288" s="426">
        <v>43312</v>
      </c>
      <c r="BM288" t="s">
        <v>1353</v>
      </c>
      <c r="BN288" s="438">
        <v>1</v>
      </c>
      <c r="BO288" s="438">
        <v>1</v>
      </c>
      <c r="BR288">
        <v>1.4999999999999999E-2</v>
      </c>
      <c r="BS288">
        <v>5.2499999999999998E-2</v>
      </c>
      <c r="BT288">
        <v>5.2499999999999998E-2</v>
      </c>
      <c r="BU288">
        <v>1.4999999999999999E-2</v>
      </c>
      <c r="BV288">
        <v>1.4999999999999999E-2</v>
      </c>
      <c r="BW288">
        <v>1.4999999999999999E-2</v>
      </c>
      <c r="BX288">
        <v>1.4999999999999999E-2</v>
      </c>
      <c r="BY288">
        <v>4.9999999999999984E-3</v>
      </c>
      <c r="BZ288">
        <v>4.9999999999999984E-3</v>
      </c>
      <c r="CA288">
        <v>4.9999999999999984E-3</v>
      </c>
      <c r="CB288">
        <v>4.9999999999999984E-3</v>
      </c>
      <c r="CC288">
        <v>4.9999999999999984E-3</v>
      </c>
      <c r="CD288">
        <v>4.9999999999999984E-3</v>
      </c>
      <c r="CE288">
        <v>4.9999999999999984E-3</v>
      </c>
      <c r="CF288">
        <v>4.9999999999999984E-3</v>
      </c>
      <c r="CG288">
        <v>4.9999999999999984E-3</v>
      </c>
      <c r="CI288">
        <v>1.2E-2</v>
      </c>
      <c r="CJ288">
        <v>4.2000000000000003E-2</v>
      </c>
      <c r="CK288">
        <v>4.2000000000000003E-2</v>
      </c>
      <c r="CL288">
        <v>1.1999999999999997E-2</v>
      </c>
      <c r="CM288">
        <v>1.1999999999999997E-2</v>
      </c>
      <c r="CN288">
        <v>1.1999999999999997E-2</v>
      </c>
      <c r="CO288">
        <v>1.1999999999999997E-2</v>
      </c>
      <c r="CP288">
        <v>4.0000000000000001E-3</v>
      </c>
      <c r="CQ288">
        <v>4.0000000000000001E-3</v>
      </c>
      <c r="CR288">
        <v>4.0000000000000001E-3</v>
      </c>
      <c r="CS288">
        <v>4.0000000000000001E-3</v>
      </c>
      <c r="CT288">
        <v>4.0000000000000001E-3</v>
      </c>
      <c r="CU288">
        <v>4.0000000000000001E-3</v>
      </c>
      <c r="CV288">
        <v>4.0000000000000001E-3</v>
      </c>
      <c r="CW288">
        <v>4.0000000000000001E-3</v>
      </c>
      <c r="CX288">
        <v>4.0000000000000001E-3</v>
      </c>
      <c r="CZ288">
        <v>5.000000000000001E-3</v>
      </c>
      <c r="DA288">
        <v>1.7500000000000002E-2</v>
      </c>
      <c r="DB288">
        <v>1.7500000000000002E-2</v>
      </c>
      <c r="DC288">
        <v>4.9999999999999975E-3</v>
      </c>
      <c r="DD288">
        <v>4.9999999999999975E-3</v>
      </c>
      <c r="DE288">
        <v>4.9999999999999975E-3</v>
      </c>
      <c r="DF288">
        <v>4.9999999999999975E-3</v>
      </c>
      <c r="DG288">
        <v>1.6666666666666681E-3</v>
      </c>
      <c r="DH288">
        <v>1.6666666666666681E-3</v>
      </c>
      <c r="DI288">
        <v>1.6666666666666681E-3</v>
      </c>
      <c r="DJ288">
        <v>1.6666666666666681E-3</v>
      </c>
      <c r="DK288">
        <v>1.6666666666666681E-3</v>
      </c>
      <c r="DL288">
        <v>1.6666666666666681E-3</v>
      </c>
      <c r="DM288">
        <v>1.6666666666666681E-3</v>
      </c>
      <c r="DN288">
        <v>1.6666666666666681E-3</v>
      </c>
      <c r="DO288">
        <v>1.6666666666666681E-3</v>
      </c>
    </row>
    <row r="289" spans="61:119">
      <c r="BI289" t="str">
        <f t="shared" si="59"/>
        <v>433431030623FI</v>
      </c>
      <c r="BJ289" s="426">
        <v>43343</v>
      </c>
      <c r="BK289" t="s">
        <v>1360</v>
      </c>
      <c r="BL289" t="s">
        <v>1369</v>
      </c>
      <c r="BM289" t="s">
        <v>1355</v>
      </c>
      <c r="BN289" s="438">
        <v>2</v>
      </c>
      <c r="BO289" s="438">
        <v>1</v>
      </c>
      <c r="BR289">
        <v>4.6000000000000006E-2</v>
      </c>
      <c r="BS289">
        <v>0.16100000000000003</v>
      </c>
      <c r="BT289">
        <v>0.16100000000000003</v>
      </c>
      <c r="BU289">
        <v>4.5999999999999985E-2</v>
      </c>
      <c r="BV289">
        <v>4.5999999999999985E-2</v>
      </c>
      <c r="BW289">
        <v>4.6000000000000013E-2</v>
      </c>
      <c r="BX289">
        <v>4.6000000000000013E-2</v>
      </c>
      <c r="BY289">
        <v>1.5333333333333334E-2</v>
      </c>
      <c r="BZ289">
        <v>1.5333333333333334E-2</v>
      </c>
      <c r="CA289">
        <v>1.5333333333333334E-2</v>
      </c>
      <c r="CB289">
        <v>1.5333333333333334E-2</v>
      </c>
      <c r="CC289">
        <v>1.5333333333333334E-2</v>
      </c>
      <c r="CD289">
        <v>1.5333333333333334E-2</v>
      </c>
      <c r="CE289">
        <v>1.5333333333333334E-2</v>
      </c>
      <c r="CF289">
        <v>1.5333333333333334E-2</v>
      </c>
      <c r="CG289">
        <v>1.5333333333333334E-2</v>
      </c>
      <c r="CI289">
        <v>4.0000000000000008E-2</v>
      </c>
      <c r="CJ289">
        <v>0.14000000000000001</v>
      </c>
      <c r="CK289">
        <v>0.14000000000000001</v>
      </c>
      <c r="CL289">
        <v>3.999999999999998E-2</v>
      </c>
      <c r="CM289">
        <v>3.999999999999998E-2</v>
      </c>
      <c r="CN289">
        <v>3.999999999999998E-2</v>
      </c>
      <c r="CO289">
        <v>3.999999999999998E-2</v>
      </c>
      <c r="CP289">
        <v>1.3333333333333345E-2</v>
      </c>
      <c r="CQ289">
        <v>1.3333333333333345E-2</v>
      </c>
      <c r="CR289">
        <v>1.3333333333333345E-2</v>
      </c>
      <c r="CS289">
        <v>1.3333333333333345E-2</v>
      </c>
      <c r="CT289">
        <v>1.3333333333333345E-2</v>
      </c>
      <c r="CU289">
        <v>1.3333333333333345E-2</v>
      </c>
      <c r="CV289">
        <v>1.3333333333333345E-2</v>
      </c>
      <c r="CW289">
        <v>1.3333333333333345E-2</v>
      </c>
      <c r="CX289">
        <v>1.3333333333333345E-2</v>
      </c>
      <c r="CZ289">
        <v>0.03</v>
      </c>
      <c r="DA289">
        <v>0.105</v>
      </c>
      <c r="DB289">
        <v>0.105</v>
      </c>
      <c r="DC289">
        <v>0.03</v>
      </c>
      <c r="DD289">
        <v>0.03</v>
      </c>
      <c r="DE289">
        <v>0.03</v>
      </c>
      <c r="DF289">
        <v>0.03</v>
      </c>
      <c r="DG289">
        <v>9.9999999999999967E-3</v>
      </c>
      <c r="DH289">
        <v>9.9999999999999967E-3</v>
      </c>
      <c r="DI289">
        <v>9.9999999999999967E-3</v>
      </c>
      <c r="DJ289">
        <v>9.9999999999999967E-3</v>
      </c>
      <c r="DK289">
        <v>9.9999999999999967E-3</v>
      </c>
      <c r="DL289">
        <v>9.9999999999999967E-3</v>
      </c>
      <c r="DM289">
        <v>9.9999999999999967E-3</v>
      </c>
      <c r="DN289">
        <v>9.9999999999999967E-3</v>
      </c>
      <c r="DO289">
        <v>9.9999999999999967E-3</v>
      </c>
    </row>
    <row r="290" spans="61:119">
      <c r="BI290" t="str">
        <f t="shared" si="59"/>
        <v>433431000526FI</v>
      </c>
      <c r="BJ290" s="426">
        <v>43343</v>
      </c>
      <c r="BK290" t="s">
        <v>1363</v>
      </c>
      <c r="BL290" t="s">
        <v>1368</v>
      </c>
      <c r="BM290" t="s">
        <v>1355</v>
      </c>
      <c r="BN290" s="438">
        <v>2</v>
      </c>
      <c r="BO290" s="438">
        <v>1</v>
      </c>
      <c r="BR290">
        <v>4.6000000000000006E-2</v>
      </c>
      <c r="BS290">
        <v>0.16100000000000003</v>
      </c>
      <c r="BT290">
        <v>0.16100000000000003</v>
      </c>
      <c r="BU290">
        <v>4.5999999999999985E-2</v>
      </c>
      <c r="BV290">
        <v>4.5999999999999985E-2</v>
      </c>
      <c r="BW290">
        <v>4.6000000000000013E-2</v>
      </c>
      <c r="BX290">
        <v>4.6000000000000013E-2</v>
      </c>
      <c r="BY290">
        <v>1.5333333333333334E-2</v>
      </c>
      <c r="BZ290">
        <v>1.5333333333333334E-2</v>
      </c>
      <c r="CA290">
        <v>1.5333333333333334E-2</v>
      </c>
      <c r="CB290">
        <v>1.5333333333333334E-2</v>
      </c>
      <c r="CC290">
        <v>1.5333333333333334E-2</v>
      </c>
      <c r="CD290">
        <v>1.5333333333333334E-2</v>
      </c>
      <c r="CE290">
        <v>1.5333333333333334E-2</v>
      </c>
      <c r="CF290">
        <v>1.5333333333333334E-2</v>
      </c>
      <c r="CG290">
        <v>1.5333333333333334E-2</v>
      </c>
      <c r="CI290">
        <v>4.0000000000000008E-2</v>
      </c>
      <c r="CJ290">
        <v>0.14000000000000001</v>
      </c>
      <c r="CK290">
        <v>0.14000000000000001</v>
      </c>
      <c r="CL290">
        <v>3.999999999999998E-2</v>
      </c>
      <c r="CM290">
        <v>3.999999999999998E-2</v>
      </c>
      <c r="CN290">
        <v>3.999999999999998E-2</v>
      </c>
      <c r="CO290">
        <v>3.999999999999998E-2</v>
      </c>
      <c r="CP290">
        <v>1.3333333333333345E-2</v>
      </c>
      <c r="CQ290">
        <v>1.3333333333333345E-2</v>
      </c>
      <c r="CR290">
        <v>1.3333333333333345E-2</v>
      </c>
      <c r="CS290">
        <v>1.3333333333333345E-2</v>
      </c>
      <c r="CT290">
        <v>1.3333333333333345E-2</v>
      </c>
      <c r="CU290">
        <v>1.3333333333333345E-2</v>
      </c>
      <c r="CV290">
        <v>1.3333333333333345E-2</v>
      </c>
      <c r="CW290">
        <v>1.3333333333333345E-2</v>
      </c>
      <c r="CX290">
        <v>1.3333333333333345E-2</v>
      </c>
      <c r="CZ290">
        <v>0.03</v>
      </c>
      <c r="DA290">
        <v>0.105</v>
      </c>
      <c r="DB290">
        <v>0.105</v>
      </c>
      <c r="DC290">
        <v>0.03</v>
      </c>
      <c r="DD290">
        <v>0.03</v>
      </c>
      <c r="DE290">
        <v>0.03</v>
      </c>
      <c r="DF290">
        <v>0.03</v>
      </c>
      <c r="DG290">
        <v>9.9999999999999967E-3</v>
      </c>
      <c r="DH290">
        <v>9.9999999999999967E-3</v>
      </c>
      <c r="DI290">
        <v>9.9999999999999967E-3</v>
      </c>
      <c r="DJ290">
        <v>9.9999999999999967E-3</v>
      </c>
      <c r="DK290">
        <v>9.9999999999999967E-3</v>
      </c>
      <c r="DL290">
        <v>9.9999999999999967E-3</v>
      </c>
      <c r="DM290">
        <v>9.9999999999999967E-3</v>
      </c>
      <c r="DN290">
        <v>9.9999999999999967E-3</v>
      </c>
      <c r="DO290">
        <v>9.9999999999999967E-3</v>
      </c>
    </row>
    <row r="291" spans="61:119">
      <c r="BI291" t="str">
        <f t="shared" si="59"/>
        <v>433431000790IB</v>
      </c>
      <c r="BJ291" s="426">
        <v>43343</v>
      </c>
      <c r="BK291" t="s">
        <v>1358</v>
      </c>
      <c r="BL291" t="s">
        <v>1371</v>
      </c>
      <c r="BM291" t="s">
        <v>1354</v>
      </c>
      <c r="BN291" s="438">
        <v>1.4183048811440671</v>
      </c>
      <c r="BO291" s="438">
        <v>1</v>
      </c>
      <c r="BR291">
        <v>1.7019658573728804E-2</v>
      </c>
      <c r="BS291">
        <v>5.9568805008050812E-2</v>
      </c>
      <c r="BT291">
        <v>5.9568805008050812E-2</v>
      </c>
      <c r="BU291">
        <v>1.7019658573728808E-2</v>
      </c>
      <c r="BV291">
        <v>1.7019658573728808E-2</v>
      </c>
      <c r="BW291">
        <v>1.7019658573728808E-2</v>
      </c>
      <c r="BX291">
        <v>1.7019658573728808E-2</v>
      </c>
      <c r="BY291">
        <v>5.6732195245762689E-3</v>
      </c>
      <c r="BZ291">
        <v>5.6732195245762689E-3</v>
      </c>
      <c r="CA291">
        <v>5.6732195245762689E-3</v>
      </c>
      <c r="CB291">
        <v>5.6732195245762689E-3</v>
      </c>
      <c r="CC291">
        <v>5.6732195245762689E-3</v>
      </c>
      <c r="CD291">
        <v>5.6732195245762689E-3</v>
      </c>
      <c r="CE291">
        <v>5.6732195245762689E-3</v>
      </c>
      <c r="CF291">
        <v>5.6732195245762689E-3</v>
      </c>
      <c r="CG291">
        <v>5.6732195245762689E-3</v>
      </c>
      <c r="CI291">
        <v>4.254914643432201E-3</v>
      </c>
      <c r="CJ291">
        <v>1.4892201252012703E-2</v>
      </c>
      <c r="CK291">
        <v>1.4892201252012703E-2</v>
      </c>
      <c r="CL291">
        <v>4.2549146434322019E-3</v>
      </c>
      <c r="CM291">
        <v>4.2549146434322019E-3</v>
      </c>
      <c r="CN291">
        <v>4.2549146434322019E-3</v>
      </c>
      <c r="CO291">
        <v>4.2549146434322019E-3</v>
      </c>
      <c r="CP291">
        <v>1.4183048811440672E-3</v>
      </c>
      <c r="CQ291">
        <v>1.4183048811440672E-3</v>
      </c>
      <c r="CR291">
        <v>1.4183048811440672E-3</v>
      </c>
      <c r="CS291">
        <v>1.4183048811440672E-3</v>
      </c>
      <c r="CT291">
        <v>1.4183048811440672E-3</v>
      </c>
      <c r="CU291">
        <v>1.4183048811440672E-3</v>
      </c>
      <c r="CV291">
        <v>1.4183048811440672E-3</v>
      </c>
      <c r="CW291">
        <v>1.4183048811440672E-3</v>
      </c>
      <c r="CX291">
        <v>1.4183048811440672E-3</v>
      </c>
      <c r="CZ291">
        <v>1.4183048811440672E-2</v>
      </c>
      <c r="DA291">
        <v>4.9640670840042353E-2</v>
      </c>
      <c r="DB291">
        <v>4.9640670840042353E-2</v>
      </c>
      <c r="DC291">
        <v>1.4183048811440668E-2</v>
      </c>
      <c r="DD291">
        <v>1.4183048811440668E-2</v>
      </c>
      <c r="DE291">
        <v>1.4183048811440668E-2</v>
      </c>
      <c r="DF291">
        <v>1.4183048811440668E-2</v>
      </c>
      <c r="DG291">
        <v>4.7276829371468926E-3</v>
      </c>
      <c r="DH291">
        <v>4.7276829371468926E-3</v>
      </c>
      <c r="DI291">
        <v>4.7276829371468926E-3</v>
      </c>
      <c r="DJ291">
        <v>4.7276829371468926E-3</v>
      </c>
      <c r="DK291">
        <v>4.7276829371468926E-3</v>
      </c>
      <c r="DL291">
        <v>4.7276829371468926E-3</v>
      </c>
      <c r="DM291">
        <v>4.7276829371468926E-3</v>
      </c>
      <c r="DN291">
        <v>4.7276829371468926E-3</v>
      </c>
      <c r="DO291">
        <v>4.7276829371468926E-3</v>
      </c>
    </row>
    <row r="292" spans="61:119">
      <c r="BI292" t="str">
        <f t="shared" si="59"/>
        <v>433431167651FI</v>
      </c>
      <c r="BJ292" s="426">
        <v>43343</v>
      </c>
      <c r="BK292" t="s">
        <v>1687</v>
      </c>
      <c r="BL292" t="s">
        <v>1688</v>
      </c>
      <c r="BM292" t="s">
        <v>1355</v>
      </c>
      <c r="BN292" s="438">
        <v>1.2530109214458409</v>
      </c>
      <c r="BO292" s="438">
        <v>1.8599206415251931E-3</v>
      </c>
      <c r="BR292">
        <v>0.14513253030617018</v>
      </c>
      <c r="BS292">
        <v>0.29034546289259178</v>
      </c>
      <c r="BT292">
        <v>0.29034546289259178</v>
      </c>
      <c r="BU292">
        <v>5.3601520167645411E-5</v>
      </c>
      <c r="BV292">
        <v>5.3601520167645411E-5</v>
      </c>
      <c r="BW292">
        <v>7.2593065913168886E-2</v>
      </c>
      <c r="BX292">
        <v>7.2593065913168886E-2</v>
      </c>
      <c r="BY292">
        <v>1.4203034578106948E-2</v>
      </c>
      <c r="BZ292">
        <v>1.4203034578106948E-2</v>
      </c>
      <c r="CA292">
        <v>1.4203034578106948E-2</v>
      </c>
      <c r="CB292">
        <v>1.4203034578106948E-2</v>
      </c>
      <c r="CC292">
        <v>1.4203034578106948E-2</v>
      </c>
      <c r="CD292">
        <v>1.4203034578106948E-2</v>
      </c>
      <c r="CE292">
        <v>1.4203034578106948E-2</v>
      </c>
      <c r="CF292">
        <v>1.4203034578106948E-2</v>
      </c>
      <c r="CG292">
        <v>1.4203034578106948E-2</v>
      </c>
      <c r="CI292">
        <v>0.13762145628012573</v>
      </c>
      <c r="CJ292">
        <v>0.27531282758655695</v>
      </c>
      <c r="CK292">
        <v>0.27531282758655695</v>
      </c>
      <c r="CL292">
        <v>4.661001753708538E-5</v>
      </c>
      <c r="CM292">
        <v>4.661001753708538E-5</v>
      </c>
      <c r="CN292">
        <v>6.8834033148831353E-2</v>
      </c>
      <c r="CO292">
        <v>6.8834033148831353E-2</v>
      </c>
      <c r="CP292">
        <v>1.9203425759506041E-2</v>
      </c>
      <c r="CQ292">
        <v>1.9203425759506041E-2</v>
      </c>
      <c r="CR292">
        <v>1.9203425759506041E-2</v>
      </c>
      <c r="CS292">
        <v>1.9203425759506041E-2</v>
      </c>
      <c r="CT292">
        <v>1.9203425759506041E-2</v>
      </c>
      <c r="CU292">
        <v>1.9203425759506041E-2</v>
      </c>
      <c r="CV292">
        <v>1.9203425759506041E-2</v>
      </c>
      <c r="CW292">
        <v>1.9203425759506041E-2</v>
      </c>
      <c r="CX292">
        <v>1.9203425759506041E-2</v>
      </c>
      <c r="CZ292">
        <v>6.2568978541602163E-2</v>
      </c>
      <c r="DA292">
        <v>0.12519039335293355</v>
      </c>
      <c r="DB292">
        <v>0.12519039335293355</v>
      </c>
      <c r="DC292">
        <v>3.4957513152800157E-5</v>
      </c>
      <c r="DD292">
        <v>3.4957513152800157E-5</v>
      </c>
      <c r="DE292">
        <v>3.1301968027377503E-2</v>
      </c>
      <c r="DF292">
        <v>3.1301968027377503E-2</v>
      </c>
      <c r="DG292">
        <v>1.0433989342459156E-2</v>
      </c>
      <c r="DH292">
        <v>1.0433989342459156E-2</v>
      </c>
      <c r="DI292">
        <v>1.0433989342459156E-2</v>
      </c>
      <c r="DJ292">
        <v>1.0433989342459156E-2</v>
      </c>
      <c r="DK292">
        <v>1.0433989342459156E-2</v>
      </c>
      <c r="DL292">
        <v>1.0433989342459156E-2</v>
      </c>
      <c r="DM292">
        <v>1.0433989342459156E-2</v>
      </c>
      <c r="DN292">
        <v>1.0433989342459156E-2</v>
      </c>
      <c r="DO292">
        <v>1.0433989342459156E-2</v>
      </c>
    </row>
    <row r="293" spans="61:119">
      <c r="BI293" t="str">
        <f t="shared" si="59"/>
        <v>433431141467FI</v>
      </c>
      <c r="BJ293" s="426">
        <v>43343</v>
      </c>
      <c r="BK293" t="s">
        <v>1375</v>
      </c>
      <c r="BL293" t="s">
        <v>1376</v>
      </c>
      <c r="BM293" t="s">
        <v>1355</v>
      </c>
      <c r="BN293" s="438">
        <v>2</v>
      </c>
      <c r="BO293" s="438">
        <v>1</v>
      </c>
      <c r="BR293">
        <v>4.6000000000000006E-2</v>
      </c>
      <c r="BS293">
        <v>0.16100000000000003</v>
      </c>
      <c r="BT293">
        <v>0.16100000000000003</v>
      </c>
      <c r="BU293">
        <v>4.5999999999999985E-2</v>
      </c>
      <c r="BV293">
        <v>4.5999999999999985E-2</v>
      </c>
      <c r="BW293">
        <v>4.6000000000000013E-2</v>
      </c>
      <c r="BX293">
        <v>4.6000000000000013E-2</v>
      </c>
      <c r="BY293">
        <v>1.5333333333333334E-2</v>
      </c>
      <c r="BZ293">
        <v>1.5333333333333334E-2</v>
      </c>
      <c r="CA293">
        <v>1.5333333333333334E-2</v>
      </c>
      <c r="CB293">
        <v>1.5333333333333334E-2</v>
      </c>
      <c r="CC293">
        <v>1.5333333333333334E-2</v>
      </c>
      <c r="CD293">
        <v>1.5333333333333334E-2</v>
      </c>
      <c r="CE293">
        <v>1.5333333333333334E-2</v>
      </c>
      <c r="CF293">
        <v>1.5333333333333334E-2</v>
      </c>
      <c r="CG293">
        <v>1.5333333333333334E-2</v>
      </c>
      <c r="CI293">
        <v>4.0000000000000008E-2</v>
      </c>
      <c r="CJ293">
        <v>0.14000000000000001</v>
      </c>
      <c r="CK293">
        <v>0.14000000000000001</v>
      </c>
      <c r="CL293">
        <v>3.999999999999998E-2</v>
      </c>
      <c r="CM293">
        <v>3.999999999999998E-2</v>
      </c>
      <c r="CN293">
        <v>3.999999999999998E-2</v>
      </c>
      <c r="CO293">
        <v>3.999999999999998E-2</v>
      </c>
      <c r="CP293">
        <v>1.3333333333333345E-2</v>
      </c>
      <c r="CQ293">
        <v>1.3333333333333345E-2</v>
      </c>
      <c r="CR293">
        <v>1.3333333333333345E-2</v>
      </c>
      <c r="CS293">
        <v>1.3333333333333345E-2</v>
      </c>
      <c r="CT293">
        <v>1.3333333333333345E-2</v>
      </c>
      <c r="CU293">
        <v>1.3333333333333345E-2</v>
      </c>
      <c r="CV293">
        <v>1.3333333333333345E-2</v>
      </c>
      <c r="CW293">
        <v>1.3333333333333345E-2</v>
      </c>
      <c r="CX293">
        <v>1.3333333333333345E-2</v>
      </c>
      <c r="CZ293">
        <v>0.03</v>
      </c>
      <c r="DA293">
        <v>0.105</v>
      </c>
      <c r="DB293">
        <v>0.105</v>
      </c>
      <c r="DC293">
        <v>0.03</v>
      </c>
      <c r="DD293">
        <v>0.03</v>
      </c>
      <c r="DE293">
        <v>0.03</v>
      </c>
      <c r="DF293">
        <v>0.03</v>
      </c>
      <c r="DG293">
        <v>9.9999999999999967E-3</v>
      </c>
      <c r="DH293">
        <v>9.9999999999999967E-3</v>
      </c>
      <c r="DI293">
        <v>9.9999999999999967E-3</v>
      </c>
      <c r="DJ293">
        <v>9.9999999999999967E-3</v>
      </c>
      <c r="DK293">
        <v>9.9999999999999967E-3</v>
      </c>
      <c r="DL293">
        <v>9.9999999999999967E-3</v>
      </c>
      <c r="DM293">
        <v>9.9999999999999967E-3</v>
      </c>
      <c r="DN293">
        <v>9.9999999999999967E-3</v>
      </c>
      <c r="DO293">
        <v>9.9999999999999967E-3</v>
      </c>
    </row>
    <row r="294" spans="61:119">
      <c r="BI294" t="str">
        <f t="shared" si="59"/>
        <v>433431151227FI</v>
      </c>
      <c r="BJ294" s="426">
        <v>43343</v>
      </c>
      <c r="BK294" t="s">
        <v>1362</v>
      </c>
      <c r="BL294" t="s">
        <v>1372</v>
      </c>
      <c r="BM294" t="s">
        <v>1355</v>
      </c>
      <c r="BN294" s="438">
        <v>1.2530109214458409</v>
      </c>
      <c r="BO294" s="438">
        <v>1.8599206415251931E-3</v>
      </c>
      <c r="BR294">
        <v>0.14513253030617018</v>
      </c>
      <c r="BS294">
        <v>0.29034546289259178</v>
      </c>
      <c r="BT294">
        <v>0.29034546289259178</v>
      </c>
      <c r="BU294">
        <v>5.3601520167645411E-5</v>
      </c>
      <c r="BV294">
        <v>5.3601520167645411E-5</v>
      </c>
      <c r="BW294">
        <v>7.2593065913168886E-2</v>
      </c>
      <c r="BX294">
        <v>7.2593065913168886E-2</v>
      </c>
      <c r="BY294">
        <v>1.4203034578106948E-2</v>
      </c>
      <c r="BZ294">
        <v>1.4203034578106948E-2</v>
      </c>
      <c r="CA294">
        <v>1.4203034578106948E-2</v>
      </c>
      <c r="CB294">
        <v>1.4203034578106948E-2</v>
      </c>
      <c r="CC294">
        <v>1.4203034578106948E-2</v>
      </c>
      <c r="CD294">
        <v>1.4203034578106948E-2</v>
      </c>
      <c r="CE294">
        <v>1.4203034578106948E-2</v>
      </c>
      <c r="CF294">
        <v>1.4203034578106948E-2</v>
      </c>
      <c r="CG294">
        <v>1.4203034578106948E-2</v>
      </c>
      <c r="CI294">
        <v>0.13762145628012573</v>
      </c>
      <c r="CJ294">
        <v>0.27531282758655695</v>
      </c>
      <c r="CK294">
        <v>0.27531282758655695</v>
      </c>
      <c r="CL294">
        <v>4.661001753708538E-5</v>
      </c>
      <c r="CM294">
        <v>4.661001753708538E-5</v>
      </c>
      <c r="CN294">
        <v>6.8834033148831353E-2</v>
      </c>
      <c r="CO294">
        <v>6.8834033148831353E-2</v>
      </c>
      <c r="CP294">
        <v>1.9203425759506041E-2</v>
      </c>
      <c r="CQ294">
        <v>1.9203425759506041E-2</v>
      </c>
      <c r="CR294">
        <v>1.9203425759506041E-2</v>
      </c>
      <c r="CS294">
        <v>1.9203425759506041E-2</v>
      </c>
      <c r="CT294">
        <v>1.9203425759506041E-2</v>
      </c>
      <c r="CU294">
        <v>1.9203425759506041E-2</v>
      </c>
      <c r="CV294">
        <v>1.9203425759506041E-2</v>
      </c>
      <c r="CW294">
        <v>1.9203425759506041E-2</v>
      </c>
      <c r="CX294">
        <v>1.9203425759506041E-2</v>
      </c>
      <c r="CZ294">
        <v>6.2568978541602163E-2</v>
      </c>
      <c r="DA294">
        <v>0.12519039335293355</v>
      </c>
      <c r="DB294">
        <v>0.12519039335293355</v>
      </c>
      <c r="DC294">
        <v>3.4957513152800157E-5</v>
      </c>
      <c r="DD294">
        <v>3.4957513152800157E-5</v>
      </c>
      <c r="DE294">
        <v>3.1301968027377503E-2</v>
      </c>
      <c r="DF294">
        <v>3.1301968027377503E-2</v>
      </c>
      <c r="DG294">
        <v>1.0433989342459156E-2</v>
      </c>
      <c r="DH294">
        <v>1.0433989342459156E-2</v>
      </c>
      <c r="DI294">
        <v>1.0433989342459156E-2</v>
      </c>
      <c r="DJ294">
        <v>1.0433989342459156E-2</v>
      </c>
      <c r="DK294">
        <v>1.0433989342459156E-2</v>
      </c>
      <c r="DL294">
        <v>1.0433989342459156E-2</v>
      </c>
      <c r="DM294">
        <v>1.0433989342459156E-2</v>
      </c>
      <c r="DN294">
        <v>1.0433989342459156E-2</v>
      </c>
      <c r="DO294">
        <v>1.0433989342459156E-2</v>
      </c>
    </row>
    <row r="295" spans="61:119">
      <c r="BI295" t="str">
        <f t="shared" si="59"/>
        <v>433431147542CME</v>
      </c>
      <c r="BJ295" s="426">
        <v>43343</v>
      </c>
      <c r="BK295" t="s">
        <v>1361</v>
      </c>
      <c r="BL295" t="s">
        <v>1370</v>
      </c>
      <c r="BM295" t="s">
        <v>1321</v>
      </c>
      <c r="BN295" s="438">
        <v>1</v>
      </c>
      <c r="BO295" s="438">
        <v>0.14561553478502831</v>
      </c>
      <c r="BR295">
        <v>8.0000000000000016E-2</v>
      </c>
      <c r="BS295">
        <v>0.16</v>
      </c>
      <c r="BT295">
        <v>0.16</v>
      </c>
      <c r="BU295">
        <v>0</v>
      </c>
      <c r="BV295">
        <v>0</v>
      </c>
      <c r="BW295">
        <v>3.999999999999998E-2</v>
      </c>
      <c r="BX295">
        <v>3.999999999999998E-2</v>
      </c>
      <c r="BY295">
        <v>1.3333333333333345E-2</v>
      </c>
      <c r="BZ295">
        <v>1.3333333333333345E-2</v>
      </c>
      <c r="CA295">
        <v>1.3333333333333345E-2</v>
      </c>
      <c r="CB295">
        <v>1.3333333333333345E-2</v>
      </c>
      <c r="CC295">
        <v>1.3333333333333345E-2</v>
      </c>
      <c r="CD295">
        <v>1.3333333333333345E-2</v>
      </c>
      <c r="CE295">
        <v>1.3333333333333345E-2</v>
      </c>
      <c r="CF295">
        <v>1.3333333333333345E-2</v>
      </c>
      <c r="CG295">
        <v>1.3333333333333345E-2</v>
      </c>
      <c r="CI295">
        <v>6.9999999999999993E-2</v>
      </c>
      <c r="CJ295">
        <v>0.13999999999999999</v>
      </c>
      <c r="CK295">
        <v>0.13999999999999999</v>
      </c>
      <c r="CL295">
        <v>0</v>
      </c>
      <c r="CM295">
        <v>0</v>
      </c>
      <c r="CN295">
        <v>3.5000000000000003E-2</v>
      </c>
      <c r="CO295">
        <v>3.5000000000000003E-2</v>
      </c>
      <c r="CP295">
        <v>1.1666666666666659E-2</v>
      </c>
      <c r="CQ295">
        <v>1.1666666666666659E-2</v>
      </c>
      <c r="CR295">
        <v>1.1666666666666659E-2</v>
      </c>
      <c r="CS295">
        <v>1.1666666666666659E-2</v>
      </c>
      <c r="CT295">
        <v>1.1666666666666659E-2</v>
      </c>
      <c r="CU295">
        <v>1.1666666666666659E-2</v>
      </c>
      <c r="CV295">
        <v>1.1666666666666659E-2</v>
      </c>
      <c r="CW295">
        <v>1.1666666666666659E-2</v>
      </c>
      <c r="CX295">
        <v>1.1666666666666659E-2</v>
      </c>
      <c r="CZ295">
        <v>4.0000000000000008E-2</v>
      </c>
      <c r="DA295">
        <v>0.08</v>
      </c>
      <c r="DB295">
        <v>0.08</v>
      </c>
      <c r="DC295">
        <v>0</v>
      </c>
      <c r="DD295">
        <v>0</v>
      </c>
      <c r="DE295">
        <v>1.999999999999999E-2</v>
      </c>
      <c r="DF295">
        <v>1.999999999999999E-2</v>
      </c>
      <c r="DG295">
        <v>6.6666666666666723E-3</v>
      </c>
      <c r="DH295">
        <v>6.6666666666666723E-3</v>
      </c>
      <c r="DI295">
        <v>6.6666666666666723E-3</v>
      </c>
      <c r="DJ295">
        <v>6.6666666666666723E-3</v>
      </c>
      <c r="DK295">
        <v>6.6666666666666723E-3</v>
      </c>
      <c r="DL295">
        <v>6.6666666666666723E-3</v>
      </c>
      <c r="DM295">
        <v>6.6666666666666723E-3</v>
      </c>
      <c r="DN295">
        <v>6.6666666666666723E-3</v>
      </c>
      <c r="DO295">
        <v>6.6666666666666723E-3</v>
      </c>
    </row>
    <row r="296" spans="61:119">
      <c r="BI296" t="str">
        <f t="shared" si="59"/>
        <v>43343FI</v>
      </c>
      <c r="BJ296" s="426">
        <v>43343</v>
      </c>
      <c r="BM296" t="s">
        <v>1355</v>
      </c>
      <c r="BN296" s="438">
        <v>1</v>
      </c>
      <c r="BO296" s="438">
        <v>1</v>
      </c>
      <c r="BR296">
        <v>2.3000000000000003E-2</v>
      </c>
      <c r="BS296">
        <v>8.0500000000000016E-2</v>
      </c>
      <c r="BT296">
        <v>8.0500000000000016E-2</v>
      </c>
      <c r="BU296">
        <v>2.2999999999999993E-2</v>
      </c>
      <c r="BV296">
        <v>2.2999999999999993E-2</v>
      </c>
      <c r="BW296">
        <v>2.3000000000000007E-2</v>
      </c>
      <c r="BX296">
        <v>2.3000000000000007E-2</v>
      </c>
      <c r="BY296">
        <v>7.6666666666666671E-3</v>
      </c>
      <c r="BZ296">
        <v>7.6666666666666671E-3</v>
      </c>
      <c r="CA296">
        <v>7.6666666666666671E-3</v>
      </c>
      <c r="CB296">
        <v>7.6666666666666671E-3</v>
      </c>
      <c r="CC296">
        <v>7.6666666666666671E-3</v>
      </c>
      <c r="CD296">
        <v>7.6666666666666671E-3</v>
      </c>
      <c r="CE296">
        <v>7.6666666666666671E-3</v>
      </c>
      <c r="CF296">
        <v>7.6666666666666671E-3</v>
      </c>
      <c r="CG296">
        <v>7.6666666666666671E-3</v>
      </c>
      <c r="CI296">
        <v>2.0000000000000004E-2</v>
      </c>
      <c r="CJ296">
        <v>7.0000000000000007E-2</v>
      </c>
      <c r="CK296">
        <v>7.0000000000000007E-2</v>
      </c>
      <c r="CL296">
        <v>1.999999999999999E-2</v>
      </c>
      <c r="CM296">
        <v>1.999999999999999E-2</v>
      </c>
      <c r="CN296">
        <v>1.999999999999999E-2</v>
      </c>
      <c r="CO296">
        <v>1.999999999999999E-2</v>
      </c>
      <c r="CP296">
        <v>6.6666666666666723E-3</v>
      </c>
      <c r="CQ296">
        <v>6.6666666666666723E-3</v>
      </c>
      <c r="CR296">
        <v>6.6666666666666723E-3</v>
      </c>
      <c r="CS296">
        <v>6.6666666666666723E-3</v>
      </c>
      <c r="CT296">
        <v>6.6666666666666723E-3</v>
      </c>
      <c r="CU296">
        <v>6.6666666666666723E-3</v>
      </c>
      <c r="CV296">
        <v>6.6666666666666723E-3</v>
      </c>
      <c r="CW296">
        <v>6.6666666666666723E-3</v>
      </c>
      <c r="CX296">
        <v>6.6666666666666723E-3</v>
      </c>
      <c r="CZ296">
        <v>1.4999999999999999E-2</v>
      </c>
      <c r="DA296">
        <v>5.2499999999999998E-2</v>
      </c>
      <c r="DB296">
        <v>5.2499999999999998E-2</v>
      </c>
      <c r="DC296">
        <v>1.4999999999999999E-2</v>
      </c>
      <c r="DD296">
        <v>1.4999999999999999E-2</v>
      </c>
      <c r="DE296">
        <v>1.4999999999999999E-2</v>
      </c>
      <c r="DF296">
        <v>1.4999999999999999E-2</v>
      </c>
      <c r="DG296">
        <v>4.9999999999999984E-3</v>
      </c>
      <c r="DH296">
        <v>4.9999999999999984E-3</v>
      </c>
      <c r="DI296">
        <v>4.9999999999999984E-3</v>
      </c>
      <c r="DJ296">
        <v>4.9999999999999984E-3</v>
      </c>
      <c r="DK296">
        <v>4.9999999999999984E-3</v>
      </c>
      <c r="DL296">
        <v>4.9999999999999984E-3</v>
      </c>
      <c r="DM296">
        <v>4.9999999999999984E-3</v>
      </c>
      <c r="DN296">
        <v>4.9999999999999984E-3</v>
      </c>
      <c r="DO296">
        <v>4.9999999999999984E-3</v>
      </c>
    </row>
    <row r="297" spans="61:119">
      <c r="BI297" t="str">
        <f t="shared" si="59"/>
        <v>43343CORP</v>
      </c>
      <c r="BJ297" s="426">
        <v>43343</v>
      </c>
      <c r="BM297" t="s">
        <v>1356</v>
      </c>
      <c r="BN297" s="438">
        <v>1</v>
      </c>
      <c r="BO297" s="438">
        <v>0.83017427538149391</v>
      </c>
      <c r="BR297">
        <v>1.1396514492370122E-2</v>
      </c>
      <c r="BS297">
        <v>5.3170589129399322E-2</v>
      </c>
      <c r="BT297">
        <v>5.3170589129399322E-2</v>
      </c>
      <c r="BU297">
        <v>3.1320697101525977E-2</v>
      </c>
      <c r="BV297">
        <v>3.1320697101525977E-2</v>
      </c>
      <c r="BW297">
        <v>1.8037908695422072E-2</v>
      </c>
      <c r="BX297">
        <v>1.8037908695422072E-2</v>
      </c>
      <c r="BY297">
        <v>6.0126362318073546E-3</v>
      </c>
      <c r="BZ297">
        <v>6.0126362318073546E-3</v>
      </c>
      <c r="CA297">
        <v>6.0126362318073546E-3</v>
      </c>
      <c r="CB297">
        <v>6.0126362318073546E-3</v>
      </c>
      <c r="CC297">
        <v>6.0126362318073546E-3</v>
      </c>
      <c r="CD297">
        <v>6.0126362318073546E-3</v>
      </c>
      <c r="CE297">
        <v>6.0126362318073546E-3</v>
      </c>
      <c r="CF297">
        <v>6.0126362318073546E-3</v>
      </c>
      <c r="CG297">
        <v>6.0126362318073546E-3</v>
      </c>
      <c r="CI297">
        <v>9.8870373185146049E-3</v>
      </c>
      <c r="CJ297">
        <v>4.6227070470142025E-2</v>
      </c>
      <c r="CK297">
        <v>4.6227070470142025E-2</v>
      </c>
      <c r="CL297">
        <v>2.7320697101525987E-2</v>
      </c>
      <c r="CM297">
        <v>2.7320697101525987E-2</v>
      </c>
      <c r="CN297">
        <v>1.5698257246185052E-2</v>
      </c>
      <c r="CO297">
        <v>1.5698257246185052E-2</v>
      </c>
      <c r="CP297">
        <v>5.2327524153950216E-3</v>
      </c>
      <c r="CQ297">
        <v>5.2327524153950216E-3</v>
      </c>
      <c r="CR297">
        <v>5.2327524153950216E-3</v>
      </c>
      <c r="CS297">
        <v>5.2327524153950216E-3</v>
      </c>
      <c r="CT297">
        <v>5.2327524153950216E-3</v>
      </c>
      <c r="CU297">
        <v>5.2327524153950216E-3</v>
      </c>
      <c r="CV297">
        <v>5.2327524153950216E-3</v>
      </c>
      <c r="CW297">
        <v>5.2327524153950216E-3</v>
      </c>
      <c r="CX297">
        <v>5.2327524153950216E-3</v>
      </c>
      <c r="CZ297">
        <v>6.698257246185061E-3</v>
      </c>
      <c r="DA297">
        <v>3.174564311546265E-2</v>
      </c>
      <c r="DB297">
        <v>3.174564311546265E-2</v>
      </c>
      <c r="DC297">
        <v>1.915087137690747E-2</v>
      </c>
      <c r="DD297">
        <v>1.915087137690747E-2</v>
      </c>
      <c r="DE297">
        <v>1.0849128623092535E-2</v>
      </c>
      <c r="DF297">
        <v>1.0849128623092535E-2</v>
      </c>
      <c r="DG297">
        <v>3.6163762076975117E-3</v>
      </c>
      <c r="DH297">
        <v>3.6163762076975117E-3</v>
      </c>
      <c r="DI297">
        <v>3.6163762076975117E-3</v>
      </c>
      <c r="DJ297">
        <v>3.6163762076975117E-3</v>
      </c>
      <c r="DK297">
        <v>3.6163762076975117E-3</v>
      </c>
      <c r="DL297">
        <v>3.6163762076975117E-3</v>
      </c>
      <c r="DM297">
        <v>3.6163762076975117E-3</v>
      </c>
      <c r="DN297">
        <v>3.6163762076975117E-3</v>
      </c>
      <c r="DO297">
        <v>3.6163762076975117E-3</v>
      </c>
    </row>
    <row r="298" spans="61:119">
      <c r="BI298" t="str">
        <f t="shared" ref="BI298:BI339" si="60">BJ298&amp;BK298&amp;BM298</f>
        <v>43343ESCROW</v>
      </c>
      <c r="BJ298" s="426">
        <v>43343</v>
      </c>
      <c r="BM298" t="s">
        <v>1339</v>
      </c>
      <c r="BN298" s="438">
        <v>1</v>
      </c>
      <c r="BO298" s="438">
        <v>1</v>
      </c>
      <c r="BR298">
        <v>3.2000000000000001E-2</v>
      </c>
      <c r="BS298">
        <v>2.4E-2</v>
      </c>
      <c r="BT298">
        <v>2.4E-2</v>
      </c>
      <c r="BU298">
        <v>0.04</v>
      </c>
      <c r="BV298">
        <v>0.04</v>
      </c>
      <c r="BW298">
        <v>3.9999999999999994E-2</v>
      </c>
      <c r="BX298">
        <v>3.9999999999999994E-2</v>
      </c>
      <c r="BY298">
        <v>8.8888888888888906E-3</v>
      </c>
      <c r="BZ298">
        <v>8.8888888888888906E-3</v>
      </c>
      <c r="CA298">
        <v>8.8888888888888906E-3</v>
      </c>
      <c r="CB298">
        <v>8.8888888888888906E-3</v>
      </c>
      <c r="CC298">
        <v>8.8888888888888906E-3</v>
      </c>
      <c r="CD298">
        <v>8.8888888888888906E-3</v>
      </c>
      <c r="CE298">
        <v>8.8888888888888906E-3</v>
      </c>
      <c r="CF298">
        <v>8.8888888888888906E-3</v>
      </c>
      <c r="CG298">
        <v>8.8888888888888906E-3</v>
      </c>
      <c r="CI298">
        <v>2.8000000000000004E-2</v>
      </c>
      <c r="CJ298">
        <v>2.1000000000000001E-2</v>
      </c>
      <c r="CK298">
        <v>2.1000000000000001E-2</v>
      </c>
      <c r="CL298">
        <v>3.5000000000000003E-2</v>
      </c>
      <c r="CM298">
        <v>3.5000000000000003E-2</v>
      </c>
      <c r="CN298">
        <v>3.5000000000000003E-2</v>
      </c>
      <c r="CO298">
        <v>3.5000000000000003E-2</v>
      </c>
      <c r="CP298">
        <v>7.7777777777777784E-3</v>
      </c>
      <c r="CQ298">
        <v>7.7777777777777784E-3</v>
      </c>
      <c r="CR298">
        <v>7.7777777777777784E-3</v>
      </c>
      <c r="CS298">
        <v>7.7777777777777784E-3</v>
      </c>
      <c r="CT298">
        <v>7.7777777777777784E-3</v>
      </c>
      <c r="CU298">
        <v>7.7777777777777784E-3</v>
      </c>
      <c r="CV298">
        <v>7.7777777777777784E-3</v>
      </c>
      <c r="CW298">
        <v>7.7777777777777784E-3</v>
      </c>
      <c r="CX298">
        <v>7.7777777777777784E-3</v>
      </c>
      <c r="CZ298">
        <v>2.0000000000000004E-2</v>
      </c>
      <c r="DA298">
        <v>1.4999999999999999E-2</v>
      </c>
      <c r="DB298">
        <v>1.4999999999999999E-2</v>
      </c>
      <c r="DC298">
        <v>2.5000000000000001E-2</v>
      </c>
      <c r="DD298">
        <v>2.5000000000000001E-2</v>
      </c>
      <c r="DE298">
        <v>2.5000000000000008E-2</v>
      </c>
      <c r="DF298">
        <v>2.5000000000000008E-2</v>
      </c>
      <c r="DG298">
        <v>5.555555555555554E-3</v>
      </c>
      <c r="DH298">
        <v>5.555555555555554E-3</v>
      </c>
      <c r="DI298">
        <v>5.555555555555554E-3</v>
      </c>
      <c r="DJ298">
        <v>5.555555555555554E-3</v>
      </c>
      <c r="DK298">
        <v>5.555555555555554E-3</v>
      </c>
      <c r="DL298">
        <v>5.555555555555554E-3</v>
      </c>
      <c r="DM298">
        <v>5.555555555555554E-3</v>
      </c>
      <c r="DN298">
        <v>5.555555555555554E-3</v>
      </c>
      <c r="DO298">
        <v>5.555555555555554E-3</v>
      </c>
    </row>
    <row r="299" spans="61:119">
      <c r="BI299" t="str">
        <f t="shared" si="60"/>
        <v>43343IB</v>
      </c>
      <c r="BJ299" s="426">
        <v>43343</v>
      </c>
      <c r="BM299" t="s">
        <v>1354</v>
      </c>
      <c r="BN299" s="438">
        <v>1</v>
      </c>
      <c r="BO299" s="438">
        <v>1</v>
      </c>
      <c r="BR299">
        <v>1.2E-2</v>
      </c>
      <c r="BS299">
        <v>4.2000000000000003E-2</v>
      </c>
      <c r="BT299">
        <v>4.2000000000000003E-2</v>
      </c>
      <c r="BU299">
        <v>1.1999999999999997E-2</v>
      </c>
      <c r="BV299">
        <v>1.1999999999999997E-2</v>
      </c>
      <c r="BW299">
        <v>1.1999999999999997E-2</v>
      </c>
      <c r="BX299">
        <v>1.1999999999999997E-2</v>
      </c>
      <c r="BY299">
        <v>4.0000000000000001E-3</v>
      </c>
      <c r="BZ299">
        <v>4.0000000000000001E-3</v>
      </c>
      <c r="CA299">
        <v>4.0000000000000001E-3</v>
      </c>
      <c r="CB299">
        <v>4.0000000000000001E-3</v>
      </c>
      <c r="CC299">
        <v>4.0000000000000001E-3</v>
      </c>
      <c r="CD299">
        <v>4.0000000000000001E-3</v>
      </c>
      <c r="CE299">
        <v>4.0000000000000001E-3</v>
      </c>
      <c r="CF299">
        <v>4.0000000000000001E-3</v>
      </c>
      <c r="CG299">
        <v>4.0000000000000001E-3</v>
      </c>
      <c r="CI299">
        <v>3.0000000000000001E-3</v>
      </c>
      <c r="CJ299">
        <v>1.0500000000000001E-2</v>
      </c>
      <c r="CK299">
        <v>1.0500000000000001E-2</v>
      </c>
      <c r="CL299">
        <v>2.9999999999999992E-3</v>
      </c>
      <c r="CM299">
        <v>2.9999999999999992E-3</v>
      </c>
      <c r="CN299">
        <v>2.9999999999999992E-3</v>
      </c>
      <c r="CO299">
        <v>2.9999999999999992E-3</v>
      </c>
      <c r="CP299">
        <v>1E-3</v>
      </c>
      <c r="CQ299">
        <v>1E-3</v>
      </c>
      <c r="CR299">
        <v>1E-3</v>
      </c>
      <c r="CS299">
        <v>1E-3</v>
      </c>
      <c r="CT299">
        <v>1E-3</v>
      </c>
      <c r="CU299">
        <v>1E-3</v>
      </c>
      <c r="CV299">
        <v>1E-3</v>
      </c>
      <c r="CW299">
        <v>1E-3</v>
      </c>
      <c r="CX299">
        <v>1E-3</v>
      </c>
      <c r="CZ299">
        <v>1.0000000000000002E-2</v>
      </c>
      <c r="DA299">
        <v>3.5000000000000003E-2</v>
      </c>
      <c r="DB299">
        <v>3.5000000000000003E-2</v>
      </c>
      <c r="DC299">
        <v>9.999999999999995E-3</v>
      </c>
      <c r="DD299">
        <v>9.999999999999995E-3</v>
      </c>
      <c r="DE299">
        <v>9.999999999999995E-3</v>
      </c>
      <c r="DF299">
        <v>9.999999999999995E-3</v>
      </c>
      <c r="DG299">
        <v>3.3333333333333361E-3</v>
      </c>
      <c r="DH299">
        <v>3.3333333333333361E-3</v>
      </c>
      <c r="DI299">
        <v>3.3333333333333361E-3</v>
      </c>
      <c r="DJ299">
        <v>3.3333333333333361E-3</v>
      </c>
      <c r="DK299">
        <v>3.3333333333333361E-3</v>
      </c>
      <c r="DL299">
        <v>3.3333333333333361E-3</v>
      </c>
      <c r="DM299">
        <v>3.3333333333333361E-3</v>
      </c>
      <c r="DN299">
        <v>3.3333333333333361E-3</v>
      </c>
      <c r="DO299">
        <v>3.3333333333333361E-3</v>
      </c>
    </row>
    <row r="300" spans="61:119">
      <c r="BI300" t="str">
        <f t="shared" si="60"/>
        <v>43343AFF</v>
      </c>
      <c r="BJ300" s="426">
        <v>43343</v>
      </c>
      <c r="BM300" t="s">
        <v>1353</v>
      </c>
      <c r="BN300" s="438">
        <v>1</v>
      </c>
      <c r="BO300" s="438">
        <v>1</v>
      </c>
      <c r="BR300">
        <v>1.4999999999999999E-2</v>
      </c>
      <c r="BS300">
        <v>5.2499999999999998E-2</v>
      </c>
      <c r="BT300">
        <v>5.2499999999999998E-2</v>
      </c>
      <c r="BU300">
        <v>1.4999999999999999E-2</v>
      </c>
      <c r="BV300">
        <v>1.4999999999999999E-2</v>
      </c>
      <c r="BW300">
        <v>1.4999999999999999E-2</v>
      </c>
      <c r="BX300">
        <v>1.4999999999999999E-2</v>
      </c>
      <c r="BY300">
        <v>4.9999999999999984E-3</v>
      </c>
      <c r="BZ300">
        <v>4.9999999999999984E-3</v>
      </c>
      <c r="CA300">
        <v>4.9999999999999984E-3</v>
      </c>
      <c r="CB300">
        <v>4.9999999999999984E-3</v>
      </c>
      <c r="CC300">
        <v>4.9999999999999984E-3</v>
      </c>
      <c r="CD300">
        <v>4.9999999999999984E-3</v>
      </c>
      <c r="CE300">
        <v>4.9999999999999984E-3</v>
      </c>
      <c r="CF300">
        <v>4.9999999999999984E-3</v>
      </c>
      <c r="CG300">
        <v>4.9999999999999984E-3</v>
      </c>
      <c r="CI300">
        <v>1.2E-2</v>
      </c>
      <c r="CJ300">
        <v>4.2000000000000003E-2</v>
      </c>
      <c r="CK300">
        <v>4.2000000000000003E-2</v>
      </c>
      <c r="CL300">
        <v>1.1999999999999997E-2</v>
      </c>
      <c r="CM300">
        <v>1.1999999999999997E-2</v>
      </c>
      <c r="CN300">
        <v>1.1999999999999997E-2</v>
      </c>
      <c r="CO300">
        <v>1.1999999999999997E-2</v>
      </c>
      <c r="CP300">
        <v>4.0000000000000001E-3</v>
      </c>
      <c r="CQ300">
        <v>4.0000000000000001E-3</v>
      </c>
      <c r="CR300">
        <v>4.0000000000000001E-3</v>
      </c>
      <c r="CS300">
        <v>4.0000000000000001E-3</v>
      </c>
      <c r="CT300">
        <v>4.0000000000000001E-3</v>
      </c>
      <c r="CU300">
        <v>4.0000000000000001E-3</v>
      </c>
      <c r="CV300">
        <v>4.0000000000000001E-3</v>
      </c>
      <c r="CW300">
        <v>4.0000000000000001E-3</v>
      </c>
      <c r="CX300">
        <v>4.0000000000000001E-3</v>
      </c>
      <c r="CZ300">
        <v>5.000000000000001E-3</v>
      </c>
      <c r="DA300">
        <v>1.7500000000000002E-2</v>
      </c>
      <c r="DB300">
        <v>1.7500000000000002E-2</v>
      </c>
      <c r="DC300">
        <v>4.9999999999999975E-3</v>
      </c>
      <c r="DD300">
        <v>4.9999999999999975E-3</v>
      </c>
      <c r="DE300">
        <v>4.9999999999999975E-3</v>
      </c>
      <c r="DF300">
        <v>4.9999999999999975E-3</v>
      </c>
      <c r="DG300">
        <v>1.6666666666666681E-3</v>
      </c>
      <c r="DH300">
        <v>1.6666666666666681E-3</v>
      </c>
      <c r="DI300">
        <v>1.6666666666666681E-3</v>
      </c>
      <c r="DJ300">
        <v>1.6666666666666681E-3</v>
      </c>
      <c r="DK300">
        <v>1.6666666666666681E-3</v>
      </c>
      <c r="DL300">
        <v>1.6666666666666681E-3</v>
      </c>
      <c r="DM300">
        <v>1.6666666666666681E-3</v>
      </c>
      <c r="DN300">
        <v>1.6666666666666681E-3</v>
      </c>
      <c r="DO300">
        <v>1.6666666666666681E-3</v>
      </c>
    </row>
    <row r="301" spans="61:119">
      <c r="BI301" t="str">
        <f t="shared" si="60"/>
        <v>433711030623FI</v>
      </c>
      <c r="BJ301" s="426">
        <v>43371</v>
      </c>
      <c r="BK301" t="s">
        <v>1360</v>
      </c>
      <c r="BL301" t="s">
        <v>1369</v>
      </c>
      <c r="BM301" t="s">
        <v>1355</v>
      </c>
      <c r="BN301" s="438">
        <v>2</v>
      </c>
      <c r="BO301" s="438">
        <v>1</v>
      </c>
      <c r="BR301">
        <v>4.6000000000000006E-2</v>
      </c>
      <c r="BS301">
        <v>0.16100000000000003</v>
      </c>
      <c r="BT301">
        <v>0.16100000000000003</v>
      </c>
      <c r="BU301">
        <v>4.5999999999999985E-2</v>
      </c>
      <c r="BV301">
        <v>4.5999999999999985E-2</v>
      </c>
      <c r="BW301">
        <v>4.6000000000000013E-2</v>
      </c>
      <c r="BX301">
        <v>4.6000000000000013E-2</v>
      </c>
      <c r="BY301">
        <v>1.5333333333333334E-2</v>
      </c>
      <c r="BZ301">
        <v>1.5333333333333334E-2</v>
      </c>
      <c r="CA301">
        <v>1.5333333333333334E-2</v>
      </c>
      <c r="CB301">
        <v>1.5333333333333334E-2</v>
      </c>
      <c r="CC301">
        <v>1.5333333333333334E-2</v>
      </c>
      <c r="CD301">
        <v>1.5333333333333334E-2</v>
      </c>
      <c r="CE301">
        <v>1.5333333333333334E-2</v>
      </c>
      <c r="CF301">
        <v>1.5333333333333334E-2</v>
      </c>
      <c r="CG301">
        <v>1.5333333333333334E-2</v>
      </c>
      <c r="CI301">
        <v>4.0000000000000008E-2</v>
      </c>
      <c r="CJ301">
        <v>0.14000000000000001</v>
      </c>
      <c r="CK301">
        <v>0.14000000000000001</v>
      </c>
      <c r="CL301">
        <v>3.999999999999998E-2</v>
      </c>
      <c r="CM301">
        <v>3.999999999999998E-2</v>
      </c>
      <c r="CN301">
        <v>3.999999999999998E-2</v>
      </c>
      <c r="CO301">
        <v>3.999999999999998E-2</v>
      </c>
      <c r="CP301">
        <v>1.3333333333333345E-2</v>
      </c>
      <c r="CQ301">
        <v>1.3333333333333345E-2</v>
      </c>
      <c r="CR301">
        <v>1.3333333333333345E-2</v>
      </c>
      <c r="CS301">
        <v>1.3333333333333345E-2</v>
      </c>
      <c r="CT301">
        <v>1.3333333333333345E-2</v>
      </c>
      <c r="CU301">
        <v>1.3333333333333345E-2</v>
      </c>
      <c r="CV301">
        <v>1.3333333333333345E-2</v>
      </c>
      <c r="CW301">
        <v>1.3333333333333345E-2</v>
      </c>
      <c r="CX301">
        <v>1.3333333333333345E-2</v>
      </c>
      <c r="CZ301">
        <v>0.03</v>
      </c>
      <c r="DA301">
        <v>0.105</v>
      </c>
      <c r="DB301">
        <v>0.105</v>
      </c>
      <c r="DC301">
        <v>0.03</v>
      </c>
      <c r="DD301">
        <v>0.03</v>
      </c>
      <c r="DE301">
        <v>0.03</v>
      </c>
      <c r="DF301">
        <v>0.03</v>
      </c>
      <c r="DG301">
        <v>9.9999999999999967E-3</v>
      </c>
      <c r="DH301">
        <v>9.9999999999999967E-3</v>
      </c>
      <c r="DI301">
        <v>9.9999999999999967E-3</v>
      </c>
      <c r="DJ301">
        <v>9.9999999999999967E-3</v>
      </c>
      <c r="DK301">
        <v>9.9999999999999967E-3</v>
      </c>
      <c r="DL301">
        <v>9.9999999999999967E-3</v>
      </c>
      <c r="DM301">
        <v>9.9999999999999967E-3</v>
      </c>
      <c r="DN301">
        <v>9.9999999999999967E-3</v>
      </c>
      <c r="DO301">
        <v>9.9999999999999967E-3</v>
      </c>
    </row>
    <row r="302" spans="61:119">
      <c r="BI302" t="str">
        <f t="shared" si="60"/>
        <v>433711000790IB</v>
      </c>
      <c r="BJ302" s="426">
        <v>43371</v>
      </c>
      <c r="BK302" t="s">
        <v>1358</v>
      </c>
      <c r="BL302" t="s">
        <v>2793</v>
      </c>
      <c r="BM302" t="s">
        <v>1354</v>
      </c>
      <c r="BN302" s="438">
        <v>1.5670738242114044</v>
      </c>
      <c r="BO302" s="438">
        <v>1</v>
      </c>
      <c r="BR302">
        <v>1.8804885890536853E-2</v>
      </c>
      <c r="BS302">
        <v>6.5817100616878982E-2</v>
      </c>
      <c r="BT302">
        <v>6.5817100616878982E-2</v>
      </c>
      <c r="BU302">
        <v>1.8804885890536846E-2</v>
      </c>
      <c r="BV302">
        <v>1.8804885890536846E-2</v>
      </c>
      <c r="BW302">
        <v>1.8804885890536846E-2</v>
      </c>
      <c r="BX302">
        <v>1.8804885890536846E-2</v>
      </c>
      <c r="BY302">
        <v>6.2682952968456202E-3</v>
      </c>
      <c r="BZ302">
        <v>6.2682952968456202E-3</v>
      </c>
      <c r="CA302">
        <v>6.2682952968456202E-3</v>
      </c>
      <c r="CB302">
        <v>6.2682952968456202E-3</v>
      </c>
      <c r="CC302">
        <v>6.2682952968456202E-3</v>
      </c>
      <c r="CD302">
        <v>6.2682952968456202E-3</v>
      </c>
      <c r="CE302">
        <v>6.2682952968456202E-3</v>
      </c>
      <c r="CF302">
        <v>6.2682952968456202E-3</v>
      </c>
      <c r="CG302">
        <v>6.2682952968456202E-3</v>
      </c>
      <c r="CI302">
        <v>4.7012214726342132E-3</v>
      </c>
      <c r="CJ302">
        <v>1.6454275154219745E-2</v>
      </c>
      <c r="CK302">
        <v>1.6454275154219745E-2</v>
      </c>
      <c r="CL302">
        <v>4.7012214726342115E-3</v>
      </c>
      <c r="CM302">
        <v>4.7012214726342115E-3</v>
      </c>
      <c r="CN302">
        <v>4.7012214726342115E-3</v>
      </c>
      <c r="CO302">
        <v>4.7012214726342115E-3</v>
      </c>
      <c r="CP302">
        <v>1.5670738242114051E-3</v>
      </c>
      <c r="CQ302">
        <v>1.5670738242114051E-3</v>
      </c>
      <c r="CR302">
        <v>1.5670738242114051E-3</v>
      </c>
      <c r="CS302">
        <v>1.5670738242114051E-3</v>
      </c>
      <c r="CT302">
        <v>1.5670738242114051E-3</v>
      </c>
      <c r="CU302">
        <v>1.5670738242114051E-3</v>
      </c>
      <c r="CV302">
        <v>1.5670738242114051E-3</v>
      </c>
      <c r="CW302">
        <v>1.5670738242114051E-3</v>
      </c>
      <c r="CX302">
        <v>1.5670738242114051E-3</v>
      </c>
      <c r="CZ302">
        <v>1.5670738242114048E-2</v>
      </c>
      <c r="DA302">
        <v>5.484758384739917E-2</v>
      </c>
      <c r="DB302">
        <v>5.484758384739917E-2</v>
      </c>
      <c r="DC302">
        <v>1.5670738242114041E-2</v>
      </c>
      <c r="DD302">
        <v>1.5670738242114041E-2</v>
      </c>
      <c r="DE302">
        <v>1.5670738242114041E-2</v>
      </c>
      <c r="DF302">
        <v>1.5670738242114041E-2</v>
      </c>
      <c r="DG302">
        <v>5.2235794140380164E-3</v>
      </c>
      <c r="DH302">
        <v>5.2235794140380164E-3</v>
      </c>
      <c r="DI302">
        <v>5.2235794140380164E-3</v>
      </c>
      <c r="DJ302">
        <v>5.2235794140380164E-3</v>
      </c>
      <c r="DK302">
        <v>5.2235794140380164E-3</v>
      </c>
      <c r="DL302">
        <v>5.2235794140380164E-3</v>
      </c>
      <c r="DM302">
        <v>5.2235794140380164E-3</v>
      </c>
      <c r="DN302">
        <v>5.2235794140380164E-3</v>
      </c>
      <c r="DO302">
        <v>5.2235794140380164E-3</v>
      </c>
    </row>
    <row r="303" spans="61:119">
      <c r="BI303" t="str">
        <f t="shared" si="60"/>
        <v>433711167651FI</v>
      </c>
      <c r="BJ303" s="426">
        <v>43371</v>
      </c>
      <c r="BK303" t="s">
        <v>1687</v>
      </c>
      <c r="BL303" t="s">
        <v>1688</v>
      </c>
      <c r="BM303" t="s">
        <v>1355</v>
      </c>
      <c r="BN303" s="438">
        <v>1.3809138789442135</v>
      </c>
      <c r="BO303" s="438">
        <v>1.8817462054384845E-3</v>
      </c>
      <c r="BR303">
        <v>0.15994434671851687</v>
      </c>
      <c r="BS303">
        <v>0.31997834270311881</v>
      </c>
      <c r="BT303">
        <v>0.31997834270311881</v>
      </c>
      <c r="BU303">
        <v>5.9766177390008224E-5</v>
      </c>
      <c r="BV303">
        <v>5.9766177390008224E-5</v>
      </c>
      <c r="BW303">
        <v>8.000205644795344E-2</v>
      </c>
      <c r="BX303">
        <v>8.000205644795344E-2</v>
      </c>
      <c r="BY303">
        <v>4.3322298977745109E-3</v>
      </c>
      <c r="BZ303">
        <v>4.3322298977745109E-3</v>
      </c>
      <c r="CA303">
        <v>4.3322298977745109E-3</v>
      </c>
      <c r="CB303">
        <v>4.3322298977745109E-3</v>
      </c>
      <c r="CC303">
        <v>4.3322298977745109E-3</v>
      </c>
      <c r="CD303">
        <v>4.3322298977745109E-3</v>
      </c>
      <c r="CE303">
        <v>4.3322298977745109E-3</v>
      </c>
      <c r="CF303">
        <v>4.3322298977745109E-3</v>
      </c>
      <c r="CG303">
        <v>4.3322298977745109E-3</v>
      </c>
      <c r="CI303">
        <v>0.15166665903320684</v>
      </c>
      <c r="CJ303">
        <v>0.30341127394996587</v>
      </c>
      <c r="CK303">
        <v>0.30341127394996587</v>
      </c>
      <c r="CL303">
        <v>5.1970589034833203E-5</v>
      </c>
      <c r="CM303">
        <v>5.1970589034833203E-5</v>
      </c>
      <c r="CN303">
        <v>7.5859314811120793E-2</v>
      </c>
      <c r="CO303">
        <v>7.5859314811120793E-2</v>
      </c>
      <c r="CP303">
        <v>9.8428927662926515E-3</v>
      </c>
      <c r="CQ303">
        <v>9.8428927662926515E-3</v>
      </c>
      <c r="CR303">
        <v>9.8428927662926515E-3</v>
      </c>
      <c r="CS303">
        <v>9.8428927662926515E-3</v>
      </c>
      <c r="CT303">
        <v>9.8428927662926515E-3</v>
      </c>
      <c r="CU303">
        <v>9.8428927662926515E-3</v>
      </c>
      <c r="CV303">
        <v>9.8428927662926515E-3</v>
      </c>
      <c r="CW303">
        <v>9.8428927662926515E-3</v>
      </c>
      <c r="CX303">
        <v>9.8428927662926515E-3</v>
      </c>
      <c r="CZ303">
        <v>6.895474541639976E-2</v>
      </c>
      <c r="DA303">
        <v>0.13796795774546367</v>
      </c>
      <c r="DB303">
        <v>0.13796795774546367</v>
      </c>
      <c r="DC303">
        <v>3.8977941776097147E-5</v>
      </c>
      <c r="DD303">
        <v>3.8977941776097147E-5</v>
      </c>
      <c r="DE303">
        <v>3.4496861679087942E-2</v>
      </c>
      <c r="DF303">
        <v>3.4496861679087942E-2</v>
      </c>
      <c r="DG303">
        <v>1.1498953893029315E-2</v>
      </c>
      <c r="DH303">
        <v>1.1498953893029315E-2</v>
      </c>
      <c r="DI303">
        <v>1.1498953893029315E-2</v>
      </c>
      <c r="DJ303">
        <v>1.1498953893029315E-2</v>
      </c>
      <c r="DK303">
        <v>1.1498953893029315E-2</v>
      </c>
      <c r="DL303">
        <v>1.1498953893029315E-2</v>
      </c>
      <c r="DM303">
        <v>1.1498953893029315E-2</v>
      </c>
      <c r="DN303">
        <v>1.1498953893029315E-2</v>
      </c>
      <c r="DO303">
        <v>1.1498953893029315E-2</v>
      </c>
    </row>
    <row r="304" spans="61:119">
      <c r="BI304" t="str">
        <f t="shared" si="60"/>
        <v>433711141467FI</v>
      </c>
      <c r="BJ304" s="426">
        <v>43371</v>
      </c>
      <c r="BK304" t="s">
        <v>1375</v>
      </c>
      <c r="BL304" t="s">
        <v>1376</v>
      </c>
      <c r="BM304" t="s">
        <v>1355</v>
      </c>
      <c r="BN304" s="438">
        <v>2</v>
      </c>
      <c r="BO304" s="438">
        <v>1</v>
      </c>
      <c r="BR304">
        <v>4.6000000000000006E-2</v>
      </c>
      <c r="BS304">
        <v>0.16100000000000003</v>
      </c>
      <c r="BT304">
        <v>0.16100000000000003</v>
      </c>
      <c r="BU304">
        <v>4.5999999999999985E-2</v>
      </c>
      <c r="BV304">
        <v>4.5999999999999985E-2</v>
      </c>
      <c r="BW304">
        <v>4.6000000000000013E-2</v>
      </c>
      <c r="BX304">
        <v>4.6000000000000013E-2</v>
      </c>
      <c r="BY304">
        <v>1.5333333333333334E-2</v>
      </c>
      <c r="BZ304">
        <v>1.5333333333333334E-2</v>
      </c>
      <c r="CA304">
        <v>1.5333333333333334E-2</v>
      </c>
      <c r="CB304">
        <v>1.5333333333333334E-2</v>
      </c>
      <c r="CC304">
        <v>1.5333333333333334E-2</v>
      </c>
      <c r="CD304">
        <v>1.5333333333333334E-2</v>
      </c>
      <c r="CE304">
        <v>1.5333333333333334E-2</v>
      </c>
      <c r="CF304">
        <v>1.5333333333333334E-2</v>
      </c>
      <c r="CG304">
        <v>1.5333333333333334E-2</v>
      </c>
      <c r="CI304">
        <v>4.0000000000000008E-2</v>
      </c>
      <c r="CJ304">
        <v>0.14000000000000001</v>
      </c>
      <c r="CK304">
        <v>0.14000000000000001</v>
      </c>
      <c r="CL304">
        <v>3.999999999999998E-2</v>
      </c>
      <c r="CM304">
        <v>3.999999999999998E-2</v>
      </c>
      <c r="CN304">
        <v>3.999999999999998E-2</v>
      </c>
      <c r="CO304">
        <v>3.999999999999998E-2</v>
      </c>
      <c r="CP304">
        <v>1.3333333333333345E-2</v>
      </c>
      <c r="CQ304">
        <v>1.3333333333333345E-2</v>
      </c>
      <c r="CR304">
        <v>1.3333333333333345E-2</v>
      </c>
      <c r="CS304">
        <v>1.3333333333333345E-2</v>
      </c>
      <c r="CT304">
        <v>1.3333333333333345E-2</v>
      </c>
      <c r="CU304">
        <v>1.3333333333333345E-2</v>
      </c>
      <c r="CV304">
        <v>1.3333333333333345E-2</v>
      </c>
      <c r="CW304">
        <v>1.3333333333333345E-2</v>
      </c>
      <c r="CX304">
        <v>1.3333333333333345E-2</v>
      </c>
      <c r="CZ304">
        <v>0.03</v>
      </c>
      <c r="DA304">
        <v>0.105</v>
      </c>
      <c r="DB304">
        <v>0.105</v>
      </c>
      <c r="DC304">
        <v>0.03</v>
      </c>
      <c r="DD304">
        <v>0.03</v>
      </c>
      <c r="DE304">
        <v>0.03</v>
      </c>
      <c r="DF304">
        <v>0.03</v>
      </c>
      <c r="DG304">
        <v>9.9999999999999967E-3</v>
      </c>
      <c r="DH304">
        <v>9.9999999999999967E-3</v>
      </c>
      <c r="DI304">
        <v>9.9999999999999967E-3</v>
      </c>
      <c r="DJ304">
        <v>9.9999999999999967E-3</v>
      </c>
      <c r="DK304">
        <v>9.9999999999999967E-3</v>
      </c>
      <c r="DL304">
        <v>9.9999999999999967E-3</v>
      </c>
      <c r="DM304">
        <v>9.9999999999999967E-3</v>
      </c>
      <c r="DN304">
        <v>9.9999999999999967E-3</v>
      </c>
      <c r="DO304">
        <v>9.9999999999999967E-3</v>
      </c>
    </row>
    <row r="305" spans="61:119">
      <c r="BI305" t="str">
        <f t="shared" si="60"/>
        <v>433711000526FI</v>
      </c>
      <c r="BJ305" s="426">
        <v>43371</v>
      </c>
      <c r="BK305" t="s">
        <v>1363</v>
      </c>
      <c r="BL305" t="s">
        <v>1368</v>
      </c>
      <c r="BM305" t="s">
        <v>1355</v>
      </c>
      <c r="BN305" s="438">
        <v>1.0432027768181609</v>
      </c>
      <c r="BO305" s="438">
        <v>1</v>
      </c>
      <c r="BR305">
        <v>2.3993663866817703E-2</v>
      </c>
      <c r="BS305">
        <v>8.3977823533861962E-2</v>
      </c>
      <c r="BT305">
        <v>8.3977823533861962E-2</v>
      </c>
      <c r="BU305">
        <v>2.3993663866817699E-2</v>
      </c>
      <c r="BV305">
        <v>2.3993663866817699E-2</v>
      </c>
      <c r="BW305">
        <v>2.3993663866817685E-2</v>
      </c>
      <c r="BX305">
        <v>2.3993663866817685E-2</v>
      </c>
      <c r="BY305">
        <v>7.9978879556059021E-3</v>
      </c>
      <c r="BZ305">
        <v>7.9978879556059021E-3</v>
      </c>
      <c r="CA305">
        <v>7.9978879556059021E-3</v>
      </c>
      <c r="CB305">
        <v>7.9978879556059021E-3</v>
      </c>
      <c r="CC305">
        <v>7.9978879556059021E-3</v>
      </c>
      <c r="CD305">
        <v>7.9978879556059021E-3</v>
      </c>
      <c r="CE305">
        <v>7.9978879556059021E-3</v>
      </c>
      <c r="CF305">
        <v>7.9978879556059021E-3</v>
      </c>
      <c r="CG305">
        <v>7.9978879556059021E-3</v>
      </c>
      <c r="CI305">
        <v>2.0864055536363221E-2</v>
      </c>
      <c r="CJ305">
        <v>7.302419437727127E-2</v>
      </c>
      <c r="CK305">
        <v>7.302419437727127E-2</v>
      </c>
      <c r="CL305">
        <v>2.086405553636321E-2</v>
      </c>
      <c r="CM305">
        <v>2.086405553636321E-2</v>
      </c>
      <c r="CN305">
        <v>2.0864055536363224E-2</v>
      </c>
      <c r="CO305">
        <v>2.0864055536363224E-2</v>
      </c>
      <c r="CP305">
        <v>6.9546851787877411E-3</v>
      </c>
      <c r="CQ305">
        <v>6.9546851787877411E-3</v>
      </c>
      <c r="CR305">
        <v>6.9546851787877411E-3</v>
      </c>
      <c r="CS305">
        <v>6.9546851787877411E-3</v>
      </c>
      <c r="CT305">
        <v>6.9546851787877411E-3</v>
      </c>
      <c r="CU305">
        <v>6.9546851787877411E-3</v>
      </c>
      <c r="CV305">
        <v>6.9546851787877411E-3</v>
      </c>
      <c r="CW305">
        <v>6.9546851787877411E-3</v>
      </c>
      <c r="CX305">
        <v>6.9546851787877411E-3</v>
      </c>
      <c r="CZ305">
        <v>1.5648041652272415E-2</v>
      </c>
      <c r="DA305">
        <v>5.4768145782953449E-2</v>
      </c>
      <c r="DB305">
        <v>5.4768145782953449E-2</v>
      </c>
      <c r="DC305">
        <v>1.5648041652272404E-2</v>
      </c>
      <c r="DD305">
        <v>1.5648041652272404E-2</v>
      </c>
      <c r="DE305">
        <v>1.5648041652272404E-2</v>
      </c>
      <c r="DF305">
        <v>1.5648041652272404E-2</v>
      </c>
      <c r="DG305">
        <v>5.2160138840908043E-3</v>
      </c>
      <c r="DH305">
        <v>5.2160138840908043E-3</v>
      </c>
      <c r="DI305">
        <v>5.2160138840908043E-3</v>
      </c>
      <c r="DJ305">
        <v>5.2160138840908043E-3</v>
      </c>
      <c r="DK305">
        <v>5.2160138840908043E-3</v>
      </c>
      <c r="DL305">
        <v>5.2160138840908043E-3</v>
      </c>
      <c r="DM305">
        <v>5.2160138840908043E-3</v>
      </c>
      <c r="DN305">
        <v>5.2160138840908043E-3</v>
      </c>
      <c r="DO305">
        <v>5.2160138840908043E-3</v>
      </c>
    </row>
    <row r="306" spans="61:119">
      <c r="BI306" t="str">
        <f t="shared" si="60"/>
        <v>433711151227FI</v>
      </c>
      <c r="BJ306" s="426">
        <v>43371</v>
      </c>
      <c r="BK306" t="s">
        <v>1362</v>
      </c>
      <c r="BL306" t="s">
        <v>1372</v>
      </c>
      <c r="BM306" t="s">
        <v>1355</v>
      </c>
      <c r="BN306" s="438">
        <v>1.3809138789442135</v>
      </c>
      <c r="BO306" s="438">
        <v>1.8817462054384845E-3</v>
      </c>
      <c r="BR306">
        <v>0.15994434671851687</v>
      </c>
      <c r="BS306">
        <v>0.31997834270311881</v>
      </c>
      <c r="BT306">
        <v>0.31997834270311881</v>
      </c>
      <c r="BU306">
        <v>5.9766177390008224E-5</v>
      </c>
      <c r="BV306">
        <v>5.9766177390008224E-5</v>
      </c>
      <c r="BW306">
        <v>8.000205644795344E-2</v>
      </c>
      <c r="BX306">
        <v>8.000205644795344E-2</v>
      </c>
      <c r="BY306">
        <v>4.3322298977745109E-3</v>
      </c>
      <c r="BZ306">
        <v>4.3322298977745109E-3</v>
      </c>
      <c r="CA306">
        <v>4.3322298977745109E-3</v>
      </c>
      <c r="CB306">
        <v>4.3322298977745109E-3</v>
      </c>
      <c r="CC306">
        <v>4.3322298977745109E-3</v>
      </c>
      <c r="CD306">
        <v>4.3322298977745109E-3</v>
      </c>
      <c r="CE306">
        <v>4.3322298977745109E-3</v>
      </c>
      <c r="CF306">
        <v>4.3322298977745109E-3</v>
      </c>
      <c r="CG306">
        <v>4.3322298977745109E-3</v>
      </c>
      <c r="CI306">
        <v>0.15166665903320684</v>
      </c>
      <c r="CJ306">
        <v>0.30341127394996587</v>
      </c>
      <c r="CK306">
        <v>0.30341127394996587</v>
      </c>
      <c r="CL306">
        <v>5.1970589034833203E-5</v>
      </c>
      <c r="CM306">
        <v>5.1970589034833203E-5</v>
      </c>
      <c r="CN306">
        <v>7.5859314811120793E-2</v>
      </c>
      <c r="CO306">
        <v>7.5859314811120793E-2</v>
      </c>
      <c r="CP306">
        <v>9.8428927662926515E-3</v>
      </c>
      <c r="CQ306">
        <v>9.8428927662926515E-3</v>
      </c>
      <c r="CR306">
        <v>9.8428927662926515E-3</v>
      </c>
      <c r="CS306">
        <v>9.8428927662926515E-3</v>
      </c>
      <c r="CT306">
        <v>9.8428927662926515E-3</v>
      </c>
      <c r="CU306">
        <v>9.8428927662926515E-3</v>
      </c>
      <c r="CV306">
        <v>9.8428927662926515E-3</v>
      </c>
      <c r="CW306">
        <v>9.8428927662926515E-3</v>
      </c>
      <c r="CX306">
        <v>9.8428927662926515E-3</v>
      </c>
      <c r="CZ306">
        <v>6.895474541639976E-2</v>
      </c>
      <c r="DA306">
        <v>0.13796795774546367</v>
      </c>
      <c r="DB306">
        <v>0.13796795774546367</v>
      </c>
      <c r="DC306">
        <v>3.8977941776097147E-5</v>
      </c>
      <c r="DD306">
        <v>3.8977941776097147E-5</v>
      </c>
      <c r="DE306">
        <v>3.4496861679087942E-2</v>
      </c>
      <c r="DF306">
        <v>3.4496861679087942E-2</v>
      </c>
      <c r="DG306">
        <v>1.1498953893029315E-2</v>
      </c>
      <c r="DH306">
        <v>1.1498953893029315E-2</v>
      </c>
      <c r="DI306">
        <v>1.1498953893029315E-2</v>
      </c>
      <c r="DJ306">
        <v>1.1498953893029315E-2</v>
      </c>
      <c r="DK306">
        <v>1.1498953893029315E-2</v>
      </c>
      <c r="DL306">
        <v>1.1498953893029315E-2</v>
      </c>
      <c r="DM306">
        <v>1.1498953893029315E-2</v>
      </c>
      <c r="DN306">
        <v>1.1498953893029315E-2</v>
      </c>
      <c r="DO306">
        <v>1.1498953893029315E-2</v>
      </c>
    </row>
    <row r="307" spans="61:119">
      <c r="BI307" t="str">
        <f t="shared" si="60"/>
        <v>433711147542CME</v>
      </c>
      <c r="BJ307" s="426">
        <v>43371</v>
      </c>
      <c r="BK307" t="s">
        <v>1361</v>
      </c>
      <c r="BL307" t="s">
        <v>1370</v>
      </c>
      <c r="BM307" t="s">
        <v>1321</v>
      </c>
      <c r="BN307" s="438">
        <v>1</v>
      </c>
      <c r="BO307" s="438">
        <v>1</v>
      </c>
      <c r="BR307">
        <v>8.0000000000000016E-2</v>
      </c>
      <c r="BS307">
        <v>0.16</v>
      </c>
      <c r="BT307">
        <v>0.16</v>
      </c>
      <c r="BU307">
        <v>0</v>
      </c>
      <c r="BV307">
        <v>0</v>
      </c>
      <c r="BW307">
        <v>3.999999999999998E-2</v>
      </c>
      <c r="BX307">
        <v>3.999999999999998E-2</v>
      </c>
      <c r="BY307">
        <v>1.3333333333333345E-2</v>
      </c>
      <c r="BZ307">
        <v>1.3333333333333345E-2</v>
      </c>
      <c r="CA307">
        <v>1.3333333333333345E-2</v>
      </c>
      <c r="CB307">
        <v>1.3333333333333345E-2</v>
      </c>
      <c r="CC307">
        <v>1.3333333333333345E-2</v>
      </c>
      <c r="CD307">
        <v>1.3333333333333345E-2</v>
      </c>
      <c r="CE307">
        <v>1.3333333333333345E-2</v>
      </c>
      <c r="CF307">
        <v>1.3333333333333345E-2</v>
      </c>
      <c r="CG307">
        <v>1.3333333333333345E-2</v>
      </c>
      <c r="CI307">
        <v>6.9999999999999993E-2</v>
      </c>
      <c r="CJ307">
        <v>0.13999999999999999</v>
      </c>
      <c r="CK307">
        <v>0.13999999999999999</v>
      </c>
      <c r="CL307">
        <v>0</v>
      </c>
      <c r="CM307">
        <v>0</v>
      </c>
      <c r="CN307">
        <v>3.5000000000000003E-2</v>
      </c>
      <c r="CO307">
        <v>3.5000000000000003E-2</v>
      </c>
      <c r="CP307">
        <v>1.1666666666666659E-2</v>
      </c>
      <c r="CQ307">
        <v>1.1666666666666659E-2</v>
      </c>
      <c r="CR307">
        <v>1.1666666666666659E-2</v>
      </c>
      <c r="CS307">
        <v>1.1666666666666659E-2</v>
      </c>
      <c r="CT307">
        <v>1.1666666666666659E-2</v>
      </c>
      <c r="CU307">
        <v>1.1666666666666659E-2</v>
      </c>
      <c r="CV307">
        <v>1.1666666666666659E-2</v>
      </c>
      <c r="CW307">
        <v>1.1666666666666659E-2</v>
      </c>
      <c r="CX307">
        <v>1.1666666666666659E-2</v>
      </c>
      <c r="CZ307">
        <v>4.0000000000000008E-2</v>
      </c>
      <c r="DA307">
        <v>0.08</v>
      </c>
      <c r="DB307">
        <v>0.08</v>
      </c>
      <c r="DC307">
        <v>0</v>
      </c>
      <c r="DD307">
        <v>0</v>
      </c>
      <c r="DE307">
        <v>1.999999999999999E-2</v>
      </c>
      <c r="DF307">
        <v>1.999999999999999E-2</v>
      </c>
      <c r="DG307">
        <v>6.6666666666666723E-3</v>
      </c>
      <c r="DH307">
        <v>6.6666666666666723E-3</v>
      </c>
      <c r="DI307">
        <v>6.6666666666666723E-3</v>
      </c>
      <c r="DJ307">
        <v>6.6666666666666723E-3</v>
      </c>
      <c r="DK307">
        <v>6.6666666666666723E-3</v>
      </c>
      <c r="DL307">
        <v>6.6666666666666723E-3</v>
      </c>
      <c r="DM307">
        <v>6.6666666666666723E-3</v>
      </c>
      <c r="DN307">
        <v>6.6666666666666723E-3</v>
      </c>
      <c r="DO307">
        <v>6.6666666666666723E-3</v>
      </c>
    </row>
    <row r="308" spans="61:119">
      <c r="BI308" t="str">
        <f t="shared" si="60"/>
        <v>43371FI</v>
      </c>
      <c r="BJ308" s="426">
        <v>43371</v>
      </c>
      <c r="BM308" t="s">
        <v>1355</v>
      </c>
      <c r="BN308" s="438">
        <v>1</v>
      </c>
      <c r="BO308" s="438">
        <v>1</v>
      </c>
      <c r="BR308">
        <v>2.3000000000000003E-2</v>
      </c>
      <c r="BS308">
        <v>8.0500000000000016E-2</v>
      </c>
      <c r="BT308">
        <v>8.0500000000000016E-2</v>
      </c>
      <c r="BU308">
        <v>2.2999999999999993E-2</v>
      </c>
      <c r="BV308">
        <v>2.2999999999999993E-2</v>
      </c>
      <c r="BW308">
        <v>2.3000000000000007E-2</v>
      </c>
      <c r="BX308">
        <v>2.3000000000000007E-2</v>
      </c>
      <c r="BY308">
        <v>7.6666666666666671E-3</v>
      </c>
      <c r="BZ308">
        <v>7.6666666666666671E-3</v>
      </c>
      <c r="CA308">
        <v>7.6666666666666671E-3</v>
      </c>
      <c r="CB308">
        <v>7.6666666666666671E-3</v>
      </c>
      <c r="CC308">
        <v>7.6666666666666671E-3</v>
      </c>
      <c r="CD308">
        <v>7.6666666666666671E-3</v>
      </c>
      <c r="CE308">
        <v>7.6666666666666671E-3</v>
      </c>
      <c r="CF308">
        <v>7.6666666666666671E-3</v>
      </c>
      <c r="CG308">
        <v>7.6666666666666671E-3</v>
      </c>
      <c r="CI308">
        <v>2.0000000000000004E-2</v>
      </c>
      <c r="CJ308">
        <v>7.0000000000000007E-2</v>
      </c>
      <c r="CK308">
        <v>7.0000000000000007E-2</v>
      </c>
      <c r="CL308">
        <v>1.999999999999999E-2</v>
      </c>
      <c r="CM308">
        <v>1.999999999999999E-2</v>
      </c>
      <c r="CN308">
        <v>1.999999999999999E-2</v>
      </c>
      <c r="CO308">
        <v>1.999999999999999E-2</v>
      </c>
      <c r="CP308">
        <v>6.6666666666666723E-3</v>
      </c>
      <c r="CQ308">
        <v>6.6666666666666723E-3</v>
      </c>
      <c r="CR308">
        <v>6.6666666666666723E-3</v>
      </c>
      <c r="CS308">
        <v>6.6666666666666723E-3</v>
      </c>
      <c r="CT308">
        <v>6.6666666666666723E-3</v>
      </c>
      <c r="CU308">
        <v>6.6666666666666723E-3</v>
      </c>
      <c r="CV308">
        <v>6.6666666666666723E-3</v>
      </c>
      <c r="CW308">
        <v>6.6666666666666723E-3</v>
      </c>
      <c r="CX308">
        <v>6.6666666666666723E-3</v>
      </c>
      <c r="CZ308">
        <v>1.4999999999999999E-2</v>
      </c>
      <c r="DA308">
        <v>5.2499999999999998E-2</v>
      </c>
      <c r="DB308">
        <v>5.2499999999999998E-2</v>
      </c>
      <c r="DC308">
        <v>1.4999999999999999E-2</v>
      </c>
      <c r="DD308">
        <v>1.4999999999999999E-2</v>
      </c>
      <c r="DE308">
        <v>1.4999999999999999E-2</v>
      </c>
      <c r="DF308">
        <v>1.4999999999999999E-2</v>
      </c>
      <c r="DG308">
        <v>4.9999999999999984E-3</v>
      </c>
      <c r="DH308">
        <v>4.9999999999999984E-3</v>
      </c>
      <c r="DI308">
        <v>4.9999999999999984E-3</v>
      </c>
      <c r="DJ308">
        <v>4.9999999999999984E-3</v>
      </c>
      <c r="DK308">
        <v>4.9999999999999984E-3</v>
      </c>
      <c r="DL308">
        <v>4.9999999999999984E-3</v>
      </c>
      <c r="DM308">
        <v>4.9999999999999984E-3</v>
      </c>
      <c r="DN308">
        <v>4.9999999999999984E-3</v>
      </c>
      <c r="DO308">
        <v>4.9999999999999984E-3</v>
      </c>
    </row>
    <row r="309" spans="61:119">
      <c r="BI309" t="str">
        <f t="shared" si="60"/>
        <v>43371CORP</v>
      </c>
      <c r="BJ309" s="426">
        <v>43371</v>
      </c>
      <c r="BM309" t="s">
        <v>1356</v>
      </c>
      <c r="BN309" s="438">
        <v>1</v>
      </c>
      <c r="BO309" s="438">
        <v>0.60103687368267711</v>
      </c>
      <c r="BR309">
        <v>1.597926252634646E-2</v>
      </c>
      <c r="BS309">
        <v>6.5544008821135438E-2</v>
      </c>
      <c r="BT309">
        <v>6.5544008821135438E-2</v>
      </c>
      <c r="BU309">
        <v>3.0404147494730707E-2</v>
      </c>
      <c r="BV309">
        <v>3.0404147494730707E-2</v>
      </c>
      <c r="BW309">
        <v>2.0787557515807881E-2</v>
      </c>
      <c r="BX309">
        <v>2.0787557515807881E-2</v>
      </c>
      <c r="BY309">
        <v>6.929185838602624E-3</v>
      </c>
      <c r="BZ309">
        <v>6.929185838602624E-3</v>
      </c>
      <c r="CA309">
        <v>6.929185838602624E-3</v>
      </c>
      <c r="CB309">
        <v>6.929185838602624E-3</v>
      </c>
      <c r="CC309">
        <v>6.929185838602624E-3</v>
      </c>
      <c r="CD309">
        <v>6.929185838602624E-3</v>
      </c>
      <c r="CE309">
        <v>6.929185838602624E-3</v>
      </c>
      <c r="CF309">
        <v>6.929185838602624E-3</v>
      </c>
      <c r="CG309">
        <v>6.929185838602624E-3</v>
      </c>
      <c r="CI309">
        <v>1.378237314739449E-2</v>
      </c>
      <c r="CJ309">
        <v>5.6652822247438193E-2</v>
      </c>
      <c r="CK309">
        <v>5.6652822247438193E-2</v>
      </c>
      <c r="CL309">
        <v>2.6404147494730704E-2</v>
      </c>
      <c r="CM309">
        <v>2.6404147494730704E-2</v>
      </c>
      <c r="CN309">
        <v>1.7989631263173239E-2</v>
      </c>
      <c r="CO309">
        <v>1.7989631263173239E-2</v>
      </c>
      <c r="CP309">
        <v>5.9965437543910765E-3</v>
      </c>
      <c r="CQ309">
        <v>5.9965437543910765E-3</v>
      </c>
      <c r="CR309">
        <v>5.9965437543910765E-3</v>
      </c>
      <c r="CS309">
        <v>5.9965437543910765E-3</v>
      </c>
      <c r="CT309">
        <v>5.9965437543910765E-3</v>
      </c>
      <c r="CU309">
        <v>5.9965437543910765E-3</v>
      </c>
      <c r="CV309">
        <v>5.9965437543910765E-3</v>
      </c>
      <c r="CW309">
        <v>5.9965437543910765E-3</v>
      </c>
      <c r="CX309">
        <v>5.9965437543910765E-3</v>
      </c>
      <c r="CZ309">
        <v>8.9896312631732294E-3</v>
      </c>
      <c r="DA309">
        <v>3.747407815793307E-2</v>
      </c>
      <c r="DB309">
        <v>3.747407815793307E-2</v>
      </c>
      <c r="DC309">
        <v>1.8005184368413384E-2</v>
      </c>
      <c r="DD309">
        <v>1.8005184368413384E-2</v>
      </c>
      <c r="DE309">
        <v>1.1994815631586608E-2</v>
      </c>
      <c r="DF309">
        <v>1.1994815631586608E-2</v>
      </c>
      <c r="DG309">
        <v>3.9982718771955422E-3</v>
      </c>
      <c r="DH309">
        <v>3.9982718771955422E-3</v>
      </c>
      <c r="DI309">
        <v>3.9982718771955422E-3</v>
      </c>
      <c r="DJ309">
        <v>3.9982718771955422E-3</v>
      </c>
      <c r="DK309">
        <v>3.9982718771955422E-3</v>
      </c>
      <c r="DL309">
        <v>3.9982718771955422E-3</v>
      </c>
      <c r="DM309">
        <v>3.9982718771955422E-3</v>
      </c>
      <c r="DN309">
        <v>3.9982718771955422E-3</v>
      </c>
      <c r="DO309">
        <v>3.9982718771955422E-3</v>
      </c>
    </row>
    <row r="310" spans="61:119">
      <c r="BI310" t="str">
        <f t="shared" si="60"/>
        <v>43371ESCROW</v>
      </c>
      <c r="BJ310" s="426">
        <v>43371</v>
      </c>
      <c r="BM310" t="s">
        <v>1339</v>
      </c>
      <c r="BN310" s="438">
        <v>1</v>
      </c>
      <c r="BO310" s="438">
        <v>1</v>
      </c>
      <c r="BR310">
        <v>3.2000000000000001E-2</v>
      </c>
      <c r="BS310">
        <v>2.4E-2</v>
      </c>
      <c r="BT310">
        <v>2.4E-2</v>
      </c>
      <c r="BU310">
        <v>0.04</v>
      </c>
      <c r="BV310">
        <v>0.04</v>
      </c>
      <c r="BW310">
        <v>3.9999999999999994E-2</v>
      </c>
      <c r="BX310">
        <v>3.9999999999999994E-2</v>
      </c>
      <c r="BY310">
        <v>8.8888888888888906E-3</v>
      </c>
      <c r="BZ310">
        <v>8.8888888888888906E-3</v>
      </c>
      <c r="CA310">
        <v>8.8888888888888906E-3</v>
      </c>
      <c r="CB310">
        <v>8.8888888888888906E-3</v>
      </c>
      <c r="CC310">
        <v>8.8888888888888906E-3</v>
      </c>
      <c r="CD310">
        <v>8.8888888888888906E-3</v>
      </c>
      <c r="CE310">
        <v>8.8888888888888906E-3</v>
      </c>
      <c r="CF310">
        <v>8.8888888888888906E-3</v>
      </c>
      <c r="CG310">
        <v>8.8888888888888906E-3</v>
      </c>
      <c r="CI310">
        <v>2.8000000000000004E-2</v>
      </c>
      <c r="CJ310">
        <v>2.1000000000000001E-2</v>
      </c>
      <c r="CK310">
        <v>2.1000000000000001E-2</v>
      </c>
      <c r="CL310">
        <v>3.5000000000000003E-2</v>
      </c>
      <c r="CM310">
        <v>3.5000000000000003E-2</v>
      </c>
      <c r="CN310">
        <v>3.5000000000000003E-2</v>
      </c>
      <c r="CO310">
        <v>3.5000000000000003E-2</v>
      </c>
      <c r="CP310">
        <v>7.7777777777777784E-3</v>
      </c>
      <c r="CQ310">
        <v>7.7777777777777784E-3</v>
      </c>
      <c r="CR310">
        <v>7.7777777777777784E-3</v>
      </c>
      <c r="CS310">
        <v>7.7777777777777784E-3</v>
      </c>
      <c r="CT310">
        <v>7.7777777777777784E-3</v>
      </c>
      <c r="CU310">
        <v>7.7777777777777784E-3</v>
      </c>
      <c r="CV310">
        <v>7.7777777777777784E-3</v>
      </c>
      <c r="CW310">
        <v>7.7777777777777784E-3</v>
      </c>
      <c r="CX310">
        <v>7.7777777777777784E-3</v>
      </c>
      <c r="CZ310">
        <v>2.0000000000000004E-2</v>
      </c>
      <c r="DA310">
        <v>1.4999999999999999E-2</v>
      </c>
      <c r="DB310">
        <v>1.4999999999999999E-2</v>
      </c>
      <c r="DC310">
        <v>2.5000000000000001E-2</v>
      </c>
      <c r="DD310">
        <v>2.5000000000000001E-2</v>
      </c>
      <c r="DE310">
        <v>2.5000000000000008E-2</v>
      </c>
      <c r="DF310">
        <v>2.5000000000000008E-2</v>
      </c>
      <c r="DG310">
        <v>5.555555555555554E-3</v>
      </c>
      <c r="DH310">
        <v>5.555555555555554E-3</v>
      </c>
      <c r="DI310">
        <v>5.555555555555554E-3</v>
      </c>
      <c r="DJ310">
        <v>5.555555555555554E-3</v>
      </c>
      <c r="DK310">
        <v>5.555555555555554E-3</v>
      </c>
      <c r="DL310">
        <v>5.555555555555554E-3</v>
      </c>
      <c r="DM310">
        <v>5.555555555555554E-3</v>
      </c>
      <c r="DN310">
        <v>5.555555555555554E-3</v>
      </c>
      <c r="DO310">
        <v>5.555555555555554E-3</v>
      </c>
    </row>
    <row r="311" spans="61:119">
      <c r="BI311" t="str">
        <f t="shared" si="60"/>
        <v>43371IB</v>
      </c>
      <c r="BJ311" s="426">
        <v>43371</v>
      </c>
      <c r="BM311" t="s">
        <v>1354</v>
      </c>
      <c r="BN311" s="438">
        <v>1</v>
      </c>
      <c r="BO311" s="438">
        <v>1</v>
      </c>
      <c r="BR311">
        <v>1.2E-2</v>
      </c>
      <c r="BS311">
        <v>4.2000000000000003E-2</v>
      </c>
      <c r="BT311">
        <v>4.2000000000000003E-2</v>
      </c>
      <c r="BU311">
        <v>1.1999999999999997E-2</v>
      </c>
      <c r="BV311">
        <v>1.1999999999999997E-2</v>
      </c>
      <c r="BW311">
        <v>1.1999999999999997E-2</v>
      </c>
      <c r="BX311">
        <v>1.1999999999999997E-2</v>
      </c>
      <c r="BY311">
        <v>4.0000000000000001E-3</v>
      </c>
      <c r="BZ311">
        <v>4.0000000000000001E-3</v>
      </c>
      <c r="CA311">
        <v>4.0000000000000001E-3</v>
      </c>
      <c r="CB311">
        <v>4.0000000000000001E-3</v>
      </c>
      <c r="CC311">
        <v>4.0000000000000001E-3</v>
      </c>
      <c r="CD311">
        <v>4.0000000000000001E-3</v>
      </c>
      <c r="CE311">
        <v>4.0000000000000001E-3</v>
      </c>
      <c r="CF311">
        <v>4.0000000000000001E-3</v>
      </c>
      <c r="CG311">
        <v>4.0000000000000001E-3</v>
      </c>
      <c r="CI311">
        <v>3.0000000000000001E-3</v>
      </c>
      <c r="CJ311">
        <v>1.0500000000000001E-2</v>
      </c>
      <c r="CK311">
        <v>1.0500000000000001E-2</v>
      </c>
      <c r="CL311">
        <v>2.9999999999999992E-3</v>
      </c>
      <c r="CM311">
        <v>2.9999999999999992E-3</v>
      </c>
      <c r="CN311">
        <v>2.9999999999999992E-3</v>
      </c>
      <c r="CO311">
        <v>2.9999999999999992E-3</v>
      </c>
      <c r="CP311">
        <v>1E-3</v>
      </c>
      <c r="CQ311">
        <v>1E-3</v>
      </c>
      <c r="CR311">
        <v>1E-3</v>
      </c>
      <c r="CS311">
        <v>1E-3</v>
      </c>
      <c r="CT311">
        <v>1E-3</v>
      </c>
      <c r="CU311">
        <v>1E-3</v>
      </c>
      <c r="CV311">
        <v>1E-3</v>
      </c>
      <c r="CW311">
        <v>1E-3</v>
      </c>
      <c r="CX311">
        <v>1E-3</v>
      </c>
      <c r="CZ311">
        <v>1.0000000000000002E-2</v>
      </c>
      <c r="DA311">
        <v>3.5000000000000003E-2</v>
      </c>
      <c r="DB311">
        <v>3.5000000000000003E-2</v>
      </c>
      <c r="DC311">
        <v>9.999999999999995E-3</v>
      </c>
      <c r="DD311">
        <v>9.999999999999995E-3</v>
      </c>
      <c r="DE311">
        <v>9.999999999999995E-3</v>
      </c>
      <c r="DF311">
        <v>9.999999999999995E-3</v>
      </c>
      <c r="DG311">
        <v>3.3333333333333361E-3</v>
      </c>
      <c r="DH311">
        <v>3.3333333333333361E-3</v>
      </c>
      <c r="DI311">
        <v>3.3333333333333361E-3</v>
      </c>
      <c r="DJ311">
        <v>3.3333333333333361E-3</v>
      </c>
      <c r="DK311">
        <v>3.3333333333333361E-3</v>
      </c>
      <c r="DL311">
        <v>3.3333333333333361E-3</v>
      </c>
      <c r="DM311">
        <v>3.3333333333333361E-3</v>
      </c>
      <c r="DN311">
        <v>3.3333333333333361E-3</v>
      </c>
      <c r="DO311">
        <v>3.3333333333333361E-3</v>
      </c>
    </row>
    <row r="312" spans="61:119">
      <c r="BI312" t="str">
        <f t="shared" si="60"/>
        <v>43371AFF</v>
      </c>
      <c r="BJ312" s="426">
        <v>43371</v>
      </c>
      <c r="BM312" t="s">
        <v>1353</v>
      </c>
      <c r="BN312" s="438">
        <v>1</v>
      </c>
      <c r="BO312" s="438">
        <v>1</v>
      </c>
      <c r="BR312">
        <v>1.4999999999999999E-2</v>
      </c>
      <c r="BS312">
        <v>5.2499999999999998E-2</v>
      </c>
      <c r="BT312">
        <v>5.2499999999999998E-2</v>
      </c>
      <c r="BU312">
        <v>1.4999999999999999E-2</v>
      </c>
      <c r="BV312">
        <v>1.4999999999999999E-2</v>
      </c>
      <c r="BW312">
        <v>1.4999999999999999E-2</v>
      </c>
      <c r="BX312">
        <v>1.4999999999999999E-2</v>
      </c>
      <c r="BY312">
        <v>4.9999999999999984E-3</v>
      </c>
      <c r="BZ312">
        <v>4.9999999999999984E-3</v>
      </c>
      <c r="CA312">
        <v>4.9999999999999984E-3</v>
      </c>
      <c r="CB312">
        <v>4.9999999999999984E-3</v>
      </c>
      <c r="CC312">
        <v>4.9999999999999984E-3</v>
      </c>
      <c r="CD312">
        <v>4.9999999999999984E-3</v>
      </c>
      <c r="CE312">
        <v>4.9999999999999984E-3</v>
      </c>
      <c r="CF312">
        <v>4.9999999999999984E-3</v>
      </c>
      <c r="CG312">
        <v>4.9999999999999984E-3</v>
      </c>
      <c r="CI312">
        <v>1.2E-2</v>
      </c>
      <c r="CJ312">
        <v>4.2000000000000003E-2</v>
      </c>
      <c r="CK312">
        <v>4.2000000000000003E-2</v>
      </c>
      <c r="CL312">
        <v>1.1999999999999997E-2</v>
      </c>
      <c r="CM312">
        <v>1.1999999999999997E-2</v>
      </c>
      <c r="CN312">
        <v>1.1999999999999997E-2</v>
      </c>
      <c r="CO312">
        <v>1.1999999999999997E-2</v>
      </c>
      <c r="CP312">
        <v>4.0000000000000001E-3</v>
      </c>
      <c r="CQ312">
        <v>4.0000000000000001E-3</v>
      </c>
      <c r="CR312">
        <v>4.0000000000000001E-3</v>
      </c>
      <c r="CS312">
        <v>4.0000000000000001E-3</v>
      </c>
      <c r="CT312">
        <v>4.0000000000000001E-3</v>
      </c>
      <c r="CU312">
        <v>4.0000000000000001E-3</v>
      </c>
      <c r="CV312">
        <v>4.0000000000000001E-3</v>
      </c>
      <c r="CW312">
        <v>4.0000000000000001E-3</v>
      </c>
      <c r="CX312">
        <v>4.0000000000000001E-3</v>
      </c>
      <c r="CZ312">
        <v>5.000000000000001E-3</v>
      </c>
      <c r="DA312">
        <v>1.7500000000000002E-2</v>
      </c>
      <c r="DB312">
        <v>1.7500000000000002E-2</v>
      </c>
      <c r="DC312">
        <v>4.9999999999999975E-3</v>
      </c>
      <c r="DD312">
        <v>4.9999999999999975E-3</v>
      </c>
      <c r="DE312">
        <v>4.9999999999999975E-3</v>
      </c>
      <c r="DF312">
        <v>4.9999999999999975E-3</v>
      </c>
      <c r="DG312">
        <v>1.6666666666666681E-3</v>
      </c>
      <c r="DH312">
        <v>1.6666666666666681E-3</v>
      </c>
      <c r="DI312">
        <v>1.6666666666666681E-3</v>
      </c>
      <c r="DJ312">
        <v>1.6666666666666681E-3</v>
      </c>
      <c r="DK312">
        <v>1.6666666666666681E-3</v>
      </c>
      <c r="DL312">
        <v>1.6666666666666681E-3</v>
      </c>
      <c r="DM312">
        <v>1.6666666666666681E-3</v>
      </c>
      <c r="DN312">
        <v>1.6666666666666681E-3</v>
      </c>
      <c r="DO312">
        <v>1.6666666666666681E-3</v>
      </c>
    </row>
    <row r="313" spans="61:119">
      <c r="BI313" t="str">
        <f t="shared" si="60"/>
        <v>434041030623FI</v>
      </c>
      <c r="BJ313" s="426">
        <v>43404</v>
      </c>
      <c r="BK313" t="s">
        <v>1360</v>
      </c>
      <c r="BL313" t="s">
        <v>1369</v>
      </c>
      <c r="BM313" t="s">
        <v>1355</v>
      </c>
      <c r="BN313" s="438">
        <v>2</v>
      </c>
      <c r="BO313" s="438">
        <v>1</v>
      </c>
      <c r="BR313">
        <v>4.6000000000000006E-2</v>
      </c>
      <c r="BS313">
        <v>0.16100000000000003</v>
      </c>
      <c r="BT313">
        <v>0.16100000000000003</v>
      </c>
      <c r="BU313">
        <v>4.5999999999999985E-2</v>
      </c>
      <c r="BV313">
        <v>4.5999999999999985E-2</v>
      </c>
      <c r="BW313">
        <v>4.6000000000000013E-2</v>
      </c>
      <c r="BX313">
        <v>4.6000000000000013E-2</v>
      </c>
      <c r="BY313">
        <v>1.5333333333333334E-2</v>
      </c>
      <c r="BZ313">
        <v>1.5333333333333334E-2</v>
      </c>
      <c r="CA313">
        <v>1.5333333333333334E-2</v>
      </c>
      <c r="CB313">
        <v>1.5333333333333334E-2</v>
      </c>
      <c r="CC313">
        <v>1.5333333333333334E-2</v>
      </c>
      <c r="CD313">
        <v>1.5333333333333334E-2</v>
      </c>
      <c r="CE313">
        <v>1.5333333333333334E-2</v>
      </c>
      <c r="CF313">
        <v>1.5333333333333334E-2</v>
      </c>
      <c r="CG313">
        <v>1.5333333333333334E-2</v>
      </c>
      <c r="CI313">
        <v>4.0000000000000008E-2</v>
      </c>
      <c r="CJ313">
        <v>0.14000000000000001</v>
      </c>
      <c r="CK313">
        <v>0.14000000000000001</v>
      </c>
      <c r="CL313">
        <v>3.999999999999998E-2</v>
      </c>
      <c r="CM313">
        <v>3.999999999999998E-2</v>
      </c>
      <c r="CN313">
        <v>3.999999999999998E-2</v>
      </c>
      <c r="CO313">
        <v>3.999999999999998E-2</v>
      </c>
      <c r="CP313">
        <v>1.3333333333333345E-2</v>
      </c>
      <c r="CQ313">
        <v>1.3333333333333345E-2</v>
      </c>
      <c r="CR313">
        <v>1.3333333333333345E-2</v>
      </c>
      <c r="CS313">
        <v>1.3333333333333345E-2</v>
      </c>
      <c r="CT313">
        <v>1.3333333333333345E-2</v>
      </c>
      <c r="CU313">
        <v>1.3333333333333345E-2</v>
      </c>
      <c r="CV313">
        <v>1.3333333333333345E-2</v>
      </c>
      <c r="CW313">
        <v>1.3333333333333345E-2</v>
      </c>
      <c r="CX313">
        <v>1.3333333333333345E-2</v>
      </c>
      <c r="CZ313">
        <v>0.03</v>
      </c>
      <c r="DA313">
        <v>0.105</v>
      </c>
      <c r="DB313">
        <v>0.105</v>
      </c>
      <c r="DC313">
        <v>0.03</v>
      </c>
      <c r="DD313">
        <v>0.03</v>
      </c>
      <c r="DE313">
        <v>0.03</v>
      </c>
      <c r="DF313">
        <v>0.03</v>
      </c>
      <c r="DG313">
        <v>9.9999999999999967E-3</v>
      </c>
      <c r="DH313">
        <v>9.9999999999999967E-3</v>
      </c>
      <c r="DI313">
        <v>9.9999999999999967E-3</v>
      </c>
      <c r="DJ313">
        <v>9.9999999999999967E-3</v>
      </c>
      <c r="DK313">
        <v>9.9999999999999967E-3</v>
      </c>
      <c r="DL313">
        <v>9.9999999999999967E-3</v>
      </c>
      <c r="DM313">
        <v>9.9999999999999967E-3</v>
      </c>
      <c r="DN313">
        <v>9.9999999999999967E-3</v>
      </c>
      <c r="DO313">
        <v>9.9999999999999967E-3</v>
      </c>
    </row>
    <row r="314" spans="61:119">
      <c r="BI314" t="str">
        <f t="shared" si="60"/>
        <v>434041000526FI</v>
      </c>
      <c r="BJ314" s="426">
        <v>43404</v>
      </c>
      <c r="BK314" t="s">
        <v>1363</v>
      </c>
      <c r="BL314" t="s">
        <v>1368</v>
      </c>
      <c r="BM314" t="s">
        <v>1355</v>
      </c>
      <c r="BN314" s="438">
        <v>1.785560640852391</v>
      </c>
      <c r="BO314" s="438">
        <v>1</v>
      </c>
      <c r="BR314">
        <v>4.1067894739604996E-2</v>
      </c>
      <c r="BS314">
        <v>0.14373763158861749</v>
      </c>
      <c r="BT314">
        <v>0.14373763158861749</v>
      </c>
      <c r="BU314">
        <v>4.1067894739604982E-2</v>
      </c>
      <c r="BV314">
        <v>4.1067894739604982E-2</v>
      </c>
      <c r="BW314">
        <v>4.1067894739604982E-2</v>
      </c>
      <c r="BX314">
        <v>4.1067894739604982E-2</v>
      </c>
      <c r="BY314">
        <v>1.3689298246535E-2</v>
      </c>
      <c r="BZ314">
        <v>1.3689298246535E-2</v>
      </c>
      <c r="CA314">
        <v>1.3689298246535E-2</v>
      </c>
      <c r="CB314">
        <v>1.3689298246535E-2</v>
      </c>
      <c r="CC314">
        <v>1.3689298246535E-2</v>
      </c>
      <c r="CD314">
        <v>1.3689298246535E-2</v>
      </c>
      <c r="CE314">
        <v>1.3689298246535E-2</v>
      </c>
      <c r="CF314">
        <v>1.3689298246535E-2</v>
      </c>
      <c r="CG314">
        <v>1.3689298246535E-2</v>
      </c>
      <c r="CI314">
        <v>3.5711212817047824E-2</v>
      </c>
      <c r="CJ314">
        <v>0.12498924485966739</v>
      </c>
      <c r="CK314">
        <v>0.12498924485966739</v>
      </c>
      <c r="CL314">
        <v>3.571121281704781E-2</v>
      </c>
      <c r="CM314">
        <v>3.571121281704781E-2</v>
      </c>
      <c r="CN314">
        <v>3.571121281704781E-2</v>
      </c>
      <c r="CO314">
        <v>3.571121281704781E-2</v>
      </c>
      <c r="CP314">
        <v>1.1903737605682616E-2</v>
      </c>
      <c r="CQ314">
        <v>1.1903737605682616E-2</v>
      </c>
      <c r="CR314">
        <v>1.1903737605682616E-2</v>
      </c>
      <c r="CS314">
        <v>1.1903737605682616E-2</v>
      </c>
      <c r="CT314">
        <v>1.1903737605682616E-2</v>
      </c>
      <c r="CU314">
        <v>1.1903737605682616E-2</v>
      </c>
      <c r="CV314">
        <v>1.1903737605682616E-2</v>
      </c>
      <c r="CW314">
        <v>1.1903737605682616E-2</v>
      </c>
      <c r="CX314">
        <v>1.1903737605682616E-2</v>
      </c>
      <c r="CZ314">
        <v>2.6783409612785865E-2</v>
      </c>
      <c r="DA314">
        <v>9.374193364475053E-2</v>
      </c>
      <c r="DB314">
        <v>9.374193364475053E-2</v>
      </c>
      <c r="DC314">
        <v>2.6783409612785858E-2</v>
      </c>
      <c r="DD314">
        <v>2.6783409612785858E-2</v>
      </c>
      <c r="DE314">
        <v>2.6783409612785858E-2</v>
      </c>
      <c r="DF314">
        <v>2.6783409612785858E-2</v>
      </c>
      <c r="DG314">
        <v>8.9278032042619526E-3</v>
      </c>
      <c r="DH314">
        <v>8.9278032042619526E-3</v>
      </c>
      <c r="DI314">
        <v>8.9278032042619526E-3</v>
      </c>
      <c r="DJ314">
        <v>8.9278032042619526E-3</v>
      </c>
      <c r="DK314">
        <v>8.9278032042619526E-3</v>
      </c>
      <c r="DL314">
        <v>8.9278032042619526E-3</v>
      </c>
      <c r="DM314">
        <v>8.9278032042619526E-3</v>
      </c>
      <c r="DN314">
        <v>8.9278032042619526E-3</v>
      </c>
      <c r="DO314">
        <v>8.9278032042619526E-3</v>
      </c>
    </row>
    <row r="315" spans="61:119">
      <c r="BI315" t="str">
        <f t="shared" si="60"/>
        <v>434041000790IB</v>
      </c>
      <c r="BJ315" s="426">
        <v>43404</v>
      </c>
      <c r="BK315" t="s">
        <v>1358</v>
      </c>
      <c r="BL315" t="s">
        <v>2793</v>
      </c>
      <c r="BM315" t="s">
        <v>1354</v>
      </c>
      <c r="BN315" s="438">
        <v>1.5539991373652029</v>
      </c>
      <c r="BO315" s="438">
        <v>1</v>
      </c>
      <c r="BR315">
        <v>1.8647989648382435E-2</v>
      </c>
      <c r="BS315">
        <v>6.5267963769338522E-2</v>
      </c>
      <c r="BT315">
        <v>6.5267963769338522E-2</v>
      </c>
      <c r="BU315">
        <v>1.8647989648382435E-2</v>
      </c>
      <c r="BV315">
        <v>1.8647989648382435E-2</v>
      </c>
      <c r="BW315">
        <v>1.8647989648382435E-2</v>
      </c>
      <c r="BX315">
        <v>1.8647989648382435E-2</v>
      </c>
      <c r="BY315">
        <v>6.2159965494608116E-3</v>
      </c>
      <c r="BZ315">
        <v>6.2159965494608116E-3</v>
      </c>
      <c r="CA315">
        <v>6.2159965494608116E-3</v>
      </c>
      <c r="CB315">
        <v>6.2159965494608116E-3</v>
      </c>
      <c r="CC315">
        <v>6.2159965494608116E-3</v>
      </c>
      <c r="CD315">
        <v>6.2159965494608116E-3</v>
      </c>
      <c r="CE315">
        <v>6.2159965494608116E-3</v>
      </c>
      <c r="CF315">
        <v>6.2159965494608116E-3</v>
      </c>
      <c r="CG315">
        <v>6.2159965494608116E-3</v>
      </c>
      <c r="CI315">
        <v>4.6619974120956087E-3</v>
      </c>
      <c r="CJ315">
        <v>1.631699094233463E-2</v>
      </c>
      <c r="CK315">
        <v>1.631699094233463E-2</v>
      </c>
      <c r="CL315">
        <v>4.6619974120956087E-3</v>
      </c>
      <c r="CM315">
        <v>4.6619974120956087E-3</v>
      </c>
      <c r="CN315">
        <v>4.6619974120956087E-3</v>
      </c>
      <c r="CO315">
        <v>4.6619974120956087E-3</v>
      </c>
      <c r="CP315">
        <v>1.5539991373652029E-3</v>
      </c>
      <c r="CQ315">
        <v>1.5539991373652029E-3</v>
      </c>
      <c r="CR315">
        <v>1.5539991373652029E-3</v>
      </c>
      <c r="CS315">
        <v>1.5539991373652029E-3</v>
      </c>
      <c r="CT315">
        <v>1.5539991373652029E-3</v>
      </c>
      <c r="CU315">
        <v>1.5539991373652029E-3</v>
      </c>
      <c r="CV315">
        <v>1.5539991373652029E-3</v>
      </c>
      <c r="CW315">
        <v>1.5539991373652029E-3</v>
      </c>
      <c r="CX315">
        <v>1.5539991373652029E-3</v>
      </c>
      <c r="CZ315">
        <v>1.5539991373652029E-2</v>
      </c>
      <c r="DA315">
        <v>5.4389969807782101E-2</v>
      </c>
      <c r="DB315">
        <v>5.4389969807782101E-2</v>
      </c>
      <c r="DC315">
        <v>1.5539991373652029E-2</v>
      </c>
      <c r="DD315">
        <v>1.5539991373652029E-2</v>
      </c>
      <c r="DE315">
        <v>1.5539991373652029E-2</v>
      </c>
      <c r="DF315">
        <v>1.5539991373652029E-2</v>
      </c>
      <c r="DG315">
        <v>5.1799971245506766E-3</v>
      </c>
      <c r="DH315">
        <v>5.1799971245506766E-3</v>
      </c>
      <c r="DI315">
        <v>5.1799971245506766E-3</v>
      </c>
      <c r="DJ315">
        <v>5.1799971245506766E-3</v>
      </c>
      <c r="DK315">
        <v>5.1799971245506766E-3</v>
      </c>
      <c r="DL315">
        <v>5.1799971245506766E-3</v>
      </c>
      <c r="DM315">
        <v>5.1799971245506766E-3</v>
      </c>
      <c r="DN315">
        <v>5.1799971245506766E-3</v>
      </c>
      <c r="DO315">
        <v>5.1799971245506766E-3</v>
      </c>
    </row>
    <row r="316" spans="61:119">
      <c r="BI316" t="str">
        <f t="shared" si="60"/>
        <v>434041141467FI</v>
      </c>
      <c r="BJ316" s="426">
        <v>43404</v>
      </c>
      <c r="BK316" t="s">
        <v>1375</v>
      </c>
      <c r="BL316" t="s">
        <v>1376</v>
      </c>
      <c r="BM316" t="s">
        <v>1355</v>
      </c>
      <c r="BN316" s="438">
        <v>2</v>
      </c>
      <c r="BO316" s="438">
        <v>1</v>
      </c>
      <c r="BR316">
        <v>4.6000000000000006E-2</v>
      </c>
      <c r="BS316">
        <v>0.16100000000000003</v>
      </c>
      <c r="BT316">
        <v>0.16100000000000003</v>
      </c>
      <c r="BU316">
        <v>4.5999999999999985E-2</v>
      </c>
      <c r="BV316">
        <v>4.5999999999999985E-2</v>
      </c>
      <c r="BW316">
        <v>4.6000000000000013E-2</v>
      </c>
      <c r="BX316">
        <v>4.6000000000000013E-2</v>
      </c>
      <c r="BY316">
        <v>1.5333333333333334E-2</v>
      </c>
      <c r="BZ316">
        <v>1.5333333333333334E-2</v>
      </c>
      <c r="CA316">
        <v>1.5333333333333334E-2</v>
      </c>
      <c r="CB316">
        <v>1.5333333333333334E-2</v>
      </c>
      <c r="CC316">
        <v>1.5333333333333334E-2</v>
      </c>
      <c r="CD316">
        <v>1.5333333333333334E-2</v>
      </c>
      <c r="CE316">
        <v>1.5333333333333334E-2</v>
      </c>
      <c r="CF316">
        <v>1.5333333333333334E-2</v>
      </c>
      <c r="CG316">
        <v>1.5333333333333334E-2</v>
      </c>
      <c r="CI316">
        <v>4.0000000000000008E-2</v>
      </c>
      <c r="CJ316">
        <v>0.14000000000000001</v>
      </c>
      <c r="CK316">
        <v>0.14000000000000001</v>
      </c>
      <c r="CL316">
        <v>3.999999999999998E-2</v>
      </c>
      <c r="CM316">
        <v>3.999999999999998E-2</v>
      </c>
      <c r="CN316">
        <v>3.999999999999998E-2</v>
      </c>
      <c r="CO316">
        <v>3.999999999999998E-2</v>
      </c>
      <c r="CP316">
        <v>1.3333333333333345E-2</v>
      </c>
      <c r="CQ316">
        <v>1.3333333333333345E-2</v>
      </c>
      <c r="CR316">
        <v>1.3333333333333345E-2</v>
      </c>
      <c r="CS316">
        <v>1.3333333333333345E-2</v>
      </c>
      <c r="CT316">
        <v>1.3333333333333345E-2</v>
      </c>
      <c r="CU316">
        <v>1.3333333333333345E-2</v>
      </c>
      <c r="CV316">
        <v>1.3333333333333345E-2</v>
      </c>
      <c r="CW316">
        <v>1.3333333333333345E-2</v>
      </c>
      <c r="CX316">
        <v>1.3333333333333345E-2</v>
      </c>
      <c r="CZ316">
        <v>0.03</v>
      </c>
      <c r="DA316">
        <v>0.105</v>
      </c>
      <c r="DB316">
        <v>0.105</v>
      </c>
      <c r="DC316">
        <v>0.03</v>
      </c>
      <c r="DD316">
        <v>0.03</v>
      </c>
      <c r="DE316">
        <v>0.03</v>
      </c>
      <c r="DF316">
        <v>0.03</v>
      </c>
      <c r="DG316">
        <v>9.9999999999999967E-3</v>
      </c>
      <c r="DH316">
        <v>9.9999999999999967E-3</v>
      </c>
      <c r="DI316">
        <v>9.9999999999999967E-3</v>
      </c>
      <c r="DJ316">
        <v>9.9999999999999967E-3</v>
      </c>
      <c r="DK316">
        <v>9.9999999999999967E-3</v>
      </c>
      <c r="DL316">
        <v>9.9999999999999967E-3</v>
      </c>
      <c r="DM316">
        <v>9.9999999999999967E-3</v>
      </c>
      <c r="DN316">
        <v>9.9999999999999967E-3</v>
      </c>
      <c r="DO316">
        <v>9.9999999999999967E-3</v>
      </c>
    </row>
    <row r="317" spans="61:119">
      <c r="BI317" t="str">
        <f t="shared" si="60"/>
        <v>434041167651FI</v>
      </c>
      <c r="BJ317" s="426">
        <v>43404</v>
      </c>
      <c r="BK317" t="s">
        <v>1687</v>
      </c>
      <c r="BL317" t="s">
        <v>2795</v>
      </c>
      <c r="BM317" t="s">
        <v>1355</v>
      </c>
      <c r="BN317" s="438">
        <v>1.3619982659328875</v>
      </c>
      <c r="BO317" s="438">
        <v>1.9118384682952692E-3</v>
      </c>
      <c r="BR317">
        <v>0.15774963422510871</v>
      </c>
      <c r="BS317">
        <v>0.31558910371362781</v>
      </c>
      <c r="BT317">
        <v>0.31558910371362781</v>
      </c>
      <c r="BU317">
        <v>5.9890175606924778E-5</v>
      </c>
      <c r="BV317">
        <v>5.9890175606924778E-5</v>
      </c>
      <c r="BW317">
        <v>7.8904762200357748E-2</v>
      </c>
      <c r="BX317">
        <v>7.8904762200357748E-2</v>
      </c>
      <c r="BY317">
        <v>5.792151973501667E-3</v>
      </c>
      <c r="BZ317">
        <v>5.792151973501667E-3</v>
      </c>
      <c r="CA317">
        <v>5.792151973501667E-3</v>
      </c>
      <c r="CB317">
        <v>5.792151973501667E-3</v>
      </c>
      <c r="CC317">
        <v>5.792151973501667E-3</v>
      </c>
      <c r="CD317">
        <v>5.792151973501667E-3</v>
      </c>
      <c r="CE317">
        <v>5.792151973501667E-3</v>
      </c>
      <c r="CF317">
        <v>5.792151973501667E-3</v>
      </c>
      <c r="CG317">
        <v>5.792151973501667E-3</v>
      </c>
      <c r="CI317">
        <v>0.14958545639154708</v>
      </c>
      <c r="CJ317">
        <v>0.29924903040345102</v>
      </c>
      <c r="CK317">
        <v>0.29924903040345102</v>
      </c>
      <c r="CL317">
        <v>5.2078413571243765E-5</v>
      </c>
      <c r="CM317">
        <v>5.2078413571243765E-5</v>
      </c>
      <c r="CN317">
        <v>7.4818767402559105E-2</v>
      </c>
      <c r="CO317">
        <v>7.4818767402559105E-2</v>
      </c>
      <c r="CP317">
        <v>1.1227125433840388E-2</v>
      </c>
      <c r="CQ317">
        <v>1.1227125433840388E-2</v>
      </c>
      <c r="CR317">
        <v>1.1227125433840388E-2</v>
      </c>
      <c r="CS317">
        <v>1.1227125433840388E-2</v>
      </c>
      <c r="CT317">
        <v>1.1227125433840388E-2</v>
      </c>
      <c r="CU317">
        <v>1.1227125433840388E-2</v>
      </c>
      <c r="CV317">
        <v>1.1227125433840388E-2</v>
      </c>
      <c r="CW317">
        <v>1.1227125433840388E-2</v>
      </c>
      <c r="CX317">
        <v>1.1227125433840388E-2</v>
      </c>
      <c r="CZ317">
        <v>6.8008776072894711E-2</v>
      </c>
      <c r="DA317">
        <v>0.13607614036105703</v>
      </c>
      <c r="DB317">
        <v>0.13607614036105703</v>
      </c>
      <c r="DC317">
        <v>3.9058810178432823E-5</v>
      </c>
      <c r="DD317">
        <v>3.9058810178432823E-5</v>
      </c>
      <c r="DE317">
        <v>3.40239174415366E-2</v>
      </c>
      <c r="DF317">
        <v>3.40239174415366E-2</v>
      </c>
      <c r="DG317">
        <v>1.1341305813845515E-2</v>
      </c>
      <c r="DH317">
        <v>1.1341305813845515E-2</v>
      </c>
      <c r="DI317">
        <v>1.1341305813845515E-2</v>
      </c>
      <c r="DJ317">
        <v>1.1341305813845515E-2</v>
      </c>
      <c r="DK317">
        <v>1.1341305813845515E-2</v>
      </c>
      <c r="DL317">
        <v>1.1341305813845515E-2</v>
      </c>
      <c r="DM317">
        <v>1.1341305813845515E-2</v>
      </c>
      <c r="DN317">
        <v>1.1341305813845515E-2</v>
      </c>
      <c r="DO317">
        <v>1.1341305813845515E-2</v>
      </c>
    </row>
    <row r="318" spans="61:119">
      <c r="BI318" t="str">
        <f t="shared" si="60"/>
        <v>434041126198FI</v>
      </c>
      <c r="BJ318" s="426">
        <v>43404</v>
      </c>
      <c r="BK318" t="s">
        <v>1359</v>
      </c>
      <c r="BL318" t="s">
        <v>1367</v>
      </c>
      <c r="BM318" t="s">
        <v>1355</v>
      </c>
      <c r="BN318" s="438">
        <v>1.0157671394429544</v>
      </c>
      <c r="BO318" s="438">
        <v>1</v>
      </c>
      <c r="BR318">
        <v>2.3362644207187953E-2</v>
      </c>
      <c r="BS318">
        <v>8.1769254725157836E-2</v>
      </c>
      <c r="BT318">
        <v>8.1769254725157836E-2</v>
      </c>
      <c r="BU318">
        <v>2.3362644207187949E-2</v>
      </c>
      <c r="BV318">
        <v>2.3362644207187949E-2</v>
      </c>
      <c r="BW318">
        <v>2.3362644207187935E-2</v>
      </c>
      <c r="BX318">
        <v>2.3362644207187935E-2</v>
      </c>
      <c r="BY318">
        <v>7.7875480690626532E-3</v>
      </c>
      <c r="BZ318">
        <v>7.7875480690626532E-3</v>
      </c>
      <c r="CA318">
        <v>7.7875480690626532E-3</v>
      </c>
      <c r="CB318">
        <v>7.7875480690626532E-3</v>
      </c>
      <c r="CC318">
        <v>7.7875480690626532E-3</v>
      </c>
      <c r="CD318">
        <v>7.7875480690626532E-3</v>
      </c>
      <c r="CE318">
        <v>7.7875480690626532E-3</v>
      </c>
      <c r="CF318">
        <v>7.7875480690626532E-3</v>
      </c>
      <c r="CG318">
        <v>7.7875480690626532E-3</v>
      </c>
      <c r="CI318">
        <v>2.0315342788859089E-2</v>
      </c>
      <c r="CJ318">
        <v>7.1103699761006806E-2</v>
      </c>
      <c r="CK318">
        <v>7.1103699761006806E-2</v>
      </c>
      <c r="CL318">
        <v>2.0315342788859089E-2</v>
      </c>
      <c r="CM318">
        <v>2.0315342788859089E-2</v>
      </c>
      <c r="CN318">
        <v>2.0315342788859089E-2</v>
      </c>
      <c r="CO318">
        <v>2.0315342788859089E-2</v>
      </c>
      <c r="CP318">
        <v>6.7717809296196953E-3</v>
      </c>
      <c r="CQ318">
        <v>6.7717809296196953E-3</v>
      </c>
      <c r="CR318">
        <v>6.7717809296196953E-3</v>
      </c>
      <c r="CS318">
        <v>6.7717809296196953E-3</v>
      </c>
      <c r="CT318">
        <v>6.7717809296196953E-3</v>
      </c>
      <c r="CU318">
        <v>6.7717809296196953E-3</v>
      </c>
      <c r="CV318">
        <v>6.7717809296196953E-3</v>
      </c>
      <c r="CW318">
        <v>6.7717809296196953E-3</v>
      </c>
      <c r="CX318">
        <v>6.7717809296196953E-3</v>
      </c>
      <c r="CZ318">
        <v>1.5236507091644317E-2</v>
      </c>
      <c r="DA318">
        <v>5.3327774820755111E-2</v>
      </c>
      <c r="DB318">
        <v>5.3327774820755111E-2</v>
      </c>
      <c r="DC318">
        <v>1.5236507091644313E-2</v>
      </c>
      <c r="DD318">
        <v>1.5236507091644313E-2</v>
      </c>
      <c r="DE318">
        <v>1.5236507091644313E-2</v>
      </c>
      <c r="DF318">
        <v>1.5236507091644313E-2</v>
      </c>
      <c r="DG318">
        <v>5.0788356972147741E-3</v>
      </c>
      <c r="DH318">
        <v>5.0788356972147741E-3</v>
      </c>
      <c r="DI318">
        <v>5.0788356972147741E-3</v>
      </c>
      <c r="DJ318">
        <v>5.0788356972147741E-3</v>
      </c>
      <c r="DK318">
        <v>5.0788356972147741E-3</v>
      </c>
      <c r="DL318">
        <v>5.0788356972147741E-3</v>
      </c>
      <c r="DM318">
        <v>5.0788356972147741E-3</v>
      </c>
      <c r="DN318">
        <v>5.0788356972147741E-3</v>
      </c>
      <c r="DO318">
        <v>5.0788356972147741E-3</v>
      </c>
    </row>
    <row r="319" spans="61:119">
      <c r="BI319" t="str">
        <f t="shared" si="60"/>
        <v>434041151227FI</v>
      </c>
      <c r="BJ319" s="426">
        <v>43404</v>
      </c>
      <c r="BK319" t="s">
        <v>1362</v>
      </c>
      <c r="BL319" t="s">
        <v>2796</v>
      </c>
      <c r="BM319" t="s">
        <v>1355</v>
      </c>
      <c r="BN319" s="438">
        <v>1.3619982659328875</v>
      </c>
      <c r="BO319" s="438">
        <v>1.9118384682952692E-3</v>
      </c>
      <c r="BR319">
        <v>0.15774963422510871</v>
      </c>
      <c r="BS319">
        <v>0.31558910371362781</v>
      </c>
      <c r="BT319">
        <v>0.31558910371362781</v>
      </c>
      <c r="BU319">
        <v>5.9890175606924778E-5</v>
      </c>
      <c r="BV319">
        <v>5.9890175606924778E-5</v>
      </c>
      <c r="BW319">
        <v>7.8904762200357748E-2</v>
      </c>
      <c r="BX319">
        <v>7.8904762200357748E-2</v>
      </c>
      <c r="BY319">
        <v>5.792151973501667E-3</v>
      </c>
      <c r="BZ319">
        <v>5.792151973501667E-3</v>
      </c>
      <c r="CA319">
        <v>5.792151973501667E-3</v>
      </c>
      <c r="CB319">
        <v>5.792151973501667E-3</v>
      </c>
      <c r="CC319">
        <v>5.792151973501667E-3</v>
      </c>
      <c r="CD319">
        <v>5.792151973501667E-3</v>
      </c>
      <c r="CE319">
        <v>5.792151973501667E-3</v>
      </c>
      <c r="CF319">
        <v>5.792151973501667E-3</v>
      </c>
      <c r="CG319">
        <v>5.792151973501667E-3</v>
      </c>
      <c r="CI319">
        <v>0.14958545639154708</v>
      </c>
      <c r="CJ319">
        <v>0.29924903040345102</v>
      </c>
      <c r="CK319">
        <v>0.29924903040345102</v>
      </c>
      <c r="CL319">
        <v>5.2078413571243765E-5</v>
      </c>
      <c r="CM319">
        <v>5.2078413571243765E-5</v>
      </c>
      <c r="CN319">
        <v>7.4818767402559105E-2</v>
      </c>
      <c r="CO319">
        <v>7.4818767402559105E-2</v>
      </c>
      <c r="CP319">
        <v>1.1227125433840388E-2</v>
      </c>
      <c r="CQ319">
        <v>1.1227125433840388E-2</v>
      </c>
      <c r="CR319">
        <v>1.1227125433840388E-2</v>
      </c>
      <c r="CS319">
        <v>1.1227125433840388E-2</v>
      </c>
      <c r="CT319">
        <v>1.1227125433840388E-2</v>
      </c>
      <c r="CU319">
        <v>1.1227125433840388E-2</v>
      </c>
      <c r="CV319">
        <v>1.1227125433840388E-2</v>
      </c>
      <c r="CW319">
        <v>1.1227125433840388E-2</v>
      </c>
      <c r="CX319">
        <v>1.1227125433840388E-2</v>
      </c>
      <c r="CZ319">
        <v>6.8008776072894711E-2</v>
      </c>
      <c r="DA319">
        <v>0.13607614036105703</v>
      </c>
      <c r="DB319">
        <v>0.13607614036105703</v>
      </c>
      <c r="DC319">
        <v>3.9058810178432823E-5</v>
      </c>
      <c r="DD319">
        <v>3.9058810178432823E-5</v>
      </c>
      <c r="DE319">
        <v>3.40239174415366E-2</v>
      </c>
      <c r="DF319">
        <v>3.40239174415366E-2</v>
      </c>
      <c r="DG319">
        <v>1.1341305813845515E-2</v>
      </c>
      <c r="DH319">
        <v>1.1341305813845515E-2</v>
      </c>
      <c r="DI319">
        <v>1.1341305813845515E-2</v>
      </c>
      <c r="DJ319">
        <v>1.1341305813845515E-2</v>
      </c>
      <c r="DK319">
        <v>1.1341305813845515E-2</v>
      </c>
      <c r="DL319">
        <v>1.1341305813845515E-2</v>
      </c>
      <c r="DM319">
        <v>1.1341305813845515E-2</v>
      </c>
      <c r="DN319">
        <v>1.1341305813845515E-2</v>
      </c>
      <c r="DO319">
        <v>1.1341305813845515E-2</v>
      </c>
    </row>
    <row r="320" spans="61:119">
      <c r="BI320" t="str">
        <f t="shared" si="60"/>
        <v>434041147542CME</v>
      </c>
      <c r="BJ320" s="426">
        <v>43404</v>
      </c>
      <c r="BK320" t="s">
        <v>1361</v>
      </c>
      <c r="BL320" t="s">
        <v>1370</v>
      </c>
      <c r="BM320" t="s">
        <v>1321</v>
      </c>
      <c r="BN320" s="438">
        <v>1</v>
      </c>
      <c r="BO320" s="438">
        <v>1</v>
      </c>
      <c r="BR320">
        <v>8.0000000000000016E-2</v>
      </c>
      <c r="BS320">
        <v>0.16</v>
      </c>
      <c r="BT320">
        <v>0.16</v>
      </c>
      <c r="BU320">
        <v>0</v>
      </c>
      <c r="BV320">
        <v>0</v>
      </c>
      <c r="BW320">
        <v>3.999999999999998E-2</v>
      </c>
      <c r="BX320">
        <v>3.999999999999998E-2</v>
      </c>
      <c r="BY320">
        <v>1.3333333333333345E-2</v>
      </c>
      <c r="BZ320">
        <v>1.3333333333333345E-2</v>
      </c>
      <c r="CA320">
        <v>1.3333333333333345E-2</v>
      </c>
      <c r="CB320">
        <v>1.3333333333333345E-2</v>
      </c>
      <c r="CC320">
        <v>1.3333333333333345E-2</v>
      </c>
      <c r="CD320">
        <v>1.3333333333333345E-2</v>
      </c>
      <c r="CE320">
        <v>1.3333333333333345E-2</v>
      </c>
      <c r="CF320">
        <v>1.3333333333333345E-2</v>
      </c>
      <c r="CG320">
        <v>1.3333333333333345E-2</v>
      </c>
      <c r="CI320">
        <v>6.9999999999999993E-2</v>
      </c>
      <c r="CJ320">
        <v>0.13999999999999999</v>
      </c>
      <c r="CK320">
        <v>0.13999999999999999</v>
      </c>
      <c r="CL320">
        <v>0</v>
      </c>
      <c r="CM320">
        <v>0</v>
      </c>
      <c r="CN320">
        <v>3.5000000000000003E-2</v>
      </c>
      <c r="CO320">
        <v>3.5000000000000003E-2</v>
      </c>
      <c r="CP320">
        <v>1.1666666666666659E-2</v>
      </c>
      <c r="CQ320">
        <v>1.1666666666666659E-2</v>
      </c>
      <c r="CR320">
        <v>1.1666666666666659E-2</v>
      </c>
      <c r="CS320">
        <v>1.1666666666666659E-2</v>
      </c>
      <c r="CT320">
        <v>1.1666666666666659E-2</v>
      </c>
      <c r="CU320">
        <v>1.1666666666666659E-2</v>
      </c>
      <c r="CV320">
        <v>1.1666666666666659E-2</v>
      </c>
      <c r="CW320">
        <v>1.1666666666666659E-2</v>
      </c>
      <c r="CX320">
        <v>1.1666666666666659E-2</v>
      </c>
      <c r="CZ320">
        <v>4.0000000000000008E-2</v>
      </c>
      <c r="DA320">
        <v>0.08</v>
      </c>
      <c r="DB320">
        <v>0.08</v>
      </c>
      <c r="DC320">
        <v>0</v>
      </c>
      <c r="DD320">
        <v>0</v>
      </c>
      <c r="DE320">
        <v>1.999999999999999E-2</v>
      </c>
      <c r="DF320">
        <v>1.999999999999999E-2</v>
      </c>
      <c r="DG320">
        <v>6.6666666666666723E-3</v>
      </c>
      <c r="DH320">
        <v>6.6666666666666723E-3</v>
      </c>
      <c r="DI320">
        <v>6.6666666666666723E-3</v>
      </c>
      <c r="DJ320">
        <v>6.6666666666666723E-3</v>
      </c>
      <c r="DK320">
        <v>6.6666666666666723E-3</v>
      </c>
      <c r="DL320">
        <v>6.6666666666666723E-3</v>
      </c>
      <c r="DM320">
        <v>6.6666666666666723E-3</v>
      </c>
      <c r="DN320">
        <v>6.6666666666666723E-3</v>
      </c>
      <c r="DO320">
        <v>6.6666666666666723E-3</v>
      </c>
    </row>
    <row r="321" spans="61:119">
      <c r="BI321" t="str">
        <f t="shared" si="60"/>
        <v>43404FI</v>
      </c>
      <c r="BJ321" s="426">
        <v>43404</v>
      </c>
      <c r="BM321" t="s">
        <v>1355</v>
      </c>
      <c r="BN321" s="438">
        <v>1</v>
      </c>
      <c r="BO321" s="438">
        <v>1</v>
      </c>
      <c r="BR321">
        <v>2.3000000000000003E-2</v>
      </c>
      <c r="BS321">
        <v>8.0500000000000016E-2</v>
      </c>
      <c r="BT321">
        <v>8.0500000000000016E-2</v>
      </c>
      <c r="BU321">
        <v>2.2999999999999993E-2</v>
      </c>
      <c r="BV321">
        <v>2.2999999999999993E-2</v>
      </c>
      <c r="BW321">
        <v>2.3000000000000007E-2</v>
      </c>
      <c r="BX321">
        <v>2.3000000000000007E-2</v>
      </c>
      <c r="BY321">
        <v>7.6666666666666671E-3</v>
      </c>
      <c r="BZ321">
        <v>7.6666666666666671E-3</v>
      </c>
      <c r="CA321">
        <v>7.6666666666666671E-3</v>
      </c>
      <c r="CB321">
        <v>7.6666666666666671E-3</v>
      </c>
      <c r="CC321">
        <v>7.6666666666666671E-3</v>
      </c>
      <c r="CD321">
        <v>7.6666666666666671E-3</v>
      </c>
      <c r="CE321">
        <v>7.6666666666666671E-3</v>
      </c>
      <c r="CF321">
        <v>7.6666666666666671E-3</v>
      </c>
      <c r="CG321">
        <v>7.6666666666666671E-3</v>
      </c>
      <c r="CI321">
        <v>2.0000000000000004E-2</v>
      </c>
      <c r="CJ321">
        <v>7.0000000000000007E-2</v>
      </c>
      <c r="CK321">
        <v>7.0000000000000007E-2</v>
      </c>
      <c r="CL321">
        <v>1.999999999999999E-2</v>
      </c>
      <c r="CM321">
        <v>1.999999999999999E-2</v>
      </c>
      <c r="CN321">
        <v>1.999999999999999E-2</v>
      </c>
      <c r="CO321">
        <v>1.999999999999999E-2</v>
      </c>
      <c r="CP321">
        <v>6.6666666666666723E-3</v>
      </c>
      <c r="CQ321">
        <v>6.6666666666666723E-3</v>
      </c>
      <c r="CR321">
        <v>6.6666666666666723E-3</v>
      </c>
      <c r="CS321">
        <v>6.6666666666666723E-3</v>
      </c>
      <c r="CT321">
        <v>6.6666666666666723E-3</v>
      </c>
      <c r="CU321">
        <v>6.6666666666666723E-3</v>
      </c>
      <c r="CV321">
        <v>6.6666666666666723E-3</v>
      </c>
      <c r="CW321">
        <v>6.6666666666666723E-3</v>
      </c>
      <c r="CX321">
        <v>6.6666666666666723E-3</v>
      </c>
      <c r="CZ321">
        <v>1.4999999999999999E-2</v>
      </c>
      <c r="DA321">
        <v>5.2499999999999998E-2</v>
      </c>
      <c r="DB321">
        <v>5.2499999999999998E-2</v>
      </c>
      <c r="DC321">
        <v>1.4999999999999999E-2</v>
      </c>
      <c r="DD321">
        <v>1.4999999999999999E-2</v>
      </c>
      <c r="DE321">
        <v>1.4999999999999999E-2</v>
      </c>
      <c r="DF321">
        <v>1.4999999999999999E-2</v>
      </c>
      <c r="DG321">
        <v>4.9999999999999984E-3</v>
      </c>
      <c r="DH321">
        <v>4.9999999999999984E-3</v>
      </c>
      <c r="DI321">
        <v>4.9999999999999984E-3</v>
      </c>
      <c r="DJ321">
        <v>4.9999999999999984E-3</v>
      </c>
      <c r="DK321">
        <v>4.9999999999999984E-3</v>
      </c>
      <c r="DL321">
        <v>4.9999999999999984E-3</v>
      </c>
      <c r="DM321">
        <v>4.9999999999999984E-3</v>
      </c>
      <c r="DN321">
        <v>4.9999999999999984E-3</v>
      </c>
      <c r="DO321">
        <v>4.9999999999999984E-3</v>
      </c>
    </row>
    <row r="322" spans="61:119">
      <c r="BI322" t="str">
        <f t="shared" si="60"/>
        <v>43404CORP</v>
      </c>
      <c r="BJ322" s="426">
        <v>43404</v>
      </c>
      <c r="BM322" t="s">
        <v>1356</v>
      </c>
      <c r="BN322" s="438">
        <v>1</v>
      </c>
      <c r="BO322" s="438">
        <v>0.70448124944967705</v>
      </c>
      <c r="BR322">
        <v>1.3910375011006459E-2</v>
      </c>
      <c r="BS322">
        <v>5.9958012529717435E-2</v>
      </c>
      <c r="BT322">
        <v>5.9958012529717435E-2</v>
      </c>
      <c r="BU322">
        <v>3.0817924997798715E-2</v>
      </c>
      <c r="BV322">
        <v>3.0817924997798715E-2</v>
      </c>
      <c r="BW322">
        <v>1.9546225006603871E-2</v>
      </c>
      <c r="BX322">
        <v>1.9546225006603871E-2</v>
      </c>
      <c r="BY322">
        <v>6.5154083355346247E-3</v>
      </c>
      <c r="BZ322">
        <v>6.5154083355346247E-3</v>
      </c>
      <c r="CA322">
        <v>6.5154083355346247E-3</v>
      </c>
      <c r="CB322">
        <v>6.5154083355346247E-3</v>
      </c>
      <c r="CC322">
        <v>6.5154083355346247E-3</v>
      </c>
      <c r="CD322">
        <v>6.5154083355346247E-3</v>
      </c>
      <c r="CE322">
        <v>6.5154083355346247E-3</v>
      </c>
      <c r="CF322">
        <v>6.5154083355346247E-3</v>
      </c>
      <c r="CG322">
        <v>6.5154083355346247E-3</v>
      </c>
      <c r="CI322">
        <v>1.202381875935549E-2</v>
      </c>
      <c r="CJ322">
        <v>5.1946103150039696E-2</v>
      </c>
      <c r="CK322">
        <v>5.1946103150039696E-2</v>
      </c>
      <c r="CL322">
        <v>2.6817924997798712E-2</v>
      </c>
      <c r="CM322">
        <v>2.6817924997798712E-2</v>
      </c>
      <c r="CN322">
        <v>1.6955187505503219E-2</v>
      </c>
      <c r="CO322">
        <v>1.6955187505503219E-2</v>
      </c>
      <c r="CP322">
        <v>5.651729168501078E-3</v>
      </c>
      <c r="CQ322">
        <v>5.651729168501078E-3</v>
      </c>
      <c r="CR322">
        <v>5.651729168501078E-3</v>
      </c>
      <c r="CS322">
        <v>5.651729168501078E-3</v>
      </c>
      <c r="CT322">
        <v>5.651729168501078E-3</v>
      </c>
      <c r="CU322">
        <v>5.651729168501078E-3</v>
      </c>
      <c r="CV322">
        <v>5.651729168501078E-3</v>
      </c>
      <c r="CW322">
        <v>5.651729168501078E-3</v>
      </c>
      <c r="CX322">
        <v>5.651729168501078E-3</v>
      </c>
      <c r="CZ322">
        <v>7.9551875055032303E-3</v>
      </c>
      <c r="DA322">
        <v>3.4887968763758076E-2</v>
      </c>
      <c r="DB322">
        <v>3.4887968763758076E-2</v>
      </c>
      <c r="DC322">
        <v>1.852240624724838E-2</v>
      </c>
      <c r="DD322">
        <v>1.852240624724838E-2</v>
      </c>
      <c r="DE322">
        <v>1.1477593752751619E-2</v>
      </c>
      <c r="DF322">
        <v>1.1477593752751619E-2</v>
      </c>
      <c r="DG322">
        <v>3.8258645842505399E-3</v>
      </c>
      <c r="DH322">
        <v>3.8258645842505399E-3</v>
      </c>
      <c r="DI322">
        <v>3.8258645842505399E-3</v>
      </c>
      <c r="DJ322">
        <v>3.8258645842505399E-3</v>
      </c>
      <c r="DK322">
        <v>3.8258645842505399E-3</v>
      </c>
      <c r="DL322">
        <v>3.8258645842505399E-3</v>
      </c>
      <c r="DM322">
        <v>3.8258645842505399E-3</v>
      </c>
      <c r="DN322">
        <v>3.8258645842505399E-3</v>
      </c>
      <c r="DO322">
        <v>3.8258645842505399E-3</v>
      </c>
    </row>
    <row r="323" spans="61:119">
      <c r="BI323" t="str">
        <f t="shared" si="60"/>
        <v>43404ESCROW</v>
      </c>
      <c r="BJ323" s="426">
        <v>43404</v>
      </c>
      <c r="BM323" t="s">
        <v>1339</v>
      </c>
      <c r="BN323" s="438">
        <v>1</v>
      </c>
      <c r="BO323" s="438">
        <v>1</v>
      </c>
      <c r="BR323">
        <v>3.2000000000000001E-2</v>
      </c>
      <c r="BS323">
        <v>2.4E-2</v>
      </c>
      <c r="BT323">
        <v>2.4E-2</v>
      </c>
      <c r="BU323">
        <v>0.04</v>
      </c>
      <c r="BV323">
        <v>0.04</v>
      </c>
      <c r="BW323">
        <v>3.9999999999999994E-2</v>
      </c>
      <c r="BX323">
        <v>3.9999999999999994E-2</v>
      </c>
      <c r="BY323">
        <v>8.8888888888888906E-3</v>
      </c>
      <c r="BZ323">
        <v>8.8888888888888906E-3</v>
      </c>
      <c r="CA323">
        <v>8.8888888888888906E-3</v>
      </c>
      <c r="CB323">
        <v>8.8888888888888906E-3</v>
      </c>
      <c r="CC323">
        <v>8.8888888888888906E-3</v>
      </c>
      <c r="CD323">
        <v>8.8888888888888906E-3</v>
      </c>
      <c r="CE323">
        <v>8.8888888888888906E-3</v>
      </c>
      <c r="CF323">
        <v>8.8888888888888906E-3</v>
      </c>
      <c r="CG323">
        <v>8.8888888888888906E-3</v>
      </c>
      <c r="CI323">
        <v>2.8000000000000004E-2</v>
      </c>
      <c r="CJ323">
        <v>2.1000000000000001E-2</v>
      </c>
      <c r="CK323">
        <v>2.1000000000000001E-2</v>
      </c>
      <c r="CL323">
        <v>3.5000000000000003E-2</v>
      </c>
      <c r="CM323">
        <v>3.5000000000000003E-2</v>
      </c>
      <c r="CN323">
        <v>3.5000000000000003E-2</v>
      </c>
      <c r="CO323">
        <v>3.5000000000000003E-2</v>
      </c>
      <c r="CP323">
        <v>7.7777777777777784E-3</v>
      </c>
      <c r="CQ323">
        <v>7.7777777777777784E-3</v>
      </c>
      <c r="CR323">
        <v>7.7777777777777784E-3</v>
      </c>
      <c r="CS323">
        <v>7.7777777777777784E-3</v>
      </c>
      <c r="CT323">
        <v>7.7777777777777784E-3</v>
      </c>
      <c r="CU323">
        <v>7.7777777777777784E-3</v>
      </c>
      <c r="CV323">
        <v>7.7777777777777784E-3</v>
      </c>
      <c r="CW323">
        <v>7.7777777777777784E-3</v>
      </c>
      <c r="CX323">
        <v>7.7777777777777784E-3</v>
      </c>
      <c r="CZ323">
        <v>2.0000000000000004E-2</v>
      </c>
      <c r="DA323">
        <v>1.4999999999999999E-2</v>
      </c>
      <c r="DB323">
        <v>1.4999999999999999E-2</v>
      </c>
      <c r="DC323">
        <v>2.5000000000000001E-2</v>
      </c>
      <c r="DD323">
        <v>2.5000000000000001E-2</v>
      </c>
      <c r="DE323">
        <v>2.5000000000000008E-2</v>
      </c>
      <c r="DF323">
        <v>2.5000000000000008E-2</v>
      </c>
      <c r="DG323">
        <v>5.555555555555554E-3</v>
      </c>
      <c r="DH323">
        <v>5.555555555555554E-3</v>
      </c>
      <c r="DI323">
        <v>5.555555555555554E-3</v>
      </c>
      <c r="DJ323">
        <v>5.555555555555554E-3</v>
      </c>
      <c r="DK323">
        <v>5.555555555555554E-3</v>
      </c>
      <c r="DL323">
        <v>5.555555555555554E-3</v>
      </c>
      <c r="DM323">
        <v>5.555555555555554E-3</v>
      </c>
      <c r="DN323">
        <v>5.555555555555554E-3</v>
      </c>
      <c r="DO323">
        <v>5.555555555555554E-3</v>
      </c>
    </row>
    <row r="324" spans="61:119">
      <c r="BI324" t="str">
        <f t="shared" si="60"/>
        <v>43404IB</v>
      </c>
      <c r="BJ324" s="426">
        <v>43404</v>
      </c>
      <c r="BM324" t="s">
        <v>1354</v>
      </c>
      <c r="BN324" s="438">
        <v>1</v>
      </c>
      <c r="BO324" s="438">
        <v>1</v>
      </c>
      <c r="BR324">
        <v>1.2E-2</v>
      </c>
      <c r="BS324">
        <v>4.2000000000000003E-2</v>
      </c>
      <c r="BT324">
        <v>4.2000000000000003E-2</v>
      </c>
      <c r="BU324">
        <v>1.1999999999999997E-2</v>
      </c>
      <c r="BV324">
        <v>1.1999999999999997E-2</v>
      </c>
      <c r="BW324">
        <v>1.1999999999999997E-2</v>
      </c>
      <c r="BX324">
        <v>1.1999999999999997E-2</v>
      </c>
      <c r="BY324">
        <v>4.0000000000000001E-3</v>
      </c>
      <c r="BZ324">
        <v>4.0000000000000001E-3</v>
      </c>
      <c r="CA324">
        <v>4.0000000000000001E-3</v>
      </c>
      <c r="CB324">
        <v>4.0000000000000001E-3</v>
      </c>
      <c r="CC324">
        <v>4.0000000000000001E-3</v>
      </c>
      <c r="CD324">
        <v>4.0000000000000001E-3</v>
      </c>
      <c r="CE324">
        <v>4.0000000000000001E-3</v>
      </c>
      <c r="CF324">
        <v>4.0000000000000001E-3</v>
      </c>
      <c r="CG324">
        <v>4.0000000000000001E-3</v>
      </c>
      <c r="CI324">
        <v>3.0000000000000001E-3</v>
      </c>
      <c r="CJ324">
        <v>1.0500000000000001E-2</v>
      </c>
      <c r="CK324">
        <v>1.0500000000000001E-2</v>
      </c>
      <c r="CL324">
        <v>2.9999999999999992E-3</v>
      </c>
      <c r="CM324">
        <v>2.9999999999999992E-3</v>
      </c>
      <c r="CN324">
        <v>2.9999999999999992E-3</v>
      </c>
      <c r="CO324">
        <v>2.9999999999999992E-3</v>
      </c>
      <c r="CP324">
        <v>1E-3</v>
      </c>
      <c r="CQ324">
        <v>1E-3</v>
      </c>
      <c r="CR324">
        <v>1E-3</v>
      </c>
      <c r="CS324">
        <v>1E-3</v>
      </c>
      <c r="CT324">
        <v>1E-3</v>
      </c>
      <c r="CU324">
        <v>1E-3</v>
      </c>
      <c r="CV324">
        <v>1E-3</v>
      </c>
      <c r="CW324">
        <v>1E-3</v>
      </c>
      <c r="CX324">
        <v>1E-3</v>
      </c>
      <c r="CZ324">
        <v>1.0000000000000002E-2</v>
      </c>
      <c r="DA324">
        <v>3.5000000000000003E-2</v>
      </c>
      <c r="DB324">
        <v>3.5000000000000003E-2</v>
      </c>
      <c r="DC324">
        <v>9.999999999999995E-3</v>
      </c>
      <c r="DD324">
        <v>9.999999999999995E-3</v>
      </c>
      <c r="DE324">
        <v>9.999999999999995E-3</v>
      </c>
      <c r="DF324">
        <v>9.999999999999995E-3</v>
      </c>
      <c r="DG324">
        <v>3.3333333333333361E-3</v>
      </c>
      <c r="DH324">
        <v>3.3333333333333361E-3</v>
      </c>
      <c r="DI324">
        <v>3.3333333333333361E-3</v>
      </c>
      <c r="DJ324">
        <v>3.3333333333333361E-3</v>
      </c>
      <c r="DK324">
        <v>3.3333333333333361E-3</v>
      </c>
      <c r="DL324">
        <v>3.3333333333333361E-3</v>
      </c>
      <c r="DM324">
        <v>3.3333333333333361E-3</v>
      </c>
      <c r="DN324">
        <v>3.3333333333333361E-3</v>
      </c>
      <c r="DO324">
        <v>3.3333333333333361E-3</v>
      </c>
    </row>
    <row r="325" spans="61:119">
      <c r="BI325" t="str">
        <f t="shared" si="60"/>
        <v>43404AFF</v>
      </c>
      <c r="BJ325" s="426">
        <v>43404</v>
      </c>
      <c r="BM325" t="s">
        <v>1353</v>
      </c>
      <c r="BN325" s="438">
        <v>1</v>
      </c>
      <c r="BO325" s="438">
        <v>1</v>
      </c>
      <c r="BR325">
        <v>1.4999999999999999E-2</v>
      </c>
      <c r="BS325">
        <v>5.2499999999999998E-2</v>
      </c>
      <c r="BT325">
        <v>5.2499999999999998E-2</v>
      </c>
      <c r="BU325">
        <v>1.4999999999999999E-2</v>
      </c>
      <c r="BV325">
        <v>1.4999999999999999E-2</v>
      </c>
      <c r="BW325">
        <v>1.4999999999999999E-2</v>
      </c>
      <c r="BX325">
        <v>1.4999999999999999E-2</v>
      </c>
      <c r="BY325">
        <v>4.9999999999999984E-3</v>
      </c>
      <c r="BZ325">
        <v>4.9999999999999984E-3</v>
      </c>
      <c r="CA325">
        <v>4.9999999999999984E-3</v>
      </c>
      <c r="CB325">
        <v>4.9999999999999984E-3</v>
      </c>
      <c r="CC325">
        <v>4.9999999999999984E-3</v>
      </c>
      <c r="CD325">
        <v>4.9999999999999984E-3</v>
      </c>
      <c r="CE325">
        <v>4.9999999999999984E-3</v>
      </c>
      <c r="CF325">
        <v>4.9999999999999984E-3</v>
      </c>
      <c r="CG325">
        <v>4.9999999999999984E-3</v>
      </c>
      <c r="CI325">
        <v>1.2E-2</v>
      </c>
      <c r="CJ325">
        <v>4.2000000000000003E-2</v>
      </c>
      <c r="CK325">
        <v>4.2000000000000003E-2</v>
      </c>
      <c r="CL325">
        <v>1.1999999999999997E-2</v>
      </c>
      <c r="CM325">
        <v>1.1999999999999997E-2</v>
      </c>
      <c r="CN325">
        <v>1.1999999999999997E-2</v>
      </c>
      <c r="CO325">
        <v>1.1999999999999997E-2</v>
      </c>
      <c r="CP325">
        <v>4.0000000000000001E-3</v>
      </c>
      <c r="CQ325">
        <v>4.0000000000000001E-3</v>
      </c>
      <c r="CR325">
        <v>4.0000000000000001E-3</v>
      </c>
      <c r="CS325">
        <v>4.0000000000000001E-3</v>
      </c>
      <c r="CT325">
        <v>4.0000000000000001E-3</v>
      </c>
      <c r="CU325">
        <v>4.0000000000000001E-3</v>
      </c>
      <c r="CV325">
        <v>4.0000000000000001E-3</v>
      </c>
      <c r="CW325">
        <v>4.0000000000000001E-3</v>
      </c>
      <c r="CX325">
        <v>4.0000000000000001E-3</v>
      </c>
      <c r="CZ325">
        <v>5.000000000000001E-3</v>
      </c>
      <c r="DA325">
        <v>1.7500000000000002E-2</v>
      </c>
      <c r="DB325">
        <v>1.7500000000000002E-2</v>
      </c>
      <c r="DC325">
        <v>4.9999999999999975E-3</v>
      </c>
      <c r="DD325">
        <v>4.9999999999999975E-3</v>
      </c>
      <c r="DE325">
        <v>4.9999999999999975E-3</v>
      </c>
      <c r="DF325">
        <v>4.9999999999999975E-3</v>
      </c>
      <c r="DG325">
        <v>1.6666666666666681E-3</v>
      </c>
      <c r="DH325">
        <v>1.6666666666666681E-3</v>
      </c>
      <c r="DI325">
        <v>1.6666666666666681E-3</v>
      </c>
      <c r="DJ325">
        <v>1.6666666666666681E-3</v>
      </c>
      <c r="DK325">
        <v>1.6666666666666681E-3</v>
      </c>
      <c r="DL325">
        <v>1.6666666666666681E-3</v>
      </c>
      <c r="DM325">
        <v>1.6666666666666681E-3</v>
      </c>
      <c r="DN325">
        <v>1.6666666666666681E-3</v>
      </c>
      <c r="DO325">
        <v>1.6666666666666681E-3</v>
      </c>
    </row>
    <row r="326" spans="61:119">
      <c r="BI326" t="str">
        <f t="shared" si="60"/>
        <v>434341000526FI</v>
      </c>
      <c r="BJ326" s="426">
        <v>43434</v>
      </c>
      <c r="BK326" t="s">
        <v>1363</v>
      </c>
      <c r="BL326" t="s">
        <v>1368</v>
      </c>
      <c r="BM326" t="s">
        <v>1355</v>
      </c>
      <c r="BN326" s="438">
        <v>2</v>
      </c>
      <c r="BO326" s="438">
        <v>1</v>
      </c>
      <c r="BR326">
        <v>4.6000000000000006E-2</v>
      </c>
      <c r="BS326">
        <v>0.16100000000000003</v>
      </c>
      <c r="BT326">
        <v>0.16100000000000003</v>
      </c>
      <c r="BU326">
        <v>4.5999999999999985E-2</v>
      </c>
      <c r="BV326">
        <v>4.5999999999999985E-2</v>
      </c>
      <c r="BW326">
        <v>4.6000000000000013E-2</v>
      </c>
      <c r="BX326">
        <v>4.6000000000000013E-2</v>
      </c>
      <c r="BY326">
        <v>1.5333333333333334E-2</v>
      </c>
      <c r="BZ326">
        <v>1.5333333333333334E-2</v>
      </c>
      <c r="CA326">
        <v>1.5333333333333334E-2</v>
      </c>
      <c r="CB326">
        <v>1.5333333333333334E-2</v>
      </c>
      <c r="CC326">
        <v>1.5333333333333334E-2</v>
      </c>
      <c r="CD326">
        <v>1.5333333333333334E-2</v>
      </c>
      <c r="CE326">
        <v>1.5333333333333334E-2</v>
      </c>
      <c r="CF326">
        <v>1.5333333333333334E-2</v>
      </c>
      <c r="CG326">
        <v>1.5333333333333334E-2</v>
      </c>
      <c r="CI326">
        <v>4.0000000000000008E-2</v>
      </c>
      <c r="CJ326">
        <v>0.14000000000000001</v>
      </c>
      <c r="CK326">
        <v>0.14000000000000001</v>
      </c>
      <c r="CL326">
        <v>3.999999999999998E-2</v>
      </c>
      <c r="CM326">
        <v>3.999999999999998E-2</v>
      </c>
      <c r="CN326">
        <v>3.999999999999998E-2</v>
      </c>
      <c r="CO326">
        <v>3.999999999999998E-2</v>
      </c>
      <c r="CP326">
        <v>1.3333333333333345E-2</v>
      </c>
      <c r="CQ326">
        <v>1.3333333333333345E-2</v>
      </c>
      <c r="CR326">
        <v>1.3333333333333345E-2</v>
      </c>
      <c r="CS326">
        <v>1.3333333333333345E-2</v>
      </c>
      <c r="CT326">
        <v>1.3333333333333345E-2</v>
      </c>
      <c r="CU326">
        <v>1.3333333333333345E-2</v>
      </c>
      <c r="CV326">
        <v>1.3333333333333345E-2</v>
      </c>
      <c r="CW326">
        <v>1.3333333333333345E-2</v>
      </c>
      <c r="CX326">
        <v>1.3333333333333345E-2</v>
      </c>
      <c r="CZ326">
        <v>0.03</v>
      </c>
      <c r="DA326">
        <v>0.105</v>
      </c>
      <c r="DB326">
        <v>0.105</v>
      </c>
      <c r="DC326">
        <v>0.03</v>
      </c>
      <c r="DD326">
        <v>0.03</v>
      </c>
      <c r="DE326">
        <v>0.03</v>
      </c>
      <c r="DF326">
        <v>0.03</v>
      </c>
      <c r="DG326">
        <v>9.9999999999999967E-3</v>
      </c>
      <c r="DH326">
        <v>9.9999999999999967E-3</v>
      </c>
      <c r="DI326">
        <v>9.9999999999999967E-3</v>
      </c>
      <c r="DJ326">
        <v>9.9999999999999967E-3</v>
      </c>
      <c r="DK326">
        <v>9.9999999999999967E-3</v>
      </c>
      <c r="DL326">
        <v>9.9999999999999967E-3</v>
      </c>
      <c r="DM326">
        <v>9.9999999999999967E-3</v>
      </c>
      <c r="DN326">
        <v>9.9999999999999967E-3</v>
      </c>
      <c r="DO326">
        <v>9.9999999999999967E-3</v>
      </c>
    </row>
    <row r="327" spans="61:119">
      <c r="BI327" t="str">
        <f t="shared" si="60"/>
        <v>434341030623FI</v>
      </c>
      <c r="BJ327" s="426">
        <v>43434</v>
      </c>
      <c r="BK327" t="s">
        <v>1360</v>
      </c>
      <c r="BL327" t="s">
        <v>1369</v>
      </c>
      <c r="BM327" t="s">
        <v>1355</v>
      </c>
      <c r="BN327" s="438">
        <v>2</v>
      </c>
      <c r="BO327" s="438">
        <v>1</v>
      </c>
      <c r="BR327">
        <v>4.6000000000000006E-2</v>
      </c>
      <c r="BS327">
        <v>0.16100000000000003</v>
      </c>
      <c r="BT327">
        <v>0.16100000000000003</v>
      </c>
      <c r="BU327">
        <v>4.5999999999999985E-2</v>
      </c>
      <c r="BV327">
        <v>4.5999999999999985E-2</v>
      </c>
      <c r="BW327">
        <v>4.6000000000000013E-2</v>
      </c>
      <c r="BX327">
        <v>4.6000000000000013E-2</v>
      </c>
      <c r="BY327">
        <v>1.5333333333333334E-2</v>
      </c>
      <c r="BZ327">
        <v>1.5333333333333334E-2</v>
      </c>
      <c r="CA327">
        <v>1.5333333333333334E-2</v>
      </c>
      <c r="CB327">
        <v>1.5333333333333334E-2</v>
      </c>
      <c r="CC327">
        <v>1.5333333333333334E-2</v>
      </c>
      <c r="CD327">
        <v>1.5333333333333334E-2</v>
      </c>
      <c r="CE327">
        <v>1.5333333333333334E-2</v>
      </c>
      <c r="CF327">
        <v>1.5333333333333334E-2</v>
      </c>
      <c r="CG327">
        <v>1.5333333333333334E-2</v>
      </c>
      <c r="CI327">
        <v>4.0000000000000008E-2</v>
      </c>
      <c r="CJ327">
        <v>0.14000000000000001</v>
      </c>
      <c r="CK327">
        <v>0.14000000000000001</v>
      </c>
      <c r="CL327">
        <v>3.999999999999998E-2</v>
      </c>
      <c r="CM327">
        <v>3.999999999999998E-2</v>
      </c>
      <c r="CN327">
        <v>3.999999999999998E-2</v>
      </c>
      <c r="CO327">
        <v>3.999999999999998E-2</v>
      </c>
      <c r="CP327">
        <v>1.3333333333333345E-2</v>
      </c>
      <c r="CQ327">
        <v>1.3333333333333345E-2</v>
      </c>
      <c r="CR327">
        <v>1.3333333333333345E-2</v>
      </c>
      <c r="CS327">
        <v>1.3333333333333345E-2</v>
      </c>
      <c r="CT327">
        <v>1.3333333333333345E-2</v>
      </c>
      <c r="CU327">
        <v>1.3333333333333345E-2</v>
      </c>
      <c r="CV327">
        <v>1.3333333333333345E-2</v>
      </c>
      <c r="CW327">
        <v>1.3333333333333345E-2</v>
      </c>
      <c r="CX327">
        <v>1.3333333333333345E-2</v>
      </c>
      <c r="CZ327">
        <v>0.03</v>
      </c>
      <c r="DA327">
        <v>0.105</v>
      </c>
      <c r="DB327">
        <v>0.105</v>
      </c>
      <c r="DC327">
        <v>0.03</v>
      </c>
      <c r="DD327">
        <v>0.03</v>
      </c>
      <c r="DE327">
        <v>0.03</v>
      </c>
      <c r="DF327">
        <v>0.03</v>
      </c>
      <c r="DG327">
        <v>9.9999999999999967E-3</v>
      </c>
      <c r="DH327">
        <v>9.9999999999999967E-3</v>
      </c>
      <c r="DI327">
        <v>9.9999999999999967E-3</v>
      </c>
      <c r="DJ327">
        <v>9.9999999999999967E-3</v>
      </c>
      <c r="DK327">
        <v>9.9999999999999967E-3</v>
      </c>
      <c r="DL327">
        <v>9.9999999999999967E-3</v>
      </c>
      <c r="DM327">
        <v>9.9999999999999967E-3</v>
      </c>
      <c r="DN327">
        <v>9.9999999999999967E-3</v>
      </c>
      <c r="DO327">
        <v>9.9999999999999967E-3</v>
      </c>
    </row>
    <row r="328" spans="61:119">
      <c r="BI328" t="str">
        <f t="shared" si="60"/>
        <v>434341000790IB</v>
      </c>
      <c r="BJ328" s="426">
        <v>43434</v>
      </c>
      <c r="BK328" t="s">
        <v>1358</v>
      </c>
      <c r="BL328" t="s">
        <v>2793</v>
      </c>
      <c r="BM328" t="s">
        <v>1354</v>
      </c>
      <c r="BN328" s="438">
        <v>1.6306161184578012</v>
      </c>
      <c r="BO328" s="438">
        <v>1</v>
      </c>
      <c r="BR328">
        <v>1.9567393421493617E-2</v>
      </c>
      <c r="BS328">
        <v>6.8485876975227664E-2</v>
      </c>
      <c r="BT328">
        <v>6.8485876975227664E-2</v>
      </c>
      <c r="BU328">
        <v>1.9567393421493606E-2</v>
      </c>
      <c r="BV328">
        <v>1.9567393421493606E-2</v>
      </c>
      <c r="BW328">
        <v>1.9567393421493606E-2</v>
      </c>
      <c r="BX328">
        <v>1.9567393421493606E-2</v>
      </c>
      <c r="BY328">
        <v>6.5224644738312056E-3</v>
      </c>
      <c r="BZ328">
        <v>6.5224644738312056E-3</v>
      </c>
      <c r="CA328">
        <v>6.5224644738312056E-3</v>
      </c>
      <c r="CB328">
        <v>6.5224644738312056E-3</v>
      </c>
      <c r="CC328">
        <v>6.5224644738312056E-3</v>
      </c>
      <c r="CD328">
        <v>6.5224644738312056E-3</v>
      </c>
      <c r="CE328">
        <v>6.5224644738312056E-3</v>
      </c>
      <c r="CF328">
        <v>6.5224644738312056E-3</v>
      </c>
      <c r="CG328">
        <v>6.5224644738312056E-3</v>
      </c>
      <c r="CI328">
        <v>4.8918483553734042E-3</v>
      </c>
      <c r="CJ328">
        <v>1.7121469243806916E-2</v>
      </c>
      <c r="CK328">
        <v>1.7121469243806916E-2</v>
      </c>
      <c r="CL328">
        <v>4.8918483553734016E-3</v>
      </c>
      <c r="CM328">
        <v>4.8918483553734016E-3</v>
      </c>
      <c r="CN328">
        <v>4.8918483553734016E-3</v>
      </c>
      <c r="CO328">
        <v>4.8918483553734016E-3</v>
      </c>
      <c r="CP328">
        <v>1.6306161184578014E-3</v>
      </c>
      <c r="CQ328">
        <v>1.6306161184578014E-3</v>
      </c>
      <c r="CR328">
        <v>1.6306161184578014E-3</v>
      </c>
      <c r="CS328">
        <v>1.6306161184578014E-3</v>
      </c>
      <c r="CT328">
        <v>1.6306161184578014E-3</v>
      </c>
      <c r="CU328">
        <v>1.6306161184578014E-3</v>
      </c>
      <c r="CV328">
        <v>1.6306161184578014E-3</v>
      </c>
      <c r="CW328">
        <v>1.6306161184578014E-3</v>
      </c>
      <c r="CX328">
        <v>1.6306161184578014E-3</v>
      </c>
      <c r="CZ328">
        <v>1.6306161184578016E-2</v>
      </c>
      <c r="DA328">
        <v>5.7071564146023053E-2</v>
      </c>
      <c r="DB328">
        <v>5.7071564146023053E-2</v>
      </c>
      <c r="DC328">
        <v>1.6306161184578005E-2</v>
      </c>
      <c r="DD328">
        <v>1.6306161184578005E-2</v>
      </c>
      <c r="DE328">
        <v>1.6306161184578005E-2</v>
      </c>
      <c r="DF328">
        <v>1.6306161184578005E-2</v>
      </c>
      <c r="DG328">
        <v>5.4353870615260046E-3</v>
      </c>
      <c r="DH328">
        <v>5.4353870615260046E-3</v>
      </c>
      <c r="DI328">
        <v>5.4353870615260046E-3</v>
      </c>
      <c r="DJ328">
        <v>5.4353870615260046E-3</v>
      </c>
      <c r="DK328">
        <v>5.4353870615260046E-3</v>
      </c>
      <c r="DL328">
        <v>5.4353870615260046E-3</v>
      </c>
      <c r="DM328">
        <v>5.4353870615260046E-3</v>
      </c>
      <c r="DN328">
        <v>5.4353870615260046E-3</v>
      </c>
      <c r="DO328">
        <v>5.4353870615260046E-3</v>
      </c>
    </row>
    <row r="329" spans="61:119">
      <c r="BI329" t="str">
        <f t="shared" si="60"/>
        <v>434341151227FI</v>
      </c>
      <c r="BJ329" s="426">
        <v>43434</v>
      </c>
      <c r="BK329" t="s">
        <v>1362</v>
      </c>
      <c r="BL329" t="s">
        <v>2796</v>
      </c>
      <c r="BM329" t="s">
        <v>1355</v>
      </c>
      <c r="BN329" s="438">
        <v>1.1571595367021805</v>
      </c>
      <c r="BO329" s="438">
        <v>0.48145870682978842</v>
      </c>
      <c r="BR329">
        <v>8.2417924582768781E-2</v>
      </c>
      <c r="BS329">
        <v>0.18405664559324297</v>
      </c>
      <c r="BT329">
        <v>0.18405664559324297</v>
      </c>
      <c r="BU329">
        <v>1.281386428513695E-2</v>
      </c>
      <c r="BV329">
        <v>1.281386428513695E-2</v>
      </c>
      <c r="BW329">
        <v>4.761589443395281E-2</v>
      </c>
      <c r="BX329">
        <v>4.761589443395281E-2</v>
      </c>
      <c r="BY329">
        <v>1.5484280471092392E-2</v>
      </c>
      <c r="BZ329">
        <v>1.5484280471092392E-2</v>
      </c>
      <c r="CA329">
        <v>1.5484280471092392E-2</v>
      </c>
      <c r="CB329">
        <v>1.5484280471092392E-2</v>
      </c>
      <c r="CC329">
        <v>1.5484280471092392E-2</v>
      </c>
      <c r="CD329">
        <v>1.5484280471092392E-2</v>
      </c>
      <c r="CE329">
        <v>1.5484280471092392E-2</v>
      </c>
      <c r="CF329">
        <v>1.5484280471092392E-2</v>
      </c>
      <c r="CG329">
        <v>1.5484280471092392E-2</v>
      </c>
      <c r="CI329">
        <v>7.7146340964964866E-2</v>
      </c>
      <c r="CJ329">
        <v>0.17100641795402138</v>
      </c>
      <c r="CK329">
        <v>0.17100641795402138</v>
      </c>
      <c r="CL329">
        <v>1.1142490682727768E-2</v>
      </c>
      <c r="CM329">
        <v>1.1142490682727768E-2</v>
      </c>
      <c r="CN329">
        <v>4.4144415823846317E-2</v>
      </c>
      <c r="CO329">
        <v>4.4144415823846317E-2</v>
      </c>
      <c r="CP329">
        <v>1.4714805274615451E-2</v>
      </c>
      <c r="CQ329">
        <v>1.4714805274615451E-2</v>
      </c>
      <c r="CR329">
        <v>1.4714805274615451E-2</v>
      </c>
      <c r="CS329">
        <v>1.4714805274615451E-2</v>
      </c>
      <c r="CT329">
        <v>1.4714805274615451E-2</v>
      </c>
      <c r="CU329">
        <v>1.4714805274615451E-2</v>
      </c>
      <c r="CV329">
        <v>1.4714805274615451E-2</v>
      </c>
      <c r="CW329">
        <v>1.4714805274615451E-2</v>
      </c>
      <c r="CX329">
        <v>1.4714805274615451E-2</v>
      </c>
      <c r="CZ329">
        <v>3.8358618140335414E-2</v>
      </c>
      <c r="DA329">
        <v>8.9252538298739581E-2</v>
      </c>
      <c r="DB329">
        <v>8.9252538298739581E-2</v>
      </c>
      <c r="DC329">
        <v>8.3568680120458261E-3</v>
      </c>
      <c r="DD329">
        <v>8.3568680120458261E-3</v>
      </c>
      <c r="DE329">
        <v>2.3357743076190624E-2</v>
      </c>
      <c r="DF329">
        <v>2.3357743076190624E-2</v>
      </c>
      <c r="DG329">
        <v>7.7859143587302049E-3</v>
      </c>
      <c r="DH329">
        <v>7.7859143587302049E-3</v>
      </c>
      <c r="DI329">
        <v>7.7859143587302049E-3</v>
      </c>
      <c r="DJ329">
        <v>7.7859143587302049E-3</v>
      </c>
      <c r="DK329">
        <v>7.7859143587302049E-3</v>
      </c>
      <c r="DL329">
        <v>7.7859143587302049E-3</v>
      </c>
      <c r="DM329">
        <v>7.7859143587302049E-3</v>
      </c>
      <c r="DN329">
        <v>7.7859143587302049E-3</v>
      </c>
      <c r="DO329">
        <v>7.7859143587302049E-3</v>
      </c>
    </row>
    <row r="330" spans="61:119">
      <c r="BI330" t="str">
        <f t="shared" si="60"/>
        <v>434341172869CORP</v>
      </c>
      <c r="BJ330" s="426">
        <v>43434</v>
      </c>
      <c r="BK330" t="s">
        <v>2803</v>
      </c>
      <c r="BL330" t="s">
        <v>2804</v>
      </c>
      <c r="BM330" t="s">
        <v>1356</v>
      </c>
      <c r="BN330" s="438">
        <v>1.1329372075239577</v>
      </c>
      <c r="BO330" s="438">
        <v>2.6054783715337357E-6</v>
      </c>
      <c r="BR330">
        <v>3.1722182773803002E-2</v>
      </c>
      <c r="BS330">
        <v>0.11102768693780476</v>
      </c>
      <c r="BT330">
        <v>0.11102768693780476</v>
      </c>
      <c r="BU330">
        <v>3.1722253618044371E-2</v>
      </c>
      <c r="BV330">
        <v>3.1722253618044371E-2</v>
      </c>
      <c r="BW330">
        <v>3.1722206388550139E-2</v>
      </c>
      <c r="BX330">
        <v>3.1722206388550139E-2</v>
      </c>
      <c r="BY330">
        <v>1.0574068796183377E-2</v>
      </c>
      <c r="BZ330">
        <v>1.0574068796183377E-2</v>
      </c>
      <c r="CA330">
        <v>1.0574068796183377E-2</v>
      </c>
      <c r="CB330">
        <v>1.0574068796183377E-2</v>
      </c>
      <c r="CC330">
        <v>1.0574068796183377E-2</v>
      </c>
      <c r="CD330">
        <v>1.0574068796183377E-2</v>
      </c>
      <c r="CE330">
        <v>1.0574068796183377E-2</v>
      </c>
      <c r="CF330">
        <v>1.0574068796183377E-2</v>
      </c>
      <c r="CG330">
        <v>1.0574068796183377E-2</v>
      </c>
      <c r="CI330">
        <v>2.7190442799237345E-2</v>
      </c>
      <c r="CJ330">
        <v>9.5166591123138161E-2</v>
      </c>
      <c r="CK330">
        <v>9.5166591123138161E-2</v>
      </c>
      <c r="CL330">
        <v>2.719050478794853E-2</v>
      </c>
      <c r="CM330">
        <v>2.719050478794853E-2</v>
      </c>
      <c r="CN330">
        <v>2.7190463462141073E-2</v>
      </c>
      <c r="CO330">
        <v>2.7190463462141073E-2</v>
      </c>
      <c r="CP330">
        <v>9.0634878207137004E-3</v>
      </c>
      <c r="CQ330">
        <v>9.0634878207137004E-3</v>
      </c>
      <c r="CR330">
        <v>9.0634878207137004E-3</v>
      </c>
      <c r="CS330">
        <v>9.0634878207137004E-3</v>
      </c>
      <c r="CT330">
        <v>9.0634878207137004E-3</v>
      </c>
      <c r="CU330">
        <v>9.0634878207137004E-3</v>
      </c>
      <c r="CV330">
        <v>9.0634878207137004E-3</v>
      </c>
      <c r="CW330">
        <v>9.0634878207137004E-3</v>
      </c>
      <c r="CX330">
        <v>9.0634878207137004E-3</v>
      </c>
      <c r="CZ330">
        <v>1.6994028594425458E-2</v>
      </c>
      <c r="DA330">
        <v>5.9479129598923007E-2</v>
      </c>
      <c r="DB330">
        <v>5.9479129598923007E-2</v>
      </c>
      <c r="DC330">
        <v>1.6994072872076327E-2</v>
      </c>
      <c r="DD330">
        <v>1.6994072872076327E-2</v>
      </c>
      <c r="DE330">
        <v>1.6994043353642421E-2</v>
      </c>
      <c r="DF330">
        <v>1.6994043353642421E-2</v>
      </c>
      <c r="DG330">
        <v>5.6646811178807993E-3</v>
      </c>
      <c r="DH330">
        <v>5.6646811178807993E-3</v>
      </c>
      <c r="DI330">
        <v>5.6646811178807993E-3</v>
      </c>
      <c r="DJ330">
        <v>5.6646811178807993E-3</v>
      </c>
      <c r="DK330">
        <v>5.6646811178807993E-3</v>
      </c>
      <c r="DL330">
        <v>5.6646811178807993E-3</v>
      </c>
      <c r="DM330">
        <v>5.6646811178807993E-3</v>
      </c>
      <c r="DN330">
        <v>5.6646811178807993E-3</v>
      </c>
      <c r="DO330">
        <v>5.6646811178807993E-3</v>
      </c>
    </row>
    <row r="331" spans="61:119">
      <c r="BI331" t="str">
        <f t="shared" si="60"/>
        <v>434341141467FI</v>
      </c>
      <c r="BJ331" s="426">
        <v>43434</v>
      </c>
      <c r="BK331" t="s">
        <v>1375</v>
      </c>
      <c r="BL331" t="s">
        <v>1376</v>
      </c>
      <c r="BM331" t="s">
        <v>1355</v>
      </c>
      <c r="BN331" s="438">
        <v>2</v>
      </c>
      <c r="BO331" s="438">
        <v>1</v>
      </c>
      <c r="BR331">
        <v>4.6000000000000006E-2</v>
      </c>
      <c r="BS331">
        <v>0.16100000000000003</v>
      </c>
      <c r="BT331">
        <v>0.16100000000000003</v>
      </c>
      <c r="BU331">
        <v>4.5999999999999985E-2</v>
      </c>
      <c r="BV331">
        <v>4.5999999999999985E-2</v>
      </c>
      <c r="BW331">
        <v>4.6000000000000013E-2</v>
      </c>
      <c r="BX331">
        <v>4.6000000000000013E-2</v>
      </c>
      <c r="BY331">
        <v>1.5333333333333334E-2</v>
      </c>
      <c r="BZ331">
        <v>1.5333333333333334E-2</v>
      </c>
      <c r="CA331">
        <v>1.5333333333333334E-2</v>
      </c>
      <c r="CB331">
        <v>1.5333333333333334E-2</v>
      </c>
      <c r="CC331">
        <v>1.5333333333333334E-2</v>
      </c>
      <c r="CD331">
        <v>1.5333333333333334E-2</v>
      </c>
      <c r="CE331">
        <v>1.5333333333333334E-2</v>
      </c>
      <c r="CF331">
        <v>1.5333333333333334E-2</v>
      </c>
      <c r="CG331">
        <v>1.5333333333333334E-2</v>
      </c>
      <c r="CI331">
        <v>4.0000000000000008E-2</v>
      </c>
      <c r="CJ331">
        <v>0.14000000000000001</v>
      </c>
      <c r="CK331">
        <v>0.14000000000000001</v>
      </c>
      <c r="CL331">
        <v>3.999999999999998E-2</v>
      </c>
      <c r="CM331">
        <v>3.999999999999998E-2</v>
      </c>
      <c r="CN331">
        <v>3.999999999999998E-2</v>
      </c>
      <c r="CO331">
        <v>3.999999999999998E-2</v>
      </c>
      <c r="CP331">
        <v>1.3333333333333345E-2</v>
      </c>
      <c r="CQ331">
        <v>1.3333333333333345E-2</v>
      </c>
      <c r="CR331">
        <v>1.3333333333333345E-2</v>
      </c>
      <c r="CS331">
        <v>1.3333333333333345E-2</v>
      </c>
      <c r="CT331">
        <v>1.3333333333333345E-2</v>
      </c>
      <c r="CU331">
        <v>1.3333333333333345E-2</v>
      </c>
      <c r="CV331">
        <v>1.3333333333333345E-2</v>
      </c>
      <c r="CW331">
        <v>1.3333333333333345E-2</v>
      </c>
      <c r="CX331">
        <v>1.3333333333333345E-2</v>
      </c>
      <c r="CZ331">
        <v>0.03</v>
      </c>
      <c r="DA331">
        <v>0.105</v>
      </c>
      <c r="DB331">
        <v>0.105</v>
      </c>
      <c r="DC331">
        <v>0.03</v>
      </c>
      <c r="DD331">
        <v>0.03</v>
      </c>
      <c r="DE331">
        <v>0.03</v>
      </c>
      <c r="DF331">
        <v>0.03</v>
      </c>
      <c r="DG331">
        <v>9.9999999999999967E-3</v>
      </c>
      <c r="DH331">
        <v>9.9999999999999967E-3</v>
      </c>
      <c r="DI331">
        <v>9.9999999999999967E-3</v>
      </c>
      <c r="DJ331">
        <v>9.9999999999999967E-3</v>
      </c>
      <c r="DK331">
        <v>9.9999999999999967E-3</v>
      </c>
      <c r="DL331">
        <v>9.9999999999999967E-3</v>
      </c>
      <c r="DM331">
        <v>9.9999999999999967E-3</v>
      </c>
      <c r="DN331">
        <v>9.9999999999999967E-3</v>
      </c>
      <c r="DO331">
        <v>9.9999999999999967E-3</v>
      </c>
    </row>
    <row r="332" spans="61:119">
      <c r="BI332" t="str">
        <f t="shared" si="60"/>
        <v>434341030628FI</v>
      </c>
      <c r="BJ332" s="426">
        <v>43434</v>
      </c>
      <c r="BK332" t="s">
        <v>2805</v>
      </c>
      <c r="BL332" t="s">
        <v>2806</v>
      </c>
      <c r="BM332" t="s">
        <v>1355</v>
      </c>
      <c r="BN332" s="438">
        <v>1.0781748715214436</v>
      </c>
      <c r="BO332" s="438">
        <v>1</v>
      </c>
      <c r="BR332">
        <v>2.4798022044993207E-2</v>
      </c>
      <c r="BS332">
        <v>8.6793077157476223E-2</v>
      </c>
      <c r="BT332">
        <v>8.6793077157476223E-2</v>
      </c>
      <c r="BU332">
        <v>2.4798022044993193E-2</v>
      </c>
      <c r="BV332">
        <v>2.4798022044993193E-2</v>
      </c>
      <c r="BW332">
        <v>2.4798022044993193E-2</v>
      </c>
      <c r="BX332">
        <v>2.4798022044993193E-2</v>
      </c>
      <c r="BY332">
        <v>8.2660073483310694E-3</v>
      </c>
      <c r="BZ332">
        <v>8.2660073483310694E-3</v>
      </c>
      <c r="CA332">
        <v>8.2660073483310694E-3</v>
      </c>
      <c r="CB332">
        <v>8.2660073483310694E-3</v>
      </c>
      <c r="CC332">
        <v>8.2660073483310694E-3</v>
      </c>
      <c r="CD332">
        <v>8.2660073483310694E-3</v>
      </c>
      <c r="CE332">
        <v>8.2660073483310694E-3</v>
      </c>
      <c r="CF332">
        <v>8.2660073483310694E-3</v>
      </c>
      <c r="CG332">
        <v>8.2660073483310694E-3</v>
      </c>
      <c r="CI332">
        <v>2.1563497430428874E-2</v>
      </c>
      <c r="CJ332">
        <v>7.5472241006501059E-2</v>
      </c>
      <c r="CK332">
        <v>7.5472241006501059E-2</v>
      </c>
      <c r="CL332">
        <v>2.1563497430428874E-2</v>
      </c>
      <c r="CM332">
        <v>2.1563497430428874E-2</v>
      </c>
      <c r="CN332">
        <v>2.1563497430428874E-2</v>
      </c>
      <c r="CO332">
        <v>2.1563497430428874E-2</v>
      </c>
      <c r="CP332">
        <v>7.1878324768096281E-3</v>
      </c>
      <c r="CQ332">
        <v>7.1878324768096281E-3</v>
      </c>
      <c r="CR332">
        <v>7.1878324768096281E-3</v>
      </c>
      <c r="CS332">
        <v>7.1878324768096281E-3</v>
      </c>
      <c r="CT332">
        <v>7.1878324768096281E-3</v>
      </c>
      <c r="CU332">
        <v>7.1878324768096281E-3</v>
      </c>
      <c r="CV332">
        <v>7.1878324768096281E-3</v>
      </c>
      <c r="CW332">
        <v>7.1878324768096281E-3</v>
      </c>
      <c r="CX332">
        <v>7.1878324768096281E-3</v>
      </c>
      <c r="CZ332">
        <v>1.6172623072821656E-2</v>
      </c>
      <c r="DA332">
        <v>5.6604180754875791E-2</v>
      </c>
      <c r="DB332">
        <v>5.6604180754875791E-2</v>
      </c>
      <c r="DC332">
        <v>1.6172623072821649E-2</v>
      </c>
      <c r="DD332">
        <v>1.6172623072821649E-2</v>
      </c>
      <c r="DE332">
        <v>1.6172623072821649E-2</v>
      </c>
      <c r="DF332">
        <v>1.6172623072821649E-2</v>
      </c>
      <c r="DG332">
        <v>5.3908743576072176E-3</v>
      </c>
      <c r="DH332">
        <v>5.3908743576072176E-3</v>
      </c>
      <c r="DI332">
        <v>5.3908743576072176E-3</v>
      </c>
      <c r="DJ332">
        <v>5.3908743576072176E-3</v>
      </c>
      <c r="DK332">
        <v>5.3908743576072176E-3</v>
      </c>
      <c r="DL332">
        <v>5.3908743576072176E-3</v>
      </c>
      <c r="DM332">
        <v>5.3908743576072176E-3</v>
      </c>
      <c r="DN332">
        <v>5.3908743576072176E-3</v>
      </c>
      <c r="DO332">
        <v>5.3908743576072176E-3</v>
      </c>
    </row>
    <row r="333" spans="61:119">
      <c r="BI333" t="str">
        <f t="shared" si="60"/>
        <v>434341167651FI</v>
      </c>
      <c r="BJ333" s="426">
        <v>43434</v>
      </c>
      <c r="BK333" t="s">
        <v>1687</v>
      </c>
      <c r="BL333" t="s">
        <v>2795</v>
      </c>
      <c r="BM333" t="s">
        <v>1355</v>
      </c>
      <c r="BN333" s="438">
        <v>1.1571595367021805</v>
      </c>
      <c r="BO333" s="438">
        <v>0.48145870682978842</v>
      </c>
      <c r="BR333">
        <v>8.2417924582768781E-2</v>
      </c>
      <c r="BS333">
        <v>0.18405664559324297</v>
      </c>
      <c r="BT333">
        <v>0.18405664559324297</v>
      </c>
      <c r="BU333">
        <v>1.281386428513695E-2</v>
      </c>
      <c r="BV333">
        <v>1.281386428513695E-2</v>
      </c>
      <c r="BW333">
        <v>4.761589443395281E-2</v>
      </c>
      <c r="BX333">
        <v>4.761589443395281E-2</v>
      </c>
      <c r="BY333">
        <v>1.5484280471092392E-2</v>
      </c>
      <c r="BZ333">
        <v>1.5484280471092392E-2</v>
      </c>
      <c r="CA333">
        <v>1.5484280471092392E-2</v>
      </c>
      <c r="CB333">
        <v>1.5484280471092392E-2</v>
      </c>
      <c r="CC333">
        <v>1.5484280471092392E-2</v>
      </c>
      <c r="CD333">
        <v>1.5484280471092392E-2</v>
      </c>
      <c r="CE333">
        <v>1.5484280471092392E-2</v>
      </c>
      <c r="CF333">
        <v>1.5484280471092392E-2</v>
      </c>
      <c r="CG333">
        <v>1.5484280471092392E-2</v>
      </c>
      <c r="CI333">
        <v>7.7146340964964866E-2</v>
      </c>
      <c r="CJ333">
        <v>0.17100641795402138</v>
      </c>
      <c r="CK333">
        <v>0.17100641795402138</v>
      </c>
      <c r="CL333">
        <v>1.1142490682727768E-2</v>
      </c>
      <c r="CM333">
        <v>1.1142490682727768E-2</v>
      </c>
      <c r="CN333">
        <v>4.4144415823846317E-2</v>
      </c>
      <c r="CO333">
        <v>4.4144415823846317E-2</v>
      </c>
      <c r="CP333">
        <v>1.4714805274615451E-2</v>
      </c>
      <c r="CQ333">
        <v>1.4714805274615451E-2</v>
      </c>
      <c r="CR333">
        <v>1.4714805274615451E-2</v>
      </c>
      <c r="CS333">
        <v>1.4714805274615451E-2</v>
      </c>
      <c r="CT333">
        <v>1.4714805274615451E-2</v>
      </c>
      <c r="CU333">
        <v>1.4714805274615451E-2</v>
      </c>
      <c r="CV333">
        <v>1.4714805274615451E-2</v>
      </c>
      <c r="CW333">
        <v>1.4714805274615451E-2</v>
      </c>
      <c r="CX333">
        <v>1.4714805274615451E-2</v>
      </c>
      <c r="CZ333">
        <v>3.8358618140335414E-2</v>
      </c>
      <c r="DA333">
        <v>8.9252538298739581E-2</v>
      </c>
      <c r="DB333">
        <v>8.9252538298739581E-2</v>
      </c>
      <c r="DC333">
        <v>8.3568680120458261E-3</v>
      </c>
      <c r="DD333">
        <v>8.3568680120458261E-3</v>
      </c>
      <c r="DE333">
        <v>2.3357743076190624E-2</v>
      </c>
      <c r="DF333">
        <v>2.3357743076190624E-2</v>
      </c>
      <c r="DG333">
        <v>7.7859143587302049E-3</v>
      </c>
      <c r="DH333">
        <v>7.7859143587302049E-3</v>
      </c>
      <c r="DI333">
        <v>7.7859143587302049E-3</v>
      </c>
      <c r="DJ333">
        <v>7.7859143587302049E-3</v>
      </c>
      <c r="DK333">
        <v>7.7859143587302049E-3</v>
      </c>
      <c r="DL333">
        <v>7.7859143587302049E-3</v>
      </c>
      <c r="DM333">
        <v>7.7859143587302049E-3</v>
      </c>
      <c r="DN333">
        <v>7.7859143587302049E-3</v>
      </c>
      <c r="DO333">
        <v>7.7859143587302049E-3</v>
      </c>
    </row>
    <row r="334" spans="61:119">
      <c r="BI334" t="str">
        <f t="shared" si="60"/>
        <v>434341147542CME</v>
      </c>
      <c r="BJ334" s="426">
        <v>43434</v>
      </c>
      <c r="BK334" t="s">
        <v>1361</v>
      </c>
      <c r="BL334" t="s">
        <v>1370</v>
      </c>
      <c r="BM334" t="s">
        <v>1321</v>
      </c>
      <c r="BN334" s="438">
        <v>1</v>
      </c>
      <c r="BO334" s="438">
        <v>1</v>
      </c>
      <c r="BR334">
        <v>8.0000000000000016E-2</v>
      </c>
      <c r="BS334">
        <v>0.16</v>
      </c>
      <c r="BT334">
        <v>0.16</v>
      </c>
      <c r="BU334">
        <v>0</v>
      </c>
      <c r="BV334">
        <v>0</v>
      </c>
      <c r="BW334">
        <v>3.999999999999998E-2</v>
      </c>
      <c r="BX334">
        <v>3.999999999999998E-2</v>
      </c>
      <c r="BY334">
        <v>1.3333333333333345E-2</v>
      </c>
      <c r="BZ334">
        <v>1.3333333333333345E-2</v>
      </c>
      <c r="CA334">
        <v>1.3333333333333345E-2</v>
      </c>
      <c r="CB334">
        <v>1.3333333333333345E-2</v>
      </c>
      <c r="CC334">
        <v>1.3333333333333345E-2</v>
      </c>
      <c r="CD334">
        <v>1.3333333333333345E-2</v>
      </c>
      <c r="CE334">
        <v>1.3333333333333345E-2</v>
      </c>
      <c r="CF334">
        <v>1.3333333333333345E-2</v>
      </c>
      <c r="CG334">
        <v>1.3333333333333345E-2</v>
      </c>
      <c r="CI334">
        <v>6.9999999999999993E-2</v>
      </c>
      <c r="CJ334">
        <v>0.13999999999999999</v>
      </c>
      <c r="CK334">
        <v>0.13999999999999999</v>
      </c>
      <c r="CL334">
        <v>0</v>
      </c>
      <c r="CM334">
        <v>0</v>
      </c>
      <c r="CN334">
        <v>3.5000000000000003E-2</v>
      </c>
      <c r="CO334">
        <v>3.5000000000000003E-2</v>
      </c>
      <c r="CP334">
        <v>1.1666666666666659E-2</v>
      </c>
      <c r="CQ334">
        <v>1.1666666666666659E-2</v>
      </c>
      <c r="CR334">
        <v>1.1666666666666659E-2</v>
      </c>
      <c r="CS334">
        <v>1.1666666666666659E-2</v>
      </c>
      <c r="CT334">
        <v>1.1666666666666659E-2</v>
      </c>
      <c r="CU334">
        <v>1.1666666666666659E-2</v>
      </c>
      <c r="CV334">
        <v>1.1666666666666659E-2</v>
      </c>
      <c r="CW334">
        <v>1.1666666666666659E-2</v>
      </c>
      <c r="CX334">
        <v>1.1666666666666659E-2</v>
      </c>
      <c r="CZ334">
        <v>4.0000000000000008E-2</v>
      </c>
      <c r="DA334">
        <v>0.08</v>
      </c>
      <c r="DB334">
        <v>0.08</v>
      </c>
      <c r="DC334">
        <v>0</v>
      </c>
      <c r="DD334">
        <v>0</v>
      </c>
      <c r="DE334">
        <v>1.999999999999999E-2</v>
      </c>
      <c r="DF334">
        <v>1.999999999999999E-2</v>
      </c>
      <c r="DG334">
        <v>6.6666666666666723E-3</v>
      </c>
      <c r="DH334">
        <v>6.6666666666666723E-3</v>
      </c>
      <c r="DI334">
        <v>6.6666666666666723E-3</v>
      </c>
      <c r="DJ334">
        <v>6.6666666666666723E-3</v>
      </c>
      <c r="DK334">
        <v>6.6666666666666723E-3</v>
      </c>
      <c r="DL334">
        <v>6.6666666666666723E-3</v>
      </c>
      <c r="DM334">
        <v>6.6666666666666723E-3</v>
      </c>
      <c r="DN334">
        <v>6.6666666666666723E-3</v>
      </c>
      <c r="DO334">
        <v>6.6666666666666723E-3</v>
      </c>
    </row>
    <row r="335" spans="61:119">
      <c r="BI335" t="str">
        <f t="shared" si="60"/>
        <v>43434FI</v>
      </c>
      <c r="BJ335" s="426">
        <v>43434</v>
      </c>
      <c r="BM335" t="s">
        <v>1355</v>
      </c>
      <c r="BN335" s="438">
        <v>1</v>
      </c>
      <c r="BO335" s="438">
        <v>1</v>
      </c>
      <c r="BR335">
        <v>2.3000000000000003E-2</v>
      </c>
      <c r="BS335">
        <v>8.0500000000000016E-2</v>
      </c>
      <c r="BT335">
        <v>8.0500000000000016E-2</v>
      </c>
      <c r="BU335">
        <v>2.2999999999999993E-2</v>
      </c>
      <c r="BV335">
        <v>2.2999999999999993E-2</v>
      </c>
      <c r="BW335">
        <v>2.3000000000000007E-2</v>
      </c>
      <c r="BX335">
        <v>2.3000000000000007E-2</v>
      </c>
      <c r="BY335">
        <v>7.6666666666666671E-3</v>
      </c>
      <c r="BZ335">
        <v>7.6666666666666671E-3</v>
      </c>
      <c r="CA335">
        <v>7.6666666666666671E-3</v>
      </c>
      <c r="CB335">
        <v>7.6666666666666671E-3</v>
      </c>
      <c r="CC335">
        <v>7.6666666666666671E-3</v>
      </c>
      <c r="CD335">
        <v>7.6666666666666671E-3</v>
      </c>
      <c r="CE335">
        <v>7.6666666666666671E-3</v>
      </c>
      <c r="CF335">
        <v>7.6666666666666671E-3</v>
      </c>
      <c r="CG335">
        <v>7.6666666666666671E-3</v>
      </c>
      <c r="CI335">
        <v>2.0000000000000004E-2</v>
      </c>
      <c r="CJ335">
        <v>7.0000000000000007E-2</v>
      </c>
      <c r="CK335">
        <v>7.0000000000000007E-2</v>
      </c>
      <c r="CL335">
        <v>1.999999999999999E-2</v>
      </c>
      <c r="CM335">
        <v>1.999999999999999E-2</v>
      </c>
      <c r="CN335">
        <v>1.999999999999999E-2</v>
      </c>
      <c r="CO335">
        <v>1.999999999999999E-2</v>
      </c>
      <c r="CP335">
        <v>6.6666666666666723E-3</v>
      </c>
      <c r="CQ335">
        <v>6.6666666666666723E-3</v>
      </c>
      <c r="CR335">
        <v>6.6666666666666723E-3</v>
      </c>
      <c r="CS335">
        <v>6.6666666666666723E-3</v>
      </c>
      <c r="CT335">
        <v>6.6666666666666723E-3</v>
      </c>
      <c r="CU335">
        <v>6.6666666666666723E-3</v>
      </c>
      <c r="CV335">
        <v>6.6666666666666723E-3</v>
      </c>
      <c r="CW335">
        <v>6.6666666666666723E-3</v>
      </c>
      <c r="CX335">
        <v>6.6666666666666723E-3</v>
      </c>
      <c r="CZ335">
        <v>1.4999999999999999E-2</v>
      </c>
      <c r="DA335">
        <v>5.2499999999999998E-2</v>
      </c>
      <c r="DB335">
        <v>5.2499999999999998E-2</v>
      </c>
      <c r="DC335">
        <v>1.4999999999999999E-2</v>
      </c>
      <c r="DD335">
        <v>1.4999999999999999E-2</v>
      </c>
      <c r="DE335">
        <v>1.4999999999999999E-2</v>
      </c>
      <c r="DF335">
        <v>1.4999999999999999E-2</v>
      </c>
      <c r="DG335">
        <v>4.9999999999999984E-3</v>
      </c>
      <c r="DH335">
        <v>4.9999999999999984E-3</v>
      </c>
      <c r="DI335">
        <v>4.9999999999999984E-3</v>
      </c>
      <c r="DJ335">
        <v>4.9999999999999984E-3</v>
      </c>
      <c r="DK335">
        <v>4.9999999999999984E-3</v>
      </c>
      <c r="DL335">
        <v>4.9999999999999984E-3</v>
      </c>
      <c r="DM335">
        <v>4.9999999999999984E-3</v>
      </c>
      <c r="DN335">
        <v>4.9999999999999984E-3</v>
      </c>
      <c r="DO335">
        <v>4.9999999999999984E-3</v>
      </c>
    </row>
    <row r="336" spans="61:119">
      <c r="BI336" t="str">
        <f t="shared" si="60"/>
        <v>43434CORP</v>
      </c>
      <c r="BJ336" s="426">
        <v>43434</v>
      </c>
      <c r="BM336" t="s">
        <v>1356</v>
      </c>
      <c r="BN336" s="438">
        <v>1</v>
      </c>
      <c r="BO336" s="438">
        <v>1</v>
      </c>
      <c r="BR336">
        <v>8.0000000000000002E-3</v>
      </c>
      <c r="BS336">
        <v>4.3999999999999997E-2</v>
      </c>
      <c r="BT336">
        <v>4.3999999999999997E-2</v>
      </c>
      <c r="BU336">
        <v>3.2000000000000001E-2</v>
      </c>
      <c r="BV336">
        <v>3.2000000000000001E-2</v>
      </c>
      <c r="BW336">
        <v>1.6E-2</v>
      </c>
      <c r="BX336">
        <v>1.6E-2</v>
      </c>
      <c r="BY336">
        <v>5.3333333333333323E-3</v>
      </c>
      <c r="BZ336">
        <v>5.3333333333333323E-3</v>
      </c>
      <c r="CA336">
        <v>5.3333333333333323E-3</v>
      </c>
      <c r="CB336">
        <v>5.3333333333333323E-3</v>
      </c>
      <c r="CC336">
        <v>5.3333333333333323E-3</v>
      </c>
      <c r="CD336">
        <v>5.3333333333333323E-3</v>
      </c>
      <c r="CE336">
        <v>5.3333333333333323E-3</v>
      </c>
      <c r="CF336">
        <v>5.3333333333333323E-3</v>
      </c>
      <c r="CG336">
        <v>5.3333333333333323E-3</v>
      </c>
      <c r="CI336">
        <v>7.000000000000001E-3</v>
      </c>
      <c r="CJ336">
        <v>3.85E-2</v>
      </c>
      <c r="CK336">
        <v>3.85E-2</v>
      </c>
      <c r="CL336">
        <v>2.8000000000000004E-2</v>
      </c>
      <c r="CM336">
        <v>2.8000000000000004E-2</v>
      </c>
      <c r="CN336">
        <v>1.3999999999999999E-2</v>
      </c>
      <c r="CO336">
        <v>1.3999999999999999E-2</v>
      </c>
      <c r="CP336">
        <v>4.6666666666666679E-3</v>
      </c>
      <c r="CQ336">
        <v>4.6666666666666679E-3</v>
      </c>
      <c r="CR336">
        <v>4.6666666666666679E-3</v>
      </c>
      <c r="CS336">
        <v>4.6666666666666679E-3</v>
      </c>
      <c r="CT336">
        <v>4.6666666666666679E-3</v>
      </c>
      <c r="CU336">
        <v>4.6666666666666679E-3</v>
      </c>
      <c r="CV336">
        <v>4.6666666666666679E-3</v>
      </c>
      <c r="CW336">
        <v>4.6666666666666679E-3</v>
      </c>
      <c r="CX336">
        <v>4.6666666666666679E-3</v>
      </c>
      <c r="CZ336">
        <v>5.000000000000001E-3</v>
      </c>
      <c r="DA336">
        <v>2.7499999999999997E-2</v>
      </c>
      <c r="DB336">
        <v>2.7499999999999997E-2</v>
      </c>
      <c r="DC336">
        <v>2.0000000000000004E-2</v>
      </c>
      <c r="DD336">
        <v>2.0000000000000004E-2</v>
      </c>
      <c r="DE336">
        <v>9.999999999999995E-3</v>
      </c>
      <c r="DF336">
        <v>9.999999999999995E-3</v>
      </c>
      <c r="DG336">
        <v>3.3333333333333361E-3</v>
      </c>
      <c r="DH336">
        <v>3.3333333333333361E-3</v>
      </c>
      <c r="DI336">
        <v>3.3333333333333361E-3</v>
      </c>
      <c r="DJ336">
        <v>3.3333333333333361E-3</v>
      </c>
      <c r="DK336">
        <v>3.3333333333333361E-3</v>
      </c>
      <c r="DL336">
        <v>3.3333333333333361E-3</v>
      </c>
      <c r="DM336">
        <v>3.3333333333333361E-3</v>
      </c>
      <c r="DN336">
        <v>3.3333333333333361E-3</v>
      </c>
      <c r="DO336">
        <v>3.3333333333333361E-3</v>
      </c>
    </row>
    <row r="337" spans="61:119">
      <c r="BI337" t="str">
        <f t="shared" si="60"/>
        <v>43434ESCROW</v>
      </c>
      <c r="BJ337" s="426">
        <v>43434</v>
      </c>
      <c r="BM337" t="s">
        <v>1339</v>
      </c>
      <c r="BN337" s="438">
        <v>1</v>
      </c>
      <c r="BO337" s="438">
        <v>1</v>
      </c>
      <c r="BR337">
        <v>3.2000000000000001E-2</v>
      </c>
      <c r="BS337">
        <v>2.4E-2</v>
      </c>
      <c r="BT337">
        <v>2.4E-2</v>
      </c>
      <c r="BU337">
        <v>0.04</v>
      </c>
      <c r="BV337">
        <v>0.04</v>
      </c>
      <c r="BW337">
        <v>3.9999999999999994E-2</v>
      </c>
      <c r="BX337">
        <v>3.9999999999999994E-2</v>
      </c>
      <c r="BY337">
        <v>8.8888888888888906E-3</v>
      </c>
      <c r="BZ337">
        <v>8.8888888888888906E-3</v>
      </c>
      <c r="CA337">
        <v>8.8888888888888906E-3</v>
      </c>
      <c r="CB337">
        <v>8.8888888888888906E-3</v>
      </c>
      <c r="CC337">
        <v>8.8888888888888906E-3</v>
      </c>
      <c r="CD337">
        <v>8.8888888888888906E-3</v>
      </c>
      <c r="CE337">
        <v>8.8888888888888906E-3</v>
      </c>
      <c r="CF337">
        <v>8.8888888888888906E-3</v>
      </c>
      <c r="CG337">
        <v>8.8888888888888906E-3</v>
      </c>
      <c r="CI337">
        <v>2.8000000000000004E-2</v>
      </c>
      <c r="CJ337">
        <v>2.1000000000000001E-2</v>
      </c>
      <c r="CK337">
        <v>2.1000000000000001E-2</v>
      </c>
      <c r="CL337">
        <v>3.5000000000000003E-2</v>
      </c>
      <c r="CM337">
        <v>3.5000000000000003E-2</v>
      </c>
      <c r="CN337">
        <v>3.5000000000000003E-2</v>
      </c>
      <c r="CO337">
        <v>3.5000000000000003E-2</v>
      </c>
      <c r="CP337">
        <v>7.7777777777777784E-3</v>
      </c>
      <c r="CQ337">
        <v>7.7777777777777784E-3</v>
      </c>
      <c r="CR337">
        <v>7.7777777777777784E-3</v>
      </c>
      <c r="CS337">
        <v>7.7777777777777784E-3</v>
      </c>
      <c r="CT337">
        <v>7.7777777777777784E-3</v>
      </c>
      <c r="CU337">
        <v>7.7777777777777784E-3</v>
      </c>
      <c r="CV337">
        <v>7.7777777777777784E-3</v>
      </c>
      <c r="CW337">
        <v>7.7777777777777784E-3</v>
      </c>
      <c r="CX337">
        <v>7.7777777777777784E-3</v>
      </c>
      <c r="CZ337">
        <v>2.0000000000000004E-2</v>
      </c>
      <c r="DA337">
        <v>1.4999999999999999E-2</v>
      </c>
      <c r="DB337">
        <v>1.4999999999999999E-2</v>
      </c>
      <c r="DC337">
        <v>2.5000000000000001E-2</v>
      </c>
      <c r="DD337">
        <v>2.5000000000000001E-2</v>
      </c>
      <c r="DE337">
        <v>2.5000000000000008E-2</v>
      </c>
      <c r="DF337">
        <v>2.5000000000000008E-2</v>
      </c>
      <c r="DG337">
        <v>5.555555555555554E-3</v>
      </c>
      <c r="DH337">
        <v>5.555555555555554E-3</v>
      </c>
      <c r="DI337">
        <v>5.555555555555554E-3</v>
      </c>
      <c r="DJ337">
        <v>5.555555555555554E-3</v>
      </c>
      <c r="DK337">
        <v>5.555555555555554E-3</v>
      </c>
      <c r="DL337">
        <v>5.555555555555554E-3</v>
      </c>
      <c r="DM337">
        <v>5.555555555555554E-3</v>
      </c>
      <c r="DN337">
        <v>5.555555555555554E-3</v>
      </c>
      <c r="DO337">
        <v>5.555555555555554E-3</v>
      </c>
    </row>
    <row r="338" spans="61:119">
      <c r="BI338" t="str">
        <f t="shared" si="60"/>
        <v>43434IB</v>
      </c>
      <c r="BJ338" s="426">
        <v>43434</v>
      </c>
      <c r="BM338" t="s">
        <v>1354</v>
      </c>
      <c r="BN338" s="438">
        <v>1</v>
      </c>
      <c r="BO338" s="438">
        <v>1</v>
      </c>
      <c r="BR338">
        <v>1.2E-2</v>
      </c>
      <c r="BS338">
        <v>4.2000000000000003E-2</v>
      </c>
      <c r="BT338">
        <v>4.2000000000000003E-2</v>
      </c>
      <c r="BU338">
        <v>1.1999999999999997E-2</v>
      </c>
      <c r="BV338">
        <v>1.1999999999999997E-2</v>
      </c>
      <c r="BW338">
        <v>1.1999999999999997E-2</v>
      </c>
      <c r="BX338">
        <v>1.1999999999999997E-2</v>
      </c>
      <c r="BY338">
        <v>4.0000000000000001E-3</v>
      </c>
      <c r="BZ338">
        <v>4.0000000000000001E-3</v>
      </c>
      <c r="CA338">
        <v>4.0000000000000001E-3</v>
      </c>
      <c r="CB338">
        <v>4.0000000000000001E-3</v>
      </c>
      <c r="CC338">
        <v>4.0000000000000001E-3</v>
      </c>
      <c r="CD338">
        <v>4.0000000000000001E-3</v>
      </c>
      <c r="CE338">
        <v>4.0000000000000001E-3</v>
      </c>
      <c r="CF338">
        <v>4.0000000000000001E-3</v>
      </c>
      <c r="CG338">
        <v>4.0000000000000001E-3</v>
      </c>
      <c r="CI338">
        <v>3.0000000000000001E-3</v>
      </c>
      <c r="CJ338">
        <v>1.0500000000000001E-2</v>
      </c>
      <c r="CK338">
        <v>1.0500000000000001E-2</v>
      </c>
      <c r="CL338">
        <v>2.9999999999999992E-3</v>
      </c>
      <c r="CM338">
        <v>2.9999999999999992E-3</v>
      </c>
      <c r="CN338">
        <v>2.9999999999999992E-3</v>
      </c>
      <c r="CO338">
        <v>2.9999999999999992E-3</v>
      </c>
      <c r="CP338">
        <v>1E-3</v>
      </c>
      <c r="CQ338">
        <v>1E-3</v>
      </c>
      <c r="CR338">
        <v>1E-3</v>
      </c>
      <c r="CS338">
        <v>1E-3</v>
      </c>
      <c r="CT338">
        <v>1E-3</v>
      </c>
      <c r="CU338">
        <v>1E-3</v>
      </c>
      <c r="CV338">
        <v>1E-3</v>
      </c>
      <c r="CW338">
        <v>1E-3</v>
      </c>
      <c r="CX338">
        <v>1E-3</v>
      </c>
      <c r="CZ338">
        <v>1.0000000000000002E-2</v>
      </c>
      <c r="DA338">
        <v>3.5000000000000003E-2</v>
      </c>
      <c r="DB338">
        <v>3.5000000000000003E-2</v>
      </c>
      <c r="DC338">
        <v>9.999999999999995E-3</v>
      </c>
      <c r="DD338">
        <v>9.999999999999995E-3</v>
      </c>
      <c r="DE338">
        <v>9.999999999999995E-3</v>
      </c>
      <c r="DF338">
        <v>9.999999999999995E-3</v>
      </c>
      <c r="DG338">
        <v>3.3333333333333361E-3</v>
      </c>
      <c r="DH338">
        <v>3.3333333333333361E-3</v>
      </c>
      <c r="DI338">
        <v>3.3333333333333361E-3</v>
      </c>
      <c r="DJ338">
        <v>3.3333333333333361E-3</v>
      </c>
      <c r="DK338">
        <v>3.3333333333333361E-3</v>
      </c>
      <c r="DL338">
        <v>3.3333333333333361E-3</v>
      </c>
      <c r="DM338">
        <v>3.3333333333333361E-3</v>
      </c>
      <c r="DN338">
        <v>3.3333333333333361E-3</v>
      </c>
      <c r="DO338">
        <v>3.3333333333333361E-3</v>
      </c>
    </row>
    <row r="339" spans="61:119">
      <c r="BI339" t="str">
        <f t="shared" si="60"/>
        <v>43434AFF</v>
      </c>
      <c r="BJ339" s="426">
        <v>43434</v>
      </c>
      <c r="BM339" t="s">
        <v>1353</v>
      </c>
      <c r="BN339" s="438">
        <v>1</v>
      </c>
      <c r="BO339" s="438">
        <v>1</v>
      </c>
      <c r="BR339">
        <v>1.4999999999999999E-2</v>
      </c>
      <c r="BS339">
        <v>5.2499999999999998E-2</v>
      </c>
      <c r="BT339">
        <v>5.2499999999999998E-2</v>
      </c>
      <c r="BU339">
        <v>1.4999999999999999E-2</v>
      </c>
      <c r="BV339">
        <v>1.4999999999999999E-2</v>
      </c>
      <c r="BW339">
        <v>1.4999999999999999E-2</v>
      </c>
      <c r="BX339">
        <v>1.4999999999999999E-2</v>
      </c>
      <c r="BY339">
        <v>4.9999999999999984E-3</v>
      </c>
      <c r="BZ339">
        <v>4.9999999999999984E-3</v>
      </c>
      <c r="CA339">
        <v>4.9999999999999984E-3</v>
      </c>
      <c r="CB339">
        <v>4.9999999999999984E-3</v>
      </c>
      <c r="CC339">
        <v>4.9999999999999984E-3</v>
      </c>
      <c r="CD339">
        <v>4.9999999999999984E-3</v>
      </c>
      <c r="CE339">
        <v>4.9999999999999984E-3</v>
      </c>
      <c r="CF339">
        <v>4.9999999999999984E-3</v>
      </c>
      <c r="CG339">
        <v>4.9999999999999984E-3</v>
      </c>
      <c r="CI339">
        <v>1.2E-2</v>
      </c>
      <c r="CJ339">
        <v>4.2000000000000003E-2</v>
      </c>
      <c r="CK339">
        <v>4.2000000000000003E-2</v>
      </c>
      <c r="CL339">
        <v>1.1999999999999997E-2</v>
      </c>
      <c r="CM339">
        <v>1.1999999999999997E-2</v>
      </c>
      <c r="CN339">
        <v>1.1999999999999997E-2</v>
      </c>
      <c r="CO339">
        <v>1.1999999999999997E-2</v>
      </c>
      <c r="CP339">
        <v>4.0000000000000001E-3</v>
      </c>
      <c r="CQ339">
        <v>4.0000000000000001E-3</v>
      </c>
      <c r="CR339">
        <v>4.0000000000000001E-3</v>
      </c>
      <c r="CS339">
        <v>4.0000000000000001E-3</v>
      </c>
      <c r="CT339">
        <v>4.0000000000000001E-3</v>
      </c>
      <c r="CU339">
        <v>4.0000000000000001E-3</v>
      </c>
      <c r="CV339">
        <v>4.0000000000000001E-3</v>
      </c>
      <c r="CW339">
        <v>4.0000000000000001E-3</v>
      </c>
      <c r="CX339">
        <v>4.0000000000000001E-3</v>
      </c>
      <c r="CZ339">
        <v>5.000000000000001E-3</v>
      </c>
      <c r="DA339">
        <v>1.7500000000000002E-2</v>
      </c>
      <c r="DB339">
        <v>1.7500000000000002E-2</v>
      </c>
      <c r="DC339">
        <v>4.9999999999999975E-3</v>
      </c>
      <c r="DD339">
        <v>4.9999999999999975E-3</v>
      </c>
      <c r="DE339">
        <v>4.9999999999999975E-3</v>
      </c>
      <c r="DF339">
        <v>4.9999999999999975E-3</v>
      </c>
      <c r="DG339">
        <v>1.6666666666666681E-3</v>
      </c>
      <c r="DH339">
        <v>1.6666666666666681E-3</v>
      </c>
      <c r="DI339">
        <v>1.6666666666666681E-3</v>
      </c>
      <c r="DJ339">
        <v>1.6666666666666681E-3</v>
      </c>
      <c r="DK339">
        <v>1.6666666666666681E-3</v>
      </c>
      <c r="DL339">
        <v>1.6666666666666681E-3</v>
      </c>
      <c r="DM339">
        <v>1.6666666666666681E-3</v>
      </c>
      <c r="DN339">
        <v>1.6666666666666681E-3</v>
      </c>
      <c r="DO339">
        <v>1.6666666666666681E-3</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2:K24"/>
  <sheetViews>
    <sheetView workbookViewId="0">
      <selection activeCell="E3" sqref="E3:K19"/>
    </sheetView>
  </sheetViews>
  <sheetFormatPr defaultRowHeight="14.25"/>
  <cols>
    <col min="1" max="1" width="13.25" bestFit="1" customWidth="1"/>
    <col min="2" max="2" width="12.75" bestFit="1" customWidth="1"/>
    <col min="3" max="4" width="11.875" customWidth="1"/>
    <col min="5" max="5" width="23.75" bestFit="1" customWidth="1"/>
    <col min="6" max="6" width="8.625" bestFit="1" customWidth="1"/>
    <col min="7" max="7" width="8.75" bestFit="1" customWidth="1"/>
    <col min="8" max="8" width="27.25" bestFit="1" customWidth="1"/>
    <col min="9" max="9" width="7.375" bestFit="1" customWidth="1"/>
    <col min="10" max="10" width="26.25" bestFit="1" customWidth="1"/>
    <col min="11" max="11" width="7.375" bestFit="1" customWidth="1"/>
  </cols>
  <sheetData>
    <row r="2" spans="1:11">
      <c r="C2" t="s">
        <v>1663</v>
      </c>
      <c r="D2" t="s">
        <v>1664</v>
      </c>
    </row>
    <row r="3" spans="1:11" ht="15.75">
      <c r="A3" t="s">
        <v>1661</v>
      </c>
      <c r="B3" t="s">
        <v>1662</v>
      </c>
      <c r="C3" s="426">
        <f>'Monthly Run-off Change'!A2</f>
        <v>43434</v>
      </c>
      <c r="D3" s="426">
        <f>INDEX('Monthly Run-off Change'!$BJ:$BJ,MATCH(C3,'Monthly Run-off Change'!$BJ:$BJ,0)-1)</f>
        <v>43404</v>
      </c>
      <c r="G3" s="837"/>
      <c r="H3" s="935" t="str">
        <f>"Run-off Ratio for "&amp;TEXT(EOMONTH(C3,1),"MMM, YYYY")</f>
        <v>Run-off Ratio for Dec, 2018</v>
      </c>
      <c r="J3" s="935" t="str">
        <f>"Run-off Ratio for "&amp;TEXT(EOMONTH(D3,1),"MMM, YYYY")</f>
        <v>Run-off Ratio for Nov, 2018</v>
      </c>
      <c r="K3" s="935"/>
    </row>
    <row r="4" spans="1:11" ht="60">
      <c r="E4" s="936" t="s">
        <v>1548</v>
      </c>
      <c r="F4" s="937" t="s">
        <v>1549</v>
      </c>
      <c r="G4" s="938" t="s">
        <v>1550</v>
      </c>
      <c r="H4" s="937" t="s">
        <v>1551</v>
      </c>
      <c r="I4" s="937" t="s">
        <v>1552</v>
      </c>
      <c r="J4" s="937" t="s">
        <v>1551</v>
      </c>
      <c r="K4" s="937" t="s">
        <v>1552</v>
      </c>
    </row>
    <row r="5" spans="1:11" ht="15">
      <c r="A5" t="s">
        <v>1356</v>
      </c>
      <c r="B5" t="s">
        <v>1356</v>
      </c>
      <c r="C5">
        <f>IFERROR(MATCH(C$3&amp;$A5,'Monthly Run-off Change'!$BI:$BI,0),MATCH(C$3&amp;$B5,'Monthly Run-off Change'!$BI:$BI,0))</f>
        <v>336</v>
      </c>
      <c r="D5">
        <f>IFERROR(MATCH(D$3&amp;$A5,'Monthly Run-off Change'!$BI:$BI,0),MATCH(D$3&amp;$B5,'Monthly Run-off Change'!$BI:$BI,0))</f>
        <v>322</v>
      </c>
      <c r="E5" s="939" t="s">
        <v>1553</v>
      </c>
      <c r="F5" s="838">
        <f>INDEX('Monthly Run-off Change'!$BO:$BO,$C5)</f>
        <v>1</v>
      </c>
      <c r="G5" s="839">
        <f>INDEX('Monthly Run-off Change'!$BN:$BN,$C5)</f>
        <v>1</v>
      </c>
      <c r="H5" s="840">
        <f ca="1">SUM(OFFSET('Monthly Run-off Change'!$BR$1,$C5-1,0,1,3))</f>
        <v>9.6000000000000002E-2</v>
      </c>
      <c r="I5" s="848">
        <f ca="1">SUM(OFFSET('Monthly Run-off Change'!$BR$1,$C5-1,0,1,5))</f>
        <v>0.16</v>
      </c>
      <c r="J5" s="841">
        <f ca="1">SUM(OFFSET('Monthly Run-off Change'!$BR$1,$D5-1,0,1,3))</f>
        <v>0.13382640007044133</v>
      </c>
      <c r="K5" s="841">
        <f ca="1">SUM(OFFSET('Monthly Run-off Change'!$BR$1,$D5-1,0,1,5))</f>
        <v>0.19546225006603879</v>
      </c>
    </row>
    <row r="6" spans="1:11" ht="15">
      <c r="A6" t="s">
        <v>1339</v>
      </c>
      <c r="B6" t="s">
        <v>1339</v>
      </c>
      <c r="C6">
        <f>IFERROR(MATCH(C$3&amp;$A6,'Monthly Run-off Change'!$BI:$BI,0),MATCH(C$3&amp;$B6,'Monthly Run-off Change'!$BI:$BI,0))</f>
        <v>337</v>
      </c>
      <c r="D6">
        <f>IFERROR(MATCH(D$3&amp;$A6,'Monthly Run-off Change'!$BI:$BI,0),MATCH(D$3&amp;$B6,'Monthly Run-off Change'!$BI:$BI,0))</f>
        <v>323</v>
      </c>
      <c r="E6" s="940" t="s">
        <v>1554</v>
      </c>
      <c r="F6" s="775">
        <f>INDEX('Monthly Run-off Change'!$BO:$BO,C6)</f>
        <v>1</v>
      </c>
      <c r="G6" s="843">
        <f>INDEX('Monthly Run-off Change'!$BN:$BN,$C6)</f>
        <v>1</v>
      </c>
      <c r="H6" s="844">
        <f ca="1">SUM(OFFSET('Monthly Run-off Change'!$BR$1,$C6-1,0,1,3))</f>
        <v>0.08</v>
      </c>
      <c r="I6" s="845">
        <f ca="1">SUM(OFFSET('Monthly Run-off Change'!$BR$1,$C6-1,0,1,5))</f>
        <v>0.16</v>
      </c>
      <c r="J6" s="841">
        <f ca="1">SUM(OFFSET('Monthly Run-off Change'!$BR$1,$D6-1,0,1,3))</f>
        <v>0.08</v>
      </c>
      <c r="K6" s="941">
        <f ca="1">SUM(OFFSET('Monthly Run-off Change'!$BR$1,$D6-1,0,1,5))</f>
        <v>0.16</v>
      </c>
    </row>
    <row r="7" spans="1:11" ht="15">
      <c r="A7" t="s">
        <v>1355</v>
      </c>
      <c r="B7" t="s">
        <v>1355</v>
      </c>
      <c r="C7">
        <f>IFERROR(MATCH(C$3&amp;$A7,'Monthly Run-off Change'!$BI:$BI,0),MATCH(C$3&amp;$B7,'Monthly Run-off Change'!$BI:$BI,0))</f>
        <v>335</v>
      </c>
      <c r="D7">
        <f>IFERROR(MATCH(D$3&amp;$A7,'Monthly Run-off Change'!$BI:$BI,0),MATCH(D$3&amp;$B7,'Monthly Run-off Change'!$BI:$BI,0))</f>
        <v>321</v>
      </c>
      <c r="E7" s="939" t="s">
        <v>1555</v>
      </c>
      <c r="F7" s="838">
        <f>INDEX('Monthly Run-off Change'!$BO:$BO,C7)</f>
        <v>1</v>
      </c>
      <c r="G7" s="839">
        <f>INDEX('Monthly Run-off Change'!$BN:$BN,$C7)</f>
        <v>1</v>
      </c>
      <c r="H7" s="840">
        <f ca="1">SUM(OFFSET('Monthly Run-off Change'!$BR$1,$C7-1,0,1,3))</f>
        <v>0.18400000000000005</v>
      </c>
      <c r="I7" s="848">
        <f ca="1">SUM(OFFSET('Monthly Run-off Change'!$BR$1,$C7-1,0,1,5))</f>
        <v>0.23000000000000004</v>
      </c>
      <c r="J7" s="841">
        <f ca="1">SUM(OFFSET('Monthly Run-off Change'!$BR$1,$D7-1,0,1,3))</f>
        <v>0.18400000000000005</v>
      </c>
      <c r="K7" s="841">
        <f ca="1">SUM(OFFSET('Monthly Run-off Change'!$BR$1,$D7-1,0,1,5))</f>
        <v>0.23000000000000004</v>
      </c>
    </row>
    <row r="8" spans="1:11" ht="15">
      <c r="A8" t="s">
        <v>1354</v>
      </c>
      <c r="B8" t="s">
        <v>1354</v>
      </c>
      <c r="C8">
        <f>IFERROR(MATCH(C$3&amp;$A8,'Monthly Run-off Change'!$BI:$BI,0),MATCH(C$3&amp;$B8,'Monthly Run-off Change'!$BI:$BI,0))</f>
        <v>338</v>
      </c>
      <c r="D8">
        <f>IFERROR(MATCH(D$3&amp;$A8,'Monthly Run-off Change'!$BI:$BI,0),MATCH(D$3&amp;$B8,'Monthly Run-off Change'!$BI:$BI,0))</f>
        <v>324</v>
      </c>
      <c r="E8" s="940" t="s">
        <v>1556</v>
      </c>
      <c r="F8" s="775">
        <f>INDEX('Monthly Run-off Change'!$BO:$BO,C8)</f>
        <v>1</v>
      </c>
      <c r="G8" s="843">
        <f>INDEX('Monthly Run-off Change'!$BN:$BN,$C8)</f>
        <v>1</v>
      </c>
      <c r="H8" s="844">
        <f ca="1">SUM(OFFSET('Monthly Run-off Change'!$BR$1,$C8-1,0,1,3))</f>
        <v>9.6000000000000002E-2</v>
      </c>
      <c r="I8" s="845">
        <f ca="1">SUM(OFFSET('Monthly Run-off Change'!$BR$1,$C8-1,0,1,5))</f>
        <v>0.12</v>
      </c>
      <c r="J8" s="841">
        <f ca="1">SUM(OFFSET('Monthly Run-off Change'!$BR$1,$D8-1,0,1,3))</f>
        <v>9.6000000000000002E-2</v>
      </c>
      <c r="K8" s="941">
        <f ca="1">SUM(OFFSET('Monthly Run-off Change'!$BR$1,$D8-1,0,1,5))</f>
        <v>0.12</v>
      </c>
    </row>
    <row r="9" spans="1:11" ht="15">
      <c r="A9" t="s">
        <v>1654</v>
      </c>
      <c r="B9" t="s">
        <v>1354</v>
      </c>
      <c r="C9">
        <f>IFERROR(MATCH(C$3&amp;$A9,'Monthly Run-off Change'!$BI:$BI,0),MATCH(C$3&amp;$B9,'Monthly Run-off Change'!$BI:$BI,0))</f>
        <v>328</v>
      </c>
      <c r="D9">
        <f>IFERROR(MATCH(D$3&amp;$A9,'Monthly Run-off Change'!$BI:$BI,0),MATCH(D$3&amp;$B9,'Monthly Run-off Change'!$BI:$BI,0))</f>
        <v>315</v>
      </c>
      <c r="E9" s="939" t="s">
        <v>1557</v>
      </c>
      <c r="F9" s="838">
        <f>INDEX('Monthly Run-off Change'!$BO:$BO,C9)</f>
        <v>1</v>
      </c>
      <c r="G9" s="839">
        <f>INDEX('Monthly Run-off Change'!$BN:$BN,$C9)</f>
        <v>1.6306161184578012</v>
      </c>
      <c r="H9" s="840">
        <f ca="1">SUM(OFFSET('Monthly Run-off Change'!$BR$1,$C9-1,0,1,3))</f>
        <v>0.15653914737194896</v>
      </c>
      <c r="I9" s="848">
        <f ca="1">SUM(OFFSET('Monthly Run-off Change'!$BR$1,$C9-1,0,1,5))</f>
        <v>0.19567393421493617</v>
      </c>
      <c r="J9" s="841">
        <f ca="1">SUM(OFFSET('Monthly Run-off Change'!$BR$1,$D9-1,0,1,3))</f>
        <v>0.14918391718705948</v>
      </c>
      <c r="K9" s="841">
        <f ca="1">SUM(OFFSET('Monthly Run-off Change'!$BR$1,$D9-1,0,1,5))</f>
        <v>0.18647989648382435</v>
      </c>
    </row>
    <row r="10" spans="1:11" ht="15">
      <c r="A10" t="s">
        <v>2771</v>
      </c>
      <c r="B10" t="s">
        <v>1355</v>
      </c>
      <c r="C10">
        <f>IFERROR(MATCH(C$3&amp;$A10,'Monthly Run-off Change'!$BI:$BI,0),MATCH(C$3&amp;$B10,'Monthly Run-off Change'!$BI:$BI,0))</f>
        <v>335</v>
      </c>
      <c r="D10">
        <f>IFERROR(MATCH(D$3&amp;$A10,'Monthly Run-off Change'!$BI:$BI,0),MATCH(D$3&amp;$B10,'Monthly Run-off Change'!$BI:$BI,0))</f>
        <v>321</v>
      </c>
      <c r="E10" s="940" t="s">
        <v>2770</v>
      </c>
      <c r="F10" s="775">
        <f>INDEX('Monthly Run-off Change'!$BO:$BO,C10)</f>
        <v>1</v>
      </c>
      <c r="G10" s="843">
        <f>INDEX('Monthly Run-off Change'!$BN:$BN,$C10)</f>
        <v>1</v>
      </c>
      <c r="H10" s="844">
        <f ca="1">SUM(OFFSET('Monthly Run-off Change'!$BR$1,$C10-1,0,1,3))</f>
        <v>0.18400000000000005</v>
      </c>
      <c r="I10" s="845">
        <f ca="1">SUM(OFFSET('Monthly Run-off Change'!$BR$1,$C10-1,0,1,5))</f>
        <v>0.23000000000000004</v>
      </c>
      <c r="J10" s="841">
        <f ca="1">SUM(OFFSET('Monthly Run-off Change'!$BR$1,$D10-1,0,1,3))</f>
        <v>0.18400000000000005</v>
      </c>
      <c r="K10" s="941">
        <f ca="1">SUM(OFFSET('Monthly Run-off Change'!$BR$1,$D10-1,0,1,5))</f>
        <v>0.23000000000000004</v>
      </c>
    </row>
    <row r="11" spans="1:11" ht="15">
      <c r="A11" t="s">
        <v>1353</v>
      </c>
      <c r="B11" t="s">
        <v>1353</v>
      </c>
      <c r="C11">
        <f>IFERROR(MATCH(C$3&amp;$A11,'Monthly Run-off Change'!$BI:$BI,0),MATCH(C$3&amp;$B11,'Monthly Run-off Change'!$BI:$BI,0))</f>
        <v>339</v>
      </c>
      <c r="D11">
        <f>IFERROR(MATCH(D$3&amp;$A11,'Monthly Run-off Change'!$BI:$BI,0),MATCH(D$3&amp;$B11,'Monthly Run-off Change'!$BI:$BI,0))</f>
        <v>325</v>
      </c>
      <c r="E11" s="939" t="s">
        <v>1558</v>
      </c>
      <c r="F11" s="838">
        <f>INDEX('Monthly Run-off Change'!$BO:$BO,C11)</f>
        <v>1</v>
      </c>
      <c r="G11" s="839">
        <f>INDEX('Monthly Run-off Change'!$BN:$BN,$C11)</f>
        <v>1</v>
      </c>
      <c r="H11" s="840">
        <f ca="1">SUM(OFFSET('Monthly Run-off Change'!$BR$1,$C11-1,0,1,3))</f>
        <v>0.12</v>
      </c>
      <c r="I11" s="848">
        <f ca="1">SUM(OFFSET('Monthly Run-off Change'!$BR$1,$C11-1,0,1,5))</f>
        <v>0.15000000000000002</v>
      </c>
      <c r="J11" s="841">
        <f ca="1">SUM(OFFSET('Monthly Run-off Change'!$BR$1,$D11-1,0,1,3))</f>
        <v>0.12</v>
      </c>
      <c r="K11" s="841">
        <f ca="1">SUM(OFFSET('Monthly Run-off Change'!$BR$1,$D11-1,0,1,5))</f>
        <v>0.15000000000000002</v>
      </c>
    </row>
    <row r="12" spans="1:11" ht="15">
      <c r="A12" t="s">
        <v>1655</v>
      </c>
      <c r="B12" t="s">
        <v>1353</v>
      </c>
      <c r="C12">
        <f>IFERROR(MATCH(C$3&amp;$A12,'Monthly Run-off Change'!$BI:$BI,0),MATCH(C$3&amp;$B12,'Monthly Run-off Change'!$BI:$BI,0))</f>
        <v>339</v>
      </c>
      <c r="D12">
        <f>IFERROR(MATCH(D$3&amp;$A12,'Monthly Run-off Change'!$BI:$BI,0),MATCH(D$3&amp;$B12,'Monthly Run-off Change'!$BI:$BI,0))</f>
        <v>325</v>
      </c>
      <c r="E12" s="940" t="s">
        <v>1559</v>
      </c>
      <c r="F12" s="775">
        <f>INDEX('Monthly Run-off Change'!$BO:$BO,C12)</f>
        <v>1</v>
      </c>
      <c r="G12" s="843">
        <f>INDEX('Monthly Run-off Change'!$BN:$BN,$C12)</f>
        <v>1</v>
      </c>
      <c r="H12" s="844">
        <f ca="1">SUM(OFFSET('Monthly Run-off Change'!$BR$1,$C12-1,0,1,3))</f>
        <v>0.12</v>
      </c>
      <c r="I12" s="845">
        <f ca="1">SUM(OFFSET('Monthly Run-off Change'!$BR$1,$C12-1,0,1,5))</f>
        <v>0.15000000000000002</v>
      </c>
      <c r="J12" s="841">
        <f ca="1">SUM(OFFSET('Monthly Run-off Change'!$BR$1,$D12-1,0,1,3))</f>
        <v>0.12</v>
      </c>
      <c r="K12" s="941">
        <f ca="1">SUM(OFFSET('Monthly Run-off Change'!$BR$1,$D12-1,0,1,5))</f>
        <v>0.15000000000000002</v>
      </c>
    </row>
    <row r="13" spans="1:11" ht="15">
      <c r="A13" t="s">
        <v>1657</v>
      </c>
      <c r="B13" t="s">
        <v>1355</v>
      </c>
      <c r="C13">
        <f>IFERROR(MATCH(C$3&amp;$A13,'Monthly Run-off Change'!$BI:$BI,0),MATCH(C$3&amp;$B13,'Monthly Run-off Change'!$BI:$BI,0))</f>
        <v>327</v>
      </c>
      <c r="D13">
        <f>IFERROR(MATCH(D$3&amp;$A13,'Monthly Run-off Change'!$BI:$BI,0),MATCH(D$3&amp;$B13,'Monthly Run-off Change'!$BI:$BI,0))</f>
        <v>313</v>
      </c>
      <c r="E13" s="939" t="s">
        <v>1560</v>
      </c>
      <c r="F13" s="838">
        <f>INDEX('Monthly Run-off Change'!$BO:$BO,C13)</f>
        <v>1</v>
      </c>
      <c r="G13" s="839">
        <f>INDEX('Monthly Run-off Change'!$BN:$BN,$C13)</f>
        <v>2</v>
      </c>
      <c r="H13" s="840">
        <f ca="1">SUM(OFFSET('Monthly Run-off Change'!$BR$1,$C13-1,0,1,3))</f>
        <v>0.3680000000000001</v>
      </c>
      <c r="I13" s="848">
        <f ca="1">SUM(OFFSET('Monthly Run-off Change'!$BR$1,$C13-1,0,1,5))</f>
        <v>0.46000000000000008</v>
      </c>
      <c r="J13" s="841">
        <f ca="1">SUM(OFFSET('Monthly Run-off Change'!$BR$1,$D13-1,0,1,3))</f>
        <v>0.3680000000000001</v>
      </c>
      <c r="K13" s="841">
        <f ca="1">SUM(OFFSET('Monthly Run-off Change'!$BR$1,$D13-1,0,1,5))</f>
        <v>0.46000000000000008</v>
      </c>
    </row>
    <row r="14" spans="1:11" ht="15">
      <c r="A14" t="s">
        <v>1658</v>
      </c>
      <c r="B14" t="s">
        <v>1355</v>
      </c>
      <c r="C14">
        <f>IFERROR(MATCH(C$3&amp;$A14,'Monthly Run-off Change'!$BI:$BI,0),MATCH(C$3&amp;$B14,'Monthly Run-off Change'!$BI:$BI,0))</f>
        <v>335</v>
      </c>
      <c r="D14">
        <f>IFERROR(MATCH(D$3&amp;$A14,'Monthly Run-off Change'!$BI:$BI,0),MATCH(D$3&amp;$B14,'Monthly Run-off Change'!$BI:$BI,0))</f>
        <v>318</v>
      </c>
      <c r="E14" s="940" t="s">
        <v>1324</v>
      </c>
      <c r="F14" s="775">
        <f>INDEX('Monthly Run-off Change'!$BO:$BO,C14)</f>
        <v>1</v>
      </c>
      <c r="G14" s="843">
        <f>INDEX('Monthly Run-off Change'!$BN:$BN,$C14)</f>
        <v>1</v>
      </c>
      <c r="H14" s="844">
        <f ca="1">SUM(OFFSET('Monthly Run-off Change'!$BR$1,$C14-1,0,1,3))</f>
        <v>0.18400000000000005</v>
      </c>
      <c r="I14" s="845">
        <f ca="1">SUM(OFFSET('Monthly Run-off Change'!$BR$1,$C14-1,0,1,5))</f>
        <v>0.23000000000000004</v>
      </c>
      <c r="J14" s="841">
        <f ca="1">SUM(OFFSET('Monthly Run-off Change'!$BR$1,$D14-1,0,1,3))</f>
        <v>0.18690115365750362</v>
      </c>
      <c r="K14" s="941">
        <f ca="1">SUM(OFFSET('Monthly Run-off Change'!$BR$1,$D14-1,0,1,5))</f>
        <v>0.23362644207187952</v>
      </c>
    </row>
    <row r="15" spans="1:11" ht="15">
      <c r="A15" t="s">
        <v>1659</v>
      </c>
      <c r="B15" t="s">
        <v>1355</v>
      </c>
      <c r="C15">
        <f>IFERROR(MATCH(C$3&amp;$A15,'Monthly Run-off Change'!$BI:$BI,0),MATCH(C$3&amp;$B15,'Monthly Run-off Change'!$BI:$BI,0))</f>
        <v>329</v>
      </c>
      <c r="D15">
        <f>IFERROR(MATCH(D$3&amp;$A15,'Monthly Run-off Change'!$BI:$BI,0),MATCH(D$3&amp;$B15,'Monthly Run-off Change'!$BI:$BI,0))</f>
        <v>319</v>
      </c>
      <c r="E15" s="939" t="s">
        <v>1320</v>
      </c>
      <c r="F15" s="838">
        <f>INDEX('Monthly Run-off Change'!$BO:$BO,C15)</f>
        <v>0.48145870682978842</v>
      </c>
      <c r="G15" s="839">
        <f>INDEX('Monthly Run-off Change'!$BN:$BN,$C15)</f>
        <v>1.1571595367021805</v>
      </c>
      <c r="H15" s="840">
        <f ca="1">SUM(OFFSET('Monthly Run-off Change'!$BR$1,$C15-1,0,1,3))</f>
        <v>0.4505312157692547</v>
      </c>
      <c r="I15" s="848">
        <f ca="1">SUM(OFFSET('Monthly Run-off Change'!$BR$1,$C15-1,0,1,5))</f>
        <v>0.47615894433952866</v>
      </c>
      <c r="J15" s="841">
        <f ca="1">SUM(OFFSET('Monthly Run-off Change'!$BR$1,$D15-1,0,1,3))</f>
        <v>0.78892784165236429</v>
      </c>
      <c r="K15" s="841">
        <f ca="1">SUM(OFFSET('Monthly Run-off Change'!$BR$1,$D15-1,0,1,5))</f>
        <v>0.78904762200357814</v>
      </c>
    </row>
    <row r="16" spans="1:11" ht="15">
      <c r="A16" t="s">
        <v>1660</v>
      </c>
      <c r="B16" t="s">
        <v>1321</v>
      </c>
      <c r="C16">
        <f>IFERROR(MATCH(C$3&amp;$A16,'Monthly Run-off Change'!$BI:$BI,0),MATCH(C$3&amp;$B16,'Monthly Run-off Change'!$BI:$BI,0))</f>
        <v>334</v>
      </c>
      <c r="D16">
        <f>IFERROR(MATCH(D$3&amp;$A16,'Monthly Run-off Change'!$BI:$BI,0),MATCH(D$3&amp;$B16,'Monthly Run-off Change'!$BI:$BI,0))</f>
        <v>320</v>
      </c>
      <c r="E16" s="940" t="s">
        <v>1321</v>
      </c>
      <c r="F16" s="775">
        <f>INDEX('Monthly Run-off Change'!$BO:$BO,C16)</f>
        <v>1</v>
      </c>
      <c r="G16" s="843">
        <f>INDEX('Monthly Run-off Change'!$BN:$BN,$C16)</f>
        <v>1</v>
      </c>
      <c r="H16" s="844">
        <f ca="1">SUM(OFFSET('Monthly Run-off Change'!$BR$1,$C16-1,0,1,3))</f>
        <v>0.4</v>
      </c>
      <c r="I16" s="845">
        <f ca="1">SUM(OFFSET('Monthly Run-off Change'!$BR$1,$C16-1,0,1,5))</f>
        <v>0.4</v>
      </c>
      <c r="J16" s="841">
        <f ca="1">SUM(OFFSET('Monthly Run-off Change'!$BR$1,$D16-1,0,1,3))</f>
        <v>0.4</v>
      </c>
      <c r="K16" s="941">
        <f ca="1">SUM(OFFSET('Monthly Run-off Change'!$BR$1,$D16-1,0,1,5))</f>
        <v>0.4</v>
      </c>
    </row>
    <row r="17" spans="1:11" ht="15">
      <c r="A17" t="s">
        <v>2808</v>
      </c>
      <c r="B17" t="s">
        <v>1355</v>
      </c>
      <c r="C17">
        <f>IFERROR(MATCH(C$3&amp;$A17,'Monthly Run-off Change'!$BI:$BI,0),MATCH(C$3&amp;$B17,'Monthly Run-off Change'!$BI:$BI,0))</f>
        <v>332</v>
      </c>
      <c r="D17">
        <f>IFERROR(MATCH(D$3&amp;$A17,'Monthly Run-off Change'!$BI:$BI,0),MATCH(D$3&amp;$B17,'Monthly Run-off Change'!$BI:$BI,0))</f>
        <v>321</v>
      </c>
      <c r="E17" s="939" t="s">
        <v>2806</v>
      </c>
      <c r="F17" s="838">
        <f>INDEX('Monthly Run-off Change'!$BO:$BO,C17)</f>
        <v>1</v>
      </c>
      <c r="G17" s="839">
        <f>INDEX('Monthly Run-off Change'!$BN:$BN,$C17)</f>
        <v>1.0781748715214436</v>
      </c>
      <c r="H17" s="840">
        <f ca="1">SUM(OFFSET('Monthly Run-off Change'!$BR$1,$C17-1,0,1,3))</f>
        <v>0.19838417635994565</v>
      </c>
      <c r="I17" s="848">
        <f ca="1">SUM(OFFSET('Monthly Run-off Change'!$BR$1,$C17-1,0,1,5))</f>
        <v>0.24798022044993207</v>
      </c>
      <c r="J17" s="841">
        <f ca="1">SUM(OFFSET('Monthly Run-off Change'!$BR$1,$D17-1,0,1,3))</f>
        <v>0.18400000000000005</v>
      </c>
      <c r="K17" s="841">
        <f ca="1">SUM(OFFSET('Monthly Run-off Change'!$BR$1,$D17-1,0,1,5))</f>
        <v>0.23000000000000004</v>
      </c>
    </row>
    <row r="18" spans="1:11" ht="15">
      <c r="A18" t="s">
        <v>1656</v>
      </c>
      <c r="B18" t="s">
        <v>1355</v>
      </c>
      <c r="C18">
        <f>IFERROR(MATCH(C$3&amp;$A18,'Monthly Run-off Change'!$BI:$BI,0),MATCH(C$3&amp;$B18,'Monthly Run-off Change'!$BI:$BI,0))</f>
        <v>326</v>
      </c>
      <c r="D18">
        <f>IFERROR(MATCH(D$3&amp;$A18,'Monthly Run-off Change'!$BI:$BI,0),MATCH(D$3&amp;$B18,'Monthly Run-off Change'!$BI:$BI,0))</f>
        <v>314</v>
      </c>
      <c r="E18" s="940" t="s">
        <v>1322</v>
      </c>
      <c r="F18" s="775">
        <f>INDEX('Monthly Run-off Change'!$BO:$BO,C18)</f>
        <v>1</v>
      </c>
      <c r="G18" s="849">
        <f>INDEX('Monthly Run-off Change'!$BN:$BN,$C18)</f>
        <v>2</v>
      </c>
      <c r="H18" s="844">
        <f ca="1">SUM(OFFSET('Monthly Run-off Change'!$BR$1,$C18-1,0,1,3))</f>
        <v>0.3680000000000001</v>
      </c>
      <c r="I18" s="845">
        <f ca="1">SUM(OFFSET('Monthly Run-off Change'!$BR$1,$C18-1,0,1,5))</f>
        <v>0.46000000000000008</v>
      </c>
      <c r="J18" s="846">
        <f ca="1">SUM(OFFSET('Monthly Run-off Change'!$BR$1,$D18-1,0,1,3))</f>
        <v>0.32854315791683997</v>
      </c>
      <c r="K18" s="847">
        <f ca="1">SUM(OFFSET('Monthly Run-off Change'!$BR$1,$D18-1,0,1,5))</f>
        <v>0.41067894739604993</v>
      </c>
    </row>
    <row r="19" spans="1:11" ht="15">
      <c r="A19" t="s">
        <v>2817</v>
      </c>
      <c r="B19" t="s">
        <v>1356</v>
      </c>
      <c r="C19">
        <f>IFERROR(MATCH(C$3&amp;$A19,'Monthly Run-off Change'!$BI:$BI,0),MATCH(C$3&amp;$B19,'Monthly Run-off Change'!$BI:$BI,0))</f>
        <v>330</v>
      </c>
      <c r="D19">
        <f>IFERROR(MATCH(D$3&amp;$A19,'Monthly Run-off Change'!$BI:$BI,0),MATCH(D$3&amp;$B19,'Monthly Run-off Change'!$BI:$BI,0))</f>
        <v>322</v>
      </c>
      <c r="E19" s="939" t="s">
        <v>2816</v>
      </c>
      <c r="F19" s="838">
        <f>INDEX('Monthly Run-off Change'!$BO:$BO,C19)</f>
        <v>2.6054783715337357E-6</v>
      </c>
      <c r="G19" s="839">
        <f>INDEX('Monthly Run-off Change'!$BN:$BN,$C19)</f>
        <v>1.1329372075239577</v>
      </c>
      <c r="H19" s="840">
        <f ca="1">SUM(OFFSET('Monthly Run-off Change'!$BR$1,$C19-1,0,1,3))</f>
        <v>0.25377755664941254</v>
      </c>
      <c r="I19" s="848">
        <f ca="1">SUM(OFFSET('Monthly Run-off Change'!$BR$1,$C19-1,0,1,5))</f>
        <v>0.31722206388550128</v>
      </c>
      <c r="J19" s="841">
        <f ca="1">SUM(OFFSET('Monthly Run-off Change'!$BR$1,$D19-1,0,1,3))</f>
        <v>0.13382640007044133</v>
      </c>
      <c r="K19" s="841">
        <f ca="1">SUM(OFFSET('Monthly Run-off Change'!$BR$1,$D19-1,0,1,5))</f>
        <v>0.19546225006603879</v>
      </c>
    </row>
    <row r="24" spans="1:11" ht="15">
      <c r="A24" t="s">
        <v>1665</v>
      </c>
      <c r="B24" t="s">
        <v>1354</v>
      </c>
      <c r="C24">
        <f>IFERROR(MATCH(C$3&amp;$A24,'Monthly Run-off Change'!$BI:$BI,0),MATCH(C$3&amp;$B24,'Monthly Run-off Change'!$BI:$BI,0))</f>
        <v>338</v>
      </c>
      <c r="D24">
        <f>IFERROR(MATCH(D$3&amp;$A24,'Monthly Run-off Change'!$BI:$BI,0),MATCH(D$3&amp;$B24,'Monthly Run-off Change'!$BI:$BI,0))</f>
        <v>324</v>
      </c>
      <c r="E24" s="940" t="s">
        <v>1666</v>
      </c>
      <c r="F24" s="775">
        <f>INDEX('Monthly Run-off Change'!$BO:$BO,C24)</f>
        <v>1</v>
      </c>
      <c r="G24" s="843">
        <f>INDEX('Monthly Run-off Change'!$BN:$BN,$C24)</f>
        <v>1</v>
      </c>
      <c r="H24" s="844">
        <f ca="1">SUM(OFFSET('Monthly Run-off Change'!$BR$1,$C24-1,0,1,3))</f>
        <v>9.6000000000000002E-2</v>
      </c>
      <c r="I24" s="845">
        <f ca="1">SUM(OFFSET('Monthly Run-off Change'!$BR$1,$C24-1,0,1,5))</f>
        <v>0.12</v>
      </c>
      <c r="J24" s="841">
        <f ca="1">SUM(OFFSET('Monthly Run-off Change'!$BR$1,$D24-1,0,1,3))</f>
        <v>9.6000000000000002E-2</v>
      </c>
      <c r="K24" s="941">
        <f ca="1">SUM(OFFSET('Monthly Run-off Change'!$BR$1,$D24-1,0,1,5))</f>
        <v>0.12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sheetPr>
  <dimension ref="A1:L17"/>
  <sheetViews>
    <sheetView tabSelected="1" workbookViewId="0"/>
  </sheetViews>
  <sheetFormatPr defaultRowHeight="14.25"/>
  <cols>
    <col min="1" max="1" width="23.75" bestFit="1" customWidth="1"/>
    <col min="2" max="2" width="16.125" customWidth="1"/>
    <col min="3" max="3" width="16.125" style="837" customWidth="1"/>
    <col min="4" max="7" width="14.375" customWidth="1"/>
  </cols>
  <sheetData>
    <row r="1" spans="1:12" ht="15.75">
      <c r="D1" s="935" t="s">
        <v>2807</v>
      </c>
      <c r="F1" s="935" t="s">
        <v>2797</v>
      </c>
      <c r="G1" s="935"/>
    </row>
    <row r="2" spans="1:12" ht="45">
      <c r="A2" s="936" t="s">
        <v>1548</v>
      </c>
      <c r="B2" s="937" t="s">
        <v>1549</v>
      </c>
      <c r="C2" s="938" t="s">
        <v>1550</v>
      </c>
      <c r="D2" s="937" t="s">
        <v>1551</v>
      </c>
      <c r="E2" s="937" t="s">
        <v>1552</v>
      </c>
      <c r="F2" s="937" t="s">
        <v>1551</v>
      </c>
      <c r="G2" s="937" t="s">
        <v>1552</v>
      </c>
    </row>
    <row r="3" spans="1:12" ht="15">
      <c r="A3" s="939" t="s">
        <v>1553</v>
      </c>
      <c r="B3" s="838">
        <v>1</v>
      </c>
      <c r="C3" s="839">
        <v>1</v>
      </c>
      <c r="D3" s="840">
        <v>9.6000000000000002E-2</v>
      </c>
      <c r="E3" s="848">
        <v>0.16</v>
      </c>
      <c r="F3" s="841">
        <v>0.13382640007044133</v>
      </c>
      <c r="G3" s="841">
        <v>0.19546225006603879</v>
      </c>
      <c r="K3" s="842"/>
      <c r="L3" s="842"/>
    </row>
    <row r="4" spans="1:12" ht="15">
      <c r="A4" s="940" t="s">
        <v>1554</v>
      </c>
      <c r="B4" s="775">
        <v>1</v>
      </c>
      <c r="C4" s="843">
        <v>1</v>
      </c>
      <c r="D4" s="844">
        <v>0.08</v>
      </c>
      <c r="E4" s="845">
        <v>0.16</v>
      </c>
      <c r="F4" s="841">
        <v>0.08</v>
      </c>
      <c r="G4" s="941">
        <v>0.16</v>
      </c>
      <c r="K4" s="842"/>
      <c r="L4" s="842"/>
    </row>
    <row r="5" spans="1:12" ht="15">
      <c r="A5" s="939" t="s">
        <v>1555</v>
      </c>
      <c r="B5" s="838">
        <v>1</v>
      </c>
      <c r="C5" s="839">
        <v>1</v>
      </c>
      <c r="D5" s="840">
        <v>0.18400000000000005</v>
      </c>
      <c r="E5" s="848">
        <v>0.23000000000000004</v>
      </c>
      <c r="F5" s="841">
        <v>0.18400000000000005</v>
      </c>
      <c r="G5" s="841">
        <v>0.23000000000000004</v>
      </c>
      <c r="K5" s="842"/>
      <c r="L5" s="842"/>
    </row>
    <row r="6" spans="1:12" ht="15">
      <c r="A6" s="940" t="s">
        <v>1556</v>
      </c>
      <c r="B6" s="775">
        <v>1</v>
      </c>
      <c r="C6" s="843">
        <v>1</v>
      </c>
      <c r="D6" s="844">
        <v>9.6000000000000002E-2</v>
      </c>
      <c r="E6" s="845">
        <v>0.12</v>
      </c>
      <c r="F6" s="841">
        <v>9.6000000000000002E-2</v>
      </c>
      <c r="G6" s="941">
        <v>0.12</v>
      </c>
      <c r="K6" s="842"/>
      <c r="L6" s="842"/>
    </row>
    <row r="7" spans="1:12" ht="15">
      <c r="A7" s="939" t="s">
        <v>1557</v>
      </c>
      <c r="B7" s="838">
        <v>1</v>
      </c>
      <c r="C7" s="839">
        <v>1.6306161184578012</v>
      </c>
      <c r="D7" s="840">
        <v>0.15653914737194896</v>
      </c>
      <c r="E7" s="848">
        <v>0.19567393421493617</v>
      </c>
      <c r="F7" s="841">
        <v>0.14918391718705948</v>
      </c>
      <c r="G7" s="841">
        <v>0.18647989648382435</v>
      </c>
      <c r="K7" s="842"/>
      <c r="L7" s="842"/>
    </row>
    <row r="8" spans="1:12" ht="15">
      <c r="A8" s="940" t="s">
        <v>2770</v>
      </c>
      <c r="B8" s="775">
        <v>1</v>
      </c>
      <c r="C8" s="843">
        <v>1</v>
      </c>
      <c r="D8" s="844">
        <v>0.18400000000000005</v>
      </c>
      <c r="E8" s="845">
        <v>0.23000000000000004</v>
      </c>
      <c r="F8" s="841">
        <v>0.18400000000000005</v>
      </c>
      <c r="G8" s="941">
        <v>0.23000000000000004</v>
      </c>
      <c r="K8" s="842"/>
      <c r="L8" s="842"/>
    </row>
    <row r="9" spans="1:12" ht="15">
      <c r="A9" s="939" t="s">
        <v>1558</v>
      </c>
      <c r="B9" s="838">
        <v>1</v>
      </c>
      <c r="C9" s="839">
        <v>1</v>
      </c>
      <c r="D9" s="840">
        <v>0.12</v>
      </c>
      <c r="E9" s="848">
        <v>0.15000000000000002</v>
      </c>
      <c r="F9" s="841">
        <v>0.12</v>
      </c>
      <c r="G9" s="841">
        <v>0.15000000000000002</v>
      </c>
      <c r="K9" s="842"/>
      <c r="L9" s="842"/>
    </row>
    <row r="10" spans="1:12" ht="15">
      <c r="A10" s="940" t="s">
        <v>1559</v>
      </c>
      <c r="B10" s="775">
        <v>1</v>
      </c>
      <c r="C10" s="843">
        <v>1</v>
      </c>
      <c r="D10" s="844">
        <v>0.12</v>
      </c>
      <c r="E10" s="845">
        <v>0.15000000000000002</v>
      </c>
      <c r="F10" s="841">
        <v>0.12</v>
      </c>
      <c r="G10" s="941">
        <v>0.15000000000000002</v>
      </c>
      <c r="K10" s="842"/>
      <c r="L10" s="842"/>
    </row>
    <row r="11" spans="1:12" ht="15">
      <c r="A11" s="939" t="s">
        <v>1560</v>
      </c>
      <c r="B11" s="838">
        <v>1</v>
      </c>
      <c r="C11" s="839">
        <v>2</v>
      </c>
      <c r="D11" s="840">
        <v>0.3680000000000001</v>
      </c>
      <c r="E11" s="848">
        <v>0.46000000000000008</v>
      </c>
      <c r="F11" s="841">
        <v>0.3680000000000001</v>
      </c>
      <c r="G11" s="841">
        <v>0.46000000000000008</v>
      </c>
      <c r="K11" s="842"/>
      <c r="L11" s="842"/>
    </row>
    <row r="12" spans="1:12" ht="15">
      <c r="A12" s="940" t="s">
        <v>1324</v>
      </c>
      <c r="B12" s="775">
        <v>1</v>
      </c>
      <c r="C12" s="843">
        <v>1</v>
      </c>
      <c r="D12" s="844">
        <v>0.18400000000000005</v>
      </c>
      <c r="E12" s="845">
        <v>0.23000000000000004</v>
      </c>
      <c r="F12" s="841">
        <v>0.18690115365750362</v>
      </c>
      <c r="G12" s="941">
        <v>0.23362644207187952</v>
      </c>
      <c r="K12" s="842"/>
      <c r="L12" s="842"/>
    </row>
    <row r="13" spans="1:12" ht="15">
      <c r="A13" s="939" t="s">
        <v>1320</v>
      </c>
      <c r="B13" s="838">
        <v>0.48145870682978842</v>
      </c>
      <c r="C13" s="839">
        <v>1.1571595367021805</v>
      </c>
      <c r="D13" s="840">
        <v>0.4505312157692547</v>
      </c>
      <c r="E13" s="848">
        <v>0.47615894433952866</v>
      </c>
      <c r="F13" s="841">
        <v>0.78892784165236429</v>
      </c>
      <c r="G13" s="841">
        <v>0.78904762200357814</v>
      </c>
      <c r="K13" s="842"/>
      <c r="L13" s="842"/>
    </row>
    <row r="14" spans="1:12" ht="15">
      <c r="A14" s="940" t="s">
        <v>1321</v>
      </c>
      <c r="B14" s="775">
        <v>1</v>
      </c>
      <c r="C14" s="843">
        <v>1</v>
      </c>
      <c r="D14" s="844">
        <v>0.4</v>
      </c>
      <c r="E14" s="845">
        <v>0.4</v>
      </c>
      <c r="F14" s="841">
        <v>0.4</v>
      </c>
      <c r="G14" s="941">
        <v>0.4</v>
      </c>
      <c r="K14" s="842"/>
      <c r="L14" s="842"/>
    </row>
    <row r="15" spans="1:12" ht="15">
      <c r="A15" s="939" t="s">
        <v>2806</v>
      </c>
      <c r="B15" s="838">
        <v>1</v>
      </c>
      <c r="C15" s="839">
        <v>1.0781748715214436</v>
      </c>
      <c r="D15" s="840">
        <v>0.19838417635994565</v>
      </c>
      <c r="E15" s="848">
        <v>0.24798022044993207</v>
      </c>
      <c r="F15" s="841">
        <v>0.18400000000000005</v>
      </c>
      <c r="G15" s="841">
        <v>0.23000000000000004</v>
      </c>
      <c r="K15" s="842"/>
      <c r="L15" s="842"/>
    </row>
    <row r="16" spans="1:12" ht="15">
      <c r="A16" s="940" t="s">
        <v>1322</v>
      </c>
      <c r="B16" s="775">
        <v>1</v>
      </c>
      <c r="C16" s="973">
        <v>2</v>
      </c>
      <c r="D16" s="844">
        <v>0.3680000000000001</v>
      </c>
      <c r="E16" s="845">
        <v>0.46000000000000008</v>
      </c>
      <c r="F16" s="846">
        <v>0.32854315791683997</v>
      </c>
      <c r="G16" s="941">
        <v>0.41067894739604993</v>
      </c>
      <c r="K16" s="842"/>
      <c r="L16" s="842"/>
    </row>
    <row r="17" spans="1:7" ht="15">
      <c r="A17" s="939" t="s">
        <v>2816</v>
      </c>
      <c r="B17" s="838">
        <v>2.6054783715337357E-6</v>
      </c>
      <c r="C17" s="839">
        <v>1.1329372075239577</v>
      </c>
      <c r="D17" s="840">
        <v>0.25377755664941254</v>
      </c>
      <c r="E17" s="848">
        <v>0.31722206388550128</v>
      </c>
      <c r="F17" s="841">
        <v>0.13382640007044133</v>
      </c>
      <c r="G17" s="841">
        <v>0.19546225006603879</v>
      </c>
    </row>
  </sheetData>
  <pageMargins left="0.7" right="0.7" top="0.75" bottom="0.75" header="0.3" footer="0.3"/>
  <pageSetup scale="80"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0070C0"/>
    <pageSetUpPr fitToPage="1"/>
  </sheetPr>
  <dimension ref="A1:M104"/>
  <sheetViews>
    <sheetView zoomScale="70" zoomScaleNormal="70" workbookViewId="0">
      <selection activeCell="G17" sqref="A1:G17"/>
    </sheetView>
  </sheetViews>
  <sheetFormatPr defaultRowHeight="14.25"/>
  <cols>
    <col min="1" max="1" width="13.75" style="479" customWidth="1"/>
    <col min="2" max="2" width="56.875" style="2" customWidth="1"/>
    <col min="3" max="3" width="26" style="443" customWidth="1"/>
    <col min="4" max="4" width="12" style="2" bestFit="1" customWidth="1"/>
    <col min="5" max="5" width="12" style="2" customWidth="1"/>
    <col min="6" max="6" width="17.5" style="443" bestFit="1" customWidth="1"/>
    <col min="7" max="7" width="15.375" style="443" bestFit="1" customWidth="1"/>
    <col min="8" max="9" width="14.875" customWidth="1"/>
    <col min="10" max="10" width="16.75" customWidth="1"/>
    <col min="11" max="12" width="14.875" customWidth="1"/>
    <col min="13" max="13" width="16.75" customWidth="1"/>
  </cols>
  <sheetData>
    <row r="1" spans="1:13" ht="18.75">
      <c r="B1" s="483" t="s">
        <v>1561</v>
      </c>
      <c r="C1" s="850" t="s">
        <v>1562</v>
      </c>
    </row>
    <row r="2" spans="1:13" ht="18.75">
      <c r="B2" s="483" t="s">
        <v>1563</v>
      </c>
      <c r="C2" s="851">
        <v>43465</v>
      </c>
    </row>
    <row r="3" spans="1:13" ht="40.5" customHeight="1">
      <c r="B3" s="483" t="s">
        <v>2813</v>
      </c>
      <c r="C3" s="853">
        <f>IF(F8&gt;0,F8,0)</f>
        <v>10310.937339481861</v>
      </c>
      <c r="D3" s="483" t="s">
        <v>1564</v>
      </c>
      <c r="E3" s="854">
        <f>F8-I8</f>
        <v>217.04913337149264</v>
      </c>
      <c r="F3"/>
      <c r="G3"/>
      <c r="H3" s="887"/>
    </row>
    <row r="4" spans="1:13" ht="37.5">
      <c r="B4" s="483" t="s">
        <v>2814</v>
      </c>
      <c r="C4" s="853">
        <f>G8</f>
        <v>5680.9505530107053</v>
      </c>
      <c r="D4" s="483" t="s">
        <v>1564</v>
      </c>
      <c r="E4" s="854">
        <f>G8-J8</f>
        <v>-20.597971129287544</v>
      </c>
      <c r="F4"/>
      <c r="G4"/>
    </row>
    <row r="5" spans="1:13" ht="18.75">
      <c r="B5" s="483" t="s">
        <v>2765</v>
      </c>
      <c r="C5" s="963">
        <v>0.45454398452447636</v>
      </c>
      <c r="F5" s="654"/>
      <c r="G5" s="654"/>
    </row>
    <row r="6" spans="1:13">
      <c r="F6" s="852"/>
      <c r="H6" s="982" t="s">
        <v>1565</v>
      </c>
      <c r="I6" s="982"/>
      <c r="J6" s="982"/>
    </row>
    <row r="7" spans="1:13" ht="45">
      <c r="A7" s="855"/>
      <c r="B7" s="856" t="s">
        <v>1212</v>
      </c>
      <c r="C7" s="856" t="s">
        <v>2812</v>
      </c>
      <c r="D7" s="857" t="s">
        <v>1349</v>
      </c>
      <c r="E7" s="857" t="s">
        <v>1350</v>
      </c>
      <c r="F7" s="856" t="s">
        <v>1210</v>
      </c>
      <c r="G7" s="858" t="s">
        <v>1348</v>
      </c>
      <c r="H7" s="856" t="s">
        <v>2812</v>
      </c>
      <c r="I7" s="856" t="s">
        <v>1210</v>
      </c>
      <c r="J7" s="858" t="s">
        <v>1348</v>
      </c>
      <c r="K7" s="856" t="s">
        <v>1566</v>
      </c>
      <c r="L7" s="856" t="s">
        <v>1567</v>
      </c>
      <c r="M7" s="858" t="s">
        <v>1568</v>
      </c>
    </row>
    <row r="8" spans="1:13" ht="15" customHeight="1">
      <c r="A8" s="691" t="s">
        <v>1470</v>
      </c>
      <c r="B8" s="660" t="s">
        <v>1441</v>
      </c>
      <c r="C8" s="661">
        <v>32995.072847883108</v>
      </c>
      <c r="D8" s="660"/>
      <c r="E8" s="660"/>
      <c r="F8" s="661">
        <v>10310.937339481861</v>
      </c>
      <c r="G8" s="859">
        <v>5680.9505530107053</v>
      </c>
      <c r="H8" s="661">
        <v>17864.350646730793</v>
      </c>
      <c r="I8" s="661">
        <v>10093.888206110369</v>
      </c>
      <c r="J8" s="859">
        <v>5701.5485241399929</v>
      </c>
      <c r="K8" s="661"/>
      <c r="L8" s="661">
        <f t="shared" ref="L8:M42" si="0">F8-I8</f>
        <v>217.04913337149264</v>
      </c>
      <c r="M8" s="859">
        <f t="shared" si="0"/>
        <v>-20.597971129287544</v>
      </c>
    </row>
    <row r="9" spans="1:13">
      <c r="A9" s="697">
        <v>2.1</v>
      </c>
      <c r="B9" s="663" t="s">
        <v>1229</v>
      </c>
      <c r="C9" s="664">
        <v>424.33800000000002</v>
      </c>
      <c r="D9" s="663"/>
      <c r="E9" s="663"/>
      <c r="F9" s="664">
        <v>424.33800000000002</v>
      </c>
      <c r="G9" s="860">
        <v>301.40848244025739</v>
      </c>
      <c r="H9" s="664">
        <v>387.50299999999999</v>
      </c>
      <c r="I9" s="664">
        <v>387.50299999999999</v>
      </c>
      <c r="J9" s="860">
        <v>279.92824101678247</v>
      </c>
      <c r="K9" s="664">
        <f t="shared" ref="K9:K79" si="1">C9-H9</f>
        <v>36.835000000000036</v>
      </c>
      <c r="L9" s="664">
        <f t="shared" si="0"/>
        <v>36.835000000000036</v>
      </c>
      <c r="M9" s="860">
        <f t="shared" si="0"/>
        <v>21.480241423474922</v>
      </c>
    </row>
    <row r="10" spans="1:13">
      <c r="A10" s="861">
        <v>3.1</v>
      </c>
      <c r="B10" s="666" t="s">
        <v>17</v>
      </c>
      <c r="C10" s="651">
        <v>1476.8092643599998</v>
      </c>
      <c r="D10" s="667">
        <v>0.5</v>
      </c>
      <c r="E10" s="667">
        <v>0.5</v>
      </c>
      <c r="F10" s="651">
        <v>1311.9046321799999</v>
      </c>
      <c r="G10" s="862">
        <v>1286.9046321799999</v>
      </c>
      <c r="H10" s="651">
        <v>1200.3251450400001</v>
      </c>
      <c r="I10" s="651">
        <v>1173.6625725200001</v>
      </c>
      <c r="J10" s="862">
        <v>1148.6625725200001</v>
      </c>
      <c r="K10" s="651">
        <f t="shared" si="1"/>
        <v>276.48411931999976</v>
      </c>
      <c r="L10" s="651">
        <f t="shared" si="0"/>
        <v>138.24205965999977</v>
      </c>
      <c r="M10" s="862">
        <f t="shared" si="0"/>
        <v>138.24205965999977</v>
      </c>
    </row>
    <row r="11" spans="1:13">
      <c r="A11" s="863">
        <v>3.2</v>
      </c>
      <c r="B11" s="663" t="s">
        <v>37</v>
      </c>
      <c r="C11" s="664">
        <v>2.440110439999847</v>
      </c>
      <c r="D11" s="669">
        <v>1</v>
      </c>
      <c r="E11" s="669">
        <v>1</v>
      </c>
      <c r="F11" s="664">
        <v>0</v>
      </c>
      <c r="G11" s="860">
        <v>0</v>
      </c>
      <c r="H11" s="664">
        <v>2.8646298800015257</v>
      </c>
      <c r="I11" s="664">
        <v>0</v>
      </c>
      <c r="J11" s="860">
        <v>0</v>
      </c>
      <c r="K11" s="664">
        <f t="shared" si="1"/>
        <v>-0.42451944000167874</v>
      </c>
      <c r="L11" s="664">
        <f t="shared" si="0"/>
        <v>0</v>
      </c>
      <c r="M11" s="860">
        <f t="shared" si="0"/>
        <v>0</v>
      </c>
    </row>
    <row r="12" spans="1:13">
      <c r="A12" s="864">
        <v>4</v>
      </c>
      <c r="B12" s="666" t="s">
        <v>1468</v>
      </c>
      <c r="C12" s="651">
        <v>3561.1634352277601</v>
      </c>
      <c r="D12" s="667">
        <v>0</v>
      </c>
      <c r="E12" s="667">
        <v>0</v>
      </c>
      <c r="F12" s="651">
        <v>3561.1634352277601</v>
      </c>
      <c r="G12" s="862">
        <v>3561.1634352277601</v>
      </c>
      <c r="H12" s="651">
        <v>3571.1110222443599</v>
      </c>
      <c r="I12" s="651">
        <v>3571.1110222443599</v>
      </c>
      <c r="J12" s="862">
        <v>3571.1110222443599</v>
      </c>
      <c r="K12" s="651">
        <f t="shared" si="1"/>
        <v>-9.9475870165997549</v>
      </c>
      <c r="L12" s="651">
        <f t="shared" si="0"/>
        <v>-9.9475870165997549</v>
      </c>
      <c r="M12" s="862">
        <f t="shared" si="0"/>
        <v>-9.9475870165997549</v>
      </c>
    </row>
    <row r="13" spans="1:13">
      <c r="A13" s="697">
        <v>4.0999999999999996</v>
      </c>
      <c r="B13" s="663" t="s">
        <v>1469</v>
      </c>
      <c r="C13" s="664">
        <v>71.375344239133028</v>
      </c>
      <c r="D13" s="669">
        <v>0</v>
      </c>
      <c r="E13" s="669">
        <v>0</v>
      </c>
      <c r="F13" s="664">
        <v>71.375344239133028</v>
      </c>
      <c r="G13" s="860">
        <v>71.375344239133028</v>
      </c>
      <c r="H13" s="664">
        <v>71.621177814842667</v>
      </c>
      <c r="I13" s="664">
        <v>71.621177814842667</v>
      </c>
      <c r="J13" s="860">
        <v>71.621177814842667</v>
      </c>
      <c r="K13" s="664">
        <f t="shared" si="1"/>
        <v>-0.24583357570963926</v>
      </c>
      <c r="L13" s="664">
        <f t="shared" si="0"/>
        <v>-0.24583357570963926</v>
      </c>
      <c r="M13" s="860">
        <f t="shared" si="0"/>
        <v>-0.24583357570963926</v>
      </c>
    </row>
    <row r="14" spans="1:13">
      <c r="A14" s="864" t="s">
        <v>1059</v>
      </c>
      <c r="B14" s="666" t="s">
        <v>1043</v>
      </c>
      <c r="C14" s="651">
        <v>5631.5663244500001</v>
      </c>
      <c r="D14" s="667">
        <v>0.5</v>
      </c>
      <c r="E14" s="667">
        <v>0.5</v>
      </c>
      <c r="F14" s="651">
        <v>5601.5663244449997</v>
      </c>
      <c r="G14" s="862">
        <v>5601.5663244449997</v>
      </c>
      <c r="H14" s="651">
        <v>5618.4839664900019</v>
      </c>
      <c r="I14" s="651">
        <v>5588.4839664900019</v>
      </c>
      <c r="J14" s="862">
        <v>5588.4839664900019</v>
      </c>
      <c r="K14" s="651">
        <f t="shared" si="1"/>
        <v>13.082357959998262</v>
      </c>
      <c r="L14" s="651">
        <f t="shared" si="0"/>
        <v>13.08235795499786</v>
      </c>
      <c r="M14" s="862">
        <f t="shared" si="0"/>
        <v>13.08235795499786</v>
      </c>
    </row>
    <row r="15" spans="1:13">
      <c r="A15" s="697" t="s">
        <v>1060</v>
      </c>
      <c r="B15" s="663" t="s">
        <v>1044</v>
      </c>
      <c r="C15" s="664">
        <v>1355.7736293799999</v>
      </c>
      <c r="D15" s="669">
        <v>0.5</v>
      </c>
      <c r="E15" s="669">
        <v>0.5</v>
      </c>
      <c r="F15" s="664">
        <v>1355.7736293799999</v>
      </c>
      <c r="G15" s="860">
        <v>1355.7736293799999</v>
      </c>
      <c r="H15" s="664">
        <v>1366.9944549399997</v>
      </c>
      <c r="I15" s="664">
        <v>1366.9944549399997</v>
      </c>
      <c r="J15" s="860">
        <v>1366.9944549399997</v>
      </c>
      <c r="K15" s="664">
        <f t="shared" si="1"/>
        <v>-11.220825559999867</v>
      </c>
      <c r="L15" s="664">
        <f t="shared" si="0"/>
        <v>-11.220825559999867</v>
      </c>
      <c r="M15" s="860">
        <f t="shared" si="0"/>
        <v>-11.220825559999867</v>
      </c>
    </row>
    <row r="16" spans="1:13">
      <c r="A16" s="864" t="s">
        <v>1061</v>
      </c>
      <c r="B16" s="666" t="s">
        <v>1055</v>
      </c>
      <c r="C16" s="651">
        <v>2136.7882296600001</v>
      </c>
      <c r="D16" s="667">
        <v>0.5</v>
      </c>
      <c r="E16" s="667">
        <v>0.5</v>
      </c>
      <c r="F16" s="651">
        <v>2106.7882296600001</v>
      </c>
      <c r="G16" s="862">
        <v>2106.7882296600001</v>
      </c>
      <c r="H16" s="651">
        <v>2136.7882296600001</v>
      </c>
      <c r="I16" s="651">
        <v>2106.7882296600001</v>
      </c>
      <c r="J16" s="862">
        <v>2106.7882296600001</v>
      </c>
      <c r="K16" s="651">
        <f t="shared" si="1"/>
        <v>0</v>
      </c>
      <c r="L16" s="651">
        <f t="shared" si="0"/>
        <v>0</v>
      </c>
      <c r="M16" s="862">
        <f t="shared" si="0"/>
        <v>0</v>
      </c>
    </row>
    <row r="17" spans="1:13">
      <c r="A17" s="697" t="s">
        <v>1063</v>
      </c>
      <c r="B17" s="663" t="s">
        <v>1057</v>
      </c>
      <c r="C17" s="664">
        <v>929.72933477999993</v>
      </c>
      <c r="D17" s="669">
        <v>0.5</v>
      </c>
      <c r="E17" s="669">
        <v>0.5</v>
      </c>
      <c r="F17" s="664">
        <v>929.72902574999989</v>
      </c>
      <c r="G17" s="860">
        <v>929.72902574999989</v>
      </c>
      <c r="H17" s="664">
        <v>929.72871672000008</v>
      </c>
      <c r="I17" s="664">
        <v>929.72871672000008</v>
      </c>
      <c r="J17" s="860">
        <v>929.72871672000008</v>
      </c>
      <c r="K17" s="664">
        <f t="shared" si="1"/>
        <v>6.1805999985153903E-4</v>
      </c>
      <c r="L17" s="664">
        <f t="shared" si="0"/>
        <v>3.0902999981208268E-4</v>
      </c>
      <c r="M17" s="860">
        <f t="shared" si="0"/>
        <v>3.0902999981208268E-4</v>
      </c>
    </row>
    <row r="18" spans="1:13">
      <c r="A18" s="864" t="s">
        <v>1064</v>
      </c>
      <c r="B18" s="666" t="s">
        <v>1056</v>
      </c>
      <c r="C18" s="651">
        <v>1872.3040158399999</v>
      </c>
      <c r="D18" s="667">
        <v>0.5</v>
      </c>
      <c r="E18" s="667">
        <v>0.5</v>
      </c>
      <c r="F18" s="651">
        <v>1872.3040158399999</v>
      </c>
      <c r="G18" s="862">
        <v>1595.48401584</v>
      </c>
      <c r="H18" s="651">
        <v>1872.3040158399999</v>
      </c>
      <c r="I18" s="651">
        <v>1872.3040158399999</v>
      </c>
      <c r="J18" s="862">
        <v>1595.48401584</v>
      </c>
      <c r="K18" s="651">
        <f t="shared" si="1"/>
        <v>0</v>
      </c>
      <c r="L18" s="651">
        <f t="shared" si="0"/>
        <v>0</v>
      </c>
      <c r="M18" s="862">
        <f t="shared" si="0"/>
        <v>0</v>
      </c>
    </row>
    <row r="19" spans="1:13">
      <c r="A19" s="697">
        <v>5.3</v>
      </c>
      <c r="B19" s="663" t="s">
        <v>1017</v>
      </c>
      <c r="C19" s="664">
        <v>6249.8529878100026</v>
      </c>
      <c r="D19" s="669">
        <v>0.5</v>
      </c>
      <c r="E19" s="669">
        <v>0.5</v>
      </c>
      <c r="F19" s="664">
        <v>6242.6562931600029</v>
      </c>
      <c r="G19" s="860">
        <v>6040.3115754100027</v>
      </c>
      <c r="H19" s="664">
        <v>6326.7512984500017</v>
      </c>
      <c r="I19" s="664">
        <v>6278.1398894950016</v>
      </c>
      <c r="J19" s="860">
        <v>6079.3280039600013</v>
      </c>
      <c r="K19" s="664">
        <f t="shared" si="1"/>
        <v>-76.898310639999181</v>
      </c>
      <c r="L19" s="664">
        <f t="shared" si="0"/>
        <v>-35.483596334998765</v>
      </c>
      <c r="M19" s="860">
        <f t="shared" si="0"/>
        <v>-39.016428549998636</v>
      </c>
    </row>
    <row r="20" spans="1:13">
      <c r="A20" s="864" t="s">
        <v>1066</v>
      </c>
      <c r="B20" s="666" t="s">
        <v>990</v>
      </c>
      <c r="C20" s="651">
        <v>191.75120747000003</v>
      </c>
      <c r="D20" s="667">
        <v>0.5</v>
      </c>
      <c r="E20" s="667">
        <v>0.5</v>
      </c>
      <c r="F20" s="651">
        <v>161.84738332500001</v>
      </c>
      <c r="G20" s="862">
        <v>147.13593123500002</v>
      </c>
      <c r="H20" s="651">
        <v>191.74969132000001</v>
      </c>
      <c r="I20" s="651">
        <v>161.845867185</v>
      </c>
      <c r="J20" s="862">
        <v>147.13441509500001</v>
      </c>
      <c r="K20" s="651">
        <f t="shared" si="1"/>
        <v>1.5161500000147043E-3</v>
      </c>
      <c r="L20" s="651">
        <f t="shared" si="0"/>
        <v>1.5161400000067715E-3</v>
      </c>
      <c r="M20" s="862">
        <f t="shared" si="0"/>
        <v>1.5161400000067715E-3</v>
      </c>
    </row>
    <row r="21" spans="1:13">
      <c r="A21" s="697" t="s">
        <v>1067</v>
      </c>
      <c r="B21" s="663" t="s">
        <v>991</v>
      </c>
      <c r="C21" s="664">
        <v>2643.1710078999999</v>
      </c>
      <c r="D21" s="669">
        <v>0.5</v>
      </c>
      <c r="E21" s="669">
        <v>0.5</v>
      </c>
      <c r="F21" s="664">
        <v>2574.3165363849998</v>
      </c>
      <c r="G21" s="860">
        <v>2505.7694709449997</v>
      </c>
      <c r="H21" s="664">
        <v>2644.5063972900002</v>
      </c>
      <c r="I21" s="664">
        <v>2574.9842310800004</v>
      </c>
      <c r="J21" s="860">
        <v>2506.4371656400003</v>
      </c>
      <c r="K21" s="664">
        <f t="shared" si="1"/>
        <v>-1.3353893900002731</v>
      </c>
      <c r="L21" s="664">
        <f t="shared" si="0"/>
        <v>-0.66769469500059131</v>
      </c>
      <c r="M21" s="860">
        <f t="shared" si="0"/>
        <v>-0.66769469500059131</v>
      </c>
    </row>
    <row r="22" spans="1:13">
      <c r="A22" s="864" t="s">
        <v>1156</v>
      </c>
      <c r="B22" s="666" t="s">
        <v>1065</v>
      </c>
      <c r="C22" s="651">
        <v>1550.08623592</v>
      </c>
      <c r="D22" s="667">
        <v>1</v>
      </c>
      <c r="E22" s="667">
        <v>1</v>
      </c>
      <c r="F22" s="651">
        <v>1511.04301839</v>
      </c>
      <c r="G22" s="862">
        <v>1451.03435023</v>
      </c>
      <c r="H22" s="651">
        <v>1558.3629533600003</v>
      </c>
      <c r="I22" s="651">
        <v>1511.1253809800003</v>
      </c>
      <c r="J22" s="862">
        <v>1451.1167128200004</v>
      </c>
      <c r="K22" s="651">
        <f t="shared" si="1"/>
        <v>-8.2767174400003114</v>
      </c>
      <c r="L22" s="651">
        <f t="shared" si="0"/>
        <v>-8.2362590000229829E-2</v>
      </c>
      <c r="M22" s="862">
        <f t="shared" si="0"/>
        <v>-8.2362590000457203E-2</v>
      </c>
    </row>
    <row r="23" spans="1:13">
      <c r="A23" s="697">
        <v>6</v>
      </c>
      <c r="B23" s="663" t="s">
        <v>20</v>
      </c>
      <c r="C23" s="664">
        <v>177.33069579000002</v>
      </c>
      <c r="D23" s="669" t="s">
        <v>1030</v>
      </c>
      <c r="E23" s="669" t="s">
        <v>1030</v>
      </c>
      <c r="F23" s="664">
        <v>177.33069579000002</v>
      </c>
      <c r="G23" s="860">
        <v>177.33069579000002</v>
      </c>
      <c r="H23" s="664">
        <v>177.31789130999999</v>
      </c>
      <c r="I23" s="664">
        <v>177.31789130999999</v>
      </c>
      <c r="J23" s="860">
        <v>177.31789130999999</v>
      </c>
      <c r="K23" s="664">
        <f t="shared" si="1"/>
        <v>1.2804480000028207E-2</v>
      </c>
      <c r="L23" s="664">
        <f t="shared" si="0"/>
        <v>1.2804480000028207E-2</v>
      </c>
      <c r="M23" s="860">
        <f t="shared" si="0"/>
        <v>1.2804480000028207E-2</v>
      </c>
    </row>
    <row r="24" spans="1:13">
      <c r="A24" s="864">
        <v>98</v>
      </c>
      <c r="B24" s="666" t="s">
        <v>1136</v>
      </c>
      <c r="C24" s="651">
        <v>0</v>
      </c>
      <c r="D24" s="667">
        <v>1</v>
      </c>
      <c r="E24" s="667"/>
      <c r="F24" s="651">
        <v>0</v>
      </c>
      <c r="G24" s="862">
        <v>0</v>
      </c>
      <c r="H24" s="651">
        <v>0</v>
      </c>
      <c r="I24" s="651">
        <v>0</v>
      </c>
      <c r="J24" s="862">
        <v>0</v>
      </c>
      <c r="K24" s="651">
        <f t="shared" si="1"/>
        <v>0</v>
      </c>
      <c r="L24" s="651">
        <f t="shared" si="0"/>
        <v>0</v>
      </c>
      <c r="M24" s="862">
        <f t="shared" si="0"/>
        <v>0</v>
      </c>
    </row>
    <row r="25" spans="1:13">
      <c r="A25" s="697">
        <v>7</v>
      </c>
      <c r="B25" s="663" t="s">
        <v>21</v>
      </c>
      <c r="C25" s="664">
        <v>-81.621511070000054</v>
      </c>
      <c r="D25" s="669" t="s">
        <v>1030</v>
      </c>
      <c r="E25" s="669"/>
      <c r="F25" s="664">
        <v>-81.621511070000054</v>
      </c>
      <c r="G25" s="860">
        <v>-81.621511070000054</v>
      </c>
      <c r="H25" s="664">
        <v>-58.53831331000012</v>
      </c>
      <c r="I25" s="664">
        <v>-58.53831331000012</v>
      </c>
      <c r="J25" s="860">
        <v>-58.53831331000012</v>
      </c>
      <c r="K25" s="664"/>
      <c r="L25" s="664"/>
      <c r="M25" s="860"/>
    </row>
    <row r="26" spans="1:13" ht="15">
      <c r="A26" s="865"/>
      <c r="B26" s="701" t="s">
        <v>22</v>
      </c>
      <c r="C26" s="702">
        <v>61187.931160080007</v>
      </c>
      <c r="D26" s="701"/>
      <c r="E26" s="701"/>
      <c r="F26" s="702">
        <v>38131.452392183761</v>
      </c>
      <c r="G26" s="866">
        <v>32731.104184712858</v>
      </c>
      <c r="H26" s="702">
        <v>45862.224923779999</v>
      </c>
      <c r="I26" s="702">
        <v>37806.960309079586</v>
      </c>
      <c r="J26" s="866">
        <v>32663.146796900975</v>
      </c>
      <c r="K26" s="702">
        <f>C26-H26</f>
        <v>15325.706236300008</v>
      </c>
      <c r="L26" s="702">
        <f t="shared" si="0"/>
        <v>324.49208310417453</v>
      </c>
      <c r="M26" s="866">
        <f t="shared" si="0"/>
        <v>67.957387811882654</v>
      </c>
    </row>
    <row r="27" spans="1:13">
      <c r="A27" s="697" t="s">
        <v>994</v>
      </c>
      <c r="B27" s="663" t="s">
        <v>1290</v>
      </c>
      <c r="C27" s="664">
        <v>19.421565280000003</v>
      </c>
      <c r="D27" s="715">
        <v>9.600000000000003E-2</v>
      </c>
      <c r="E27" s="671">
        <v>0.12000000000000002</v>
      </c>
      <c r="F27" s="664">
        <v>17.557095013120005</v>
      </c>
      <c r="G27" s="860">
        <v>17.090977446400004</v>
      </c>
      <c r="H27" s="664">
        <v>29.349077039999997</v>
      </c>
      <c r="I27" s="664">
        <v>26.531565644159997</v>
      </c>
      <c r="J27" s="860">
        <v>25.827187795199997</v>
      </c>
      <c r="K27" s="664">
        <f t="shared" si="1"/>
        <v>-9.9275117599999945</v>
      </c>
      <c r="L27" s="664">
        <f t="shared" si="0"/>
        <v>-8.974470631039992</v>
      </c>
      <c r="M27" s="860">
        <f t="shared" si="0"/>
        <v>-8.7362103487999931</v>
      </c>
    </row>
    <row r="28" spans="1:13">
      <c r="A28" s="864" t="s">
        <v>995</v>
      </c>
      <c r="B28" s="666" t="s">
        <v>1410</v>
      </c>
      <c r="C28" s="651">
        <v>2158.1261872099999</v>
      </c>
      <c r="D28" s="716">
        <v>9.600000000000003E-2</v>
      </c>
      <c r="E28" s="672">
        <v>0.12000000000000002</v>
      </c>
      <c r="F28" s="651">
        <v>1950.9460732378398</v>
      </c>
      <c r="G28" s="862">
        <v>1899.1510447447999</v>
      </c>
      <c r="H28" s="651">
        <v>2845.5856796299981</v>
      </c>
      <c r="I28" s="651">
        <v>2572.4094543855185</v>
      </c>
      <c r="J28" s="862">
        <v>2504.1153980743984</v>
      </c>
      <c r="K28" s="651">
        <f t="shared" si="1"/>
        <v>-687.45949241999824</v>
      </c>
      <c r="L28" s="651">
        <f t="shared" si="0"/>
        <v>-621.46338114767877</v>
      </c>
      <c r="M28" s="862">
        <f t="shared" si="0"/>
        <v>-604.96435332959845</v>
      </c>
    </row>
    <row r="29" spans="1:13" ht="15.75">
      <c r="A29" s="867" t="s">
        <v>1288</v>
      </c>
      <c r="B29" s="674" t="s">
        <v>1297</v>
      </c>
      <c r="C29" s="675">
        <v>2019.1058597900001</v>
      </c>
      <c r="D29" s="717">
        <v>0.15653914737194896</v>
      </c>
      <c r="E29" s="676">
        <v>0.19567393421493617</v>
      </c>
      <c r="F29" s="675">
        <v>1703.0367500447674</v>
      </c>
      <c r="G29" s="868">
        <v>1624.0194726084594</v>
      </c>
      <c r="H29" s="675">
        <v>2000</v>
      </c>
      <c r="I29" s="675">
        <v>1686.9217052561021</v>
      </c>
      <c r="J29" s="868">
        <v>1608.6521315701275</v>
      </c>
      <c r="K29" s="675">
        <f t="shared" si="1"/>
        <v>19.105859790000068</v>
      </c>
      <c r="L29" s="675">
        <f t="shared" si="0"/>
        <v>16.115044788665273</v>
      </c>
      <c r="M29" s="868">
        <f t="shared" si="0"/>
        <v>15.367341038331915</v>
      </c>
    </row>
    <row r="30" spans="1:13" s="869" customFormat="1" ht="15.75">
      <c r="A30" s="691" t="s">
        <v>1409</v>
      </c>
      <c r="B30" s="660" t="s">
        <v>1411</v>
      </c>
      <c r="C30" s="661">
        <v>460.71168785000003</v>
      </c>
      <c r="D30" s="718">
        <v>9.600000000000003E-2</v>
      </c>
      <c r="E30" s="677">
        <v>0.12000000000000002</v>
      </c>
      <c r="F30" s="661">
        <v>416.48336581640001</v>
      </c>
      <c r="G30" s="859">
        <v>405.42628530800005</v>
      </c>
      <c r="H30" s="661">
        <v>662.02665269000011</v>
      </c>
      <c r="I30" s="661">
        <v>598.47209403176009</v>
      </c>
      <c r="J30" s="859">
        <v>582.58345436720015</v>
      </c>
      <c r="K30" s="661">
        <f t="shared" si="1"/>
        <v>-201.31496484000007</v>
      </c>
      <c r="L30" s="661">
        <f t="shared" si="0"/>
        <v>-181.98872821536008</v>
      </c>
      <c r="M30" s="859">
        <f t="shared" si="0"/>
        <v>-177.1571690592001</v>
      </c>
    </row>
    <row r="31" spans="1:13" ht="15.75">
      <c r="A31" s="867" t="s">
        <v>1419</v>
      </c>
      <c r="B31" s="674" t="s">
        <v>1420</v>
      </c>
      <c r="C31" s="675">
        <v>170.26193140000001</v>
      </c>
      <c r="D31" s="717">
        <v>9.600000000000003E-2</v>
      </c>
      <c r="E31" s="676">
        <v>0.12000000000000002</v>
      </c>
      <c r="F31" s="675">
        <v>153.9167859856</v>
      </c>
      <c r="G31" s="868">
        <v>149.830499632</v>
      </c>
      <c r="H31" s="675">
        <v>139.49754822999998</v>
      </c>
      <c r="I31" s="675">
        <v>126.10578359991997</v>
      </c>
      <c r="J31" s="868">
        <v>122.75784244239998</v>
      </c>
      <c r="K31" s="675">
        <f t="shared" si="1"/>
        <v>30.764383170000031</v>
      </c>
      <c r="L31" s="675">
        <f t="shared" si="0"/>
        <v>27.811002385680027</v>
      </c>
      <c r="M31" s="868">
        <f t="shared" si="0"/>
        <v>27.072657189600022</v>
      </c>
    </row>
    <row r="32" spans="1:13">
      <c r="A32" s="864" t="s">
        <v>996</v>
      </c>
      <c r="B32" s="666" t="s">
        <v>1291</v>
      </c>
      <c r="C32" s="651">
        <v>460.84183000000002</v>
      </c>
      <c r="D32" s="716">
        <v>1</v>
      </c>
      <c r="E32" s="672">
        <v>1</v>
      </c>
      <c r="F32" s="651">
        <v>460.84183000000002</v>
      </c>
      <c r="G32" s="862">
        <v>460</v>
      </c>
      <c r="H32" s="651">
        <v>460.837672</v>
      </c>
      <c r="I32" s="651">
        <v>460.837672</v>
      </c>
      <c r="J32" s="862">
        <v>460</v>
      </c>
      <c r="K32" s="651">
        <f t="shared" si="1"/>
        <v>4.1580000000180917E-3</v>
      </c>
      <c r="L32" s="651">
        <f t="shared" si="0"/>
        <v>4.1580000000180917E-3</v>
      </c>
      <c r="M32" s="862">
        <f t="shared" si="0"/>
        <v>0</v>
      </c>
    </row>
    <row r="33" spans="1:13">
      <c r="A33" s="697" t="s">
        <v>1230</v>
      </c>
      <c r="B33" s="663" t="s">
        <v>1296</v>
      </c>
      <c r="C33" s="664">
        <v>19377</v>
      </c>
      <c r="D33" s="715">
        <v>1</v>
      </c>
      <c r="E33" s="671">
        <v>1</v>
      </c>
      <c r="F33" s="664">
        <v>5137</v>
      </c>
      <c r="G33" s="860">
        <v>5137</v>
      </c>
      <c r="H33" s="664">
        <v>5137</v>
      </c>
      <c r="I33" s="664">
        <v>5137</v>
      </c>
      <c r="J33" s="860">
        <v>5137</v>
      </c>
      <c r="K33" s="664">
        <f t="shared" si="1"/>
        <v>14240</v>
      </c>
      <c r="L33" s="664">
        <f t="shared" si="0"/>
        <v>0</v>
      </c>
      <c r="M33" s="860">
        <f t="shared" si="0"/>
        <v>0</v>
      </c>
    </row>
    <row r="34" spans="1:13">
      <c r="A34" s="864" t="s">
        <v>1287</v>
      </c>
      <c r="B34" s="666" t="s">
        <v>1298</v>
      </c>
      <c r="C34" s="651">
        <v>0</v>
      </c>
      <c r="D34" s="716">
        <v>1</v>
      </c>
      <c r="E34" s="672">
        <v>1</v>
      </c>
      <c r="F34" s="651">
        <v>0</v>
      </c>
      <c r="G34" s="862">
        <v>0</v>
      </c>
      <c r="H34" s="651">
        <v>0</v>
      </c>
      <c r="I34" s="651">
        <v>0</v>
      </c>
      <c r="J34" s="862">
        <v>0</v>
      </c>
      <c r="K34" s="651">
        <f t="shared" si="1"/>
        <v>0</v>
      </c>
      <c r="L34" s="651">
        <f t="shared" si="0"/>
        <v>0</v>
      </c>
      <c r="M34" s="862">
        <f t="shared" si="0"/>
        <v>0</v>
      </c>
    </row>
    <row r="35" spans="1:13">
      <c r="A35" s="697" t="s">
        <v>1161</v>
      </c>
      <c r="B35" s="663" t="s">
        <v>1304</v>
      </c>
      <c r="C35" s="664">
        <v>8.3589006299999991</v>
      </c>
      <c r="D35" s="715">
        <v>0.12</v>
      </c>
      <c r="E35" s="671">
        <v>0.15000000000000002</v>
      </c>
      <c r="F35" s="664">
        <v>7.3558325543999992</v>
      </c>
      <c r="G35" s="860">
        <v>7.1050655354999996</v>
      </c>
      <c r="H35" s="664">
        <v>8.5202652299999997</v>
      </c>
      <c r="I35" s="664">
        <v>7.4978334023999995</v>
      </c>
      <c r="J35" s="860">
        <v>7.2422254454999999</v>
      </c>
      <c r="K35" s="664">
        <f t="shared" si="1"/>
        <v>-0.16136460000000064</v>
      </c>
      <c r="L35" s="664">
        <f t="shared" si="0"/>
        <v>-0.14200084800000035</v>
      </c>
      <c r="M35" s="860">
        <f t="shared" si="0"/>
        <v>-0.13715991000000027</v>
      </c>
    </row>
    <row r="36" spans="1:13">
      <c r="A36" s="864" t="s">
        <v>1162</v>
      </c>
      <c r="B36" s="666" t="s">
        <v>1305</v>
      </c>
      <c r="C36" s="651">
        <v>9.7052584900000003</v>
      </c>
      <c r="D36" s="716">
        <v>0.12</v>
      </c>
      <c r="E36" s="672">
        <v>0.15000000000000002</v>
      </c>
      <c r="F36" s="651">
        <v>8.5406274712000005</v>
      </c>
      <c r="G36" s="862">
        <v>8.2494697165000002</v>
      </c>
      <c r="H36" s="651">
        <v>5.9157067000000003</v>
      </c>
      <c r="I36" s="651">
        <v>5.2058218959999998</v>
      </c>
      <c r="J36" s="862">
        <v>5.0283506950000003</v>
      </c>
      <c r="K36" s="651">
        <f t="shared" si="1"/>
        <v>3.78955179</v>
      </c>
      <c r="L36" s="651">
        <f t="shared" si="0"/>
        <v>3.3348055752000008</v>
      </c>
      <c r="M36" s="862">
        <f t="shared" si="0"/>
        <v>3.2211190214999998</v>
      </c>
    </row>
    <row r="37" spans="1:13">
      <c r="A37" s="697" t="s">
        <v>1163</v>
      </c>
      <c r="B37" s="663" t="s">
        <v>1306</v>
      </c>
      <c r="C37" s="664">
        <v>1.3937934699999999</v>
      </c>
      <c r="D37" s="715">
        <v>0.12</v>
      </c>
      <c r="E37" s="671">
        <v>0.15000000000000002</v>
      </c>
      <c r="F37" s="664">
        <v>1.2265382535999998</v>
      </c>
      <c r="G37" s="860">
        <v>1.1847244494999998</v>
      </c>
      <c r="H37" s="664">
        <v>1.4119725599999999</v>
      </c>
      <c r="I37" s="664">
        <v>1.2425358527999999</v>
      </c>
      <c r="J37" s="860">
        <v>1.2001766759999999</v>
      </c>
      <c r="K37" s="664">
        <f t="shared" si="1"/>
        <v>-1.8179090000000064E-2</v>
      </c>
      <c r="L37" s="664">
        <f t="shared" si="0"/>
        <v>-1.5997599200000101E-2</v>
      </c>
      <c r="M37" s="860">
        <f t="shared" si="0"/>
        <v>-1.545222650000011E-2</v>
      </c>
    </row>
    <row r="38" spans="1:13">
      <c r="A38" s="864" t="s">
        <v>997</v>
      </c>
      <c r="B38" s="666" t="s">
        <v>1307</v>
      </c>
      <c r="C38" s="651">
        <v>316.77946496999999</v>
      </c>
      <c r="D38" s="716">
        <v>0.12</v>
      </c>
      <c r="E38" s="672">
        <v>0.15000000000000002</v>
      </c>
      <c r="F38" s="651">
        <v>278.7659291736</v>
      </c>
      <c r="G38" s="862">
        <v>269.2625452245</v>
      </c>
      <c r="H38" s="651">
        <v>311.4206815700004</v>
      </c>
      <c r="I38" s="651">
        <v>274.05019978160033</v>
      </c>
      <c r="J38" s="862">
        <v>264.70757933450034</v>
      </c>
      <c r="K38" s="651">
        <f t="shared" si="1"/>
        <v>5.3587833999995951</v>
      </c>
      <c r="L38" s="651">
        <f t="shared" si="0"/>
        <v>4.7157293919996732</v>
      </c>
      <c r="M38" s="862">
        <f t="shared" si="0"/>
        <v>4.5549658899996643</v>
      </c>
    </row>
    <row r="39" spans="1:13" ht="15.75">
      <c r="A39" s="867" t="s">
        <v>1351</v>
      </c>
      <c r="B39" s="674" t="s">
        <v>1352</v>
      </c>
      <c r="C39" s="675">
        <v>8.2450289999999996E-2</v>
      </c>
      <c r="D39" s="717">
        <v>0.12</v>
      </c>
      <c r="E39" s="676">
        <v>0.15000000000000002</v>
      </c>
      <c r="F39" s="675">
        <v>7.2556255200000003E-2</v>
      </c>
      <c r="G39" s="868">
        <v>7.0082746499999987E-2</v>
      </c>
      <c r="H39" s="675">
        <v>1050.1851484400001</v>
      </c>
      <c r="I39" s="675">
        <v>924.16293062720013</v>
      </c>
      <c r="J39" s="868">
        <v>892.65737617400009</v>
      </c>
      <c r="K39" s="675">
        <f t="shared" si="1"/>
        <v>-1050.1026981500002</v>
      </c>
      <c r="L39" s="675">
        <f t="shared" si="0"/>
        <v>-924.09037437200016</v>
      </c>
      <c r="M39" s="868">
        <f t="shared" si="0"/>
        <v>-892.58729342750007</v>
      </c>
    </row>
    <row r="40" spans="1:13">
      <c r="A40" s="864" t="s">
        <v>1164</v>
      </c>
      <c r="B40" s="666" t="s">
        <v>425</v>
      </c>
      <c r="C40" s="651">
        <v>0</v>
      </c>
      <c r="D40" s="716">
        <v>0.12</v>
      </c>
      <c r="E40" s="672">
        <v>0.15000000000000002</v>
      </c>
      <c r="F40" s="651">
        <v>0</v>
      </c>
      <c r="G40" s="862">
        <v>0</v>
      </c>
      <c r="H40" s="651">
        <v>0</v>
      </c>
      <c r="I40" s="651">
        <v>0</v>
      </c>
      <c r="J40" s="862">
        <v>0</v>
      </c>
      <c r="K40" s="651">
        <f t="shared" si="1"/>
        <v>0</v>
      </c>
      <c r="L40" s="651">
        <f t="shared" si="0"/>
        <v>0</v>
      </c>
      <c r="M40" s="862">
        <f t="shared" si="0"/>
        <v>0</v>
      </c>
    </row>
    <row r="41" spans="1:13">
      <c r="A41" s="697" t="s">
        <v>1165</v>
      </c>
      <c r="B41" s="663" t="s">
        <v>1308</v>
      </c>
      <c r="C41" s="664">
        <v>0</v>
      </c>
      <c r="D41" s="715">
        <v>1</v>
      </c>
      <c r="E41" s="671">
        <v>1</v>
      </c>
      <c r="F41" s="664">
        <v>0</v>
      </c>
      <c r="G41" s="860">
        <v>0</v>
      </c>
      <c r="H41" s="664">
        <v>0</v>
      </c>
      <c r="I41" s="664">
        <v>0</v>
      </c>
      <c r="J41" s="860">
        <v>0</v>
      </c>
      <c r="K41" s="664">
        <f t="shared" si="1"/>
        <v>0</v>
      </c>
      <c r="L41" s="664">
        <f t="shared" si="0"/>
        <v>0</v>
      </c>
      <c r="M41" s="860">
        <f t="shared" si="0"/>
        <v>0</v>
      </c>
    </row>
    <row r="42" spans="1:13">
      <c r="A42" s="864" t="s">
        <v>1299</v>
      </c>
      <c r="B42" s="666" t="s">
        <v>1309</v>
      </c>
      <c r="C42" s="651">
        <v>174.70603417999999</v>
      </c>
      <c r="D42" s="716">
        <v>0.18400000000000016</v>
      </c>
      <c r="E42" s="672">
        <v>0.23000000000000015</v>
      </c>
      <c r="F42" s="651">
        <v>142.56012389087999</v>
      </c>
      <c r="G42" s="862">
        <v>134.52364631859999</v>
      </c>
      <c r="H42" s="651">
        <v>23.74490213</v>
      </c>
      <c r="I42" s="651">
        <v>19.375840138079997</v>
      </c>
      <c r="J42" s="862">
        <v>18.283574640099999</v>
      </c>
      <c r="K42" s="651">
        <f t="shared" si="1"/>
        <v>150.96113205</v>
      </c>
      <c r="L42" s="651">
        <f t="shared" si="0"/>
        <v>123.1842837528</v>
      </c>
      <c r="M42" s="862">
        <f t="shared" si="0"/>
        <v>116.24007167849999</v>
      </c>
    </row>
    <row r="43" spans="1:13">
      <c r="A43" s="697" t="s">
        <v>1300</v>
      </c>
      <c r="B43" s="663" t="s">
        <v>1314</v>
      </c>
      <c r="C43" s="664">
        <v>0</v>
      </c>
      <c r="D43" s="715">
        <v>1</v>
      </c>
      <c r="E43" s="671">
        <v>1</v>
      </c>
      <c r="F43" s="664">
        <v>0</v>
      </c>
      <c r="G43" s="860">
        <v>0</v>
      </c>
      <c r="H43" s="664">
        <v>0</v>
      </c>
      <c r="I43" s="664">
        <v>0</v>
      </c>
      <c r="J43" s="860">
        <v>0</v>
      </c>
      <c r="K43" s="664">
        <f t="shared" si="1"/>
        <v>0</v>
      </c>
      <c r="L43" s="664">
        <f t="shared" ref="L43:M79" si="2">F43-I43</f>
        <v>0</v>
      </c>
      <c r="M43" s="860">
        <f t="shared" si="2"/>
        <v>0</v>
      </c>
    </row>
    <row r="44" spans="1:13">
      <c r="A44" s="864" t="s">
        <v>1301</v>
      </c>
      <c r="B44" s="666" t="s">
        <v>1311</v>
      </c>
      <c r="C44" s="651">
        <v>1.4091577800000004</v>
      </c>
      <c r="D44" s="716">
        <v>0.18400000000000014</v>
      </c>
      <c r="E44" s="672">
        <v>0.23000000000000012</v>
      </c>
      <c r="F44" s="651">
        <v>1.1498727484800002</v>
      </c>
      <c r="G44" s="862">
        <v>1.0850514906000002</v>
      </c>
      <c r="H44" s="651">
        <v>1.4090637899999998</v>
      </c>
      <c r="I44" s="651">
        <v>1.1497960526399997</v>
      </c>
      <c r="J44" s="862">
        <v>1.0849791182999997</v>
      </c>
      <c r="K44" s="651">
        <f t="shared" si="1"/>
        <v>9.3990000000543361E-5</v>
      </c>
      <c r="L44" s="651">
        <f t="shared" si="2"/>
        <v>7.6695840000473581E-5</v>
      </c>
      <c r="M44" s="862">
        <f t="shared" si="2"/>
        <v>7.2372300000456136E-5</v>
      </c>
    </row>
    <row r="45" spans="1:13">
      <c r="A45" s="697" t="s">
        <v>1302</v>
      </c>
      <c r="B45" s="663" t="s">
        <v>1327</v>
      </c>
      <c r="C45" s="664">
        <v>366.42940659000016</v>
      </c>
      <c r="D45" s="715">
        <v>0.18400000000000016</v>
      </c>
      <c r="E45" s="671">
        <v>0.23000000000000015</v>
      </c>
      <c r="F45" s="664">
        <v>299.0063957774401</v>
      </c>
      <c r="G45" s="860">
        <v>282.15064307430009</v>
      </c>
      <c r="H45" s="664">
        <v>324.99718960000001</v>
      </c>
      <c r="I45" s="664">
        <v>265.19770671359998</v>
      </c>
      <c r="J45" s="860">
        <v>250.24783599199998</v>
      </c>
      <c r="K45" s="664">
        <f t="shared" si="1"/>
        <v>41.432216990000143</v>
      </c>
      <c r="L45" s="664">
        <f t="shared" si="2"/>
        <v>33.80868906384012</v>
      </c>
      <c r="M45" s="860">
        <f t="shared" si="2"/>
        <v>31.902807082300114</v>
      </c>
    </row>
    <row r="46" spans="1:13" ht="15.75">
      <c r="A46" s="867" t="s">
        <v>1269</v>
      </c>
      <c r="B46" s="674" t="s">
        <v>1569</v>
      </c>
      <c r="C46" s="675">
        <v>5.7349952499999999</v>
      </c>
      <c r="D46" s="717">
        <v>0.18400000000000016</v>
      </c>
      <c r="E46" s="676">
        <v>0.23000000000000015</v>
      </c>
      <c r="F46" s="675">
        <v>4.6797561239999999</v>
      </c>
      <c r="G46" s="868">
        <v>4.4159463424999998</v>
      </c>
      <c r="H46" s="675">
        <v>4.6043942400000004</v>
      </c>
      <c r="I46" s="675">
        <v>3.7571856998399999</v>
      </c>
      <c r="J46" s="868">
        <v>3.5453835647999998</v>
      </c>
      <c r="K46" s="675">
        <f t="shared" si="1"/>
        <v>1.1306010099999995</v>
      </c>
      <c r="L46" s="675">
        <f t="shared" si="2"/>
        <v>0.9225704241599999</v>
      </c>
      <c r="M46" s="868">
        <f t="shared" si="2"/>
        <v>0.87056277770000001</v>
      </c>
    </row>
    <row r="47" spans="1:13" ht="15.75">
      <c r="A47" s="867" t="s">
        <v>1316</v>
      </c>
      <c r="B47" s="674" t="s">
        <v>1329</v>
      </c>
      <c r="C47" s="675">
        <v>1201.8187905699999</v>
      </c>
      <c r="D47" s="717">
        <v>0.45053121576925453</v>
      </c>
      <c r="E47" s="676">
        <v>0.47615894433952843</v>
      </c>
      <c r="F47" s="675">
        <v>660.36190972016277</v>
      </c>
      <c r="G47" s="868">
        <v>629.56202396478</v>
      </c>
      <c r="H47" s="675">
        <v>1200.0010355899999</v>
      </c>
      <c r="I47" s="675">
        <v>659.36311010127247</v>
      </c>
      <c r="J47" s="868">
        <v>628.60980927712444</v>
      </c>
      <c r="K47" s="675">
        <f t="shared" si="1"/>
        <v>1.8177549800000179</v>
      </c>
      <c r="L47" s="675">
        <f t="shared" si="2"/>
        <v>0.99879961889030255</v>
      </c>
      <c r="M47" s="868">
        <f t="shared" si="2"/>
        <v>0.95221468765555528</v>
      </c>
    </row>
    <row r="48" spans="1:13" ht="31.5">
      <c r="A48" s="867" t="s">
        <v>1446</v>
      </c>
      <c r="B48" s="674" t="s">
        <v>1447</v>
      </c>
      <c r="C48" s="675">
        <v>159.46774133000002</v>
      </c>
      <c r="D48" s="717">
        <v>0.18400000000000016</v>
      </c>
      <c r="E48" s="676">
        <v>0.23000000000000015</v>
      </c>
      <c r="F48" s="675">
        <v>130.12567692528</v>
      </c>
      <c r="G48" s="868">
        <v>122.79016082410001</v>
      </c>
      <c r="H48" s="675">
        <v>140.22192215000001</v>
      </c>
      <c r="I48" s="675">
        <v>114.42108847439999</v>
      </c>
      <c r="J48" s="868">
        <v>107.9708800555</v>
      </c>
      <c r="K48" s="675">
        <f t="shared" si="1"/>
        <v>19.245819180000012</v>
      </c>
      <c r="L48" s="675">
        <f t="shared" si="2"/>
        <v>15.70458845088001</v>
      </c>
      <c r="M48" s="868">
        <f t="shared" si="2"/>
        <v>14.819280768600009</v>
      </c>
    </row>
    <row r="49" spans="1:13" ht="15.75">
      <c r="A49" s="691" t="s">
        <v>1168</v>
      </c>
      <c r="B49" s="660" t="s">
        <v>1330</v>
      </c>
      <c r="C49" s="661">
        <v>500.91083754000005</v>
      </c>
      <c r="D49" s="718">
        <v>0.39999999999999991</v>
      </c>
      <c r="E49" s="677">
        <v>0.39999999999999991</v>
      </c>
      <c r="F49" s="661">
        <v>300.54650252400006</v>
      </c>
      <c r="G49" s="859">
        <v>300.54650252400006</v>
      </c>
      <c r="H49" s="661">
        <v>500</v>
      </c>
      <c r="I49" s="661">
        <v>300</v>
      </c>
      <c r="J49" s="859">
        <v>300</v>
      </c>
      <c r="K49" s="661">
        <f t="shared" si="1"/>
        <v>0.91083754000004546</v>
      </c>
      <c r="L49" s="661">
        <f t="shared" si="2"/>
        <v>0.54650252400006138</v>
      </c>
      <c r="M49" s="859">
        <f t="shared" si="2"/>
        <v>0.54650252400006138</v>
      </c>
    </row>
    <row r="50" spans="1:13">
      <c r="A50" s="697" t="s">
        <v>1169</v>
      </c>
      <c r="B50" s="663" t="s">
        <v>1331</v>
      </c>
      <c r="C50" s="664">
        <v>1633.1261072200041</v>
      </c>
      <c r="D50" s="715">
        <v>0.18400000000000016</v>
      </c>
      <c r="E50" s="671">
        <v>0.23000000000000015</v>
      </c>
      <c r="F50" s="664">
        <v>1332.6309034915232</v>
      </c>
      <c r="G50" s="860">
        <v>1257.5071025594032</v>
      </c>
      <c r="H50" s="664">
        <v>1575.0078971100029</v>
      </c>
      <c r="I50" s="664">
        <v>1285.2064440417623</v>
      </c>
      <c r="J50" s="860">
        <v>1212.7560807747022</v>
      </c>
      <c r="K50" s="664">
        <f t="shared" si="1"/>
        <v>58.118210110001201</v>
      </c>
      <c r="L50" s="664">
        <f t="shared" si="2"/>
        <v>47.424459449760889</v>
      </c>
      <c r="M50" s="860">
        <f t="shared" si="2"/>
        <v>44.751021784700924</v>
      </c>
    </row>
    <row r="51" spans="1:13" ht="15.75">
      <c r="A51" s="691" t="s">
        <v>1317</v>
      </c>
      <c r="B51" s="660" t="s">
        <v>1332</v>
      </c>
      <c r="C51" s="661">
        <v>5144.4813025600006</v>
      </c>
      <c r="D51" s="718">
        <v>0.36800000000000033</v>
      </c>
      <c r="E51" s="677">
        <v>0.4600000000000003</v>
      </c>
      <c r="F51" s="661">
        <v>3251.3121832179199</v>
      </c>
      <c r="G51" s="859">
        <v>2778.0199033823997</v>
      </c>
      <c r="H51" s="661">
        <v>2652.7711521599999</v>
      </c>
      <c r="I51" s="661">
        <v>1676.5513681651196</v>
      </c>
      <c r="J51" s="859">
        <v>1432.4964221663995</v>
      </c>
      <c r="K51" s="661">
        <f t="shared" si="1"/>
        <v>2491.7101504000007</v>
      </c>
      <c r="L51" s="661">
        <f t="shared" si="2"/>
        <v>1574.7608150528004</v>
      </c>
      <c r="M51" s="859">
        <f t="shared" si="2"/>
        <v>1345.5234812160002</v>
      </c>
    </row>
    <row r="52" spans="1:13" ht="15.75">
      <c r="A52" s="691" t="s">
        <v>1318</v>
      </c>
      <c r="B52" s="660" t="s">
        <v>1333</v>
      </c>
      <c r="C52" s="661">
        <v>4707.2802759200003</v>
      </c>
      <c r="D52" s="718">
        <v>0.36800000000000033</v>
      </c>
      <c r="E52" s="677">
        <v>0.4600000000000003</v>
      </c>
      <c r="F52" s="661">
        <v>2975.0011343814404</v>
      </c>
      <c r="G52" s="859">
        <v>2541.9313489968004</v>
      </c>
      <c r="H52" s="661">
        <v>4782.6492533599994</v>
      </c>
      <c r="I52" s="661">
        <v>3022.6343281235186</v>
      </c>
      <c r="J52" s="859">
        <v>2582.6305968143988</v>
      </c>
      <c r="K52" s="661">
        <f t="shared" si="1"/>
        <v>-75.368977439999071</v>
      </c>
      <c r="L52" s="661">
        <f t="shared" si="2"/>
        <v>-47.63319374207822</v>
      </c>
      <c r="M52" s="859">
        <f t="shared" si="2"/>
        <v>-40.699247817598462</v>
      </c>
    </row>
    <row r="53" spans="1:13" ht="15.75">
      <c r="A53" s="691" t="s">
        <v>1319</v>
      </c>
      <c r="B53" s="660" t="s">
        <v>1334</v>
      </c>
      <c r="C53" s="661">
        <v>93.106070770000002</v>
      </c>
      <c r="D53" s="718">
        <v>0.18400000000000016</v>
      </c>
      <c r="E53" s="677">
        <v>0.23000000000000015</v>
      </c>
      <c r="F53" s="661">
        <v>75.974553748320005</v>
      </c>
      <c r="G53" s="859">
        <v>71.691674492900006</v>
      </c>
      <c r="H53" s="661">
        <v>278.33630772000004</v>
      </c>
      <c r="I53" s="661">
        <v>227.12242709952</v>
      </c>
      <c r="J53" s="859">
        <v>214.31895694439999</v>
      </c>
      <c r="K53" s="661">
        <f t="shared" si="1"/>
        <v>-185.23023695000003</v>
      </c>
      <c r="L53" s="661">
        <f t="shared" si="2"/>
        <v>-151.14787335119999</v>
      </c>
      <c r="M53" s="859">
        <f t="shared" si="2"/>
        <v>-142.62728245149998</v>
      </c>
    </row>
    <row r="54" spans="1:13" ht="15.75">
      <c r="A54" s="691" t="s">
        <v>2766</v>
      </c>
      <c r="B54" s="660" t="s">
        <v>2767</v>
      </c>
      <c r="C54" s="661">
        <v>16.90850859</v>
      </c>
      <c r="D54" s="718">
        <v>0.18400000000000016</v>
      </c>
      <c r="E54" s="677">
        <v>0.23000000000000015</v>
      </c>
      <c r="F54" s="661">
        <v>13.79734300944</v>
      </c>
      <c r="G54" s="859">
        <v>13.019551614300001</v>
      </c>
      <c r="H54" s="661">
        <v>16.626331329999999</v>
      </c>
      <c r="I54" s="661">
        <v>13.567086365279998</v>
      </c>
      <c r="J54" s="859">
        <v>12.802275124099999</v>
      </c>
      <c r="K54" s="661">
        <f t="shared" si="1"/>
        <v>0.28217726000000098</v>
      </c>
      <c r="L54" s="661">
        <f t="shared" si="2"/>
        <v>0.23025664416000247</v>
      </c>
      <c r="M54" s="859">
        <f t="shared" si="2"/>
        <v>0.2172764902000015</v>
      </c>
    </row>
    <row r="55" spans="1:13" ht="15.75">
      <c r="A55" s="691" t="s">
        <v>2798</v>
      </c>
      <c r="B55" s="660" t="s">
        <v>2799</v>
      </c>
      <c r="C55" s="661">
        <v>378.11120232999997</v>
      </c>
      <c r="D55" s="718">
        <v>0.19838417635994554</v>
      </c>
      <c r="E55" s="677">
        <v>0.24798022044993195</v>
      </c>
      <c r="F55" s="661">
        <v>303.0999228832942</v>
      </c>
      <c r="G55" s="859">
        <v>284.34710302161773</v>
      </c>
      <c r="H55" s="661">
        <v>343.82686429</v>
      </c>
      <c r="I55" s="661">
        <v>275.61705500740555</v>
      </c>
      <c r="J55" s="859">
        <v>258.56460268675698</v>
      </c>
      <c r="K55" s="661">
        <f t="shared" ref="K55" si="3">C55-H55</f>
        <v>34.284338039999966</v>
      </c>
      <c r="L55" s="661">
        <f t="shared" ref="L55" si="4">F55-I55</f>
        <v>27.482867875888644</v>
      </c>
      <c r="M55" s="859">
        <f t="shared" ref="M55" si="5">G55-J55</f>
        <v>25.782500334860742</v>
      </c>
    </row>
    <row r="56" spans="1:13">
      <c r="A56" s="697" t="s">
        <v>1232</v>
      </c>
      <c r="B56" s="663" t="s">
        <v>1312</v>
      </c>
      <c r="C56" s="664">
        <v>0</v>
      </c>
      <c r="D56" s="715">
        <v>1</v>
      </c>
      <c r="E56" s="671">
        <v>1</v>
      </c>
      <c r="F56" s="664">
        <v>0</v>
      </c>
      <c r="G56" s="860">
        <v>0</v>
      </c>
      <c r="H56" s="664">
        <v>0</v>
      </c>
      <c r="I56" s="664">
        <v>0</v>
      </c>
      <c r="J56" s="860">
        <v>0</v>
      </c>
      <c r="K56" s="664">
        <f t="shared" si="1"/>
        <v>0</v>
      </c>
      <c r="L56" s="664">
        <f t="shared" si="2"/>
        <v>0</v>
      </c>
      <c r="M56" s="860">
        <f t="shared" si="2"/>
        <v>0</v>
      </c>
    </row>
    <row r="57" spans="1:13">
      <c r="A57" s="697" t="s">
        <v>1313</v>
      </c>
      <c r="B57" s="663" t="s">
        <v>1310</v>
      </c>
      <c r="C57" s="664">
        <v>0</v>
      </c>
      <c r="D57" s="715">
        <v>1</v>
      </c>
      <c r="E57" s="671">
        <v>1</v>
      </c>
      <c r="F57" s="664">
        <v>0</v>
      </c>
      <c r="G57" s="860">
        <v>0</v>
      </c>
      <c r="H57" s="664">
        <v>0</v>
      </c>
      <c r="I57" s="664">
        <v>0</v>
      </c>
      <c r="J57" s="860">
        <v>0</v>
      </c>
      <c r="K57" s="664">
        <f t="shared" si="1"/>
        <v>0</v>
      </c>
      <c r="L57" s="664">
        <f t="shared" si="2"/>
        <v>0</v>
      </c>
      <c r="M57" s="860">
        <f t="shared" si="2"/>
        <v>0</v>
      </c>
    </row>
    <row r="58" spans="1:13">
      <c r="A58" s="697" t="s">
        <v>1315</v>
      </c>
      <c r="B58" s="663" t="s">
        <v>1295</v>
      </c>
      <c r="C58" s="664">
        <v>0</v>
      </c>
      <c r="D58" s="715">
        <v>1</v>
      </c>
      <c r="E58" s="671">
        <v>1</v>
      </c>
      <c r="F58" s="664">
        <v>0</v>
      </c>
      <c r="G58" s="860">
        <v>0</v>
      </c>
      <c r="H58" s="664">
        <v>0</v>
      </c>
      <c r="I58" s="664">
        <v>0</v>
      </c>
      <c r="J58" s="860">
        <v>0</v>
      </c>
      <c r="K58" s="664">
        <f t="shared" si="1"/>
        <v>0</v>
      </c>
      <c r="L58" s="664">
        <f t="shared" si="2"/>
        <v>0</v>
      </c>
      <c r="M58" s="860">
        <f t="shared" si="2"/>
        <v>0</v>
      </c>
    </row>
    <row r="59" spans="1:13">
      <c r="A59" s="864">
        <v>9.1</v>
      </c>
      <c r="B59" s="666" t="s">
        <v>1109</v>
      </c>
      <c r="C59" s="651">
        <v>116.28780820000011</v>
      </c>
      <c r="D59" s="716">
        <v>5.9999999999999991E-2</v>
      </c>
      <c r="E59" s="672">
        <v>9.9999999999999992E-2</v>
      </c>
      <c r="F59" s="651">
        <v>109.31053970800011</v>
      </c>
      <c r="G59" s="862">
        <v>104.65902738000011</v>
      </c>
      <c r="H59" s="651">
        <v>116.78842828000028</v>
      </c>
      <c r="I59" s="651">
        <v>109.78112258320026</v>
      </c>
      <c r="J59" s="862">
        <v>105.10958545200025</v>
      </c>
      <c r="K59" s="651">
        <f t="shared" si="1"/>
        <v>-0.50062008000016078</v>
      </c>
      <c r="L59" s="651">
        <f t="shared" si="2"/>
        <v>-0.47058287520015085</v>
      </c>
      <c r="M59" s="862">
        <f t="shared" si="2"/>
        <v>-0.45055807200013476</v>
      </c>
    </row>
    <row r="60" spans="1:13">
      <c r="A60" s="697" t="s">
        <v>1171</v>
      </c>
      <c r="B60" s="663" t="s">
        <v>1335</v>
      </c>
      <c r="C60" s="664">
        <v>2583.6036079000005</v>
      </c>
      <c r="D60" s="715">
        <v>9.600000000000003E-2</v>
      </c>
      <c r="E60" s="671">
        <v>0.16000000000000003</v>
      </c>
      <c r="F60" s="664">
        <v>2335.5776615416003</v>
      </c>
      <c r="G60" s="860">
        <v>2170.2270306360001</v>
      </c>
      <c r="H60" s="664">
        <v>2277.8936895900001</v>
      </c>
      <c r="I60" s="664">
        <v>2059.21589538936</v>
      </c>
      <c r="J60" s="860">
        <v>1913.4306992556001</v>
      </c>
      <c r="K60" s="664">
        <f t="shared" si="1"/>
        <v>305.70991831000038</v>
      </c>
      <c r="L60" s="664">
        <f t="shared" si="2"/>
        <v>276.36176615224031</v>
      </c>
      <c r="M60" s="860">
        <f t="shared" si="2"/>
        <v>256.79633138040003</v>
      </c>
    </row>
    <row r="61" spans="1:13" ht="15" customHeight="1">
      <c r="A61" s="691" t="s">
        <v>1449</v>
      </c>
      <c r="B61" s="660" t="s">
        <v>1450</v>
      </c>
      <c r="C61" s="661">
        <v>0</v>
      </c>
      <c r="D61" s="718">
        <v>9.600000000000003E-2</v>
      </c>
      <c r="E61" s="677">
        <v>0.16000000000000003</v>
      </c>
      <c r="F61" s="661">
        <v>0</v>
      </c>
      <c r="G61" s="859">
        <v>0</v>
      </c>
      <c r="H61" s="661">
        <v>0</v>
      </c>
      <c r="I61" s="661">
        <v>0</v>
      </c>
      <c r="J61" s="859">
        <v>0</v>
      </c>
      <c r="K61" s="661">
        <f t="shared" si="1"/>
        <v>0</v>
      </c>
      <c r="L61" s="661">
        <f t="shared" si="2"/>
        <v>0</v>
      </c>
      <c r="M61" s="859">
        <f t="shared" si="2"/>
        <v>0</v>
      </c>
    </row>
    <row r="62" spans="1:13" ht="15" customHeight="1">
      <c r="A62" s="691" t="s">
        <v>2801</v>
      </c>
      <c r="B62" s="660" t="s">
        <v>2802</v>
      </c>
      <c r="C62" s="661">
        <v>1101.9382160099999</v>
      </c>
      <c r="D62" s="718">
        <v>0.25377755664941259</v>
      </c>
      <c r="E62" s="677">
        <v>0.31722206388550134</v>
      </c>
      <c r="F62" s="661">
        <v>822.29102797236953</v>
      </c>
      <c r="G62" s="859">
        <v>752.37910085300041</v>
      </c>
      <c r="H62" s="661">
        <v>1100</v>
      </c>
      <c r="I62" s="661">
        <v>820.84468768564625</v>
      </c>
      <c r="J62" s="859">
        <v>751.05572972594859</v>
      </c>
      <c r="K62" s="661">
        <f t="shared" ref="K62" si="6">C62-H62</f>
        <v>1.9382160099999055</v>
      </c>
      <c r="L62" s="661">
        <f t="shared" ref="L62" si="7">F62-I62</f>
        <v>1.4463402867232844</v>
      </c>
      <c r="M62" s="859">
        <f t="shared" ref="M62" si="8">G62-J62</f>
        <v>1.3233711270518143</v>
      </c>
    </row>
    <row r="63" spans="1:13" ht="15" customHeight="1">
      <c r="A63" s="691" t="s">
        <v>1325</v>
      </c>
      <c r="B63" s="660" t="s">
        <v>1336</v>
      </c>
      <c r="C63" s="661">
        <v>0</v>
      </c>
      <c r="D63" s="718">
        <v>9.600000000000003E-2</v>
      </c>
      <c r="E63" s="677">
        <v>0.16000000000000003</v>
      </c>
      <c r="F63" s="661">
        <v>0</v>
      </c>
      <c r="G63" s="859">
        <v>0</v>
      </c>
      <c r="H63" s="661">
        <v>0</v>
      </c>
      <c r="I63" s="661">
        <v>0</v>
      </c>
      <c r="J63" s="859">
        <v>0</v>
      </c>
      <c r="K63" s="661">
        <f t="shared" si="1"/>
        <v>0</v>
      </c>
      <c r="L63" s="661">
        <f t="shared" si="2"/>
        <v>0</v>
      </c>
      <c r="M63" s="859">
        <f t="shared" si="2"/>
        <v>0</v>
      </c>
    </row>
    <row r="64" spans="1:13">
      <c r="A64" s="864" t="s">
        <v>1337</v>
      </c>
      <c r="B64" s="666" t="s">
        <v>1338</v>
      </c>
      <c r="C64" s="651">
        <v>147.44580615999999</v>
      </c>
      <c r="D64" s="716">
        <v>8.0000000000000016E-2</v>
      </c>
      <c r="E64" s="672">
        <v>0.16000000000000003</v>
      </c>
      <c r="F64" s="651">
        <v>135.65014166719999</v>
      </c>
      <c r="G64" s="862">
        <v>123.85447717439999</v>
      </c>
      <c r="H64" s="651">
        <v>146.73526219999999</v>
      </c>
      <c r="I64" s="651">
        <v>134.99644122399999</v>
      </c>
      <c r="J64" s="862">
        <v>123.25762024799999</v>
      </c>
      <c r="K64" s="651">
        <f t="shared" si="1"/>
        <v>0.71054395999999542</v>
      </c>
      <c r="L64" s="651">
        <f t="shared" si="2"/>
        <v>0.65370044319999465</v>
      </c>
      <c r="M64" s="862">
        <f t="shared" si="2"/>
        <v>0.59685692639999388</v>
      </c>
    </row>
    <row r="65" spans="1:13">
      <c r="A65" s="697">
        <v>9.3000000000000007</v>
      </c>
      <c r="B65" s="663" t="s">
        <v>1110</v>
      </c>
      <c r="C65" s="664">
        <v>174.09592567000021</v>
      </c>
      <c r="D65" s="715">
        <v>0.06</v>
      </c>
      <c r="E65" s="671">
        <v>0.1</v>
      </c>
      <c r="F65" s="664">
        <v>168.1857003990923</v>
      </c>
      <c r="G65" s="860">
        <v>163.68120499515226</v>
      </c>
      <c r="H65" s="664">
        <v>173.48996683999988</v>
      </c>
      <c r="I65" s="664">
        <v>167.60019006707137</v>
      </c>
      <c r="J65" s="860">
        <v>163.14618888823074</v>
      </c>
      <c r="K65" s="664">
        <f t="shared" si="1"/>
        <v>0.60595883000033268</v>
      </c>
      <c r="L65" s="664">
        <f t="shared" si="2"/>
        <v>0.58551033202093095</v>
      </c>
      <c r="M65" s="860">
        <f t="shared" si="2"/>
        <v>0.53501610692151758</v>
      </c>
    </row>
    <row r="66" spans="1:13">
      <c r="A66" s="864">
        <v>9.4</v>
      </c>
      <c r="B66" s="666" t="s">
        <v>1238</v>
      </c>
      <c r="C66" s="651">
        <v>2649.5570429800018</v>
      </c>
      <c r="D66" s="716">
        <v>0.24</v>
      </c>
      <c r="E66" s="672">
        <v>0.4</v>
      </c>
      <c r="F66" s="651">
        <v>2177.0035808830398</v>
      </c>
      <c r="G66" s="862">
        <v>1870.6005534815981</v>
      </c>
      <c r="H66" s="651">
        <v>2498.199026260002</v>
      </c>
      <c r="I66" s="651">
        <v>2041.9996359996494</v>
      </c>
      <c r="J66" s="862">
        <v>1790.8454728470444</v>
      </c>
      <c r="K66" s="651">
        <f t="shared" si="1"/>
        <v>151.3580167199998</v>
      </c>
      <c r="L66" s="651">
        <f t="shared" si="2"/>
        <v>135.00394488339043</v>
      </c>
      <c r="M66" s="862">
        <f t="shared" si="2"/>
        <v>79.755080634553678</v>
      </c>
    </row>
    <row r="67" spans="1:13">
      <c r="A67" s="697" t="s">
        <v>1227</v>
      </c>
      <c r="B67" s="663" t="s">
        <v>1292</v>
      </c>
      <c r="C67" s="664">
        <v>2989.0659873999998</v>
      </c>
      <c r="D67" s="715">
        <v>5.9999999999999991E-2</v>
      </c>
      <c r="E67" s="671">
        <v>9.9999999999999992E-2</v>
      </c>
      <c r="F67" s="664">
        <v>2809.7220281559999</v>
      </c>
      <c r="G67" s="860">
        <v>2690.1593886599999</v>
      </c>
      <c r="H67" s="664">
        <v>2977.0457362800003</v>
      </c>
      <c r="I67" s="664">
        <v>2798.4229921032002</v>
      </c>
      <c r="J67" s="860">
        <v>2679.3411626520001</v>
      </c>
      <c r="K67" s="664">
        <f t="shared" si="1"/>
        <v>12.020251119999557</v>
      </c>
      <c r="L67" s="664">
        <f t="shared" si="2"/>
        <v>11.299036052799693</v>
      </c>
      <c r="M67" s="860">
        <f t="shared" si="2"/>
        <v>10.818226007999783</v>
      </c>
    </row>
    <row r="68" spans="1:13">
      <c r="A68" s="864" t="s">
        <v>1228</v>
      </c>
      <c r="B68" s="666" t="s">
        <v>1293</v>
      </c>
      <c r="C68" s="651">
        <v>1327.2317001799997</v>
      </c>
      <c r="D68" s="716">
        <v>5.9999999999999991E-2</v>
      </c>
      <c r="E68" s="672">
        <v>9.9999999999999992E-2</v>
      </c>
      <c r="F68" s="651">
        <v>1247.5977981691997</v>
      </c>
      <c r="G68" s="862">
        <v>1194.5085301619997</v>
      </c>
      <c r="H68" s="651">
        <v>1327.5196426500002</v>
      </c>
      <c r="I68" s="651">
        <v>1247.8684640910001</v>
      </c>
      <c r="J68" s="862">
        <v>1194.7676783850002</v>
      </c>
      <c r="K68" s="651">
        <f t="shared" si="1"/>
        <v>-0.28794247000041651</v>
      </c>
      <c r="L68" s="651">
        <f t="shared" si="2"/>
        <v>-0.27066592180040061</v>
      </c>
      <c r="M68" s="862">
        <f t="shared" si="2"/>
        <v>-0.2591482230004658</v>
      </c>
    </row>
    <row r="69" spans="1:13">
      <c r="A69" s="697" t="s">
        <v>1286</v>
      </c>
      <c r="B69" s="663" t="s">
        <v>1294</v>
      </c>
      <c r="C69" s="664">
        <v>70.697602650000007</v>
      </c>
      <c r="D69" s="715">
        <v>5.9999999999999991E-2</v>
      </c>
      <c r="E69" s="671">
        <v>9.9999999999999992E-2</v>
      </c>
      <c r="F69" s="664">
        <v>66.455746491000014</v>
      </c>
      <c r="G69" s="860">
        <v>63.627842385000008</v>
      </c>
      <c r="H69" s="664">
        <v>70.650144530000006</v>
      </c>
      <c r="I69" s="664">
        <v>66.411135858199998</v>
      </c>
      <c r="J69" s="860">
        <v>63.585130077000002</v>
      </c>
      <c r="K69" s="664">
        <f t="shared" si="1"/>
        <v>4.7458120000001713E-2</v>
      </c>
      <c r="L69" s="664">
        <f t="shared" si="2"/>
        <v>4.4610632800015537E-2</v>
      </c>
      <c r="M69" s="860">
        <f t="shared" si="2"/>
        <v>4.2712308000005805E-2</v>
      </c>
    </row>
    <row r="70" spans="1:13">
      <c r="A70" s="864" t="s">
        <v>1285</v>
      </c>
      <c r="B70" s="666" t="s">
        <v>1245</v>
      </c>
      <c r="C70" s="651">
        <v>0</v>
      </c>
      <c r="D70" s="716">
        <v>5.9999999999999991E-2</v>
      </c>
      <c r="E70" s="672">
        <v>9.9999999999999992E-2</v>
      </c>
      <c r="F70" s="651">
        <v>0</v>
      </c>
      <c r="G70" s="862">
        <v>0</v>
      </c>
      <c r="H70" s="651">
        <v>0</v>
      </c>
      <c r="I70" s="651">
        <v>0</v>
      </c>
      <c r="J70" s="862">
        <v>0</v>
      </c>
      <c r="K70" s="651">
        <f t="shared" si="1"/>
        <v>0</v>
      </c>
      <c r="L70" s="651">
        <f t="shared" si="2"/>
        <v>0</v>
      </c>
      <c r="M70" s="862">
        <f t="shared" si="2"/>
        <v>0</v>
      </c>
    </row>
    <row r="71" spans="1:13">
      <c r="A71" s="697">
        <v>10.199999999999999</v>
      </c>
      <c r="B71" s="663" t="s">
        <v>25</v>
      </c>
      <c r="C71" s="664">
        <v>9604.8459999999995</v>
      </c>
      <c r="D71" s="715">
        <v>1</v>
      </c>
      <c r="E71" s="671">
        <v>1</v>
      </c>
      <c r="F71" s="664">
        <v>9508.7975399999996</v>
      </c>
      <c r="G71" s="860">
        <v>7109.9493299999995</v>
      </c>
      <c r="H71" s="664">
        <v>9604.8460000000014</v>
      </c>
      <c r="I71" s="664">
        <v>9508.7975400000014</v>
      </c>
      <c r="J71" s="860">
        <v>7109.9493300000013</v>
      </c>
      <c r="K71" s="664">
        <f t="shared" si="1"/>
        <v>0</v>
      </c>
      <c r="L71" s="664">
        <f t="shared" si="2"/>
        <v>0</v>
      </c>
      <c r="M71" s="860">
        <f t="shared" si="2"/>
        <v>0</v>
      </c>
    </row>
    <row r="72" spans="1:13">
      <c r="A72" s="864">
        <v>10.3</v>
      </c>
      <c r="B72" s="666" t="s">
        <v>1172</v>
      </c>
      <c r="C72" s="651">
        <v>0</v>
      </c>
      <c r="D72" s="716">
        <v>1</v>
      </c>
      <c r="E72" s="672">
        <v>1</v>
      </c>
      <c r="F72" s="651">
        <v>0</v>
      </c>
      <c r="G72" s="862">
        <v>0</v>
      </c>
      <c r="H72" s="651">
        <v>0</v>
      </c>
      <c r="I72" s="651">
        <v>0</v>
      </c>
      <c r="J72" s="862">
        <v>0</v>
      </c>
      <c r="K72" s="651">
        <f t="shared" si="1"/>
        <v>0</v>
      </c>
      <c r="L72" s="651">
        <f t="shared" si="2"/>
        <v>0</v>
      </c>
      <c r="M72" s="862">
        <f t="shared" si="2"/>
        <v>0</v>
      </c>
    </row>
    <row r="73" spans="1:13">
      <c r="A73" s="697">
        <v>11</v>
      </c>
      <c r="B73" s="663" t="s">
        <v>1243</v>
      </c>
      <c r="C73" s="664">
        <v>0</v>
      </c>
      <c r="D73" s="715">
        <v>1</v>
      </c>
      <c r="E73" s="671">
        <v>1</v>
      </c>
      <c r="F73" s="664">
        <v>0</v>
      </c>
      <c r="G73" s="860">
        <v>0</v>
      </c>
      <c r="H73" s="664">
        <v>0</v>
      </c>
      <c r="I73" s="664">
        <v>0</v>
      </c>
      <c r="J73" s="860">
        <v>0</v>
      </c>
      <c r="K73" s="664">
        <f t="shared" si="1"/>
        <v>0</v>
      </c>
      <c r="L73" s="664">
        <f t="shared" si="2"/>
        <v>0</v>
      </c>
      <c r="M73" s="860">
        <f t="shared" si="2"/>
        <v>0</v>
      </c>
    </row>
    <row r="74" spans="1:13">
      <c r="A74" s="864">
        <v>99</v>
      </c>
      <c r="B74" s="666" t="s">
        <v>1137</v>
      </c>
      <c r="C74" s="651">
        <v>0</v>
      </c>
      <c r="D74" s="716">
        <v>1</v>
      </c>
      <c r="E74" s="672"/>
      <c r="F74" s="651">
        <v>0</v>
      </c>
      <c r="G74" s="862">
        <v>0</v>
      </c>
      <c r="H74" s="651">
        <v>0</v>
      </c>
      <c r="I74" s="651">
        <v>0</v>
      </c>
      <c r="J74" s="862">
        <v>0</v>
      </c>
      <c r="K74" s="651">
        <f t="shared" si="1"/>
        <v>0</v>
      </c>
      <c r="L74" s="651">
        <f t="shared" si="2"/>
        <v>0</v>
      </c>
      <c r="M74" s="862">
        <f t="shared" si="2"/>
        <v>0</v>
      </c>
    </row>
    <row r="75" spans="1:13">
      <c r="A75" s="864">
        <v>13</v>
      </c>
      <c r="B75" s="666" t="s">
        <v>27</v>
      </c>
      <c r="C75" s="651">
        <v>411.85919435999989</v>
      </c>
      <c r="D75" s="716" t="s">
        <v>1030</v>
      </c>
      <c r="E75" s="672"/>
      <c r="F75" s="651">
        <v>411.85919435999989</v>
      </c>
      <c r="G75" s="862">
        <v>411.85919435999989</v>
      </c>
      <c r="H75" s="651">
        <v>367.06114570999983</v>
      </c>
      <c r="I75" s="651">
        <v>367.06114570999983</v>
      </c>
      <c r="J75" s="862">
        <v>367.06114570999983</v>
      </c>
      <c r="K75" s="651">
        <f t="shared" si="1"/>
        <v>44.798048650000055</v>
      </c>
      <c r="L75" s="651">
        <f t="shared" si="2"/>
        <v>44.798048650000055</v>
      </c>
      <c r="M75" s="862">
        <f t="shared" si="2"/>
        <v>44.798048650000055</v>
      </c>
    </row>
    <row r="76" spans="1:13">
      <c r="A76" s="697">
        <v>14</v>
      </c>
      <c r="B76" s="663" t="s">
        <v>26</v>
      </c>
      <c r="C76" s="664">
        <v>626.0229084099991</v>
      </c>
      <c r="D76" s="715" t="s">
        <v>1030</v>
      </c>
      <c r="E76" s="671"/>
      <c r="F76" s="664">
        <v>626.0229084099991</v>
      </c>
      <c r="G76" s="860">
        <v>626.0229084099991</v>
      </c>
      <c r="H76" s="664">
        <v>706.04916378999906</v>
      </c>
      <c r="I76" s="664">
        <v>706.04916378999906</v>
      </c>
      <c r="J76" s="860">
        <v>706.04916378999906</v>
      </c>
      <c r="K76" s="664">
        <f t="shared" si="1"/>
        <v>-80.026255379999952</v>
      </c>
      <c r="L76" s="664">
        <f t="shared" si="2"/>
        <v>-80.026255379999952</v>
      </c>
      <c r="M76" s="860">
        <f t="shared" si="2"/>
        <v>-80.026255379999952</v>
      </c>
    </row>
    <row r="77" spans="1:13" ht="15">
      <c r="A77" s="865"/>
      <c r="B77" s="701" t="s">
        <v>1689</v>
      </c>
      <c r="C77" s="702">
        <v>61187.931159929998</v>
      </c>
      <c r="D77" s="719"/>
      <c r="E77" s="701"/>
      <c r="F77" s="702">
        <v>40044.4635300054</v>
      </c>
      <c r="G77" s="866">
        <v>35681.509414515596</v>
      </c>
      <c r="H77" s="702">
        <v>45862.224923689995</v>
      </c>
      <c r="I77" s="702">
        <v>39713.449446961225</v>
      </c>
      <c r="J77" s="866">
        <v>35602.682026763738</v>
      </c>
      <c r="K77" s="702">
        <f t="shared" si="1"/>
        <v>15325.706236240003</v>
      </c>
      <c r="L77" s="702">
        <f t="shared" si="2"/>
        <v>331.01408304417419</v>
      </c>
      <c r="M77" s="866">
        <f t="shared" si="2"/>
        <v>78.827387751858623</v>
      </c>
    </row>
    <row r="78" spans="1:13">
      <c r="A78" s="697">
        <v>15</v>
      </c>
      <c r="B78" s="663" t="s">
        <v>39</v>
      </c>
      <c r="C78" s="664">
        <v>17243.170592639999</v>
      </c>
      <c r="D78" s="715">
        <v>8.6999999999999994E-2</v>
      </c>
      <c r="E78" s="671">
        <v>0.14499999999999999</v>
      </c>
      <c r="F78" s="664">
        <v>15743.014751080318</v>
      </c>
      <c r="G78" s="860">
        <v>14742.910856707198</v>
      </c>
      <c r="H78" s="664">
        <v>17243.170592639999</v>
      </c>
      <c r="I78" s="664">
        <v>15743.014751080318</v>
      </c>
      <c r="J78" s="860">
        <v>14742.910856707198</v>
      </c>
      <c r="K78" s="664">
        <f t="shared" si="1"/>
        <v>0</v>
      </c>
      <c r="L78" s="664">
        <f t="shared" si="2"/>
        <v>0</v>
      </c>
      <c r="M78" s="860">
        <f t="shared" si="2"/>
        <v>0</v>
      </c>
    </row>
    <row r="79" spans="1:13">
      <c r="A79" s="864">
        <v>16</v>
      </c>
      <c r="B79" s="666" t="s">
        <v>1041</v>
      </c>
      <c r="C79" s="651">
        <v>560</v>
      </c>
      <c r="D79" s="716">
        <v>0.40399999999999991</v>
      </c>
      <c r="E79" s="672">
        <v>0.42699999999999982</v>
      </c>
      <c r="F79" s="651">
        <v>333.76</v>
      </c>
      <c r="G79" s="862">
        <v>320.88</v>
      </c>
      <c r="H79" s="651">
        <v>560</v>
      </c>
      <c r="I79" s="651">
        <v>333.76</v>
      </c>
      <c r="J79" s="862">
        <v>320.88</v>
      </c>
      <c r="K79" s="651">
        <f t="shared" si="1"/>
        <v>0</v>
      </c>
      <c r="L79" s="651">
        <f t="shared" si="2"/>
        <v>0</v>
      </c>
      <c r="M79" s="862">
        <f t="shared" si="2"/>
        <v>0</v>
      </c>
    </row>
    <row r="80" spans="1:13">
      <c r="A80" s="886">
        <v>16.100000000000001</v>
      </c>
      <c r="B80" s="663" t="s">
        <v>1575</v>
      </c>
      <c r="C80" s="664">
        <v>1122.824177</v>
      </c>
      <c r="D80" s="715">
        <v>3.261E-2</v>
      </c>
      <c r="E80" s="671">
        <v>5.4350000000000009E-2</v>
      </c>
      <c r="F80" s="664">
        <v>1086.2088805880301</v>
      </c>
      <c r="G80" s="860">
        <v>1061.79868298005</v>
      </c>
      <c r="H80" s="664">
        <v>922.82417699999996</v>
      </c>
      <c r="I80" s="664">
        <v>892.73088058803</v>
      </c>
      <c r="J80" s="860">
        <v>872.66868298004999</v>
      </c>
      <c r="K80" s="664">
        <f t="shared" ref="K80" si="9">C80-H80</f>
        <v>200</v>
      </c>
      <c r="L80" s="664">
        <f t="shared" ref="L80" si="10">F80-I80</f>
        <v>193.47800000000007</v>
      </c>
      <c r="M80" s="860">
        <f t="shared" ref="M80" si="11">G80-J80</f>
        <v>189.13</v>
      </c>
    </row>
    <row r="81" spans="1:13" hidden="1">
      <c r="A81" s="864">
        <v>17</v>
      </c>
      <c r="B81" s="666" t="s">
        <v>2779</v>
      </c>
      <c r="C81" s="651">
        <v>1276.1819958300009</v>
      </c>
      <c r="D81" s="716">
        <v>0</v>
      </c>
      <c r="E81" s="672">
        <v>0</v>
      </c>
      <c r="F81" s="651">
        <v>1276.1819958300009</v>
      </c>
      <c r="G81" s="862">
        <v>1276.1819958300009</v>
      </c>
      <c r="H81" s="651">
        <v>1275.9154492400005</v>
      </c>
      <c r="I81" s="651">
        <v>1275.9154492400005</v>
      </c>
      <c r="J81" s="862">
        <v>1275.9154492400005</v>
      </c>
      <c r="K81" s="651">
        <f t="shared" ref="K81" si="12">C81-H81</f>
        <v>0.26654659000041647</v>
      </c>
      <c r="L81" s="651">
        <f t="shared" ref="L81" si="13">F81-I81</f>
        <v>0.26654659000041647</v>
      </c>
      <c r="M81" s="862">
        <f t="shared" ref="M81" si="14">G81-J81</f>
        <v>0.26654659000041647</v>
      </c>
    </row>
    <row r="82" spans="1:13">
      <c r="A82" s="870"/>
      <c r="B82" s="871" t="s">
        <v>1207</v>
      </c>
      <c r="C82" s="968"/>
      <c r="D82" s="969"/>
      <c r="E82" s="970"/>
      <c r="F82" s="968"/>
      <c r="G82" s="925"/>
      <c r="H82" s="872"/>
      <c r="I82" s="872"/>
      <c r="J82" s="873"/>
      <c r="K82" s="872"/>
      <c r="L82" s="872"/>
      <c r="M82" s="873"/>
    </row>
    <row r="104" spans="1:7" ht="15">
      <c r="A104" s="478"/>
      <c r="B104" s="436"/>
      <c r="C104" s="647"/>
      <c r="D104" s="436"/>
      <c r="E104" s="436"/>
      <c r="F104" s="647"/>
      <c r="G104" s="647"/>
    </row>
  </sheetData>
  <mergeCells count="1">
    <mergeCell ref="H6:J6"/>
  </mergeCells>
  <pageMargins left="1" right="0.7" top="0.25" bottom="0.25" header="0.3" footer="0.3"/>
  <pageSetup scale="44" orientation="landscape"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sheetPr>
  <dimension ref="A1:HP445"/>
  <sheetViews>
    <sheetView workbookViewId="0">
      <pane xSplit="6" ySplit="1" topLeftCell="G28" activePane="bottomRight" state="frozen"/>
      <selection pane="topRight" activeCell="G1" sqref="G1"/>
      <selection pane="bottomLeft" activeCell="A2" sqref="A2"/>
      <selection pane="bottomRight" activeCell="B66" sqref="B66"/>
    </sheetView>
  </sheetViews>
  <sheetFormatPr defaultColWidth="8.75" defaultRowHeight="14.25"/>
  <cols>
    <col min="1" max="1" width="10.5" style="816" customWidth="1"/>
    <col min="2" max="2" width="10" style="816" bestFit="1" customWidth="1"/>
    <col min="3" max="3" width="7" style="816" customWidth="1"/>
    <col min="4" max="5" width="8.75" style="816" customWidth="1"/>
    <col min="6" max="6" width="40.375" style="816" customWidth="1"/>
    <col min="7" max="7" width="8.25" style="894" bestFit="1" customWidth="1"/>
    <col min="8" max="21" width="8.25" style="894" customWidth="1"/>
    <col min="22" max="30" width="7" style="894" customWidth="1"/>
    <col min="31" max="31" width="5.5" style="894" customWidth="1"/>
    <col min="32" max="32" width="7" style="894" bestFit="1" customWidth="1"/>
    <col min="33" max="33" width="8.25" style="894" bestFit="1" customWidth="1"/>
    <col min="34" max="34" width="7.375" style="891" bestFit="1" customWidth="1"/>
    <col min="35" max="35" width="11.25" style="891" customWidth="1"/>
    <col min="36" max="38" width="7.375" style="895" customWidth="1"/>
    <col min="39" max="39" width="7.375" style="894" customWidth="1"/>
    <col min="40" max="40" width="10.75" style="817" customWidth="1"/>
    <col min="41" max="43" width="8.75" style="816" customWidth="1"/>
    <col min="44" max="91" width="8.75" style="816" hidden="1" customWidth="1"/>
    <col min="92" max="92" width="8.75" style="816" customWidth="1"/>
    <col min="93" max="93" width="9.25" style="816" customWidth="1"/>
    <col min="94" max="94" width="8.75" style="816" customWidth="1"/>
    <col min="95" max="109" width="8.75" style="816" hidden="1" customWidth="1"/>
    <col min="110" max="110" width="11" style="816" hidden="1" customWidth="1"/>
    <col min="111" max="142" width="8.75" style="816" hidden="1" customWidth="1"/>
    <col min="143" max="143" width="8.75" style="816"/>
    <col min="144" max="144" width="15.625" style="816" bestFit="1" customWidth="1"/>
    <col min="145" max="159" width="6.875" style="816" bestFit="1" customWidth="1"/>
    <col min="160" max="171" width="6.125" style="816" bestFit="1" customWidth="1"/>
    <col min="172" max="172" width="4.5" style="816" customWidth="1"/>
    <col min="173" max="173" width="8.625" style="816" bestFit="1" customWidth="1"/>
    <col min="174" max="174" width="9.5" style="816" bestFit="1" customWidth="1"/>
    <col min="175" max="175" width="6.125" style="816" bestFit="1" customWidth="1"/>
    <col min="176" max="190" width="5.125" style="816" customWidth="1"/>
    <col min="191" max="191" width="11" style="816" customWidth="1"/>
    <col min="192" max="207" width="5.125" style="816" customWidth="1"/>
    <col min="208" max="208" width="8.5" style="816" customWidth="1"/>
    <col min="209" max="223" width="5.125" style="816" customWidth="1"/>
    <col min="224" max="224" width="5.125" style="816" bestFit="1" customWidth="1"/>
    <col min="225" max="232" width="3.25" style="816" bestFit="1" customWidth="1"/>
    <col min="233" max="235" width="4.25" style="816" bestFit="1" customWidth="1"/>
    <col min="236" max="16384" width="8.75" style="816"/>
  </cols>
  <sheetData>
    <row r="1" spans="1:224">
      <c r="A1" s="816" t="s">
        <v>1606</v>
      </c>
      <c r="B1" s="816" t="s">
        <v>1616</v>
      </c>
      <c r="C1" s="816" t="s">
        <v>1231</v>
      </c>
      <c r="D1" s="816" t="s">
        <v>1608</v>
      </c>
      <c r="E1" s="816" t="s">
        <v>1617</v>
      </c>
      <c r="F1" s="816" t="s">
        <v>1236</v>
      </c>
      <c r="G1" s="894" t="s">
        <v>1451</v>
      </c>
      <c r="H1" s="894" t="s">
        <v>1452</v>
      </c>
      <c r="I1" s="894" t="s">
        <v>1453</v>
      </c>
      <c r="J1" s="894" t="s">
        <v>1454</v>
      </c>
      <c r="K1" s="894" t="s">
        <v>1455</v>
      </c>
      <c r="L1" s="894" t="s">
        <v>1456</v>
      </c>
      <c r="M1" s="894" t="s">
        <v>1457</v>
      </c>
      <c r="N1" s="894" t="s">
        <v>1458</v>
      </c>
      <c r="O1" s="894" t="s">
        <v>1459</v>
      </c>
      <c r="P1" s="894" t="s">
        <v>1460</v>
      </c>
      <c r="Q1" s="894" t="s">
        <v>1461</v>
      </c>
      <c r="R1" s="894" t="s">
        <v>1462</v>
      </c>
      <c r="S1" s="894" t="s">
        <v>1463</v>
      </c>
      <c r="T1" s="894" t="s">
        <v>1464</v>
      </c>
      <c r="U1" s="894" t="s">
        <v>4</v>
      </c>
      <c r="V1" s="894" t="s">
        <v>5</v>
      </c>
      <c r="W1" s="894" t="s">
        <v>6</v>
      </c>
      <c r="X1" s="894" t="s">
        <v>7</v>
      </c>
      <c r="Y1" s="894" t="s">
        <v>8</v>
      </c>
      <c r="Z1" s="894" t="s">
        <v>9</v>
      </c>
      <c r="AA1" s="894" t="s">
        <v>10</v>
      </c>
      <c r="AB1" s="894" t="s">
        <v>11</v>
      </c>
      <c r="AC1" s="894" t="s">
        <v>12</v>
      </c>
      <c r="AD1" s="894" t="s">
        <v>13</v>
      </c>
      <c r="AE1" s="894" t="s">
        <v>14</v>
      </c>
      <c r="AF1" s="894" t="s">
        <v>15</v>
      </c>
      <c r="AG1" s="894" t="s">
        <v>16</v>
      </c>
      <c r="AH1" s="891" t="s">
        <v>1465</v>
      </c>
      <c r="AI1" s="891" t="s">
        <v>1607</v>
      </c>
      <c r="AJ1" s="895" t="s">
        <v>1</v>
      </c>
      <c r="AK1" s="895" t="s">
        <v>2</v>
      </c>
      <c r="AL1" s="895" t="s">
        <v>3</v>
      </c>
      <c r="AN1" s="817" t="s">
        <v>1344</v>
      </c>
      <c r="AP1" s="816" t="s">
        <v>1344</v>
      </c>
      <c r="AQ1" s="817" t="s">
        <v>1</v>
      </c>
      <c r="AR1" s="817" t="s">
        <v>2</v>
      </c>
      <c r="AS1" s="817" t="s">
        <v>3</v>
      </c>
      <c r="AT1" s="817" t="s">
        <v>4</v>
      </c>
      <c r="AU1" s="817" t="s">
        <v>5</v>
      </c>
      <c r="AV1" s="817" t="s">
        <v>6</v>
      </c>
      <c r="AW1" s="817" t="s">
        <v>7</v>
      </c>
      <c r="AX1" s="817" t="s">
        <v>8</v>
      </c>
      <c r="AY1" s="817" t="s">
        <v>9</v>
      </c>
      <c r="AZ1" s="817" t="s">
        <v>10</v>
      </c>
      <c r="BA1" s="817" t="s">
        <v>11</v>
      </c>
      <c r="BB1" s="817" t="s">
        <v>12</v>
      </c>
      <c r="BC1" s="817" t="s">
        <v>13</v>
      </c>
      <c r="BD1" s="817" t="s">
        <v>14</v>
      </c>
      <c r="BE1" s="817" t="s">
        <v>15</v>
      </c>
      <c r="BF1" s="817" t="s">
        <v>16</v>
      </c>
      <c r="BG1" s="816" t="s">
        <v>1345</v>
      </c>
      <c r="BH1" s="816" t="s">
        <v>1</v>
      </c>
      <c r="BI1" s="816" t="s">
        <v>2</v>
      </c>
      <c r="BJ1" s="816" t="s">
        <v>3</v>
      </c>
      <c r="BK1" s="816" t="s">
        <v>4</v>
      </c>
      <c r="BL1" s="816" t="s">
        <v>5</v>
      </c>
      <c r="BM1" s="816" t="s">
        <v>6</v>
      </c>
      <c r="BN1" s="816" t="s">
        <v>7</v>
      </c>
      <c r="BO1" s="816" t="s">
        <v>8</v>
      </c>
      <c r="BP1" s="816" t="s">
        <v>9</v>
      </c>
      <c r="BQ1" s="816" t="s">
        <v>10</v>
      </c>
      <c r="BR1" s="816" t="s">
        <v>11</v>
      </c>
      <c r="BS1" s="816" t="s">
        <v>12</v>
      </c>
      <c r="BT1" s="816" t="s">
        <v>13</v>
      </c>
      <c r="BU1" s="816" t="s">
        <v>14</v>
      </c>
      <c r="BV1" s="816" t="s">
        <v>15</v>
      </c>
      <c r="BW1" s="816" t="s">
        <v>16</v>
      </c>
      <c r="BX1" s="817" t="s">
        <v>1346</v>
      </c>
      <c r="BY1" s="816" t="s">
        <v>1</v>
      </c>
      <c r="BZ1" s="816" t="s">
        <v>2</v>
      </c>
      <c r="CA1" s="816" t="s">
        <v>3</v>
      </c>
      <c r="CB1" s="816" t="s">
        <v>4</v>
      </c>
      <c r="CC1" s="816" t="s">
        <v>5</v>
      </c>
      <c r="CD1" s="816" t="s">
        <v>6</v>
      </c>
      <c r="CE1" s="816" t="s">
        <v>7</v>
      </c>
      <c r="CF1" s="816" t="s">
        <v>8</v>
      </c>
      <c r="CG1" s="816" t="s">
        <v>9</v>
      </c>
      <c r="CH1" s="816" t="s">
        <v>10</v>
      </c>
      <c r="CI1" s="816" t="s">
        <v>11</v>
      </c>
      <c r="CJ1" s="816" t="s">
        <v>12</v>
      </c>
      <c r="CK1" s="816" t="s">
        <v>13</v>
      </c>
      <c r="CL1" s="816" t="s">
        <v>14</v>
      </c>
      <c r="CM1" s="816" t="s">
        <v>15</v>
      </c>
      <c r="CN1" s="816" t="s">
        <v>16</v>
      </c>
      <c r="CO1" s="816" t="s">
        <v>1112</v>
      </c>
      <c r="CP1" s="816" t="s">
        <v>1</v>
      </c>
      <c r="CQ1" s="816" t="s">
        <v>2</v>
      </c>
      <c r="CR1" s="816" t="s">
        <v>3</v>
      </c>
      <c r="CS1" s="816" t="s">
        <v>4</v>
      </c>
      <c r="CT1" s="816" t="s">
        <v>5</v>
      </c>
      <c r="CU1" s="816" t="s">
        <v>6</v>
      </c>
      <c r="CV1" s="816" t="s">
        <v>7</v>
      </c>
      <c r="CW1" s="816" t="s">
        <v>8</v>
      </c>
      <c r="CX1" s="816" t="s">
        <v>9</v>
      </c>
      <c r="CY1" s="816" t="s">
        <v>10</v>
      </c>
      <c r="CZ1" s="816" t="s">
        <v>11</v>
      </c>
      <c r="DA1" s="816" t="s">
        <v>12</v>
      </c>
      <c r="DB1" s="816" t="s">
        <v>13</v>
      </c>
      <c r="DC1" s="816" t="s">
        <v>14</v>
      </c>
      <c r="DD1" s="816" t="s">
        <v>15</v>
      </c>
      <c r="DE1" s="816" t="s">
        <v>16</v>
      </c>
      <c r="DF1" s="816" t="s">
        <v>1113</v>
      </c>
      <c r="DG1" s="816" t="s">
        <v>1</v>
      </c>
      <c r="DH1" s="816" t="s">
        <v>2</v>
      </c>
      <c r="DI1" s="816" t="s">
        <v>3</v>
      </c>
      <c r="DJ1" s="816" t="s">
        <v>4</v>
      </c>
      <c r="DK1" s="816" t="s">
        <v>5</v>
      </c>
      <c r="DL1" s="816" t="s">
        <v>6</v>
      </c>
      <c r="DM1" s="816" t="s">
        <v>7</v>
      </c>
      <c r="DN1" s="816" t="s">
        <v>8</v>
      </c>
      <c r="DO1" s="816" t="s">
        <v>9</v>
      </c>
      <c r="DP1" s="816" t="s">
        <v>10</v>
      </c>
      <c r="DQ1" s="816" t="s">
        <v>11</v>
      </c>
      <c r="DR1" s="816" t="s">
        <v>12</v>
      </c>
      <c r="DS1" s="816" t="s">
        <v>13</v>
      </c>
      <c r="DT1" s="816" t="s">
        <v>14</v>
      </c>
      <c r="DU1" s="816" t="s">
        <v>15</v>
      </c>
      <c r="DV1" s="816" t="s">
        <v>16</v>
      </c>
      <c r="DW1" s="816" t="s">
        <v>1111</v>
      </c>
      <c r="DX1" s="816" t="s">
        <v>1</v>
      </c>
      <c r="DY1" s="816" t="s">
        <v>2</v>
      </c>
      <c r="DZ1" s="816" t="s">
        <v>3</v>
      </c>
      <c r="EA1" s="816" t="s">
        <v>4</v>
      </c>
      <c r="EB1" s="816" t="s">
        <v>5</v>
      </c>
      <c r="EC1" s="816" t="s">
        <v>6</v>
      </c>
      <c r="ED1" s="816" t="s">
        <v>7</v>
      </c>
      <c r="EE1" s="816" t="s">
        <v>8</v>
      </c>
      <c r="EF1" s="816" t="s">
        <v>9</v>
      </c>
      <c r="EG1" s="816" t="s">
        <v>10</v>
      </c>
      <c r="EH1" s="816" t="s">
        <v>11</v>
      </c>
      <c r="EI1" s="816" t="s">
        <v>12</v>
      </c>
      <c r="EJ1" s="816" t="s">
        <v>13</v>
      </c>
      <c r="EK1" s="816" t="s">
        <v>14</v>
      </c>
      <c r="EL1" s="816" t="s">
        <v>15</v>
      </c>
      <c r="EM1" s="816" t="s">
        <v>16</v>
      </c>
      <c r="EN1" s="816" t="s">
        <v>1583</v>
      </c>
      <c r="EO1" s="816" t="s">
        <v>1451</v>
      </c>
      <c r="EP1" s="816" t="s">
        <v>1452</v>
      </c>
      <c r="EQ1" s="816" t="s">
        <v>1453</v>
      </c>
      <c r="ER1" s="816" t="s">
        <v>1454</v>
      </c>
      <c r="ES1" s="816" t="s">
        <v>1455</v>
      </c>
      <c r="ET1" s="816" t="s">
        <v>1456</v>
      </c>
      <c r="EU1" s="816" t="s">
        <v>1457</v>
      </c>
      <c r="EV1" s="816" t="s">
        <v>1458</v>
      </c>
      <c r="EW1" s="816" t="s">
        <v>1459</v>
      </c>
      <c r="EX1" s="816" t="s">
        <v>1460</v>
      </c>
      <c r="EY1" s="816" t="s">
        <v>1461</v>
      </c>
      <c r="EZ1" s="816" t="s">
        <v>1462</v>
      </c>
      <c r="FA1" s="816" t="s">
        <v>1463</v>
      </c>
      <c r="FB1" s="816" t="s">
        <v>1464</v>
      </c>
      <c r="FC1" s="816" t="s">
        <v>4</v>
      </c>
      <c r="FD1" s="816" t="s">
        <v>5</v>
      </c>
      <c r="FE1" s="816" t="s">
        <v>6</v>
      </c>
      <c r="FF1" s="816" t="s">
        <v>7</v>
      </c>
      <c r="FG1" s="816" t="s">
        <v>8</v>
      </c>
      <c r="FH1" s="816" t="s">
        <v>9</v>
      </c>
      <c r="FI1" s="816" t="s">
        <v>10</v>
      </c>
      <c r="FJ1" s="816" t="s">
        <v>11</v>
      </c>
      <c r="FK1" s="816" t="s">
        <v>12</v>
      </c>
      <c r="FL1" s="816" t="s">
        <v>13</v>
      </c>
      <c r="FM1" s="816" t="s">
        <v>14</v>
      </c>
      <c r="FN1" s="816" t="s">
        <v>15</v>
      </c>
      <c r="FO1" s="816" t="s">
        <v>16</v>
      </c>
      <c r="FR1" s="816" t="s">
        <v>1112</v>
      </c>
      <c r="FS1" s="816" t="s">
        <v>1</v>
      </c>
      <c r="FT1" s="816" t="s">
        <v>2</v>
      </c>
      <c r="FU1" s="816" t="s">
        <v>3</v>
      </c>
      <c r="FV1" s="816" t="s">
        <v>4</v>
      </c>
      <c r="FW1" s="816" t="s">
        <v>5</v>
      </c>
      <c r="FX1" s="816" t="s">
        <v>6</v>
      </c>
      <c r="FY1" s="816" t="s">
        <v>7</v>
      </c>
      <c r="FZ1" s="816" t="s">
        <v>8</v>
      </c>
      <c r="GA1" s="816" t="s">
        <v>9</v>
      </c>
      <c r="GB1" s="816" t="s">
        <v>10</v>
      </c>
      <c r="GC1" s="816" t="s">
        <v>11</v>
      </c>
      <c r="GD1" s="816" t="s">
        <v>12</v>
      </c>
      <c r="GE1" s="816" t="s">
        <v>13</v>
      </c>
      <c r="GF1" s="816" t="s">
        <v>14</v>
      </c>
      <c r="GG1" s="816" t="s">
        <v>15</v>
      </c>
      <c r="GH1" s="816" t="s">
        <v>16</v>
      </c>
      <c r="GI1" s="816" t="s">
        <v>1113</v>
      </c>
      <c r="GJ1" s="816" t="s">
        <v>1</v>
      </c>
      <c r="GK1" s="816" t="s">
        <v>2</v>
      </c>
      <c r="GL1" s="816" t="s">
        <v>3</v>
      </c>
      <c r="GM1" s="816" t="s">
        <v>4</v>
      </c>
      <c r="GN1" s="816" t="s">
        <v>5</v>
      </c>
      <c r="GO1" s="816" t="s">
        <v>6</v>
      </c>
      <c r="GP1" s="816" t="s">
        <v>7</v>
      </c>
      <c r="GQ1" s="816" t="s">
        <v>8</v>
      </c>
      <c r="GR1" s="816" t="s">
        <v>9</v>
      </c>
      <c r="GS1" s="816" t="s">
        <v>10</v>
      </c>
      <c r="GT1" s="816" t="s">
        <v>11</v>
      </c>
      <c r="GU1" s="816" t="s">
        <v>12</v>
      </c>
      <c r="GV1" s="816" t="s">
        <v>13</v>
      </c>
      <c r="GW1" s="816" t="s">
        <v>14</v>
      </c>
      <c r="GX1" s="816" t="s">
        <v>15</v>
      </c>
      <c r="GY1" s="816" t="s">
        <v>16</v>
      </c>
      <c r="GZ1" s="816" t="s">
        <v>1111</v>
      </c>
      <c r="HA1" s="816" t="s">
        <v>1</v>
      </c>
      <c r="HB1" s="816" t="s">
        <v>2</v>
      </c>
      <c r="HC1" s="816" t="s">
        <v>3</v>
      </c>
      <c r="HD1" s="816" t="s">
        <v>4</v>
      </c>
      <c r="HE1" s="816" t="s">
        <v>5</v>
      </c>
      <c r="HF1" s="816" t="s">
        <v>6</v>
      </c>
      <c r="HG1" s="816" t="s">
        <v>7</v>
      </c>
      <c r="HH1" s="816" t="s">
        <v>8</v>
      </c>
      <c r="HI1" s="816" t="s">
        <v>9</v>
      </c>
      <c r="HJ1" s="816" t="s">
        <v>10</v>
      </c>
      <c r="HK1" s="816" t="s">
        <v>11</v>
      </c>
      <c r="HL1" s="816" t="s">
        <v>12</v>
      </c>
      <c r="HM1" s="816" t="s">
        <v>13</v>
      </c>
      <c r="HN1" s="816" t="s">
        <v>14</v>
      </c>
      <c r="HO1" s="816" t="s">
        <v>15</v>
      </c>
      <c r="HP1" s="816" t="s">
        <v>16</v>
      </c>
    </row>
    <row r="2" spans="1:224">
      <c r="B2" s="816">
        <v>3.1</v>
      </c>
      <c r="C2" s="816">
        <v>1</v>
      </c>
      <c r="D2" s="816">
        <f t="shared" ref="D2:D36" si="0">IF(OR(AND(ISERROR(SEARCH("Affiliates",F2,1)),ISERROR(SEARCH("Interbranch",F2,1)),ISERROR(SEARCH("Banks",F2,1)),ISERROR(SEARCH("FI",F2,1))),NOT(ISERROR(SEARCH("Non FI",F2,1)))),0,1)</f>
        <v>1</v>
      </c>
      <c r="E2" s="816">
        <v>0</v>
      </c>
      <c r="F2" s="816" t="str">
        <f>INDEX('Data Interface'!$C:$C,MATCH(B2,'Data Interface'!$B:$B,0))</f>
        <v>Due From Banks (IB / Affiliates)</v>
      </c>
      <c r="G2" s="894">
        <f ca="1">IF($C2=1,$AJ2,SUM($AJ2:$AL2)*INDEX('Schedule Allocation'!G:G,MATCH($D2,'Schedule Allocation'!$A:$A,0)))</f>
        <v>0.5</v>
      </c>
      <c r="H2" s="894">
        <f ca="1">IF($C2=1,$AK2,SUM($AJ2:$AL2)*INDEX('Schedule Allocation'!H:H,MATCH($D2,'Schedule Allocation'!$A:$A,0)))</f>
        <v>0.5</v>
      </c>
      <c r="I2" s="894">
        <f ca="1">IF($C2=1,$AK2,SUM($AJ2:$AL2)*INDEX('Schedule Allocation'!I:I,MATCH($D2,'Schedule Allocation'!$A:$A,0)))</f>
        <v>0.5</v>
      </c>
      <c r="J2" s="894">
        <f ca="1">IF($C2=1,$AK2,SUM($AJ2:$AL2)*INDEX('Schedule Allocation'!J:J,MATCH($D2,'Schedule Allocation'!$A:$A,0)))</f>
        <v>0.5</v>
      </c>
      <c r="K2" s="894">
        <f ca="1">IF($C2=1,$AK2,SUM($AJ2:$AL2)*INDEX('Schedule Allocation'!K:K,MATCH($D2,'Schedule Allocation'!$A:$A,0)))</f>
        <v>0.5</v>
      </c>
      <c r="L2" s="894">
        <f ca="1">IF($C2=1,$AK2,SUM($AJ2:$AL2)*INDEX('Schedule Allocation'!L:L,MATCH($D2,'Schedule Allocation'!$A:$A,0)))</f>
        <v>0.5</v>
      </c>
      <c r="M2" s="894">
        <f ca="1">IF($C2=1,$AK2,SUM($AJ2:$AL2)*INDEX('Schedule Allocation'!M:M,MATCH($D2,'Schedule Allocation'!$A:$A,0)))</f>
        <v>0.5</v>
      </c>
      <c r="N2" s="894">
        <f ca="1">IF($C2=1,$AL2,SUM($AJ2:$AL2)*INDEX('Schedule Allocation'!N:N,MATCH($D2,'Schedule Allocation'!$A:$A,0)))</f>
        <v>0.5</v>
      </c>
      <c r="O2" s="894">
        <f ca="1">IF($C2=1,$AL2,SUM($AJ2:$AL2)*INDEX('Schedule Allocation'!O:O,MATCH($D2,'Schedule Allocation'!$A:$A,0)))</f>
        <v>0.5</v>
      </c>
      <c r="P2" s="894">
        <f ca="1">IF($C2=1,$AL2,SUM($AJ2:$AL2)*INDEX('Schedule Allocation'!P:P,MATCH($D2,'Schedule Allocation'!$A:$A,0)))</f>
        <v>0.5</v>
      </c>
      <c r="Q2" s="894">
        <f ca="1">IF($C2=1,$AL2,SUM($AJ2:$AL2)*INDEX('Schedule Allocation'!Q:Q,MATCH($D2,'Schedule Allocation'!$A:$A,0)))</f>
        <v>0.5</v>
      </c>
      <c r="R2" s="894">
        <f ca="1">IF($C2=1,$AL2,SUM($AJ2:$AL2)*INDEX('Schedule Allocation'!R:R,MATCH($D2,'Schedule Allocation'!$A:$A,0)))</f>
        <v>0.5</v>
      </c>
      <c r="S2" s="894">
        <f ca="1">IF($C2=1,$AL2,SUM($AJ2:$AL2)*INDEX('Schedule Allocation'!S:S,MATCH($D2,'Schedule Allocation'!$A:$A,0)))</f>
        <v>0.5</v>
      </c>
      <c r="T2" s="894">
        <f ca="1">IF($C2=1,$AL2,SUM($AJ2:$AL2)*INDEX('Schedule Allocation'!T:T,MATCH($D2,'Schedule Allocation'!$A:$A,0)))</f>
        <v>0.5</v>
      </c>
      <c r="U2" s="894">
        <f ca="1">OFFSET(AT2,0,(MATCH('Model Report Formatized'!$E$1,$AN$1:$AN$6,0))*17-17)</f>
        <v>0.5</v>
      </c>
      <c r="V2" s="894">
        <f ca="1">OFFSET(AU2,0,(MATCH('Model Report Formatized'!$E$1,$AN$1:$AN$6,0))*17-17)</f>
        <v>0.5</v>
      </c>
      <c r="W2" s="894">
        <f ca="1">OFFSET(AV2,0,(MATCH('Model Report Formatized'!$E$1,$AN$1:$AN$6,0))*17-17)</f>
        <v>0.5</v>
      </c>
      <c r="X2" s="894">
        <f ca="1">OFFSET(AW2,0,(MATCH('Model Report Formatized'!$E$1,$AN$1:$AN$6,0))*17-17)</f>
        <v>0.5</v>
      </c>
      <c r="Y2" s="894">
        <f ca="1">OFFSET(AX2,0,(MATCH('Model Report Formatized'!$E$1,$AN$1:$AN$6,0))*17-17)</f>
        <v>0.5</v>
      </c>
      <c r="Z2" s="894">
        <f ca="1">OFFSET(AY2,0,(MATCH('Model Report Formatized'!$E$1,$AN$1:$AN$6,0))*17-17)</f>
        <v>0.5</v>
      </c>
      <c r="AA2" s="894">
        <f ca="1">OFFSET(AZ2,0,(MATCH('Model Report Formatized'!$E$1,$AN$1:$AN$6,0))*17-17)</f>
        <v>0.5</v>
      </c>
      <c r="AB2" s="894">
        <f ca="1">OFFSET(BA2,0,(MATCH('Model Report Formatized'!$E$1,$AN$1:$AN$6,0))*17-17)</f>
        <v>0.5</v>
      </c>
      <c r="AC2" s="894">
        <f ca="1">OFFSET(BB2,0,(MATCH('Model Report Formatized'!$E$1,$AN$1:$AN$6,0))*17-17)</f>
        <v>0.5</v>
      </c>
      <c r="AD2" s="894">
        <f ca="1">OFFSET(BC2,0,(MATCH('Model Report Formatized'!$E$1,$AN$1:$AN$6,0))*17-17)</f>
        <v>0.5</v>
      </c>
      <c r="AE2" s="894">
        <f ca="1">OFFSET(BD2,0,(MATCH('Model Report Formatized'!$E$1,$AN$1:$AN$6,0))*17-17)</f>
        <v>0.5</v>
      </c>
      <c r="AF2" s="894">
        <f ca="1">OFFSET(BE2,0,(MATCH('Model Report Formatized'!$E$1,$AN$1:$AN$6,0))*17-17)</f>
        <v>0.5</v>
      </c>
      <c r="AG2" s="894">
        <f ca="1">OFFSET(BF2,0,(MATCH('Model Report Formatized'!$E$1,$AN$1:$AN$6,0))*17-17)</f>
        <v>0.5</v>
      </c>
      <c r="AH2" s="891">
        <f t="shared" ref="AH2:AH36" ca="1" si="1">IF(C2=1,AG2,SUM(G2:AG2)-SUM(CP2:DE2))</f>
        <v>0.5</v>
      </c>
      <c r="AJ2" s="895">
        <f ca="1">OFFSET(AQ2,0,(MATCH('Model Report Formatized'!$E$1,$AN$1:$AN$6,0))*17-17)</f>
        <v>0.5</v>
      </c>
      <c r="AK2" s="895">
        <f ca="1">OFFSET(AR2,0,(MATCH('Model Report Formatized'!$E$1,$AN$1:$AN$6,0))*17-17)</f>
        <v>0.5</v>
      </c>
      <c r="AL2" s="895">
        <f ca="1">OFFSET(AS2,0,(MATCH('Model Report Formatized'!$E$1,$AN$1:$AN$6,0))*17-17)</f>
        <v>0.5</v>
      </c>
      <c r="AN2" s="817" t="s">
        <v>1345</v>
      </c>
      <c r="AQ2" s="893">
        <v>0.5</v>
      </c>
      <c r="AR2" s="893">
        <v>0.5</v>
      </c>
      <c r="AS2" s="893">
        <v>0.5</v>
      </c>
      <c r="AT2" s="893">
        <v>0.5</v>
      </c>
      <c r="AU2" s="893">
        <v>0.5</v>
      </c>
      <c r="AV2" s="893">
        <v>0.5</v>
      </c>
      <c r="AW2" s="893">
        <v>0.5</v>
      </c>
      <c r="AX2" s="893">
        <v>0.5</v>
      </c>
      <c r="AY2" s="893">
        <v>0.5</v>
      </c>
      <c r="AZ2" s="893">
        <v>0.5</v>
      </c>
      <c r="BA2" s="893">
        <v>0.5</v>
      </c>
      <c r="BB2" s="893">
        <v>0.5</v>
      </c>
      <c r="BC2" s="893">
        <v>0.5</v>
      </c>
      <c r="BD2" s="893">
        <v>0.5</v>
      </c>
      <c r="BE2" s="893">
        <v>0.5</v>
      </c>
      <c r="BF2" s="893">
        <v>0.5</v>
      </c>
      <c r="BH2" s="816">
        <v>0.5</v>
      </c>
      <c r="BI2" s="816">
        <v>0.5</v>
      </c>
      <c r="BJ2" s="816">
        <v>0.5</v>
      </c>
      <c r="BK2" s="816">
        <v>0.5</v>
      </c>
      <c r="BL2" s="816">
        <v>0.5</v>
      </c>
      <c r="BM2" s="816">
        <v>0.5</v>
      </c>
      <c r="BN2" s="816">
        <v>0.5</v>
      </c>
      <c r="BO2" s="816">
        <v>0.5</v>
      </c>
      <c r="BP2" s="816">
        <v>0.5</v>
      </c>
      <c r="BQ2" s="816">
        <v>0.5</v>
      </c>
      <c r="BR2" s="816">
        <v>0.5</v>
      </c>
      <c r="BS2" s="816">
        <v>0.5</v>
      </c>
      <c r="BT2" s="816">
        <v>0.5</v>
      </c>
      <c r="BU2" s="816">
        <v>0.5</v>
      </c>
      <c r="BV2" s="816">
        <v>0.5</v>
      </c>
      <c r="BW2" s="816">
        <v>0.5</v>
      </c>
      <c r="BY2" s="817">
        <v>0.5</v>
      </c>
      <c r="BZ2" s="817">
        <v>0.5</v>
      </c>
      <c r="CA2" s="817">
        <v>0.5</v>
      </c>
      <c r="CB2" s="817">
        <v>0.5</v>
      </c>
      <c r="CC2" s="817">
        <v>0.5</v>
      </c>
      <c r="CD2" s="817">
        <v>0.5</v>
      </c>
      <c r="CE2" s="817">
        <v>0.5</v>
      </c>
      <c r="CF2" s="817">
        <v>0.5</v>
      </c>
      <c r="CG2" s="817">
        <v>0.5</v>
      </c>
      <c r="CH2" s="817">
        <v>0.5</v>
      </c>
      <c r="CI2" s="817">
        <v>0.5</v>
      </c>
      <c r="CJ2" s="817">
        <v>0.5</v>
      </c>
      <c r="CK2" s="817">
        <v>0.5</v>
      </c>
      <c r="CL2" s="817">
        <v>0.5</v>
      </c>
      <c r="CM2" s="817">
        <v>0.5</v>
      </c>
      <c r="CN2" s="817">
        <v>0.5</v>
      </c>
      <c r="CP2" s="875">
        <v>0.5</v>
      </c>
      <c r="CQ2" s="875">
        <v>0.5</v>
      </c>
      <c r="CR2" s="875">
        <v>0.5</v>
      </c>
      <c r="CS2" s="875">
        <v>0.5</v>
      </c>
      <c r="CT2" s="875">
        <v>0.5</v>
      </c>
      <c r="CU2" s="875">
        <v>0.5</v>
      </c>
      <c r="CV2" s="875">
        <v>0.5</v>
      </c>
      <c r="CW2" s="875">
        <v>0.5</v>
      </c>
      <c r="CX2" s="875">
        <v>0.5</v>
      </c>
      <c r="CY2" s="875">
        <v>0.5</v>
      </c>
      <c r="CZ2" s="875">
        <v>0.5</v>
      </c>
      <c r="DA2" s="875">
        <v>0.5</v>
      </c>
      <c r="DB2" s="875">
        <v>0.5</v>
      </c>
      <c r="DC2" s="875">
        <v>0.5</v>
      </c>
      <c r="DD2" s="875">
        <v>0.5</v>
      </c>
      <c r="DE2" s="875">
        <v>0.5</v>
      </c>
      <c r="DG2" s="816">
        <v>0.5</v>
      </c>
      <c r="DH2" s="816">
        <v>0.5</v>
      </c>
      <c r="DI2" s="816">
        <v>0.5</v>
      </c>
      <c r="DJ2" s="816">
        <v>0.5</v>
      </c>
      <c r="DK2" s="816">
        <v>0.5</v>
      </c>
      <c r="DL2" s="816">
        <v>0.5</v>
      </c>
      <c r="DM2" s="816">
        <v>0.5</v>
      </c>
      <c r="DN2" s="816">
        <v>0.5</v>
      </c>
      <c r="DO2" s="816">
        <v>0.5</v>
      </c>
      <c r="DP2" s="816">
        <v>0.5</v>
      </c>
      <c r="DQ2" s="816">
        <v>0.5</v>
      </c>
      <c r="DR2" s="816">
        <v>0.5</v>
      </c>
      <c r="DS2" s="816">
        <v>0.5</v>
      </c>
      <c r="DT2" s="816">
        <v>0.5</v>
      </c>
      <c r="DU2" s="816">
        <v>0.5</v>
      </c>
      <c r="DV2" s="816">
        <v>0.5</v>
      </c>
      <c r="DX2" s="816">
        <v>0.5</v>
      </c>
      <c r="DY2" s="816">
        <v>0.5</v>
      </c>
      <c r="DZ2" s="816">
        <v>0.5</v>
      </c>
      <c r="EA2" s="816">
        <v>0.5</v>
      </c>
      <c r="EB2" s="816">
        <v>0.5</v>
      </c>
      <c r="EC2" s="816">
        <v>0.5</v>
      </c>
      <c r="ED2" s="816">
        <v>0.5</v>
      </c>
      <c r="EE2" s="816">
        <v>0.5</v>
      </c>
      <c r="EF2" s="816">
        <v>0.5</v>
      </c>
      <c r="EG2" s="816">
        <v>0.5</v>
      </c>
      <c r="EH2" s="816">
        <v>0.5</v>
      </c>
      <c r="EI2" s="816">
        <v>0.5</v>
      </c>
      <c r="EJ2" s="816">
        <v>0.5</v>
      </c>
      <c r="EK2" s="816">
        <v>0.5</v>
      </c>
      <c r="EL2" s="816">
        <v>0.5</v>
      </c>
      <c r="EM2" s="816">
        <v>0.5</v>
      </c>
      <c r="FQ2" s="898"/>
      <c r="FS2" s="898"/>
      <c r="FT2" s="898"/>
      <c r="FU2" s="898"/>
      <c r="FV2" s="898"/>
      <c r="FW2" s="898"/>
      <c r="FX2" s="898"/>
      <c r="FY2" s="898"/>
      <c r="FZ2" s="898"/>
      <c r="GA2" s="898"/>
      <c r="GB2" s="898"/>
      <c r="GC2" s="898"/>
      <c r="GD2" s="898"/>
      <c r="GE2" s="898"/>
      <c r="GF2" s="898"/>
      <c r="GG2" s="898"/>
      <c r="GH2" s="898"/>
      <c r="GJ2" s="898"/>
      <c r="GK2" s="898"/>
      <c r="GL2" s="898"/>
      <c r="GM2" s="898"/>
      <c r="GN2" s="898"/>
      <c r="GO2" s="898"/>
      <c r="GP2" s="898"/>
      <c r="GQ2" s="898"/>
      <c r="GR2" s="898"/>
      <c r="GS2" s="898"/>
      <c r="GT2" s="898"/>
      <c r="GU2" s="898"/>
      <c r="GV2" s="898"/>
      <c r="GW2" s="898"/>
      <c r="GX2" s="898"/>
      <c r="GY2" s="898"/>
      <c r="HA2" s="898"/>
      <c r="HB2" s="898"/>
      <c r="HC2" s="898"/>
      <c r="HD2" s="898"/>
      <c r="HE2" s="898"/>
      <c r="HF2" s="898"/>
      <c r="HG2" s="898"/>
      <c r="HH2" s="898"/>
      <c r="HI2" s="898"/>
      <c r="HJ2" s="898"/>
      <c r="HK2" s="898"/>
      <c r="HL2" s="898"/>
      <c r="HM2" s="898"/>
      <c r="HN2" s="898"/>
      <c r="HO2" s="898"/>
      <c r="HP2" s="898"/>
    </row>
    <row r="3" spans="1:224">
      <c r="B3" s="816">
        <v>3.2</v>
      </c>
      <c r="C3" s="816">
        <v>1</v>
      </c>
      <c r="D3" s="816">
        <f t="shared" si="0"/>
        <v>1</v>
      </c>
      <c r="E3" s="816">
        <v>0</v>
      </c>
      <c r="F3" s="816" t="str">
        <f>INDEX('Data Interface'!$C:$C,MATCH(B3,'Data Interface'!$B:$B,0))</f>
        <v>Due From Banks (3rd Party FI)</v>
      </c>
      <c r="G3" s="894">
        <f ca="1">IF($C3=1,$AJ3,SUM($AJ3:$AL3)*INDEX('Schedule Allocation'!G:G,MATCH($D3,'Schedule Allocation'!$A:$A,0)))</f>
        <v>1</v>
      </c>
      <c r="H3" s="894">
        <f ca="1">IF($C3=1,$AK3,SUM($AJ3:$AL3)*INDEX('Schedule Allocation'!H:H,MATCH($D3,'Schedule Allocation'!$A:$A,0)))</f>
        <v>1</v>
      </c>
      <c r="I3" s="894">
        <f ca="1">IF($C3=1,$AK3,SUM($AJ3:$AL3)*INDEX('Schedule Allocation'!I:I,MATCH($D3,'Schedule Allocation'!$A:$A,0)))</f>
        <v>1</v>
      </c>
      <c r="J3" s="894">
        <f ca="1">IF($C3=1,$AK3,SUM($AJ3:$AL3)*INDEX('Schedule Allocation'!J:J,MATCH($D3,'Schedule Allocation'!$A:$A,0)))</f>
        <v>1</v>
      </c>
      <c r="K3" s="894">
        <f ca="1">IF($C3=1,$AK3,SUM($AJ3:$AL3)*INDEX('Schedule Allocation'!K:K,MATCH($D3,'Schedule Allocation'!$A:$A,0)))</f>
        <v>1</v>
      </c>
      <c r="L3" s="894">
        <f ca="1">IF($C3=1,$AK3,SUM($AJ3:$AL3)*INDEX('Schedule Allocation'!L:L,MATCH($D3,'Schedule Allocation'!$A:$A,0)))</f>
        <v>1</v>
      </c>
      <c r="M3" s="894">
        <f ca="1">IF($C3=1,$AK3,SUM($AJ3:$AL3)*INDEX('Schedule Allocation'!M:M,MATCH($D3,'Schedule Allocation'!$A:$A,0)))</f>
        <v>1</v>
      </c>
      <c r="N3" s="894">
        <f ca="1">IF($C3=1,$AL3,SUM($AJ3:$AL3)*INDEX('Schedule Allocation'!N:N,MATCH($D3,'Schedule Allocation'!$A:$A,0)))</f>
        <v>1</v>
      </c>
      <c r="O3" s="894">
        <f ca="1">IF($C3=1,$AL3,SUM($AJ3:$AL3)*INDEX('Schedule Allocation'!O:O,MATCH($D3,'Schedule Allocation'!$A:$A,0)))</f>
        <v>1</v>
      </c>
      <c r="P3" s="894">
        <f ca="1">IF($C3=1,$AL3,SUM($AJ3:$AL3)*INDEX('Schedule Allocation'!P:P,MATCH($D3,'Schedule Allocation'!$A:$A,0)))</f>
        <v>1</v>
      </c>
      <c r="Q3" s="894">
        <f ca="1">IF($C3=1,$AL3,SUM($AJ3:$AL3)*INDEX('Schedule Allocation'!Q:Q,MATCH($D3,'Schedule Allocation'!$A:$A,0)))</f>
        <v>1</v>
      </c>
      <c r="R3" s="894">
        <f ca="1">IF($C3=1,$AL3,SUM($AJ3:$AL3)*INDEX('Schedule Allocation'!R:R,MATCH($D3,'Schedule Allocation'!$A:$A,0)))</f>
        <v>1</v>
      </c>
      <c r="S3" s="894">
        <f ca="1">IF($C3=1,$AL3,SUM($AJ3:$AL3)*INDEX('Schedule Allocation'!S:S,MATCH($D3,'Schedule Allocation'!$A:$A,0)))</f>
        <v>1</v>
      </c>
      <c r="T3" s="894">
        <f ca="1">IF($C3=1,$AL3,SUM($AJ3:$AL3)*INDEX('Schedule Allocation'!T:T,MATCH($D3,'Schedule Allocation'!$A:$A,0)))</f>
        <v>1</v>
      </c>
      <c r="U3" s="894">
        <f ca="1">OFFSET(AT3,0,(MATCH('Model Report Formatized'!$E$1,$AN$1:$AN$6,0))*17-17)</f>
        <v>1</v>
      </c>
      <c r="V3" s="894">
        <f ca="1">OFFSET(AU3,0,(MATCH('Model Report Formatized'!$E$1,$AN$1:$AN$6,0))*17-17)</f>
        <v>1</v>
      </c>
      <c r="W3" s="894">
        <f ca="1">OFFSET(AV3,0,(MATCH('Model Report Formatized'!$E$1,$AN$1:$AN$6,0))*17-17)</f>
        <v>1</v>
      </c>
      <c r="X3" s="894">
        <f ca="1">OFFSET(AW3,0,(MATCH('Model Report Formatized'!$E$1,$AN$1:$AN$6,0))*17-17)</f>
        <v>1</v>
      </c>
      <c r="Y3" s="894">
        <f ca="1">OFFSET(AX3,0,(MATCH('Model Report Formatized'!$E$1,$AN$1:$AN$6,0))*17-17)</f>
        <v>1</v>
      </c>
      <c r="Z3" s="894">
        <f ca="1">OFFSET(AY3,0,(MATCH('Model Report Formatized'!$E$1,$AN$1:$AN$6,0))*17-17)</f>
        <v>1</v>
      </c>
      <c r="AA3" s="894">
        <f ca="1">OFFSET(AZ3,0,(MATCH('Model Report Formatized'!$E$1,$AN$1:$AN$6,0))*17-17)</f>
        <v>1</v>
      </c>
      <c r="AB3" s="894">
        <f ca="1">OFFSET(BA3,0,(MATCH('Model Report Formatized'!$E$1,$AN$1:$AN$6,0))*17-17)</f>
        <v>1</v>
      </c>
      <c r="AC3" s="894">
        <f ca="1">OFFSET(BB3,0,(MATCH('Model Report Formatized'!$E$1,$AN$1:$AN$6,0))*17-17)</f>
        <v>1</v>
      </c>
      <c r="AD3" s="894">
        <f ca="1">OFFSET(BC3,0,(MATCH('Model Report Formatized'!$E$1,$AN$1:$AN$6,0))*17-17)</f>
        <v>1</v>
      </c>
      <c r="AE3" s="894">
        <f ca="1">OFFSET(BD3,0,(MATCH('Model Report Formatized'!$E$1,$AN$1:$AN$6,0))*17-17)</f>
        <v>1</v>
      </c>
      <c r="AF3" s="894">
        <f ca="1">OFFSET(BE3,0,(MATCH('Model Report Formatized'!$E$1,$AN$1:$AN$6,0))*17-17)</f>
        <v>1</v>
      </c>
      <c r="AG3" s="894">
        <f ca="1">OFFSET(BF3,0,(MATCH('Model Report Formatized'!$E$1,$AN$1:$AN$6,0))*17-17)</f>
        <v>1</v>
      </c>
      <c r="AH3" s="891">
        <f t="shared" ca="1" si="1"/>
        <v>1</v>
      </c>
      <c r="AJ3" s="895">
        <f ca="1">OFFSET(AQ3,0,(MATCH('Model Report Formatized'!$E$1,$AN$1:$AN$6,0))*17-17)</f>
        <v>1</v>
      </c>
      <c r="AK3" s="895">
        <f ca="1">OFFSET(AR3,0,(MATCH('Model Report Formatized'!$E$1,$AN$1:$AN$6,0))*17-17)</f>
        <v>1</v>
      </c>
      <c r="AL3" s="895">
        <f ca="1">OFFSET(AS3,0,(MATCH('Model Report Formatized'!$E$1,$AN$1:$AN$6,0))*17-17)</f>
        <v>1</v>
      </c>
      <c r="AN3" s="817" t="s">
        <v>1346</v>
      </c>
      <c r="AQ3" s="893">
        <v>1</v>
      </c>
      <c r="AR3" s="893">
        <v>1</v>
      </c>
      <c r="AS3" s="893">
        <v>1</v>
      </c>
      <c r="AT3" s="893">
        <v>1</v>
      </c>
      <c r="AU3" s="893">
        <v>1</v>
      </c>
      <c r="AV3" s="893">
        <v>1</v>
      </c>
      <c r="AW3" s="893">
        <v>1</v>
      </c>
      <c r="AX3" s="893">
        <v>1</v>
      </c>
      <c r="AY3" s="893">
        <v>1</v>
      </c>
      <c r="AZ3" s="893">
        <v>1</v>
      </c>
      <c r="BA3" s="893">
        <v>1</v>
      </c>
      <c r="BB3" s="893">
        <v>1</v>
      </c>
      <c r="BC3" s="893">
        <v>1</v>
      </c>
      <c r="BD3" s="893">
        <v>1</v>
      </c>
      <c r="BE3" s="893">
        <v>1</v>
      </c>
      <c r="BF3" s="893">
        <v>1</v>
      </c>
      <c r="BH3" s="816">
        <v>1</v>
      </c>
      <c r="BI3" s="816">
        <v>1</v>
      </c>
      <c r="BJ3" s="816">
        <v>1</v>
      </c>
      <c r="BK3" s="816">
        <v>1</v>
      </c>
      <c r="BL3" s="816">
        <v>1</v>
      </c>
      <c r="BM3" s="816">
        <v>1</v>
      </c>
      <c r="BN3" s="816">
        <v>1</v>
      </c>
      <c r="BO3" s="816">
        <v>1</v>
      </c>
      <c r="BP3" s="816">
        <v>1</v>
      </c>
      <c r="BQ3" s="816">
        <v>1</v>
      </c>
      <c r="BR3" s="816">
        <v>1</v>
      </c>
      <c r="BS3" s="816">
        <v>1</v>
      </c>
      <c r="BT3" s="816">
        <v>1</v>
      </c>
      <c r="BU3" s="816">
        <v>1</v>
      </c>
      <c r="BV3" s="816">
        <v>1</v>
      </c>
      <c r="BW3" s="816">
        <v>1</v>
      </c>
      <c r="BY3" s="817">
        <v>1</v>
      </c>
      <c r="BZ3" s="817">
        <v>1</v>
      </c>
      <c r="CA3" s="817">
        <v>1</v>
      </c>
      <c r="CB3" s="817">
        <v>1</v>
      </c>
      <c r="CC3" s="817">
        <v>1</v>
      </c>
      <c r="CD3" s="817">
        <v>1</v>
      </c>
      <c r="CE3" s="817">
        <v>1</v>
      </c>
      <c r="CF3" s="817">
        <v>1</v>
      </c>
      <c r="CG3" s="817">
        <v>1</v>
      </c>
      <c r="CH3" s="817">
        <v>1</v>
      </c>
      <c r="CI3" s="817">
        <v>1</v>
      </c>
      <c r="CJ3" s="817">
        <v>1</v>
      </c>
      <c r="CK3" s="817">
        <v>1</v>
      </c>
      <c r="CL3" s="817">
        <v>1</v>
      </c>
      <c r="CM3" s="817">
        <v>1</v>
      </c>
      <c r="CN3" s="817">
        <v>1</v>
      </c>
      <c r="CP3" s="875">
        <v>1</v>
      </c>
      <c r="CQ3" s="875">
        <v>1</v>
      </c>
      <c r="CR3" s="875">
        <v>1</v>
      </c>
      <c r="CS3" s="875">
        <v>1</v>
      </c>
      <c r="CT3" s="875">
        <v>1</v>
      </c>
      <c r="CU3" s="875">
        <v>1</v>
      </c>
      <c r="CV3" s="875">
        <v>1</v>
      </c>
      <c r="CW3" s="875">
        <v>1</v>
      </c>
      <c r="CX3" s="875">
        <v>1</v>
      </c>
      <c r="CY3" s="875">
        <v>1</v>
      </c>
      <c r="CZ3" s="875">
        <v>1</v>
      </c>
      <c r="DA3" s="875">
        <v>1</v>
      </c>
      <c r="DB3" s="875">
        <v>1</v>
      </c>
      <c r="DC3" s="875">
        <v>1</v>
      </c>
      <c r="DD3" s="875">
        <v>1</v>
      </c>
      <c r="DE3" s="875">
        <v>1</v>
      </c>
      <c r="DG3" s="816">
        <v>1</v>
      </c>
      <c r="DH3" s="816">
        <v>1</v>
      </c>
      <c r="DI3" s="816">
        <v>1</v>
      </c>
      <c r="DJ3" s="816">
        <v>1</v>
      </c>
      <c r="DK3" s="816">
        <v>1</v>
      </c>
      <c r="DL3" s="816">
        <v>1</v>
      </c>
      <c r="DM3" s="816">
        <v>1</v>
      </c>
      <c r="DN3" s="816">
        <v>1</v>
      </c>
      <c r="DO3" s="816">
        <v>1</v>
      </c>
      <c r="DP3" s="816">
        <v>1</v>
      </c>
      <c r="DQ3" s="816">
        <v>1</v>
      </c>
      <c r="DR3" s="816">
        <v>1</v>
      </c>
      <c r="DS3" s="816">
        <v>1</v>
      </c>
      <c r="DT3" s="816">
        <v>1</v>
      </c>
      <c r="DU3" s="816">
        <v>1</v>
      </c>
      <c r="DV3" s="816">
        <v>1</v>
      </c>
      <c r="DX3" s="816">
        <v>1</v>
      </c>
      <c r="DY3" s="816">
        <v>1</v>
      </c>
      <c r="DZ3" s="816">
        <v>1</v>
      </c>
      <c r="EA3" s="816">
        <v>1</v>
      </c>
      <c r="EB3" s="816">
        <v>1</v>
      </c>
      <c r="EC3" s="816">
        <v>1</v>
      </c>
      <c r="ED3" s="816">
        <v>1</v>
      </c>
      <c r="EE3" s="816">
        <v>1</v>
      </c>
      <c r="EF3" s="816">
        <v>1</v>
      </c>
      <c r="EG3" s="816">
        <v>1</v>
      </c>
      <c r="EH3" s="816">
        <v>1</v>
      </c>
      <c r="EI3" s="816">
        <v>1</v>
      </c>
      <c r="EJ3" s="816">
        <v>1</v>
      </c>
      <c r="EK3" s="816">
        <v>1</v>
      </c>
      <c r="EL3" s="816">
        <v>1</v>
      </c>
      <c r="EM3" s="816">
        <v>1</v>
      </c>
      <c r="FQ3" s="898"/>
      <c r="FS3" s="898"/>
      <c r="FT3" s="898"/>
      <c r="FU3" s="898"/>
      <c r="FV3" s="898"/>
      <c r="FW3" s="898"/>
      <c r="FX3" s="898"/>
      <c r="FY3" s="898"/>
      <c r="FZ3" s="898"/>
      <c r="GA3" s="898"/>
      <c r="GB3" s="898"/>
      <c r="GC3" s="898"/>
      <c r="GD3" s="898"/>
      <c r="GE3" s="898"/>
      <c r="GF3" s="898"/>
      <c r="GG3" s="898"/>
      <c r="GH3" s="898"/>
      <c r="GJ3" s="898"/>
      <c r="GK3" s="898"/>
      <c r="GL3" s="898"/>
      <c r="GM3" s="898"/>
      <c r="GN3" s="898"/>
      <c r="GO3" s="898"/>
      <c r="GP3" s="898"/>
      <c r="GQ3" s="898"/>
      <c r="GR3" s="898"/>
      <c r="GS3" s="898"/>
      <c r="GT3" s="898"/>
      <c r="GU3" s="898"/>
      <c r="GV3" s="898"/>
      <c r="GW3" s="898"/>
      <c r="GX3" s="898"/>
      <c r="GY3" s="898"/>
      <c r="HA3" s="898"/>
      <c r="HB3" s="898"/>
      <c r="HC3" s="898"/>
      <c r="HD3" s="898"/>
      <c r="HE3" s="898"/>
      <c r="HF3" s="898"/>
      <c r="HG3" s="898"/>
      <c r="HH3" s="898"/>
      <c r="HI3" s="898"/>
      <c r="HJ3" s="898"/>
      <c r="HK3" s="898"/>
      <c r="HL3" s="898"/>
      <c r="HM3" s="898"/>
      <c r="HN3" s="898"/>
      <c r="HO3" s="898"/>
      <c r="HP3" s="898"/>
    </row>
    <row r="4" spans="1:224">
      <c r="B4" s="816" t="s">
        <v>1059</v>
      </c>
      <c r="C4" s="816">
        <v>1</v>
      </c>
      <c r="D4" s="816">
        <f t="shared" si="0"/>
        <v>0</v>
      </c>
      <c r="E4" s="816">
        <v>0</v>
      </c>
      <c r="F4" s="816" t="str">
        <f>INDEX('Data Interface'!$C:$C,MATCH(B4,'Data Interface'!$B:$B,0))</f>
        <v xml:space="preserve"> Syndications - U.S. customers  (170)</v>
      </c>
      <c r="G4" s="894">
        <f ca="1">IF($C4=1,$AJ4,SUM($AJ4:$AL4)*INDEX('Schedule Allocation'!G:G,MATCH($D4,'Schedule Allocation'!$A:$A,0)))</f>
        <v>0.5</v>
      </c>
      <c r="H4" s="894">
        <f ca="1">IF($C4=1,$AK4,SUM($AJ4:$AL4)*INDEX('Schedule Allocation'!H:H,MATCH($D4,'Schedule Allocation'!$A:$A,0)))</f>
        <v>0.5</v>
      </c>
      <c r="I4" s="894">
        <f ca="1">IF($C4=1,$AK4,SUM($AJ4:$AL4)*INDEX('Schedule Allocation'!I:I,MATCH($D4,'Schedule Allocation'!$A:$A,0)))</f>
        <v>0.5</v>
      </c>
      <c r="J4" s="894">
        <f ca="1">IF($C4=1,$AK4,SUM($AJ4:$AL4)*INDEX('Schedule Allocation'!J:J,MATCH($D4,'Schedule Allocation'!$A:$A,0)))</f>
        <v>0.5</v>
      </c>
      <c r="K4" s="894">
        <f ca="1">IF($C4=1,$AK4,SUM($AJ4:$AL4)*INDEX('Schedule Allocation'!K:K,MATCH($D4,'Schedule Allocation'!$A:$A,0)))</f>
        <v>0.5</v>
      </c>
      <c r="L4" s="894">
        <f ca="1">IF($C4=1,$AK4,SUM($AJ4:$AL4)*INDEX('Schedule Allocation'!L:L,MATCH($D4,'Schedule Allocation'!$A:$A,0)))</f>
        <v>0.5</v>
      </c>
      <c r="M4" s="894">
        <f ca="1">IF($C4=1,$AK4,SUM($AJ4:$AL4)*INDEX('Schedule Allocation'!M:M,MATCH($D4,'Schedule Allocation'!$A:$A,0)))</f>
        <v>0.5</v>
      </c>
      <c r="N4" s="894">
        <f ca="1">IF($C4=1,$AL4,SUM($AJ4:$AL4)*INDEX('Schedule Allocation'!N:N,MATCH($D4,'Schedule Allocation'!$A:$A,0)))</f>
        <v>0.5</v>
      </c>
      <c r="O4" s="894">
        <f ca="1">IF($C4=1,$AL4,SUM($AJ4:$AL4)*INDEX('Schedule Allocation'!O:O,MATCH($D4,'Schedule Allocation'!$A:$A,0)))</f>
        <v>0.5</v>
      </c>
      <c r="P4" s="894">
        <f ca="1">IF($C4=1,$AL4,SUM($AJ4:$AL4)*INDEX('Schedule Allocation'!P:P,MATCH($D4,'Schedule Allocation'!$A:$A,0)))</f>
        <v>0.5</v>
      </c>
      <c r="Q4" s="894">
        <f ca="1">IF($C4=1,$AL4,SUM($AJ4:$AL4)*INDEX('Schedule Allocation'!Q:Q,MATCH($D4,'Schedule Allocation'!$A:$A,0)))</f>
        <v>0.5</v>
      </c>
      <c r="R4" s="894">
        <f ca="1">IF($C4=1,$AL4,SUM($AJ4:$AL4)*INDEX('Schedule Allocation'!R:R,MATCH($D4,'Schedule Allocation'!$A:$A,0)))</f>
        <v>0.5</v>
      </c>
      <c r="S4" s="894">
        <f ca="1">IF($C4=1,$AL4,SUM($AJ4:$AL4)*INDEX('Schedule Allocation'!S:S,MATCH($D4,'Schedule Allocation'!$A:$A,0)))</f>
        <v>0.5</v>
      </c>
      <c r="T4" s="894">
        <f ca="1">IF($C4=1,$AL4,SUM($AJ4:$AL4)*INDEX('Schedule Allocation'!T:T,MATCH($D4,'Schedule Allocation'!$A:$A,0)))</f>
        <v>0.5</v>
      </c>
      <c r="U4" s="894">
        <f ca="1">OFFSET(AT4,0,(MATCH('Model Report Formatized'!$E$1,$AN$1:$AN$6,0))*17-17)</f>
        <v>0.5</v>
      </c>
      <c r="V4" s="894">
        <f ca="1">OFFSET(AU4,0,(MATCH('Model Report Formatized'!$E$1,$AN$1:$AN$6,0))*17-17)</f>
        <v>0.5</v>
      </c>
      <c r="W4" s="894">
        <f ca="1">OFFSET(AV4,0,(MATCH('Model Report Formatized'!$E$1,$AN$1:$AN$6,0))*17-17)</f>
        <v>0.5</v>
      </c>
      <c r="X4" s="894">
        <f ca="1">OFFSET(AW4,0,(MATCH('Model Report Formatized'!$E$1,$AN$1:$AN$6,0))*17-17)</f>
        <v>0.5</v>
      </c>
      <c r="Y4" s="894">
        <f ca="1">OFFSET(AX4,0,(MATCH('Model Report Formatized'!$E$1,$AN$1:$AN$6,0))*17-17)</f>
        <v>0.5</v>
      </c>
      <c r="Z4" s="894">
        <f ca="1">OFFSET(AY4,0,(MATCH('Model Report Formatized'!$E$1,$AN$1:$AN$6,0))*17-17)</f>
        <v>0.5</v>
      </c>
      <c r="AA4" s="894">
        <f ca="1">OFFSET(AZ4,0,(MATCH('Model Report Formatized'!$E$1,$AN$1:$AN$6,0))*17-17)</f>
        <v>0.5</v>
      </c>
      <c r="AB4" s="894">
        <f ca="1">OFFSET(BA4,0,(MATCH('Model Report Formatized'!$E$1,$AN$1:$AN$6,0))*17-17)</f>
        <v>0.5</v>
      </c>
      <c r="AC4" s="894">
        <f ca="1">OFFSET(BB4,0,(MATCH('Model Report Formatized'!$E$1,$AN$1:$AN$6,0))*17-17)</f>
        <v>0.5</v>
      </c>
      <c r="AD4" s="894">
        <f ca="1">OFFSET(BC4,0,(MATCH('Model Report Formatized'!$E$1,$AN$1:$AN$6,0))*17-17)</f>
        <v>0.5</v>
      </c>
      <c r="AE4" s="894">
        <f ca="1">OFFSET(BD4,0,(MATCH('Model Report Formatized'!$E$1,$AN$1:$AN$6,0))*17-17)</f>
        <v>0.5</v>
      </c>
      <c r="AF4" s="894">
        <f ca="1">OFFSET(BE4,0,(MATCH('Model Report Formatized'!$E$1,$AN$1:$AN$6,0))*17-17)</f>
        <v>0.5</v>
      </c>
      <c r="AG4" s="894">
        <f ca="1">OFFSET(BF4,0,(MATCH('Model Report Formatized'!$E$1,$AN$1:$AN$6,0))*17-17)</f>
        <v>0.5</v>
      </c>
      <c r="AH4" s="891">
        <f t="shared" ca="1" si="1"/>
        <v>0.5</v>
      </c>
      <c r="AJ4" s="895">
        <f ca="1">OFFSET(AQ4,0,(MATCH('Model Report Formatized'!$E$1,$AN$1:$AN$6,0))*17-17)</f>
        <v>0.5</v>
      </c>
      <c r="AK4" s="895">
        <f ca="1">OFFSET(AR4,0,(MATCH('Model Report Formatized'!$E$1,$AN$1:$AN$6,0))*17-17)</f>
        <v>0.5</v>
      </c>
      <c r="AL4" s="895">
        <f ca="1">OFFSET(AS4,0,(MATCH('Model Report Formatized'!$E$1,$AN$1:$AN$6,0))*17-17)</f>
        <v>0.5</v>
      </c>
      <c r="AN4" s="817" t="s">
        <v>1112</v>
      </c>
      <c r="AQ4" s="893">
        <v>0.5</v>
      </c>
      <c r="AR4" s="893">
        <v>0.5</v>
      </c>
      <c r="AS4" s="893">
        <v>0.5</v>
      </c>
      <c r="AT4" s="893">
        <v>0.5</v>
      </c>
      <c r="AU4" s="893">
        <v>0.5</v>
      </c>
      <c r="AV4" s="893">
        <v>0.5</v>
      </c>
      <c r="AW4" s="893">
        <v>0.5</v>
      </c>
      <c r="AX4" s="893">
        <v>0.5</v>
      </c>
      <c r="AY4" s="893">
        <v>0.5</v>
      </c>
      <c r="AZ4" s="893">
        <v>0.5</v>
      </c>
      <c r="BA4" s="893">
        <v>0.5</v>
      </c>
      <c r="BB4" s="893">
        <v>0.5</v>
      </c>
      <c r="BC4" s="893">
        <v>0.5</v>
      </c>
      <c r="BD4" s="893">
        <v>0.5</v>
      </c>
      <c r="BE4" s="893">
        <v>0.5</v>
      </c>
      <c r="BF4" s="893">
        <v>0.5</v>
      </c>
      <c r="BH4" s="816">
        <v>1</v>
      </c>
      <c r="BI4" s="816">
        <v>1</v>
      </c>
      <c r="BJ4" s="816">
        <v>1</v>
      </c>
      <c r="BK4" s="816">
        <v>1</v>
      </c>
      <c r="BL4" s="816">
        <v>1</v>
      </c>
      <c r="BM4" s="816">
        <v>1</v>
      </c>
      <c r="BN4" s="816">
        <v>1</v>
      </c>
      <c r="BO4" s="816">
        <v>1</v>
      </c>
      <c r="BP4" s="816">
        <v>1</v>
      </c>
      <c r="BQ4" s="816">
        <v>1</v>
      </c>
      <c r="BR4" s="816">
        <v>1</v>
      </c>
      <c r="BS4" s="816">
        <v>1</v>
      </c>
      <c r="BT4" s="816">
        <v>1</v>
      </c>
      <c r="BU4" s="816">
        <v>1</v>
      </c>
      <c r="BV4" s="816">
        <v>1</v>
      </c>
      <c r="BW4" s="816">
        <v>1</v>
      </c>
      <c r="BY4" s="817">
        <v>0.5</v>
      </c>
      <c r="BZ4" s="817">
        <v>0.5</v>
      </c>
      <c r="CA4" s="817">
        <v>0.5</v>
      </c>
      <c r="CB4" s="817">
        <v>0.5</v>
      </c>
      <c r="CC4" s="817">
        <v>0.5</v>
      </c>
      <c r="CD4" s="817">
        <v>0.5</v>
      </c>
      <c r="CE4" s="817">
        <v>0.5</v>
      </c>
      <c r="CF4" s="817">
        <v>0.5</v>
      </c>
      <c r="CG4" s="817">
        <v>0.5</v>
      </c>
      <c r="CH4" s="817">
        <v>0.5</v>
      </c>
      <c r="CI4" s="817">
        <v>0.5</v>
      </c>
      <c r="CJ4" s="817">
        <v>0.5</v>
      </c>
      <c r="CK4" s="817">
        <v>0.5</v>
      </c>
      <c r="CL4" s="817">
        <v>0.5</v>
      </c>
      <c r="CM4" s="817">
        <v>0.5</v>
      </c>
      <c r="CN4" s="817">
        <v>0.5</v>
      </c>
      <c r="CP4" s="875">
        <v>0.5</v>
      </c>
      <c r="CQ4" s="875">
        <v>0.5</v>
      </c>
      <c r="CR4" s="875">
        <v>0.5</v>
      </c>
      <c r="CS4" s="875">
        <v>0.5</v>
      </c>
      <c r="CT4" s="875">
        <v>0.5</v>
      </c>
      <c r="CU4" s="875">
        <v>0.5</v>
      </c>
      <c r="CV4" s="875">
        <v>0.5</v>
      </c>
      <c r="CW4" s="875">
        <v>0.5</v>
      </c>
      <c r="CX4" s="875">
        <v>0.5</v>
      </c>
      <c r="CY4" s="875">
        <v>0.5</v>
      </c>
      <c r="CZ4" s="875">
        <v>0.5</v>
      </c>
      <c r="DA4" s="875">
        <v>0.5</v>
      </c>
      <c r="DB4" s="875">
        <v>0.5</v>
      </c>
      <c r="DC4" s="875">
        <v>0.5</v>
      </c>
      <c r="DD4" s="875">
        <v>0.5</v>
      </c>
      <c r="DE4" s="875">
        <v>0.5</v>
      </c>
      <c r="DG4" s="816">
        <v>1</v>
      </c>
      <c r="DH4" s="816">
        <v>1</v>
      </c>
      <c r="DI4" s="816">
        <v>1</v>
      </c>
      <c r="DJ4" s="816">
        <v>1</v>
      </c>
      <c r="DK4" s="816">
        <v>1</v>
      </c>
      <c r="DL4" s="816">
        <v>1</v>
      </c>
      <c r="DM4" s="816">
        <v>1</v>
      </c>
      <c r="DN4" s="816">
        <v>1</v>
      </c>
      <c r="DO4" s="816">
        <v>1</v>
      </c>
      <c r="DP4" s="816">
        <v>1</v>
      </c>
      <c r="DQ4" s="816">
        <v>1</v>
      </c>
      <c r="DR4" s="816">
        <v>1</v>
      </c>
      <c r="DS4" s="816">
        <v>1</v>
      </c>
      <c r="DT4" s="816">
        <v>1</v>
      </c>
      <c r="DU4" s="816">
        <v>1</v>
      </c>
      <c r="DV4" s="816">
        <v>1</v>
      </c>
      <c r="DX4" s="816">
        <v>0.5</v>
      </c>
      <c r="DY4" s="816">
        <v>0.5</v>
      </c>
      <c r="DZ4" s="816">
        <v>0.5</v>
      </c>
      <c r="EA4" s="816">
        <v>0.5</v>
      </c>
      <c r="EB4" s="816">
        <v>0.5</v>
      </c>
      <c r="EC4" s="816">
        <v>0.5</v>
      </c>
      <c r="ED4" s="816">
        <v>0.5</v>
      </c>
      <c r="EE4" s="816">
        <v>0.5</v>
      </c>
      <c r="EF4" s="816">
        <v>0.5</v>
      </c>
      <c r="EG4" s="816">
        <v>0.5</v>
      </c>
      <c r="EH4" s="816">
        <v>0.5</v>
      </c>
      <c r="EI4" s="816">
        <v>0.5</v>
      </c>
      <c r="EJ4" s="816">
        <v>0.5</v>
      </c>
      <c r="EK4" s="816">
        <v>0.5</v>
      </c>
      <c r="EL4" s="816">
        <v>0.5</v>
      </c>
      <c r="EM4" s="816">
        <v>0.5</v>
      </c>
      <c r="FQ4" s="898"/>
      <c r="FS4" s="898"/>
      <c r="FT4" s="898"/>
      <c r="FU4" s="898"/>
      <c r="FV4" s="898"/>
      <c r="FW4" s="898"/>
      <c r="FX4" s="898"/>
      <c r="FY4" s="898"/>
      <c r="FZ4" s="898"/>
      <c r="GA4" s="898"/>
      <c r="GB4" s="898"/>
      <c r="GC4" s="898"/>
      <c r="GD4" s="898"/>
      <c r="GE4" s="898"/>
      <c r="GF4" s="898"/>
      <c r="GG4" s="898"/>
      <c r="GH4" s="898"/>
      <c r="GJ4" s="898"/>
      <c r="GK4" s="898"/>
      <c r="GL4" s="898"/>
      <c r="GM4" s="898"/>
      <c r="GN4" s="898"/>
      <c r="GO4" s="898"/>
      <c r="GP4" s="898"/>
      <c r="GQ4" s="898"/>
      <c r="GR4" s="898"/>
      <c r="GS4" s="898"/>
      <c r="GT4" s="898"/>
      <c r="GU4" s="898"/>
      <c r="GV4" s="898"/>
      <c r="GW4" s="898"/>
      <c r="GX4" s="898"/>
      <c r="GY4" s="898"/>
      <c r="HA4" s="898"/>
      <c r="HB4" s="898"/>
      <c r="HC4" s="898"/>
      <c r="HD4" s="898"/>
      <c r="HE4" s="898"/>
      <c r="HF4" s="898"/>
      <c r="HG4" s="898"/>
      <c r="HH4" s="898"/>
      <c r="HI4" s="898"/>
      <c r="HJ4" s="898"/>
      <c r="HK4" s="898"/>
      <c r="HL4" s="898"/>
      <c r="HM4" s="898"/>
      <c r="HN4" s="898"/>
      <c r="HO4" s="898"/>
      <c r="HP4" s="898"/>
    </row>
    <row r="5" spans="1:224">
      <c r="B5" s="816" t="s">
        <v>1060</v>
      </c>
      <c r="C5" s="816">
        <v>1</v>
      </c>
      <c r="D5" s="816">
        <f t="shared" si="0"/>
        <v>0</v>
      </c>
      <c r="E5" s="816">
        <v>0</v>
      </c>
      <c r="F5" s="816" t="str">
        <f>INDEX('Data Interface'!$C:$C,MATCH(B5,'Data Interface'!$B:$B,0))</f>
        <v xml:space="preserve"> Syndications - Non U.S. customers (240)</v>
      </c>
      <c r="G5" s="894">
        <f ca="1">IF($C5=1,$AJ5,SUM($AJ5:$AL5)*INDEX('Schedule Allocation'!G:G,MATCH($D5,'Schedule Allocation'!$A:$A,0)))</f>
        <v>0.5</v>
      </c>
      <c r="H5" s="894">
        <f ca="1">IF($C5=1,$AK5,SUM($AJ5:$AL5)*INDEX('Schedule Allocation'!H:H,MATCH($D5,'Schedule Allocation'!$A:$A,0)))</f>
        <v>0.5</v>
      </c>
      <c r="I5" s="894">
        <f ca="1">IF($C5=1,$AK5,SUM($AJ5:$AL5)*INDEX('Schedule Allocation'!I:I,MATCH($D5,'Schedule Allocation'!$A:$A,0)))</f>
        <v>0.5</v>
      </c>
      <c r="J5" s="894">
        <f ca="1">IF($C5=1,$AK5,SUM($AJ5:$AL5)*INDEX('Schedule Allocation'!J:J,MATCH($D5,'Schedule Allocation'!$A:$A,0)))</f>
        <v>0.5</v>
      </c>
      <c r="K5" s="894">
        <f ca="1">IF($C5=1,$AK5,SUM($AJ5:$AL5)*INDEX('Schedule Allocation'!K:K,MATCH($D5,'Schedule Allocation'!$A:$A,0)))</f>
        <v>0.5</v>
      </c>
      <c r="L5" s="894">
        <f ca="1">IF($C5=1,$AK5,SUM($AJ5:$AL5)*INDEX('Schedule Allocation'!L:L,MATCH($D5,'Schedule Allocation'!$A:$A,0)))</f>
        <v>0.5</v>
      </c>
      <c r="M5" s="894">
        <f ca="1">IF($C5=1,$AK5,SUM($AJ5:$AL5)*INDEX('Schedule Allocation'!M:M,MATCH($D5,'Schedule Allocation'!$A:$A,0)))</f>
        <v>0.5</v>
      </c>
      <c r="N5" s="894">
        <f ca="1">IF($C5=1,$AL5,SUM($AJ5:$AL5)*INDEX('Schedule Allocation'!N:N,MATCH($D5,'Schedule Allocation'!$A:$A,0)))</f>
        <v>0.5</v>
      </c>
      <c r="O5" s="894">
        <f ca="1">IF($C5=1,$AL5,SUM($AJ5:$AL5)*INDEX('Schedule Allocation'!O:O,MATCH($D5,'Schedule Allocation'!$A:$A,0)))</f>
        <v>0.5</v>
      </c>
      <c r="P5" s="894">
        <f ca="1">IF($C5=1,$AL5,SUM($AJ5:$AL5)*INDEX('Schedule Allocation'!P:P,MATCH($D5,'Schedule Allocation'!$A:$A,0)))</f>
        <v>0.5</v>
      </c>
      <c r="Q5" s="894">
        <f ca="1">IF($C5=1,$AL5,SUM($AJ5:$AL5)*INDEX('Schedule Allocation'!Q:Q,MATCH($D5,'Schedule Allocation'!$A:$A,0)))</f>
        <v>0.5</v>
      </c>
      <c r="R5" s="894">
        <f ca="1">IF($C5=1,$AL5,SUM($AJ5:$AL5)*INDEX('Schedule Allocation'!R:R,MATCH($D5,'Schedule Allocation'!$A:$A,0)))</f>
        <v>0.5</v>
      </c>
      <c r="S5" s="894">
        <f ca="1">IF($C5=1,$AL5,SUM($AJ5:$AL5)*INDEX('Schedule Allocation'!S:S,MATCH($D5,'Schedule Allocation'!$A:$A,0)))</f>
        <v>0.5</v>
      </c>
      <c r="T5" s="894">
        <f ca="1">IF($C5=1,$AL5,SUM($AJ5:$AL5)*INDEX('Schedule Allocation'!T:T,MATCH($D5,'Schedule Allocation'!$A:$A,0)))</f>
        <v>0.5</v>
      </c>
      <c r="U5" s="894">
        <f ca="1">OFFSET(AT5,0,(MATCH('Model Report Formatized'!$E$1,$AN$1:$AN$6,0))*17-17)</f>
        <v>0.5</v>
      </c>
      <c r="V5" s="894">
        <f ca="1">OFFSET(AU5,0,(MATCH('Model Report Formatized'!$E$1,$AN$1:$AN$6,0))*17-17)</f>
        <v>0.5</v>
      </c>
      <c r="W5" s="894">
        <f ca="1">OFFSET(AV5,0,(MATCH('Model Report Formatized'!$E$1,$AN$1:$AN$6,0))*17-17)</f>
        <v>0.5</v>
      </c>
      <c r="X5" s="894">
        <f ca="1">OFFSET(AW5,0,(MATCH('Model Report Formatized'!$E$1,$AN$1:$AN$6,0))*17-17)</f>
        <v>0.5</v>
      </c>
      <c r="Y5" s="894">
        <f ca="1">OFFSET(AX5,0,(MATCH('Model Report Formatized'!$E$1,$AN$1:$AN$6,0))*17-17)</f>
        <v>0.5</v>
      </c>
      <c r="Z5" s="894">
        <f ca="1">OFFSET(AY5,0,(MATCH('Model Report Formatized'!$E$1,$AN$1:$AN$6,0))*17-17)</f>
        <v>0.5</v>
      </c>
      <c r="AA5" s="894">
        <f ca="1">OFFSET(AZ5,0,(MATCH('Model Report Formatized'!$E$1,$AN$1:$AN$6,0))*17-17)</f>
        <v>0.5</v>
      </c>
      <c r="AB5" s="894">
        <f ca="1">OFFSET(BA5,0,(MATCH('Model Report Formatized'!$E$1,$AN$1:$AN$6,0))*17-17)</f>
        <v>0.5</v>
      </c>
      <c r="AC5" s="894">
        <f ca="1">OFFSET(BB5,0,(MATCH('Model Report Formatized'!$E$1,$AN$1:$AN$6,0))*17-17)</f>
        <v>0.5</v>
      </c>
      <c r="AD5" s="894">
        <f ca="1">OFFSET(BC5,0,(MATCH('Model Report Formatized'!$E$1,$AN$1:$AN$6,0))*17-17)</f>
        <v>0.5</v>
      </c>
      <c r="AE5" s="894">
        <f ca="1">OFFSET(BD5,0,(MATCH('Model Report Formatized'!$E$1,$AN$1:$AN$6,0))*17-17)</f>
        <v>0.5</v>
      </c>
      <c r="AF5" s="894">
        <f ca="1">OFFSET(BE5,0,(MATCH('Model Report Formatized'!$E$1,$AN$1:$AN$6,0))*17-17)</f>
        <v>0.5</v>
      </c>
      <c r="AG5" s="894">
        <f ca="1">OFFSET(BF5,0,(MATCH('Model Report Formatized'!$E$1,$AN$1:$AN$6,0))*17-17)</f>
        <v>0.5</v>
      </c>
      <c r="AH5" s="891">
        <f t="shared" ca="1" si="1"/>
        <v>0.5</v>
      </c>
      <c r="AJ5" s="895">
        <f ca="1">OFFSET(AQ5,0,(MATCH('Model Report Formatized'!$E$1,$AN$1:$AN$6,0))*17-17)</f>
        <v>0.5</v>
      </c>
      <c r="AK5" s="895">
        <f ca="1">OFFSET(AR5,0,(MATCH('Model Report Formatized'!$E$1,$AN$1:$AN$6,0))*17-17)</f>
        <v>0.5</v>
      </c>
      <c r="AL5" s="895">
        <f ca="1">OFFSET(AS5,0,(MATCH('Model Report Formatized'!$E$1,$AN$1:$AN$6,0))*17-17)</f>
        <v>0.5</v>
      </c>
      <c r="AN5" s="817" t="s">
        <v>1113</v>
      </c>
      <c r="AQ5" s="893">
        <v>0.5</v>
      </c>
      <c r="AR5" s="893">
        <v>0.5</v>
      </c>
      <c r="AS5" s="893">
        <v>0.5</v>
      </c>
      <c r="AT5" s="893">
        <v>0.5</v>
      </c>
      <c r="AU5" s="893">
        <v>0.5</v>
      </c>
      <c r="AV5" s="893">
        <v>0.5</v>
      </c>
      <c r="AW5" s="893">
        <v>0.5</v>
      </c>
      <c r="AX5" s="893">
        <v>0.5</v>
      </c>
      <c r="AY5" s="893">
        <v>0.5</v>
      </c>
      <c r="AZ5" s="893">
        <v>0.5</v>
      </c>
      <c r="BA5" s="893">
        <v>0.5</v>
      </c>
      <c r="BB5" s="893">
        <v>0.5</v>
      </c>
      <c r="BC5" s="893">
        <v>0.5</v>
      </c>
      <c r="BD5" s="893">
        <v>0.5</v>
      </c>
      <c r="BE5" s="893">
        <v>0.5</v>
      </c>
      <c r="BF5" s="893">
        <v>0.5</v>
      </c>
      <c r="BH5" s="816">
        <v>1</v>
      </c>
      <c r="BI5" s="816">
        <v>1</v>
      </c>
      <c r="BJ5" s="816">
        <v>1</v>
      </c>
      <c r="BK5" s="816">
        <v>1</v>
      </c>
      <c r="BL5" s="816">
        <v>1</v>
      </c>
      <c r="BM5" s="816">
        <v>1</v>
      </c>
      <c r="BN5" s="816">
        <v>1</v>
      </c>
      <c r="BO5" s="816">
        <v>1</v>
      </c>
      <c r="BP5" s="816">
        <v>1</v>
      </c>
      <c r="BQ5" s="816">
        <v>1</v>
      </c>
      <c r="BR5" s="816">
        <v>1</v>
      </c>
      <c r="BS5" s="816">
        <v>1</v>
      </c>
      <c r="BT5" s="816">
        <v>1</v>
      </c>
      <c r="BU5" s="816">
        <v>1</v>
      </c>
      <c r="BV5" s="816">
        <v>1</v>
      </c>
      <c r="BW5" s="816">
        <v>1</v>
      </c>
      <c r="BY5" s="817">
        <v>1</v>
      </c>
      <c r="BZ5" s="817">
        <v>1</v>
      </c>
      <c r="CA5" s="817">
        <v>1</v>
      </c>
      <c r="CB5" s="817">
        <v>1</v>
      </c>
      <c r="CC5" s="817">
        <v>1</v>
      </c>
      <c r="CD5" s="817">
        <v>1</v>
      </c>
      <c r="CE5" s="817">
        <v>1</v>
      </c>
      <c r="CF5" s="817">
        <v>1</v>
      </c>
      <c r="CG5" s="817">
        <v>1</v>
      </c>
      <c r="CH5" s="817">
        <v>1</v>
      </c>
      <c r="CI5" s="817">
        <v>1</v>
      </c>
      <c r="CJ5" s="817">
        <v>1</v>
      </c>
      <c r="CK5" s="817">
        <v>1</v>
      </c>
      <c r="CL5" s="817">
        <v>1</v>
      </c>
      <c r="CM5" s="817">
        <v>1</v>
      </c>
      <c r="CN5" s="817">
        <v>1</v>
      </c>
      <c r="CP5" s="875">
        <v>0.5</v>
      </c>
      <c r="CQ5" s="875">
        <v>0.5</v>
      </c>
      <c r="CR5" s="875">
        <v>0.5</v>
      </c>
      <c r="CS5" s="875">
        <v>0.5</v>
      </c>
      <c r="CT5" s="875">
        <v>0.5</v>
      </c>
      <c r="CU5" s="875">
        <v>0.5</v>
      </c>
      <c r="CV5" s="875">
        <v>0.5</v>
      </c>
      <c r="CW5" s="875">
        <v>0.5</v>
      </c>
      <c r="CX5" s="875">
        <v>0.5</v>
      </c>
      <c r="CY5" s="875">
        <v>0.5</v>
      </c>
      <c r="CZ5" s="875">
        <v>0.5</v>
      </c>
      <c r="DA5" s="875">
        <v>0.5</v>
      </c>
      <c r="DB5" s="875">
        <v>0.5</v>
      </c>
      <c r="DC5" s="875">
        <v>0.5</v>
      </c>
      <c r="DD5" s="875">
        <v>0.5</v>
      </c>
      <c r="DE5" s="875">
        <v>0.5</v>
      </c>
      <c r="DG5" s="816">
        <v>1</v>
      </c>
      <c r="DH5" s="816">
        <v>1</v>
      </c>
      <c r="DI5" s="816">
        <v>1</v>
      </c>
      <c r="DJ5" s="816">
        <v>1</v>
      </c>
      <c r="DK5" s="816">
        <v>1</v>
      </c>
      <c r="DL5" s="816">
        <v>1</v>
      </c>
      <c r="DM5" s="816">
        <v>1</v>
      </c>
      <c r="DN5" s="816">
        <v>1</v>
      </c>
      <c r="DO5" s="816">
        <v>1</v>
      </c>
      <c r="DP5" s="816">
        <v>1</v>
      </c>
      <c r="DQ5" s="816">
        <v>1</v>
      </c>
      <c r="DR5" s="816">
        <v>1</v>
      </c>
      <c r="DS5" s="816">
        <v>1</v>
      </c>
      <c r="DT5" s="816">
        <v>1</v>
      </c>
      <c r="DU5" s="816">
        <v>1</v>
      </c>
      <c r="DV5" s="816">
        <v>1</v>
      </c>
      <c r="DX5" s="816">
        <v>1</v>
      </c>
      <c r="DY5" s="816">
        <v>1</v>
      </c>
      <c r="DZ5" s="816">
        <v>1</v>
      </c>
      <c r="EA5" s="816">
        <v>1</v>
      </c>
      <c r="EB5" s="816">
        <v>1</v>
      </c>
      <c r="EC5" s="816">
        <v>1</v>
      </c>
      <c r="ED5" s="816">
        <v>1</v>
      </c>
      <c r="EE5" s="816">
        <v>1</v>
      </c>
      <c r="EF5" s="816">
        <v>1</v>
      </c>
      <c r="EG5" s="816">
        <v>1</v>
      </c>
      <c r="EH5" s="816">
        <v>1</v>
      </c>
      <c r="EI5" s="816">
        <v>1</v>
      </c>
      <c r="EJ5" s="816">
        <v>1</v>
      </c>
      <c r="EK5" s="816">
        <v>1</v>
      </c>
      <c r="EL5" s="816">
        <v>1</v>
      </c>
      <c r="EM5" s="816">
        <v>1</v>
      </c>
      <c r="FQ5" s="898"/>
      <c r="FS5" s="898"/>
      <c r="FT5" s="898"/>
      <c r="FU5" s="898"/>
      <c r="FV5" s="898"/>
      <c r="FW5" s="898"/>
      <c r="FX5" s="898"/>
      <c r="FY5" s="898"/>
      <c r="FZ5" s="898"/>
      <c r="GA5" s="898"/>
      <c r="GB5" s="898"/>
      <c r="GC5" s="898"/>
      <c r="GD5" s="898"/>
      <c r="GE5" s="898"/>
      <c r="GF5" s="898"/>
      <c r="GG5" s="898"/>
      <c r="GH5" s="898"/>
      <c r="GJ5" s="898"/>
      <c r="GK5" s="898"/>
      <c r="GL5" s="898"/>
      <c r="GM5" s="898"/>
      <c r="GN5" s="898"/>
      <c r="GO5" s="898"/>
      <c r="GP5" s="898"/>
      <c r="GQ5" s="898"/>
      <c r="GR5" s="898"/>
      <c r="GS5" s="898"/>
      <c r="GT5" s="898"/>
      <c r="GU5" s="898"/>
      <c r="GV5" s="898"/>
      <c r="GW5" s="898"/>
      <c r="GX5" s="898"/>
      <c r="GY5" s="898"/>
      <c r="HA5" s="898"/>
      <c r="HB5" s="898"/>
      <c r="HC5" s="898"/>
      <c r="HD5" s="898"/>
      <c r="HE5" s="898"/>
      <c r="HF5" s="898"/>
      <c r="HG5" s="898"/>
      <c r="HH5" s="898"/>
      <c r="HI5" s="898"/>
      <c r="HJ5" s="898"/>
      <c r="HK5" s="898"/>
      <c r="HL5" s="898"/>
      <c r="HM5" s="898"/>
      <c r="HN5" s="898"/>
      <c r="HO5" s="898"/>
      <c r="HP5" s="898"/>
    </row>
    <row r="6" spans="1:224">
      <c r="B6" s="816" t="s">
        <v>1061</v>
      </c>
      <c r="C6" s="816">
        <v>1</v>
      </c>
      <c r="D6" s="816">
        <f t="shared" si="0"/>
        <v>0</v>
      </c>
      <c r="E6" s="816">
        <v>0</v>
      </c>
      <c r="F6" s="816" t="str">
        <f>INDEX('Data Interface'!$C:$C,MATCH(B6,'Data Interface'!$B:$B,0))</f>
        <v>Time -Secured Non U.S. (380)</v>
      </c>
      <c r="G6" s="894">
        <f ca="1">IF($C6=1,$AJ6,SUM($AJ6:$AL6)*INDEX('Schedule Allocation'!G:G,MATCH($D6,'Schedule Allocation'!$A:$A,0)))</f>
        <v>0.5</v>
      </c>
      <c r="H6" s="894">
        <f ca="1">IF($C6=1,$AK6,SUM($AJ6:$AL6)*INDEX('Schedule Allocation'!H:H,MATCH($D6,'Schedule Allocation'!$A:$A,0)))</f>
        <v>0.5</v>
      </c>
      <c r="I6" s="894">
        <f ca="1">IF($C6=1,$AK6,SUM($AJ6:$AL6)*INDEX('Schedule Allocation'!I:I,MATCH($D6,'Schedule Allocation'!$A:$A,0)))</f>
        <v>0.5</v>
      </c>
      <c r="J6" s="894">
        <f ca="1">IF($C6=1,$AK6,SUM($AJ6:$AL6)*INDEX('Schedule Allocation'!J:J,MATCH($D6,'Schedule Allocation'!$A:$A,0)))</f>
        <v>0.5</v>
      </c>
      <c r="K6" s="894">
        <f ca="1">IF($C6=1,$AK6,SUM($AJ6:$AL6)*INDEX('Schedule Allocation'!K:K,MATCH($D6,'Schedule Allocation'!$A:$A,0)))</f>
        <v>0.5</v>
      </c>
      <c r="L6" s="894">
        <f ca="1">IF($C6=1,$AK6,SUM($AJ6:$AL6)*INDEX('Schedule Allocation'!L:L,MATCH($D6,'Schedule Allocation'!$A:$A,0)))</f>
        <v>0.5</v>
      </c>
      <c r="M6" s="894">
        <f ca="1">IF($C6=1,$AK6,SUM($AJ6:$AL6)*INDEX('Schedule Allocation'!M:M,MATCH($D6,'Schedule Allocation'!$A:$A,0)))</f>
        <v>0.5</v>
      </c>
      <c r="N6" s="894">
        <f ca="1">IF($C6=1,$AL6,SUM($AJ6:$AL6)*INDEX('Schedule Allocation'!N:N,MATCH($D6,'Schedule Allocation'!$A:$A,0)))</f>
        <v>0.5</v>
      </c>
      <c r="O6" s="894">
        <f ca="1">IF($C6=1,$AL6,SUM($AJ6:$AL6)*INDEX('Schedule Allocation'!O:O,MATCH($D6,'Schedule Allocation'!$A:$A,0)))</f>
        <v>0.5</v>
      </c>
      <c r="P6" s="894">
        <f ca="1">IF($C6=1,$AL6,SUM($AJ6:$AL6)*INDEX('Schedule Allocation'!P:P,MATCH($D6,'Schedule Allocation'!$A:$A,0)))</f>
        <v>0.5</v>
      </c>
      <c r="Q6" s="894">
        <f ca="1">IF($C6=1,$AL6,SUM($AJ6:$AL6)*INDEX('Schedule Allocation'!Q:Q,MATCH($D6,'Schedule Allocation'!$A:$A,0)))</f>
        <v>0.5</v>
      </c>
      <c r="R6" s="894">
        <f ca="1">IF($C6=1,$AL6,SUM($AJ6:$AL6)*INDEX('Schedule Allocation'!R:R,MATCH($D6,'Schedule Allocation'!$A:$A,0)))</f>
        <v>0.5</v>
      </c>
      <c r="S6" s="894">
        <f ca="1">IF($C6=1,$AL6,SUM($AJ6:$AL6)*INDEX('Schedule Allocation'!S:S,MATCH($D6,'Schedule Allocation'!$A:$A,0)))</f>
        <v>0.5</v>
      </c>
      <c r="T6" s="894">
        <f ca="1">IF($C6=1,$AL6,SUM($AJ6:$AL6)*INDEX('Schedule Allocation'!T:T,MATCH($D6,'Schedule Allocation'!$A:$A,0)))</f>
        <v>0.5</v>
      </c>
      <c r="U6" s="894">
        <f ca="1">OFFSET(AT6,0,(MATCH('Model Report Formatized'!$E$1,$AN$1:$AN$6,0))*17-17)</f>
        <v>0.5</v>
      </c>
      <c r="V6" s="894">
        <f ca="1">OFFSET(AU6,0,(MATCH('Model Report Formatized'!$E$1,$AN$1:$AN$6,0))*17-17)</f>
        <v>0.5</v>
      </c>
      <c r="W6" s="894">
        <f ca="1">OFFSET(AV6,0,(MATCH('Model Report Formatized'!$E$1,$AN$1:$AN$6,0))*17-17)</f>
        <v>0.5</v>
      </c>
      <c r="X6" s="894">
        <f ca="1">OFFSET(AW6,0,(MATCH('Model Report Formatized'!$E$1,$AN$1:$AN$6,0))*17-17)</f>
        <v>0.5</v>
      </c>
      <c r="Y6" s="894">
        <f ca="1">OFFSET(AX6,0,(MATCH('Model Report Formatized'!$E$1,$AN$1:$AN$6,0))*17-17)</f>
        <v>0.5</v>
      </c>
      <c r="Z6" s="894">
        <f ca="1">OFFSET(AY6,0,(MATCH('Model Report Formatized'!$E$1,$AN$1:$AN$6,0))*17-17)</f>
        <v>0.5</v>
      </c>
      <c r="AA6" s="894">
        <f ca="1">OFFSET(AZ6,0,(MATCH('Model Report Formatized'!$E$1,$AN$1:$AN$6,0))*17-17)</f>
        <v>0.5</v>
      </c>
      <c r="AB6" s="894">
        <f ca="1">OFFSET(BA6,0,(MATCH('Model Report Formatized'!$E$1,$AN$1:$AN$6,0))*17-17)</f>
        <v>0.5</v>
      </c>
      <c r="AC6" s="894">
        <f ca="1">OFFSET(BB6,0,(MATCH('Model Report Formatized'!$E$1,$AN$1:$AN$6,0))*17-17)</f>
        <v>0.5</v>
      </c>
      <c r="AD6" s="894">
        <f ca="1">OFFSET(BC6,0,(MATCH('Model Report Formatized'!$E$1,$AN$1:$AN$6,0))*17-17)</f>
        <v>0.5</v>
      </c>
      <c r="AE6" s="894">
        <f ca="1">OFFSET(BD6,0,(MATCH('Model Report Formatized'!$E$1,$AN$1:$AN$6,0))*17-17)</f>
        <v>0.5</v>
      </c>
      <c r="AF6" s="894">
        <f ca="1">OFFSET(BE6,0,(MATCH('Model Report Formatized'!$E$1,$AN$1:$AN$6,0))*17-17)</f>
        <v>0.5</v>
      </c>
      <c r="AG6" s="894">
        <f ca="1">OFFSET(BF6,0,(MATCH('Model Report Formatized'!$E$1,$AN$1:$AN$6,0))*17-17)</f>
        <v>0.5</v>
      </c>
      <c r="AH6" s="891">
        <f t="shared" ca="1" si="1"/>
        <v>0.5</v>
      </c>
      <c r="AJ6" s="895">
        <f ca="1">OFFSET(AQ6,0,(MATCH('Model Report Formatized'!$E$1,$AN$1:$AN$6,0))*17-17)</f>
        <v>0.5</v>
      </c>
      <c r="AK6" s="895">
        <f ca="1">OFFSET(AR6,0,(MATCH('Model Report Formatized'!$E$1,$AN$1:$AN$6,0))*17-17)</f>
        <v>0.5</v>
      </c>
      <c r="AL6" s="895">
        <f ca="1">OFFSET(AS6,0,(MATCH('Model Report Formatized'!$E$1,$AN$1:$AN$6,0))*17-17)</f>
        <v>0.5</v>
      </c>
      <c r="AN6" s="817" t="s">
        <v>1111</v>
      </c>
      <c r="AQ6" s="893">
        <v>0.5</v>
      </c>
      <c r="AR6" s="893">
        <v>0.5</v>
      </c>
      <c r="AS6" s="893">
        <v>0.5</v>
      </c>
      <c r="AT6" s="893">
        <v>0.5</v>
      </c>
      <c r="AU6" s="893">
        <v>0.5</v>
      </c>
      <c r="AV6" s="893">
        <v>0.5</v>
      </c>
      <c r="AW6" s="893">
        <v>0.5</v>
      </c>
      <c r="AX6" s="893">
        <v>0.5</v>
      </c>
      <c r="AY6" s="893">
        <v>0.5</v>
      </c>
      <c r="AZ6" s="893">
        <v>0.5</v>
      </c>
      <c r="BA6" s="893">
        <v>0.5</v>
      </c>
      <c r="BB6" s="893">
        <v>0.5</v>
      </c>
      <c r="BC6" s="893">
        <v>0.5</v>
      </c>
      <c r="BD6" s="893">
        <v>0.5</v>
      </c>
      <c r="BE6" s="893">
        <v>0.5</v>
      </c>
      <c r="BF6" s="893">
        <v>0.5</v>
      </c>
      <c r="BH6" s="816">
        <v>1</v>
      </c>
      <c r="BI6" s="816">
        <v>1</v>
      </c>
      <c r="BJ6" s="816">
        <v>1</v>
      </c>
      <c r="BK6" s="816">
        <v>1</v>
      </c>
      <c r="BL6" s="816">
        <v>1</v>
      </c>
      <c r="BM6" s="816">
        <v>1</v>
      </c>
      <c r="BN6" s="816">
        <v>1</v>
      </c>
      <c r="BO6" s="816">
        <v>1</v>
      </c>
      <c r="BP6" s="816">
        <v>1</v>
      </c>
      <c r="BQ6" s="816">
        <v>1</v>
      </c>
      <c r="BR6" s="816">
        <v>1</v>
      </c>
      <c r="BS6" s="816">
        <v>1</v>
      </c>
      <c r="BT6" s="816">
        <v>1</v>
      </c>
      <c r="BU6" s="816">
        <v>1</v>
      </c>
      <c r="BV6" s="816">
        <v>1</v>
      </c>
      <c r="BW6" s="816">
        <v>1</v>
      </c>
      <c r="BY6" s="817">
        <v>1</v>
      </c>
      <c r="BZ6" s="817">
        <v>1</v>
      </c>
      <c r="CA6" s="817">
        <v>1</v>
      </c>
      <c r="CB6" s="817">
        <v>1</v>
      </c>
      <c r="CC6" s="817">
        <v>1</v>
      </c>
      <c r="CD6" s="817">
        <v>1</v>
      </c>
      <c r="CE6" s="817">
        <v>1</v>
      </c>
      <c r="CF6" s="817">
        <v>1</v>
      </c>
      <c r="CG6" s="817">
        <v>1</v>
      </c>
      <c r="CH6" s="817">
        <v>1</v>
      </c>
      <c r="CI6" s="817">
        <v>1</v>
      </c>
      <c r="CJ6" s="817">
        <v>1</v>
      </c>
      <c r="CK6" s="817">
        <v>1</v>
      </c>
      <c r="CL6" s="817">
        <v>1</v>
      </c>
      <c r="CM6" s="817">
        <v>1</v>
      </c>
      <c r="CN6" s="817">
        <v>1</v>
      </c>
      <c r="CP6" s="875">
        <v>0.5</v>
      </c>
      <c r="CQ6" s="875">
        <v>0.5</v>
      </c>
      <c r="CR6" s="875">
        <v>0.5</v>
      </c>
      <c r="CS6" s="875">
        <v>0.5</v>
      </c>
      <c r="CT6" s="875">
        <v>0.5</v>
      </c>
      <c r="CU6" s="875">
        <v>0.5</v>
      </c>
      <c r="CV6" s="875">
        <v>0.5</v>
      </c>
      <c r="CW6" s="875">
        <v>0.5</v>
      </c>
      <c r="CX6" s="875">
        <v>0.5</v>
      </c>
      <c r="CY6" s="875">
        <v>0.5</v>
      </c>
      <c r="CZ6" s="875">
        <v>0.5</v>
      </c>
      <c r="DA6" s="875">
        <v>0.5</v>
      </c>
      <c r="DB6" s="875">
        <v>0.5</v>
      </c>
      <c r="DC6" s="875">
        <v>0.5</v>
      </c>
      <c r="DD6" s="875">
        <v>0.5</v>
      </c>
      <c r="DE6" s="875">
        <v>0.5</v>
      </c>
      <c r="DG6" s="816">
        <v>1</v>
      </c>
      <c r="DH6" s="816">
        <v>1</v>
      </c>
      <c r="DI6" s="816">
        <v>1</v>
      </c>
      <c r="DJ6" s="816">
        <v>1</v>
      </c>
      <c r="DK6" s="816">
        <v>1</v>
      </c>
      <c r="DL6" s="816">
        <v>1</v>
      </c>
      <c r="DM6" s="816">
        <v>1</v>
      </c>
      <c r="DN6" s="816">
        <v>1</v>
      </c>
      <c r="DO6" s="816">
        <v>1</v>
      </c>
      <c r="DP6" s="816">
        <v>1</v>
      </c>
      <c r="DQ6" s="816">
        <v>1</v>
      </c>
      <c r="DR6" s="816">
        <v>1</v>
      </c>
      <c r="DS6" s="816">
        <v>1</v>
      </c>
      <c r="DT6" s="816">
        <v>1</v>
      </c>
      <c r="DU6" s="816">
        <v>1</v>
      </c>
      <c r="DV6" s="816">
        <v>1</v>
      </c>
      <c r="DX6" s="816">
        <v>1</v>
      </c>
      <c r="DY6" s="816">
        <v>1</v>
      </c>
      <c r="DZ6" s="816">
        <v>1</v>
      </c>
      <c r="EA6" s="816">
        <v>1</v>
      </c>
      <c r="EB6" s="816">
        <v>1</v>
      </c>
      <c r="EC6" s="816">
        <v>1</v>
      </c>
      <c r="ED6" s="816">
        <v>1</v>
      </c>
      <c r="EE6" s="816">
        <v>1</v>
      </c>
      <c r="EF6" s="816">
        <v>1</v>
      </c>
      <c r="EG6" s="816">
        <v>1</v>
      </c>
      <c r="EH6" s="816">
        <v>1</v>
      </c>
      <c r="EI6" s="816">
        <v>1</v>
      </c>
      <c r="EJ6" s="816">
        <v>1</v>
      </c>
      <c r="EK6" s="816">
        <v>1</v>
      </c>
      <c r="EL6" s="816">
        <v>1</v>
      </c>
      <c r="EM6" s="816">
        <v>1</v>
      </c>
      <c r="FQ6" s="898"/>
      <c r="FS6" s="898"/>
      <c r="FT6" s="898"/>
      <c r="FU6" s="898"/>
      <c r="FV6" s="898"/>
      <c r="FW6" s="898"/>
      <c r="FX6" s="898"/>
      <c r="FY6" s="898"/>
      <c r="FZ6" s="898"/>
      <c r="GA6" s="898"/>
      <c r="GB6" s="898"/>
      <c r="GC6" s="898"/>
      <c r="GD6" s="898"/>
      <c r="GE6" s="898"/>
      <c r="GF6" s="898"/>
      <c r="GG6" s="898"/>
      <c r="GH6" s="898"/>
      <c r="GJ6" s="898"/>
      <c r="GK6" s="898"/>
      <c r="GL6" s="898"/>
      <c r="GM6" s="898"/>
      <c r="GN6" s="898"/>
      <c r="GO6" s="898"/>
      <c r="GP6" s="898"/>
      <c r="GQ6" s="898"/>
      <c r="GR6" s="898"/>
      <c r="GS6" s="898"/>
      <c r="GT6" s="898"/>
      <c r="GU6" s="898"/>
      <c r="GV6" s="898"/>
      <c r="GW6" s="898"/>
      <c r="GX6" s="898"/>
      <c r="GY6" s="898"/>
      <c r="HA6" s="898"/>
      <c r="HB6" s="898"/>
      <c r="HC6" s="898"/>
      <c r="HD6" s="898"/>
      <c r="HE6" s="898"/>
      <c r="HF6" s="898"/>
      <c r="HG6" s="898"/>
      <c r="HH6" s="898"/>
      <c r="HI6" s="898"/>
      <c r="HJ6" s="898"/>
      <c r="HK6" s="898"/>
      <c r="HL6" s="898"/>
      <c r="HM6" s="898"/>
      <c r="HN6" s="898"/>
      <c r="HO6" s="898"/>
      <c r="HP6" s="898"/>
    </row>
    <row r="7" spans="1:224">
      <c r="B7" s="816" t="s">
        <v>1063</v>
      </c>
      <c r="C7" s="816">
        <v>1</v>
      </c>
      <c r="D7" s="816">
        <f t="shared" si="0"/>
        <v>0</v>
      </c>
      <c r="E7" s="816">
        <v>0</v>
      </c>
      <c r="F7" s="816" t="str">
        <f>INDEX('Data Interface'!$C:$C,MATCH(B7,'Data Interface'!$B:$B,0))</f>
        <v>Time - unsecured U.S. (270)</v>
      </c>
      <c r="G7" s="894">
        <f ca="1">IF($C7=1,$AJ7,SUM($AJ7:$AL7)*INDEX('Schedule Allocation'!G:G,MATCH($D7,'Schedule Allocation'!$A:$A,0)))</f>
        <v>0.5</v>
      </c>
      <c r="H7" s="894">
        <f ca="1">IF($C7=1,$AK7,SUM($AJ7:$AL7)*INDEX('Schedule Allocation'!H:H,MATCH($D7,'Schedule Allocation'!$A:$A,0)))</f>
        <v>0.5</v>
      </c>
      <c r="I7" s="894">
        <f ca="1">IF($C7=1,$AK7,SUM($AJ7:$AL7)*INDEX('Schedule Allocation'!I:I,MATCH($D7,'Schedule Allocation'!$A:$A,0)))</f>
        <v>0.5</v>
      </c>
      <c r="J7" s="894">
        <f ca="1">IF($C7=1,$AK7,SUM($AJ7:$AL7)*INDEX('Schedule Allocation'!J:J,MATCH($D7,'Schedule Allocation'!$A:$A,0)))</f>
        <v>0.5</v>
      </c>
      <c r="K7" s="894">
        <f ca="1">IF($C7=1,$AK7,SUM($AJ7:$AL7)*INDEX('Schedule Allocation'!K:K,MATCH($D7,'Schedule Allocation'!$A:$A,0)))</f>
        <v>0.5</v>
      </c>
      <c r="L7" s="894">
        <f ca="1">IF($C7=1,$AK7,SUM($AJ7:$AL7)*INDEX('Schedule Allocation'!L:L,MATCH($D7,'Schedule Allocation'!$A:$A,0)))</f>
        <v>0.5</v>
      </c>
      <c r="M7" s="894">
        <f ca="1">IF($C7=1,$AK7,SUM($AJ7:$AL7)*INDEX('Schedule Allocation'!M:M,MATCH($D7,'Schedule Allocation'!$A:$A,0)))</f>
        <v>0.5</v>
      </c>
      <c r="N7" s="894">
        <f ca="1">IF($C7=1,$AL7,SUM($AJ7:$AL7)*INDEX('Schedule Allocation'!N:N,MATCH($D7,'Schedule Allocation'!$A:$A,0)))</f>
        <v>0.5</v>
      </c>
      <c r="O7" s="894">
        <f ca="1">IF($C7=1,$AL7,SUM($AJ7:$AL7)*INDEX('Schedule Allocation'!O:O,MATCH($D7,'Schedule Allocation'!$A:$A,0)))</f>
        <v>0.5</v>
      </c>
      <c r="P7" s="894">
        <f ca="1">IF($C7=1,$AL7,SUM($AJ7:$AL7)*INDEX('Schedule Allocation'!P:P,MATCH($D7,'Schedule Allocation'!$A:$A,0)))</f>
        <v>0.5</v>
      </c>
      <c r="Q7" s="894">
        <f ca="1">IF($C7=1,$AL7,SUM($AJ7:$AL7)*INDEX('Schedule Allocation'!Q:Q,MATCH($D7,'Schedule Allocation'!$A:$A,0)))</f>
        <v>0.5</v>
      </c>
      <c r="R7" s="894">
        <f ca="1">IF($C7=1,$AL7,SUM($AJ7:$AL7)*INDEX('Schedule Allocation'!R:R,MATCH($D7,'Schedule Allocation'!$A:$A,0)))</f>
        <v>0.5</v>
      </c>
      <c r="S7" s="894">
        <f ca="1">IF($C7=1,$AL7,SUM($AJ7:$AL7)*INDEX('Schedule Allocation'!S:S,MATCH($D7,'Schedule Allocation'!$A:$A,0)))</f>
        <v>0.5</v>
      </c>
      <c r="T7" s="894">
        <f ca="1">IF($C7=1,$AL7,SUM($AJ7:$AL7)*INDEX('Schedule Allocation'!T:T,MATCH($D7,'Schedule Allocation'!$A:$A,0)))</f>
        <v>0.5</v>
      </c>
      <c r="U7" s="894">
        <f ca="1">OFFSET(AT7,0,(MATCH('Model Report Formatized'!$E$1,$AN$1:$AN$6,0))*17-17)</f>
        <v>0.5</v>
      </c>
      <c r="V7" s="894">
        <f ca="1">OFFSET(AU7,0,(MATCH('Model Report Formatized'!$E$1,$AN$1:$AN$6,0))*17-17)</f>
        <v>0.5</v>
      </c>
      <c r="W7" s="894">
        <f ca="1">OFFSET(AV7,0,(MATCH('Model Report Formatized'!$E$1,$AN$1:$AN$6,0))*17-17)</f>
        <v>0.5</v>
      </c>
      <c r="X7" s="894">
        <f ca="1">OFFSET(AW7,0,(MATCH('Model Report Formatized'!$E$1,$AN$1:$AN$6,0))*17-17)</f>
        <v>0.5</v>
      </c>
      <c r="Y7" s="894">
        <f ca="1">OFFSET(AX7,0,(MATCH('Model Report Formatized'!$E$1,$AN$1:$AN$6,0))*17-17)</f>
        <v>0.5</v>
      </c>
      <c r="Z7" s="894">
        <f ca="1">OFFSET(AY7,0,(MATCH('Model Report Formatized'!$E$1,$AN$1:$AN$6,0))*17-17)</f>
        <v>0.5</v>
      </c>
      <c r="AA7" s="894">
        <f ca="1">OFFSET(AZ7,0,(MATCH('Model Report Formatized'!$E$1,$AN$1:$AN$6,0))*17-17)</f>
        <v>0.5</v>
      </c>
      <c r="AB7" s="894">
        <f ca="1">OFFSET(BA7,0,(MATCH('Model Report Formatized'!$E$1,$AN$1:$AN$6,0))*17-17)</f>
        <v>0.5</v>
      </c>
      <c r="AC7" s="894">
        <f ca="1">OFFSET(BB7,0,(MATCH('Model Report Formatized'!$E$1,$AN$1:$AN$6,0))*17-17)</f>
        <v>0.5</v>
      </c>
      <c r="AD7" s="894">
        <f ca="1">OFFSET(BC7,0,(MATCH('Model Report Formatized'!$E$1,$AN$1:$AN$6,0))*17-17)</f>
        <v>0.5</v>
      </c>
      <c r="AE7" s="894">
        <f ca="1">OFFSET(BD7,0,(MATCH('Model Report Formatized'!$E$1,$AN$1:$AN$6,0))*17-17)</f>
        <v>0.5</v>
      </c>
      <c r="AF7" s="894">
        <f ca="1">OFFSET(BE7,0,(MATCH('Model Report Formatized'!$E$1,$AN$1:$AN$6,0))*17-17)</f>
        <v>0.5</v>
      </c>
      <c r="AG7" s="894">
        <f ca="1">OFFSET(BF7,0,(MATCH('Model Report Formatized'!$E$1,$AN$1:$AN$6,0))*17-17)</f>
        <v>0.5</v>
      </c>
      <c r="AH7" s="891">
        <f t="shared" ca="1" si="1"/>
        <v>0.5</v>
      </c>
      <c r="AJ7" s="895">
        <f ca="1">OFFSET(AQ7,0,(MATCH('Model Report Formatized'!$E$1,$AN$1:$AN$6,0))*17-17)</f>
        <v>0.5</v>
      </c>
      <c r="AK7" s="895">
        <f ca="1">OFFSET(AR7,0,(MATCH('Model Report Formatized'!$E$1,$AN$1:$AN$6,0))*17-17)</f>
        <v>0.5</v>
      </c>
      <c r="AL7" s="895">
        <f ca="1">OFFSET(AS7,0,(MATCH('Model Report Formatized'!$E$1,$AN$1:$AN$6,0))*17-17)</f>
        <v>0.5</v>
      </c>
      <c r="AQ7" s="893">
        <v>0.5</v>
      </c>
      <c r="AR7" s="893">
        <v>0.5</v>
      </c>
      <c r="AS7" s="893">
        <v>0.5</v>
      </c>
      <c r="AT7" s="893">
        <v>0.5</v>
      </c>
      <c r="AU7" s="893">
        <v>0.5</v>
      </c>
      <c r="AV7" s="893">
        <v>0.5</v>
      </c>
      <c r="AW7" s="893">
        <v>0.5</v>
      </c>
      <c r="AX7" s="893">
        <v>0.5</v>
      </c>
      <c r="AY7" s="893">
        <v>0.5</v>
      </c>
      <c r="AZ7" s="893">
        <v>0.5</v>
      </c>
      <c r="BA7" s="893">
        <v>0.5</v>
      </c>
      <c r="BB7" s="893">
        <v>0.5</v>
      </c>
      <c r="BC7" s="893">
        <v>0.5</v>
      </c>
      <c r="BD7" s="893">
        <v>0.5</v>
      </c>
      <c r="BE7" s="893">
        <v>0.5</v>
      </c>
      <c r="BF7" s="893">
        <v>0.5</v>
      </c>
      <c r="BH7" s="816">
        <v>1</v>
      </c>
      <c r="BI7" s="816">
        <v>1</v>
      </c>
      <c r="BJ7" s="816">
        <v>1</v>
      </c>
      <c r="BK7" s="816">
        <v>1</v>
      </c>
      <c r="BL7" s="816">
        <v>1</v>
      </c>
      <c r="BM7" s="816">
        <v>1</v>
      </c>
      <c r="BN7" s="816">
        <v>1</v>
      </c>
      <c r="BO7" s="816">
        <v>1</v>
      </c>
      <c r="BP7" s="816">
        <v>1</v>
      </c>
      <c r="BQ7" s="816">
        <v>1</v>
      </c>
      <c r="BR7" s="816">
        <v>1</v>
      </c>
      <c r="BS7" s="816">
        <v>1</v>
      </c>
      <c r="BT7" s="816">
        <v>1</v>
      </c>
      <c r="BU7" s="816">
        <v>1</v>
      </c>
      <c r="BV7" s="816">
        <v>1</v>
      </c>
      <c r="BW7" s="816">
        <v>1</v>
      </c>
      <c r="BY7" s="817">
        <v>0.5</v>
      </c>
      <c r="BZ7" s="817">
        <v>0.5</v>
      </c>
      <c r="CA7" s="817">
        <v>0.5</v>
      </c>
      <c r="CB7" s="817">
        <v>0.5</v>
      </c>
      <c r="CC7" s="817">
        <v>0.5</v>
      </c>
      <c r="CD7" s="817">
        <v>0.5</v>
      </c>
      <c r="CE7" s="817">
        <v>0.5</v>
      </c>
      <c r="CF7" s="817">
        <v>0.5</v>
      </c>
      <c r="CG7" s="817">
        <v>0.5</v>
      </c>
      <c r="CH7" s="817">
        <v>0.5</v>
      </c>
      <c r="CI7" s="817">
        <v>0.5</v>
      </c>
      <c r="CJ7" s="817">
        <v>0.5</v>
      </c>
      <c r="CK7" s="817">
        <v>0.5</v>
      </c>
      <c r="CL7" s="817">
        <v>0.5</v>
      </c>
      <c r="CM7" s="817">
        <v>0.5</v>
      </c>
      <c r="CN7" s="817">
        <v>0.5</v>
      </c>
      <c r="CP7" s="875">
        <v>0.5</v>
      </c>
      <c r="CQ7" s="875">
        <v>0.5</v>
      </c>
      <c r="CR7" s="875">
        <v>0.5</v>
      </c>
      <c r="CS7" s="875">
        <v>0.5</v>
      </c>
      <c r="CT7" s="875">
        <v>0.5</v>
      </c>
      <c r="CU7" s="875">
        <v>0.5</v>
      </c>
      <c r="CV7" s="875">
        <v>0.5</v>
      </c>
      <c r="CW7" s="875">
        <v>0.5</v>
      </c>
      <c r="CX7" s="875">
        <v>0.5</v>
      </c>
      <c r="CY7" s="875">
        <v>0.5</v>
      </c>
      <c r="CZ7" s="875">
        <v>0.5</v>
      </c>
      <c r="DA7" s="875">
        <v>0.5</v>
      </c>
      <c r="DB7" s="875">
        <v>0.5</v>
      </c>
      <c r="DC7" s="875">
        <v>0.5</v>
      </c>
      <c r="DD7" s="875">
        <v>0.5</v>
      </c>
      <c r="DE7" s="875">
        <v>0.5</v>
      </c>
      <c r="DG7" s="816">
        <v>1</v>
      </c>
      <c r="DH7" s="816">
        <v>1</v>
      </c>
      <c r="DI7" s="816">
        <v>1</v>
      </c>
      <c r="DJ7" s="816">
        <v>1</v>
      </c>
      <c r="DK7" s="816">
        <v>1</v>
      </c>
      <c r="DL7" s="816">
        <v>1</v>
      </c>
      <c r="DM7" s="816">
        <v>1</v>
      </c>
      <c r="DN7" s="816">
        <v>1</v>
      </c>
      <c r="DO7" s="816">
        <v>1</v>
      </c>
      <c r="DP7" s="816">
        <v>1</v>
      </c>
      <c r="DQ7" s="816">
        <v>1</v>
      </c>
      <c r="DR7" s="816">
        <v>1</v>
      </c>
      <c r="DS7" s="816">
        <v>1</v>
      </c>
      <c r="DT7" s="816">
        <v>1</v>
      </c>
      <c r="DU7" s="816">
        <v>1</v>
      </c>
      <c r="DV7" s="816">
        <v>1</v>
      </c>
      <c r="DX7" s="816">
        <v>0.5</v>
      </c>
      <c r="DY7" s="816">
        <v>0.5</v>
      </c>
      <c r="DZ7" s="816">
        <v>0.5</v>
      </c>
      <c r="EA7" s="816">
        <v>0.5</v>
      </c>
      <c r="EB7" s="816">
        <v>0.5</v>
      </c>
      <c r="EC7" s="816">
        <v>0.5</v>
      </c>
      <c r="ED7" s="816">
        <v>0.5</v>
      </c>
      <c r="EE7" s="816">
        <v>0.5</v>
      </c>
      <c r="EF7" s="816">
        <v>0.5</v>
      </c>
      <c r="EG7" s="816">
        <v>0.5</v>
      </c>
      <c r="EH7" s="816">
        <v>0.5</v>
      </c>
      <c r="EI7" s="816">
        <v>0.5</v>
      </c>
      <c r="EJ7" s="816">
        <v>0.5</v>
      </c>
      <c r="EK7" s="816">
        <v>0.5</v>
      </c>
      <c r="EL7" s="816">
        <v>0.5</v>
      </c>
      <c r="EM7" s="816">
        <v>0.5</v>
      </c>
      <c r="FQ7" s="898"/>
      <c r="FS7" s="898"/>
      <c r="FT7" s="898"/>
      <c r="FU7" s="898"/>
      <c r="FV7" s="898"/>
      <c r="FW7" s="898"/>
      <c r="FX7" s="898"/>
      <c r="FY7" s="898"/>
      <c r="FZ7" s="898"/>
      <c r="GA7" s="898"/>
      <c r="GB7" s="898"/>
      <c r="GC7" s="898"/>
      <c r="GD7" s="898"/>
      <c r="GE7" s="898"/>
      <c r="GF7" s="898"/>
      <c r="GG7" s="898"/>
      <c r="GH7" s="898"/>
      <c r="GJ7" s="898"/>
      <c r="GK7" s="898"/>
      <c r="GL7" s="898"/>
      <c r="GM7" s="898"/>
      <c r="GN7" s="898"/>
      <c r="GO7" s="898"/>
      <c r="GP7" s="898"/>
      <c r="GQ7" s="898"/>
      <c r="GR7" s="898"/>
      <c r="GS7" s="898"/>
      <c r="GT7" s="898"/>
      <c r="GU7" s="898"/>
      <c r="GV7" s="898"/>
      <c r="GW7" s="898"/>
      <c r="GX7" s="898"/>
      <c r="GY7" s="898"/>
      <c r="HA7" s="898"/>
      <c r="HB7" s="898"/>
      <c r="HC7" s="898"/>
      <c r="HD7" s="898"/>
      <c r="HE7" s="898"/>
      <c r="HF7" s="898"/>
      <c r="HG7" s="898"/>
      <c r="HH7" s="898"/>
      <c r="HI7" s="898"/>
      <c r="HJ7" s="898"/>
      <c r="HK7" s="898"/>
      <c r="HL7" s="898"/>
      <c r="HM7" s="898"/>
      <c r="HN7" s="898"/>
      <c r="HO7" s="898"/>
      <c r="HP7" s="898"/>
    </row>
    <row r="8" spans="1:224">
      <c r="B8" s="816" t="s">
        <v>1064</v>
      </c>
      <c r="C8" s="816">
        <v>1</v>
      </c>
      <c r="D8" s="816">
        <f t="shared" si="0"/>
        <v>0</v>
      </c>
      <c r="E8" s="816">
        <v>0</v>
      </c>
      <c r="F8" s="816" t="str">
        <f>INDEX('Data Interface'!$C:$C,MATCH(B8,'Data Interface'!$B:$B,0))</f>
        <v>Time - secured U.S. (310)</v>
      </c>
      <c r="G8" s="894">
        <f ca="1">IF($C8=1,$AJ8,SUM($AJ8:$AL8)*INDEX('Schedule Allocation'!G:G,MATCH($D8,'Schedule Allocation'!$A:$A,0)))</f>
        <v>0.5</v>
      </c>
      <c r="H8" s="894">
        <f ca="1">IF($C8=1,$AK8,SUM($AJ8:$AL8)*INDEX('Schedule Allocation'!H:H,MATCH($D8,'Schedule Allocation'!$A:$A,0)))</f>
        <v>0.5</v>
      </c>
      <c r="I8" s="894">
        <f ca="1">IF($C8=1,$AK8,SUM($AJ8:$AL8)*INDEX('Schedule Allocation'!I:I,MATCH($D8,'Schedule Allocation'!$A:$A,0)))</f>
        <v>0.5</v>
      </c>
      <c r="J8" s="894">
        <f ca="1">IF($C8=1,$AK8,SUM($AJ8:$AL8)*INDEX('Schedule Allocation'!J:J,MATCH($D8,'Schedule Allocation'!$A:$A,0)))</f>
        <v>0.5</v>
      </c>
      <c r="K8" s="894">
        <f ca="1">IF($C8=1,$AK8,SUM($AJ8:$AL8)*INDEX('Schedule Allocation'!K:K,MATCH($D8,'Schedule Allocation'!$A:$A,0)))</f>
        <v>0.5</v>
      </c>
      <c r="L8" s="894">
        <f ca="1">IF($C8=1,$AK8,SUM($AJ8:$AL8)*INDEX('Schedule Allocation'!L:L,MATCH($D8,'Schedule Allocation'!$A:$A,0)))</f>
        <v>0.5</v>
      </c>
      <c r="M8" s="894">
        <f ca="1">IF($C8=1,$AK8,SUM($AJ8:$AL8)*INDEX('Schedule Allocation'!M:M,MATCH($D8,'Schedule Allocation'!$A:$A,0)))</f>
        <v>0.5</v>
      </c>
      <c r="N8" s="894">
        <f ca="1">IF($C8=1,$AL8,SUM($AJ8:$AL8)*INDEX('Schedule Allocation'!N:N,MATCH($D8,'Schedule Allocation'!$A:$A,0)))</f>
        <v>0.5</v>
      </c>
      <c r="O8" s="894">
        <f ca="1">IF($C8=1,$AL8,SUM($AJ8:$AL8)*INDEX('Schedule Allocation'!O:O,MATCH($D8,'Schedule Allocation'!$A:$A,0)))</f>
        <v>0.5</v>
      </c>
      <c r="P8" s="894">
        <f ca="1">IF($C8=1,$AL8,SUM($AJ8:$AL8)*INDEX('Schedule Allocation'!P:P,MATCH($D8,'Schedule Allocation'!$A:$A,0)))</f>
        <v>0.5</v>
      </c>
      <c r="Q8" s="894">
        <f ca="1">IF($C8=1,$AL8,SUM($AJ8:$AL8)*INDEX('Schedule Allocation'!Q:Q,MATCH($D8,'Schedule Allocation'!$A:$A,0)))</f>
        <v>0.5</v>
      </c>
      <c r="R8" s="894">
        <f ca="1">IF($C8=1,$AL8,SUM($AJ8:$AL8)*INDEX('Schedule Allocation'!R:R,MATCH($D8,'Schedule Allocation'!$A:$A,0)))</f>
        <v>0.5</v>
      </c>
      <c r="S8" s="894">
        <f ca="1">IF($C8=1,$AL8,SUM($AJ8:$AL8)*INDEX('Schedule Allocation'!S:S,MATCH($D8,'Schedule Allocation'!$A:$A,0)))</f>
        <v>0.5</v>
      </c>
      <c r="T8" s="894">
        <f ca="1">IF($C8=1,$AL8,SUM($AJ8:$AL8)*INDEX('Schedule Allocation'!T:T,MATCH($D8,'Schedule Allocation'!$A:$A,0)))</f>
        <v>0.5</v>
      </c>
      <c r="U8" s="894">
        <f ca="1">OFFSET(AT8,0,(MATCH('Model Report Formatized'!$E$1,$AN$1:$AN$6,0))*17-17)</f>
        <v>0.5</v>
      </c>
      <c r="V8" s="894">
        <f ca="1">OFFSET(AU8,0,(MATCH('Model Report Formatized'!$E$1,$AN$1:$AN$6,0))*17-17)</f>
        <v>0.5</v>
      </c>
      <c r="W8" s="894">
        <f ca="1">OFFSET(AV8,0,(MATCH('Model Report Formatized'!$E$1,$AN$1:$AN$6,0))*17-17)</f>
        <v>0.5</v>
      </c>
      <c r="X8" s="894">
        <f ca="1">OFFSET(AW8,0,(MATCH('Model Report Formatized'!$E$1,$AN$1:$AN$6,0))*17-17)</f>
        <v>0.5</v>
      </c>
      <c r="Y8" s="894">
        <f ca="1">OFFSET(AX8,0,(MATCH('Model Report Formatized'!$E$1,$AN$1:$AN$6,0))*17-17)</f>
        <v>0.5</v>
      </c>
      <c r="Z8" s="894">
        <f ca="1">OFFSET(AY8,0,(MATCH('Model Report Formatized'!$E$1,$AN$1:$AN$6,0))*17-17)</f>
        <v>0.5</v>
      </c>
      <c r="AA8" s="894">
        <f ca="1">OFFSET(AZ8,0,(MATCH('Model Report Formatized'!$E$1,$AN$1:$AN$6,0))*17-17)</f>
        <v>0.5</v>
      </c>
      <c r="AB8" s="894">
        <f ca="1">OFFSET(BA8,0,(MATCH('Model Report Formatized'!$E$1,$AN$1:$AN$6,0))*17-17)</f>
        <v>0.5</v>
      </c>
      <c r="AC8" s="894">
        <f ca="1">OFFSET(BB8,0,(MATCH('Model Report Formatized'!$E$1,$AN$1:$AN$6,0))*17-17)</f>
        <v>0.5</v>
      </c>
      <c r="AD8" s="894">
        <f ca="1">OFFSET(BC8,0,(MATCH('Model Report Formatized'!$E$1,$AN$1:$AN$6,0))*17-17)</f>
        <v>0.5</v>
      </c>
      <c r="AE8" s="894">
        <f ca="1">OFFSET(BD8,0,(MATCH('Model Report Formatized'!$E$1,$AN$1:$AN$6,0))*17-17)</f>
        <v>0.5</v>
      </c>
      <c r="AF8" s="894">
        <f ca="1">OFFSET(BE8,0,(MATCH('Model Report Formatized'!$E$1,$AN$1:$AN$6,0))*17-17)</f>
        <v>0.5</v>
      </c>
      <c r="AG8" s="894">
        <f ca="1">OFFSET(BF8,0,(MATCH('Model Report Formatized'!$E$1,$AN$1:$AN$6,0))*17-17)</f>
        <v>0.5</v>
      </c>
      <c r="AH8" s="891">
        <f t="shared" ca="1" si="1"/>
        <v>0.5</v>
      </c>
      <c r="AJ8" s="895">
        <f ca="1">OFFSET(AQ8,0,(MATCH('Model Report Formatized'!$E$1,$AN$1:$AN$6,0))*17-17)</f>
        <v>0.5</v>
      </c>
      <c r="AK8" s="895">
        <f ca="1">OFFSET(AR8,0,(MATCH('Model Report Formatized'!$E$1,$AN$1:$AN$6,0))*17-17)</f>
        <v>0.5</v>
      </c>
      <c r="AL8" s="895">
        <f ca="1">OFFSET(AS8,0,(MATCH('Model Report Formatized'!$E$1,$AN$1:$AN$6,0))*17-17)</f>
        <v>0.5</v>
      </c>
      <c r="AQ8" s="893">
        <v>0.5</v>
      </c>
      <c r="AR8" s="893">
        <v>0.5</v>
      </c>
      <c r="AS8" s="893">
        <v>0.5</v>
      </c>
      <c r="AT8" s="893">
        <v>0.5</v>
      </c>
      <c r="AU8" s="893">
        <v>0.5</v>
      </c>
      <c r="AV8" s="893">
        <v>0.5</v>
      </c>
      <c r="AW8" s="893">
        <v>0.5</v>
      </c>
      <c r="AX8" s="893">
        <v>0.5</v>
      </c>
      <c r="AY8" s="893">
        <v>0.5</v>
      </c>
      <c r="AZ8" s="893">
        <v>0.5</v>
      </c>
      <c r="BA8" s="893">
        <v>0.5</v>
      </c>
      <c r="BB8" s="893">
        <v>0.5</v>
      </c>
      <c r="BC8" s="893">
        <v>0.5</v>
      </c>
      <c r="BD8" s="893">
        <v>0.5</v>
      </c>
      <c r="BE8" s="893">
        <v>0.5</v>
      </c>
      <c r="BF8" s="893">
        <v>0.5</v>
      </c>
      <c r="BH8" s="816">
        <v>1</v>
      </c>
      <c r="BI8" s="816">
        <v>1</v>
      </c>
      <c r="BJ8" s="816">
        <v>1</v>
      </c>
      <c r="BK8" s="816">
        <v>1</v>
      </c>
      <c r="BL8" s="816">
        <v>1</v>
      </c>
      <c r="BM8" s="816">
        <v>1</v>
      </c>
      <c r="BN8" s="816">
        <v>1</v>
      </c>
      <c r="BO8" s="816">
        <v>1</v>
      </c>
      <c r="BP8" s="816">
        <v>1</v>
      </c>
      <c r="BQ8" s="816">
        <v>1</v>
      </c>
      <c r="BR8" s="816">
        <v>1</v>
      </c>
      <c r="BS8" s="816">
        <v>1</v>
      </c>
      <c r="BT8" s="816">
        <v>1</v>
      </c>
      <c r="BU8" s="816">
        <v>1</v>
      </c>
      <c r="BV8" s="816">
        <v>1</v>
      </c>
      <c r="BW8" s="816">
        <v>1</v>
      </c>
      <c r="BY8" s="817">
        <v>0.5</v>
      </c>
      <c r="BZ8" s="817">
        <v>0.5</v>
      </c>
      <c r="CA8" s="817">
        <v>0.5</v>
      </c>
      <c r="CB8" s="817">
        <v>0.5</v>
      </c>
      <c r="CC8" s="817">
        <v>0.5</v>
      </c>
      <c r="CD8" s="817">
        <v>0.5</v>
      </c>
      <c r="CE8" s="817">
        <v>0.5</v>
      </c>
      <c r="CF8" s="817">
        <v>0.5</v>
      </c>
      <c r="CG8" s="817">
        <v>0.5</v>
      </c>
      <c r="CH8" s="817">
        <v>0.5</v>
      </c>
      <c r="CI8" s="817">
        <v>0.5</v>
      </c>
      <c r="CJ8" s="817">
        <v>0.5</v>
      </c>
      <c r="CK8" s="817">
        <v>0.5</v>
      </c>
      <c r="CL8" s="817">
        <v>0.5</v>
      </c>
      <c r="CM8" s="817">
        <v>0.5</v>
      </c>
      <c r="CN8" s="817">
        <v>0.5</v>
      </c>
      <c r="CP8" s="875">
        <v>0.5</v>
      </c>
      <c r="CQ8" s="875">
        <v>0.5</v>
      </c>
      <c r="CR8" s="875">
        <v>0.5</v>
      </c>
      <c r="CS8" s="875">
        <v>0.5</v>
      </c>
      <c r="CT8" s="875">
        <v>0.5</v>
      </c>
      <c r="CU8" s="875">
        <v>0.5</v>
      </c>
      <c r="CV8" s="875">
        <v>0.5</v>
      </c>
      <c r="CW8" s="875">
        <v>0.5</v>
      </c>
      <c r="CX8" s="875">
        <v>0.5</v>
      </c>
      <c r="CY8" s="875">
        <v>0.5</v>
      </c>
      <c r="CZ8" s="875">
        <v>0.5</v>
      </c>
      <c r="DA8" s="875">
        <v>0.5</v>
      </c>
      <c r="DB8" s="875">
        <v>0.5</v>
      </c>
      <c r="DC8" s="875">
        <v>0.5</v>
      </c>
      <c r="DD8" s="875">
        <v>0.5</v>
      </c>
      <c r="DE8" s="875">
        <v>0.5</v>
      </c>
      <c r="DG8" s="816">
        <v>1</v>
      </c>
      <c r="DH8" s="816">
        <v>1</v>
      </c>
      <c r="DI8" s="816">
        <v>1</v>
      </c>
      <c r="DJ8" s="816">
        <v>1</v>
      </c>
      <c r="DK8" s="816">
        <v>1</v>
      </c>
      <c r="DL8" s="816">
        <v>1</v>
      </c>
      <c r="DM8" s="816">
        <v>1</v>
      </c>
      <c r="DN8" s="816">
        <v>1</v>
      </c>
      <c r="DO8" s="816">
        <v>1</v>
      </c>
      <c r="DP8" s="816">
        <v>1</v>
      </c>
      <c r="DQ8" s="816">
        <v>1</v>
      </c>
      <c r="DR8" s="816">
        <v>1</v>
      </c>
      <c r="DS8" s="816">
        <v>1</v>
      </c>
      <c r="DT8" s="816">
        <v>1</v>
      </c>
      <c r="DU8" s="816">
        <v>1</v>
      </c>
      <c r="DV8" s="816">
        <v>1</v>
      </c>
      <c r="DX8" s="816">
        <v>0.5</v>
      </c>
      <c r="DY8" s="816">
        <v>0.5</v>
      </c>
      <c r="DZ8" s="816">
        <v>0.5</v>
      </c>
      <c r="EA8" s="816">
        <v>0.5</v>
      </c>
      <c r="EB8" s="816">
        <v>0.5</v>
      </c>
      <c r="EC8" s="816">
        <v>0.5</v>
      </c>
      <c r="ED8" s="816">
        <v>0.5</v>
      </c>
      <c r="EE8" s="816">
        <v>0.5</v>
      </c>
      <c r="EF8" s="816">
        <v>0.5</v>
      </c>
      <c r="EG8" s="816">
        <v>0.5</v>
      </c>
      <c r="EH8" s="816">
        <v>0.5</v>
      </c>
      <c r="EI8" s="816">
        <v>0.5</v>
      </c>
      <c r="EJ8" s="816">
        <v>0.5</v>
      </c>
      <c r="EK8" s="816">
        <v>0.5</v>
      </c>
      <c r="EL8" s="816">
        <v>0.5</v>
      </c>
      <c r="EM8" s="816">
        <v>0.5</v>
      </c>
      <c r="FQ8" s="898"/>
      <c r="FS8" s="898"/>
      <c r="FT8" s="898"/>
      <c r="FU8" s="898"/>
      <c r="FV8" s="898"/>
      <c r="FW8" s="898"/>
      <c r="FX8" s="898"/>
      <c r="FY8" s="898"/>
      <c r="FZ8" s="898"/>
      <c r="GA8" s="898"/>
      <c r="GB8" s="898"/>
      <c r="GC8" s="898"/>
      <c r="GD8" s="898"/>
      <c r="GE8" s="898"/>
      <c r="GF8" s="898"/>
      <c r="GG8" s="898"/>
      <c r="GH8" s="898"/>
      <c r="GJ8" s="898"/>
      <c r="GK8" s="898"/>
      <c r="GL8" s="898"/>
      <c r="GM8" s="898"/>
      <c r="GN8" s="898"/>
      <c r="GO8" s="898"/>
      <c r="GP8" s="898"/>
      <c r="GQ8" s="898"/>
      <c r="GR8" s="898"/>
      <c r="GS8" s="898"/>
      <c r="GT8" s="898"/>
      <c r="GU8" s="898"/>
      <c r="GV8" s="898"/>
      <c r="GW8" s="898"/>
      <c r="GX8" s="898"/>
      <c r="GY8" s="898"/>
      <c r="HA8" s="898"/>
      <c r="HB8" s="898"/>
      <c r="HC8" s="898"/>
      <c r="HD8" s="898"/>
      <c r="HE8" s="898"/>
      <c r="HF8" s="898"/>
      <c r="HG8" s="898"/>
      <c r="HH8" s="898"/>
      <c r="HI8" s="898"/>
      <c r="HJ8" s="898"/>
      <c r="HK8" s="898"/>
      <c r="HL8" s="898"/>
      <c r="HM8" s="898"/>
      <c r="HN8" s="898"/>
      <c r="HO8" s="898"/>
      <c r="HP8" s="898"/>
    </row>
    <row r="9" spans="1:224">
      <c r="B9" s="816">
        <v>5.3</v>
      </c>
      <c r="C9" s="816">
        <v>1</v>
      </c>
      <c r="D9" s="816">
        <f t="shared" si="0"/>
        <v>0</v>
      </c>
      <c r="E9" s="816">
        <v>0</v>
      </c>
      <c r="F9" s="816" t="str">
        <f>INDEX('Data Interface'!$C:$C,MATCH(B9,'Data Interface'!$B:$B,0))</f>
        <v>Mortgage (Commercial and Retail)</v>
      </c>
      <c r="G9" s="894">
        <f ca="1">IF($C9=1,$AJ9,SUM($AJ9:$AL9)*INDEX('Schedule Allocation'!G:G,MATCH($D9,'Schedule Allocation'!$A:$A,0)))</f>
        <v>0.5</v>
      </c>
      <c r="H9" s="894">
        <f ca="1">IF($C9=1,$AK9,SUM($AJ9:$AL9)*INDEX('Schedule Allocation'!H:H,MATCH($D9,'Schedule Allocation'!$A:$A,0)))</f>
        <v>0.5</v>
      </c>
      <c r="I9" s="894">
        <f ca="1">IF($C9=1,$AK9,SUM($AJ9:$AL9)*INDEX('Schedule Allocation'!I:I,MATCH($D9,'Schedule Allocation'!$A:$A,0)))</f>
        <v>0.5</v>
      </c>
      <c r="J9" s="894">
        <f ca="1">IF($C9=1,$AK9,SUM($AJ9:$AL9)*INDEX('Schedule Allocation'!J:J,MATCH($D9,'Schedule Allocation'!$A:$A,0)))</f>
        <v>0.5</v>
      </c>
      <c r="K9" s="894">
        <f ca="1">IF($C9=1,$AK9,SUM($AJ9:$AL9)*INDEX('Schedule Allocation'!K:K,MATCH($D9,'Schedule Allocation'!$A:$A,0)))</f>
        <v>0.5</v>
      </c>
      <c r="L9" s="894">
        <f ca="1">IF($C9=1,$AK9,SUM($AJ9:$AL9)*INDEX('Schedule Allocation'!L:L,MATCH($D9,'Schedule Allocation'!$A:$A,0)))</f>
        <v>0.5</v>
      </c>
      <c r="M9" s="894">
        <f ca="1">IF($C9=1,$AK9,SUM($AJ9:$AL9)*INDEX('Schedule Allocation'!M:M,MATCH($D9,'Schedule Allocation'!$A:$A,0)))</f>
        <v>0.5</v>
      </c>
      <c r="N9" s="894">
        <f ca="1">IF($C9=1,$AL9,SUM($AJ9:$AL9)*INDEX('Schedule Allocation'!N:N,MATCH($D9,'Schedule Allocation'!$A:$A,0)))</f>
        <v>0.5</v>
      </c>
      <c r="O9" s="894">
        <f ca="1">IF($C9=1,$AL9,SUM($AJ9:$AL9)*INDEX('Schedule Allocation'!O:O,MATCH($D9,'Schedule Allocation'!$A:$A,0)))</f>
        <v>0.5</v>
      </c>
      <c r="P9" s="894">
        <f ca="1">IF($C9=1,$AL9,SUM($AJ9:$AL9)*INDEX('Schedule Allocation'!P:P,MATCH($D9,'Schedule Allocation'!$A:$A,0)))</f>
        <v>0.5</v>
      </c>
      <c r="Q9" s="894">
        <f ca="1">IF($C9=1,$AL9,SUM($AJ9:$AL9)*INDEX('Schedule Allocation'!Q:Q,MATCH($D9,'Schedule Allocation'!$A:$A,0)))</f>
        <v>0.5</v>
      </c>
      <c r="R9" s="894">
        <f ca="1">IF($C9=1,$AL9,SUM($AJ9:$AL9)*INDEX('Schedule Allocation'!R:R,MATCH($D9,'Schedule Allocation'!$A:$A,0)))</f>
        <v>0.5</v>
      </c>
      <c r="S9" s="894">
        <f ca="1">IF($C9=1,$AL9,SUM($AJ9:$AL9)*INDEX('Schedule Allocation'!S:S,MATCH($D9,'Schedule Allocation'!$A:$A,0)))</f>
        <v>0.5</v>
      </c>
      <c r="T9" s="894">
        <f ca="1">IF($C9=1,$AL9,SUM($AJ9:$AL9)*INDEX('Schedule Allocation'!T:T,MATCH($D9,'Schedule Allocation'!$A:$A,0)))</f>
        <v>0.5</v>
      </c>
      <c r="U9" s="894">
        <f ca="1">OFFSET(AT9,0,(MATCH('Model Report Formatized'!$E$1,$AN$1:$AN$6,0))*17-17)</f>
        <v>0.5</v>
      </c>
      <c r="V9" s="894">
        <f ca="1">OFFSET(AU9,0,(MATCH('Model Report Formatized'!$E$1,$AN$1:$AN$6,0))*17-17)</f>
        <v>0.5</v>
      </c>
      <c r="W9" s="894">
        <f ca="1">OFFSET(AV9,0,(MATCH('Model Report Formatized'!$E$1,$AN$1:$AN$6,0))*17-17)</f>
        <v>0.5</v>
      </c>
      <c r="X9" s="894">
        <f ca="1">OFFSET(AW9,0,(MATCH('Model Report Formatized'!$E$1,$AN$1:$AN$6,0))*17-17)</f>
        <v>0.5</v>
      </c>
      <c r="Y9" s="894">
        <f ca="1">OFFSET(AX9,0,(MATCH('Model Report Formatized'!$E$1,$AN$1:$AN$6,0))*17-17)</f>
        <v>0.5</v>
      </c>
      <c r="Z9" s="894">
        <f ca="1">OFFSET(AY9,0,(MATCH('Model Report Formatized'!$E$1,$AN$1:$AN$6,0))*17-17)</f>
        <v>0.5</v>
      </c>
      <c r="AA9" s="894">
        <f ca="1">OFFSET(AZ9,0,(MATCH('Model Report Formatized'!$E$1,$AN$1:$AN$6,0))*17-17)</f>
        <v>0.5</v>
      </c>
      <c r="AB9" s="894">
        <f ca="1">OFFSET(BA9,0,(MATCH('Model Report Formatized'!$E$1,$AN$1:$AN$6,0))*17-17)</f>
        <v>0.5</v>
      </c>
      <c r="AC9" s="894">
        <f ca="1">OFFSET(BB9,0,(MATCH('Model Report Formatized'!$E$1,$AN$1:$AN$6,0))*17-17)</f>
        <v>0.5</v>
      </c>
      <c r="AD9" s="894">
        <f ca="1">OFFSET(BC9,0,(MATCH('Model Report Formatized'!$E$1,$AN$1:$AN$6,0))*17-17)</f>
        <v>0.5</v>
      </c>
      <c r="AE9" s="894">
        <f ca="1">OFFSET(BD9,0,(MATCH('Model Report Formatized'!$E$1,$AN$1:$AN$6,0))*17-17)</f>
        <v>0.5</v>
      </c>
      <c r="AF9" s="894">
        <f ca="1">OFFSET(BE9,0,(MATCH('Model Report Formatized'!$E$1,$AN$1:$AN$6,0))*17-17)</f>
        <v>0.5</v>
      </c>
      <c r="AG9" s="894">
        <f ca="1">OFFSET(BF9,0,(MATCH('Model Report Formatized'!$E$1,$AN$1:$AN$6,0))*17-17)</f>
        <v>0.5</v>
      </c>
      <c r="AH9" s="891">
        <f t="shared" ca="1" si="1"/>
        <v>0.5</v>
      </c>
      <c r="AJ9" s="895">
        <f ca="1">OFFSET(AQ9,0,(MATCH('Model Report Formatized'!$E$1,$AN$1:$AN$6,0))*17-17)</f>
        <v>0.5</v>
      </c>
      <c r="AK9" s="895">
        <f ca="1">OFFSET(AR9,0,(MATCH('Model Report Formatized'!$E$1,$AN$1:$AN$6,0))*17-17)</f>
        <v>0.5</v>
      </c>
      <c r="AL9" s="895">
        <f ca="1">OFFSET(AS9,0,(MATCH('Model Report Formatized'!$E$1,$AN$1:$AN$6,0))*17-17)</f>
        <v>0.5</v>
      </c>
      <c r="AQ9" s="893">
        <v>0.5</v>
      </c>
      <c r="AR9" s="893">
        <v>0.5</v>
      </c>
      <c r="AS9" s="893">
        <v>0.5</v>
      </c>
      <c r="AT9" s="893">
        <v>0.5</v>
      </c>
      <c r="AU9" s="893">
        <v>0.5</v>
      </c>
      <c r="AV9" s="893">
        <v>0.5</v>
      </c>
      <c r="AW9" s="893">
        <v>0.5</v>
      </c>
      <c r="AX9" s="893">
        <v>0.5</v>
      </c>
      <c r="AY9" s="893">
        <v>0.5</v>
      </c>
      <c r="AZ9" s="893">
        <v>0.5</v>
      </c>
      <c r="BA9" s="893">
        <v>0.5</v>
      </c>
      <c r="BB9" s="893">
        <v>0.5</v>
      </c>
      <c r="BC9" s="893">
        <v>0.5</v>
      </c>
      <c r="BD9" s="893">
        <v>0.5</v>
      </c>
      <c r="BE9" s="893">
        <v>0.5</v>
      </c>
      <c r="BF9" s="893">
        <v>0.5</v>
      </c>
      <c r="BH9" s="816">
        <v>1</v>
      </c>
      <c r="BI9" s="816">
        <v>1</v>
      </c>
      <c r="BJ9" s="816">
        <v>1</v>
      </c>
      <c r="BK9" s="816">
        <v>1</v>
      </c>
      <c r="BL9" s="816">
        <v>1</v>
      </c>
      <c r="BM9" s="816">
        <v>1</v>
      </c>
      <c r="BN9" s="816">
        <v>1</v>
      </c>
      <c r="BO9" s="816">
        <v>1</v>
      </c>
      <c r="BP9" s="816">
        <v>1</v>
      </c>
      <c r="BQ9" s="816">
        <v>1</v>
      </c>
      <c r="BR9" s="816">
        <v>1</v>
      </c>
      <c r="BS9" s="816">
        <v>1</v>
      </c>
      <c r="BT9" s="816">
        <v>1</v>
      </c>
      <c r="BU9" s="816">
        <v>1</v>
      </c>
      <c r="BV9" s="816">
        <v>1</v>
      </c>
      <c r="BW9" s="816">
        <v>1</v>
      </c>
      <c r="BY9" s="817">
        <v>0.5</v>
      </c>
      <c r="BZ9" s="817">
        <v>0.5</v>
      </c>
      <c r="CA9" s="817">
        <v>0.5</v>
      </c>
      <c r="CB9" s="817">
        <v>0.5</v>
      </c>
      <c r="CC9" s="817">
        <v>0.5</v>
      </c>
      <c r="CD9" s="817">
        <v>0.5</v>
      </c>
      <c r="CE9" s="817">
        <v>0.5</v>
      </c>
      <c r="CF9" s="817">
        <v>0.5</v>
      </c>
      <c r="CG9" s="817">
        <v>0.5</v>
      </c>
      <c r="CH9" s="817">
        <v>0.5</v>
      </c>
      <c r="CI9" s="817">
        <v>0.5</v>
      </c>
      <c r="CJ9" s="817">
        <v>0.5</v>
      </c>
      <c r="CK9" s="817">
        <v>0.5</v>
      </c>
      <c r="CL9" s="817">
        <v>0.5</v>
      </c>
      <c r="CM9" s="817">
        <v>0.5</v>
      </c>
      <c r="CN9" s="817">
        <v>0.5</v>
      </c>
      <c r="CP9" s="875">
        <v>0.5</v>
      </c>
      <c r="CQ9" s="875">
        <v>0.5</v>
      </c>
      <c r="CR9" s="875">
        <v>0.5</v>
      </c>
      <c r="CS9" s="875">
        <v>0.5</v>
      </c>
      <c r="CT9" s="875">
        <v>0.5</v>
      </c>
      <c r="CU9" s="875">
        <v>0.5</v>
      </c>
      <c r="CV9" s="875">
        <v>0.5</v>
      </c>
      <c r="CW9" s="875">
        <v>0.5</v>
      </c>
      <c r="CX9" s="875">
        <v>0.5</v>
      </c>
      <c r="CY9" s="875">
        <v>0.5</v>
      </c>
      <c r="CZ9" s="875">
        <v>0.5</v>
      </c>
      <c r="DA9" s="875">
        <v>0.5</v>
      </c>
      <c r="DB9" s="875">
        <v>0.5</v>
      </c>
      <c r="DC9" s="875">
        <v>0.5</v>
      </c>
      <c r="DD9" s="875">
        <v>0.5</v>
      </c>
      <c r="DE9" s="875">
        <v>0.5</v>
      </c>
      <c r="DG9" s="816">
        <v>1</v>
      </c>
      <c r="DH9" s="816">
        <v>1</v>
      </c>
      <c r="DI9" s="816">
        <v>1</v>
      </c>
      <c r="DJ9" s="816">
        <v>1</v>
      </c>
      <c r="DK9" s="816">
        <v>1</v>
      </c>
      <c r="DL9" s="816">
        <v>1</v>
      </c>
      <c r="DM9" s="816">
        <v>1</v>
      </c>
      <c r="DN9" s="816">
        <v>1</v>
      </c>
      <c r="DO9" s="816">
        <v>1</v>
      </c>
      <c r="DP9" s="816">
        <v>1</v>
      </c>
      <c r="DQ9" s="816">
        <v>1</v>
      </c>
      <c r="DR9" s="816">
        <v>1</v>
      </c>
      <c r="DS9" s="816">
        <v>1</v>
      </c>
      <c r="DT9" s="816">
        <v>1</v>
      </c>
      <c r="DU9" s="816">
        <v>1</v>
      </c>
      <c r="DV9" s="816">
        <v>1</v>
      </c>
      <c r="DX9" s="816">
        <v>0.5</v>
      </c>
      <c r="DY9" s="816">
        <v>0.5</v>
      </c>
      <c r="DZ9" s="816">
        <v>0.5</v>
      </c>
      <c r="EA9" s="816">
        <v>0.5</v>
      </c>
      <c r="EB9" s="816">
        <v>0.5</v>
      </c>
      <c r="EC9" s="816">
        <v>0.5</v>
      </c>
      <c r="ED9" s="816">
        <v>0.5</v>
      </c>
      <c r="EE9" s="816">
        <v>0.5</v>
      </c>
      <c r="EF9" s="816">
        <v>0.5</v>
      </c>
      <c r="EG9" s="816">
        <v>0.5</v>
      </c>
      <c r="EH9" s="816">
        <v>0.5</v>
      </c>
      <c r="EI9" s="816">
        <v>0.5</v>
      </c>
      <c r="EJ9" s="816">
        <v>0.5</v>
      </c>
      <c r="EK9" s="816">
        <v>0.5</v>
      </c>
      <c r="EL9" s="816">
        <v>0.5</v>
      </c>
      <c r="EM9" s="816">
        <v>0.5</v>
      </c>
      <c r="FQ9" s="898"/>
      <c r="FS9" s="898"/>
      <c r="FT9" s="898"/>
      <c r="FU9" s="898"/>
      <c r="FV9" s="898"/>
      <c r="FW9" s="898"/>
      <c r="FX9" s="898"/>
      <c r="FY9" s="898"/>
      <c r="FZ9" s="898"/>
      <c r="GA9" s="898"/>
      <c r="GB9" s="898"/>
      <c r="GC9" s="898"/>
      <c r="GD9" s="898"/>
      <c r="GE9" s="898"/>
      <c r="GF9" s="898"/>
      <c r="GG9" s="898"/>
      <c r="GH9" s="898"/>
      <c r="GJ9" s="898"/>
      <c r="GK9" s="898"/>
      <c r="GL9" s="898"/>
      <c r="GM9" s="898"/>
      <c r="GN9" s="898"/>
      <c r="GO9" s="898"/>
      <c r="GP9" s="898"/>
      <c r="GQ9" s="898"/>
      <c r="GR9" s="898"/>
      <c r="GS9" s="898"/>
      <c r="GT9" s="898"/>
      <c r="GU9" s="898"/>
      <c r="GV9" s="898"/>
      <c r="GW9" s="898"/>
      <c r="GX9" s="898"/>
      <c r="GY9" s="898"/>
      <c r="HA9" s="898"/>
      <c r="HB9" s="898"/>
      <c r="HC9" s="898"/>
      <c r="HD9" s="898"/>
      <c r="HE9" s="898"/>
      <c r="HF9" s="898"/>
      <c r="HG9" s="898"/>
      <c r="HH9" s="898"/>
      <c r="HI9" s="898"/>
      <c r="HJ9" s="898"/>
      <c r="HK9" s="898"/>
      <c r="HL9" s="898"/>
      <c r="HM9" s="898"/>
      <c r="HN9" s="898"/>
      <c r="HO9" s="898"/>
      <c r="HP9" s="898"/>
    </row>
    <row r="10" spans="1:224">
      <c r="B10" s="816" t="s">
        <v>1066</v>
      </c>
      <c r="C10" s="816">
        <v>1</v>
      </c>
      <c r="D10" s="816">
        <f t="shared" si="0"/>
        <v>1</v>
      </c>
      <c r="E10" s="816">
        <v>0</v>
      </c>
      <c r="F10" s="816" t="str">
        <f>INDEX('Data Interface'!$C:$C,MATCH(B10,'Data Interface'!$B:$B,0))</f>
        <v>Trade Finance - IB &amp; Affiliates</v>
      </c>
      <c r="G10" s="894">
        <f ca="1">IF($C10=1,$AJ10,SUM($AJ10:$AL10)*INDEX('Schedule Allocation'!G:G,MATCH($D10,'Schedule Allocation'!$A:$A,0)))</f>
        <v>0.5</v>
      </c>
      <c r="H10" s="894">
        <f ca="1">IF($C10=1,$AK10,SUM($AJ10:$AL10)*INDEX('Schedule Allocation'!H:H,MATCH($D10,'Schedule Allocation'!$A:$A,0)))</f>
        <v>0.5</v>
      </c>
      <c r="I10" s="894">
        <f ca="1">IF($C10=1,$AK10,SUM($AJ10:$AL10)*INDEX('Schedule Allocation'!I:I,MATCH($D10,'Schedule Allocation'!$A:$A,0)))</f>
        <v>0.5</v>
      </c>
      <c r="J10" s="894">
        <f ca="1">IF($C10=1,$AK10,SUM($AJ10:$AL10)*INDEX('Schedule Allocation'!J:J,MATCH($D10,'Schedule Allocation'!$A:$A,0)))</f>
        <v>0.5</v>
      </c>
      <c r="K10" s="894">
        <f ca="1">IF($C10=1,$AK10,SUM($AJ10:$AL10)*INDEX('Schedule Allocation'!K:K,MATCH($D10,'Schedule Allocation'!$A:$A,0)))</f>
        <v>0.5</v>
      </c>
      <c r="L10" s="894">
        <f ca="1">IF($C10=1,$AK10,SUM($AJ10:$AL10)*INDEX('Schedule Allocation'!L:L,MATCH($D10,'Schedule Allocation'!$A:$A,0)))</f>
        <v>0.5</v>
      </c>
      <c r="M10" s="894">
        <f ca="1">IF($C10=1,$AK10,SUM($AJ10:$AL10)*INDEX('Schedule Allocation'!M:M,MATCH($D10,'Schedule Allocation'!$A:$A,0)))</f>
        <v>0.5</v>
      </c>
      <c r="N10" s="894">
        <f ca="1">IF($C10=1,$AL10,SUM($AJ10:$AL10)*INDEX('Schedule Allocation'!N:N,MATCH($D10,'Schedule Allocation'!$A:$A,0)))</f>
        <v>0.5</v>
      </c>
      <c r="O10" s="894">
        <f ca="1">IF($C10=1,$AL10,SUM($AJ10:$AL10)*INDEX('Schedule Allocation'!O:O,MATCH($D10,'Schedule Allocation'!$A:$A,0)))</f>
        <v>0.5</v>
      </c>
      <c r="P10" s="894">
        <f ca="1">IF($C10=1,$AL10,SUM($AJ10:$AL10)*INDEX('Schedule Allocation'!P:P,MATCH($D10,'Schedule Allocation'!$A:$A,0)))</f>
        <v>0.5</v>
      </c>
      <c r="Q10" s="894">
        <f ca="1">IF($C10=1,$AL10,SUM($AJ10:$AL10)*INDEX('Schedule Allocation'!Q:Q,MATCH($D10,'Schedule Allocation'!$A:$A,0)))</f>
        <v>0.5</v>
      </c>
      <c r="R10" s="894">
        <f ca="1">IF($C10=1,$AL10,SUM($AJ10:$AL10)*INDEX('Schedule Allocation'!R:R,MATCH($D10,'Schedule Allocation'!$A:$A,0)))</f>
        <v>0.5</v>
      </c>
      <c r="S10" s="894">
        <f ca="1">IF($C10=1,$AL10,SUM($AJ10:$AL10)*INDEX('Schedule Allocation'!S:S,MATCH($D10,'Schedule Allocation'!$A:$A,0)))</f>
        <v>0.5</v>
      </c>
      <c r="T10" s="894">
        <f ca="1">IF($C10=1,$AL10,SUM($AJ10:$AL10)*INDEX('Schedule Allocation'!T:T,MATCH($D10,'Schedule Allocation'!$A:$A,0)))</f>
        <v>0.5</v>
      </c>
      <c r="U10" s="894">
        <f ca="1">OFFSET(AT10,0,(MATCH('Model Report Formatized'!$E$1,$AN$1:$AN$6,0))*17-17)</f>
        <v>0.5</v>
      </c>
      <c r="V10" s="894">
        <f ca="1">OFFSET(AU10,0,(MATCH('Model Report Formatized'!$E$1,$AN$1:$AN$6,0))*17-17)</f>
        <v>0.5</v>
      </c>
      <c r="W10" s="894">
        <f ca="1">OFFSET(AV10,0,(MATCH('Model Report Formatized'!$E$1,$AN$1:$AN$6,0))*17-17)</f>
        <v>0.5</v>
      </c>
      <c r="X10" s="894">
        <f ca="1">OFFSET(AW10,0,(MATCH('Model Report Formatized'!$E$1,$AN$1:$AN$6,0))*17-17)</f>
        <v>0.5</v>
      </c>
      <c r="Y10" s="894">
        <f ca="1">OFFSET(AX10,0,(MATCH('Model Report Formatized'!$E$1,$AN$1:$AN$6,0))*17-17)</f>
        <v>1</v>
      </c>
      <c r="Z10" s="894">
        <f ca="1">OFFSET(AY10,0,(MATCH('Model Report Formatized'!$E$1,$AN$1:$AN$6,0))*17-17)</f>
        <v>1</v>
      </c>
      <c r="AA10" s="894">
        <f ca="1">OFFSET(AZ10,0,(MATCH('Model Report Formatized'!$E$1,$AN$1:$AN$6,0))*17-17)</f>
        <v>1</v>
      </c>
      <c r="AB10" s="894">
        <f ca="1">OFFSET(BA10,0,(MATCH('Model Report Formatized'!$E$1,$AN$1:$AN$6,0))*17-17)</f>
        <v>1</v>
      </c>
      <c r="AC10" s="894">
        <f ca="1">OFFSET(BB10,0,(MATCH('Model Report Formatized'!$E$1,$AN$1:$AN$6,0))*17-17)</f>
        <v>1</v>
      </c>
      <c r="AD10" s="894">
        <f ca="1">OFFSET(BC10,0,(MATCH('Model Report Formatized'!$E$1,$AN$1:$AN$6,0))*17-17)</f>
        <v>1</v>
      </c>
      <c r="AE10" s="894">
        <f ca="1">OFFSET(BD10,0,(MATCH('Model Report Formatized'!$E$1,$AN$1:$AN$6,0))*17-17)</f>
        <v>1</v>
      </c>
      <c r="AF10" s="894">
        <f ca="1">OFFSET(BE10,0,(MATCH('Model Report Formatized'!$E$1,$AN$1:$AN$6,0))*17-17)</f>
        <v>1</v>
      </c>
      <c r="AG10" s="894">
        <f ca="1">OFFSET(BF10,0,(MATCH('Model Report Formatized'!$E$1,$AN$1:$AN$6,0))*17-17)</f>
        <v>1</v>
      </c>
      <c r="AH10" s="891">
        <f t="shared" ca="1" si="1"/>
        <v>1</v>
      </c>
      <c r="AJ10" s="895">
        <f ca="1">OFFSET(AQ10,0,(MATCH('Model Report Formatized'!$E$1,$AN$1:$AN$6,0))*17-17)</f>
        <v>0.5</v>
      </c>
      <c r="AK10" s="895">
        <f ca="1">OFFSET(AR10,0,(MATCH('Model Report Formatized'!$E$1,$AN$1:$AN$6,0))*17-17)</f>
        <v>0.5</v>
      </c>
      <c r="AL10" s="895">
        <f ca="1">OFFSET(AS10,0,(MATCH('Model Report Formatized'!$E$1,$AN$1:$AN$6,0))*17-17)</f>
        <v>0.5</v>
      </c>
      <c r="AQ10" s="893">
        <v>0.5</v>
      </c>
      <c r="AR10" s="893">
        <v>0.5</v>
      </c>
      <c r="AS10" s="893">
        <v>0.5</v>
      </c>
      <c r="AT10" s="893">
        <v>0.5</v>
      </c>
      <c r="AU10" s="893">
        <v>0.5</v>
      </c>
      <c r="AV10" s="893">
        <v>0.5</v>
      </c>
      <c r="AW10" s="893">
        <v>0.5</v>
      </c>
      <c r="AX10" s="893">
        <v>1</v>
      </c>
      <c r="AY10" s="893">
        <v>1</v>
      </c>
      <c r="AZ10" s="893">
        <v>1</v>
      </c>
      <c r="BA10" s="893">
        <v>1</v>
      </c>
      <c r="BB10" s="893">
        <v>1</v>
      </c>
      <c r="BC10" s="893">
        <v>1</v>
      </c>
      <c r="BD10" s="893">
        <v>1</v>
      </c>
      <c r="BE10" s="893">
        <v>1</v>
      </c>
      <c r="BF10" s="893">
        <v>1</v>
      </c>
      <c r="BH10" s="816">
        <v>1</v>
      </c>
      <c r="BI10" s="816">
        <v>1</v>
      </c>
      <c r="BJ10" s="816">
        <v>1</v>
      </c>
      <c r="BK10" s="816">
        <v>1</v>
      </c>
      <c r="BL10" s="816">
        <v>1</v>
      </c>
      <c r="BM10" s="816">
        <v>1</v>
      </c>
      <c r="BN10" s="816">
        <v>1</v>
      </c>
      <c r="BO10" s="816">
        <v>1</v>
      </c>
      <c r="BP10" s="816">
        <v>1</v>
      </c>
      <c r="BQ10" s="816">
        <v>1</v>
      </c>
      <c r="BR10" s="816">
        <v>1</v>
      </c>
      <c r="BS10" s="816">
        <v>1</v>
      </c>
      <c r="BT10" s="816">
        <v>1</v>
      </c>
      <c r="BU10" s="816">
        <v>1</v>
      </c>
      <c r="BV10" s="816">
        <v>1</v>
      </c>
      <c r="BW10" s="816">
        <v>1</v>
      </c>
      <c r="BY10" s="817">
        <v>0.5</v>
      </c>
      <c r="BZ10" s="817">
        <v>0.5</v>
      </c>
      <c r="CA10" s="817">
        <v>0.5</v>
      </c>
      <c r="CB10" s="817">
        <v>0.5</v>
      </c>
      <c r="CC10" s="817">
        <v>0.5</v>
      </c>
      <c r="CD10" s="817">
        <v>1</v>
      </c>
      <c r="CE10" s="817">
        <v>1</v>
      </c>
      <c r="CF10" s="817">
        <v>1</v>
      </c>
      <c r="CG10" s="817">
        <v>1</v>
      </c>
      <c r="CH10" s="817">
        <v>1</v>
      </c>
      <c r="CI10" s="817">
        <v>1</v>
      </c>
      <c r="CJ10" s="817">
        <v>1</v>
      </c>
      <c r="CK10" s="817">
        <v>1</v>
      </c>
      <c r="CL10" s="817">
        <v>1</v>
      </c>
      <c r="CM10" s="817">
        <v>1</v>
      </c>
      <c r="CN10" s="817">
        <v>1</v>
      </c>
      <c r="CP10" s="875">
        <v>0.5</v>
      </c>
      <c r="CQ10" s="875">
        <v>0.5</v>
      </c>
      <c r="CR10" s="875">
        <v>0.5</v>
      </c>
      <c r="CS10" s="875">
        <v>0.5</v>
      </c>
      <c r="CT10" s="875">
        <v>0.5</v>
      </c>
      <c r="CU10" s="875">
        <v>0.5</v>
      </c>
      <c r="CV10" s="875">
        <v>0.5</v>
      </c>
      <c r="CW10" s="875">
        <v>1</v>
      </c>
      <c r="CX10" s="875">
        <v>1</v>
      </c>
      <c r="CY10" s="875">
        <v>1</v>
      </c>
      <c r="CZ10" s="875">
        <v>1</v>
      </c>
      <c r="DA10" s="875">
        <v>1</v>
      </c>
      <c r="DB10" s="875">
        <v>1</v>
      </c>
      <c r="DC10" s="875">
        <v>1</v>
      </c>
      <c r="DD10" s="875">
        <v>1</v>
      </c>
      <c r="DE10" s="875">
        <v>1</v>
      </c>
      <c r="DG10" s="816">
        <v>1</v>
      </c>
      <c r="DH10" s="816">
        <v>1</v>
      </c>
      <c r="DI10" s="816">
        <v>1</v>
      </c>
      <c r="DJ10" s="816">
        <v>1</v>
      </c>
      <c r="DK10" s="816">
        <v>1</v>
      </c>
      <c r="DL10" s="816">
        <v>1</v>
      </c>
      <c r="DM10" s="816">
        <v>1</v>
      </c>
      <c r="DN10" s="816">
        <v>1</v>
      </c>
      <c r="DO10" s="816">
        <v>1</v>
      </c>
      <c r="DP10" s="816">
        <v>1</v>
      </c>
      <c r="DQ10" s="816">
        <v>1</v>
      </c>
      <c r="DR10" s="816">
        <v>1</v>
      </c>
      <c r="DS10" s="816">
        <v>1</v>
      </c>
      <c r="DT10" s="816">
        <v>1</v>
      </c>
      <c r="DU10" s="816">
        <v>1</v>
      </c>
      <c r="DV10" s="816">
        <v>1</v>
      </c>
      <c r="DX10" s="816">
        <v>0.5</v>
      </c>
      <c r="DY10" s="816">
        <v>0.5</v>
      </c>
      <c r="DZ10" s="816">
        <v>0.5</v>
      </c>
      <c r="EA10" s="816">
        <v>0.5</v>
      </c>
      <c r="EB10" s="816">
        <v>0.5</v>
      </c>
      <c r="EC10" s="816">
        <v>1</v>
      </c>
      <c r="ED10" s="816">
        <v>1</v>
      </c>
      <c r="EE10" s="816">
        <v>1</v>
      </c>
      <c r="EF10" s="816">
        <v>1</v>
      </c>
      <c r="EG10" s="816">
        <v>1</v>
      </c>
      <c r="EH10" s="816">
        <v>1</v>
      </c>
      <c r="EI10" s="816">
        <v>1</v>
      </c>
      <c r="EJ10" s="816">
        <v>1</v>
      </c>
      <c r="EK10" s="816">
        <v>1</v>
      </c>
      <c r="EL10" s="816">
        <v>1</v>
      </c>
      <c r="EM10" s="816">
        <v>1</v>
      </c>
      <c r="FQ10" s="898"/>
      <c r="FS10" s="898"/>
      <c r="FT10" s="898"/>
      <c r="FU10" s="898"/>
      <c r="FV10" s="898"/>
      <c r="FW10" s="898"/>
      <c r="FX10" s="898"/>
      <c r="FY10" s="898"/>
      <c r="FZ10" s="898"/>
      <c r="GA10" s="898"/>
      <c r="GB10" s="898"/>
      <c r="GC10" s="898"/>
      <c r="GD10" s="898"/>
      <c r="GE10" s="898"/>
      <c r="GF10" s="898"/>
      <c r="GG10" s="898"/>
      <c r="GH10" s="898"/>
      <c r="GJ10" s="898"/>
      <c r="GK10" s="898"/>
      <c r="GL10" s="898"/>
      <c r="GM10" s="898"/>
      <c r="GN10" s="898"/>
      <c r="GO10" s="898"/>
      <c r="GP10" s="898"/>
      <c r="GQ10" s="898"/>
      <c r="GR10" s="898"/>
      <c r="GS10" s="898"/>
      <c r="GT10" s="898"/>
      <c r="GU10" s="898"/>
      <c r="GV10" s="898"/>
      <c r="GW10" s="898"/>
      <c r="GX10" s="898"/>
      <c r="GY10" s="898"/>
      <c r="HA10" s="898"/>
      <c r="HB10" s="898"/>
      <c r="HC10" s="898"/>
      <c r="HD10" s="898"/>
      <c r="HE10" s="898"/>
      <c r="HF10" s="898"/>
      <c r="HG10" s="898"/>
      <c r="HH10" s="898"/>
      <c r="HI10" s="898"/>
      <c r="HJ10" s="898"/>
      <c r="HK10" s="898"/>
      <c r="HL10" s="898"/>
      <c r="HM10" s="898"/>
      <c r="HN10" s="898"/>
      <c r="HO10" s="898"/>
      <c r="HP10" s="898"/>
    </row>
    <row r="11" spans="1:224">
      <c r="B11" s="816" t="s">
        <v>1067</v>
      </c>
      <c r="C11" s="816">
        <v>1</v>
      </c>
      <c r="D11" s="816">
        <f t="shared" si="0"/>
        <v>1</v>
      </c>
      <c r="E11" s="816">
        <v>0</v>
      </c>
      <c r="F11" s="816" t="str">
        <f>INDEX('Data Interface'!$C:$C,MATCH(B11,'Data Interface'!$B:$B,0))</f>
        <v>Trade Finance - 3rd Parties</v>
      </c>
      <c r="G11" s="894">
        <f ca="1">IF($C11=1,$AJ11,SUM($AJ11:$AL11)*INDEX('Schedule Allocation'!G:G,MATCH($D11,'Schedule Allocation'!$A:$A,0)))</f>
        <v>0.5</v>
      </c>
      <c r="H11" s="894">
        <f ca="1">IF($C11=1,$AK11,SUM($AJ11:$AL11)*INDEX('Schedule Allocation'!H:H,MATCH($D11,'Schedule Allocation'!$A:$A,0)))</f>
        <v>0.5</v>
      </c>
      <c r="I11" s="894">
        <f ca="1">IF($C11=1,$AK11,SUM($AJ11:$AL11)*INDEX('Schedule Allocation'!I:I,MATCH($D11,'Schedule Allocation'!$A:$A,0)))</f>
        <v>0.5</v>
      </c>
      <c r="J11" s="894">
        <f ca="1">IF($C11=1,$AK11,SUM($AJ11:$AL11)*INDEX('Schedule Allocation'!J:J,MATCH($D11,'Schedule Allocation'!$A:$A,0)))</f>
        <v>0.5</v>
      </c>
      <c r="K11" s="894">
        <f ca="1">IF($C11=1,$AK11,SUM($AJ11:$AL11)*INDEX('Schedule Allocation'!K:K,MATCH($D11,'Schedule Allocation'!$A:$A,0)))</f>
        <v>0.5</v>
      </c>
      <c r="L11" s="894">
        <f ca="1">IF($C11=1,$AK11,SUM($AJ11:$AL11)*INDEX('Schedule Allocation'!L:L,MATCH($D11,'Schedule Allocation'!$A:$A,0)))</f>
        <v>0.5</v>
      </c>
      <c r="M11" s="894">
        <f ca="1">IF($C11=1,$AK11,SUM($AJ11:$AL11)*INDEX('Schedule Allocation'!M:M,MATCH($D11,'Schedule Allocation'!$A:$A,0)))</f>
        <v>0.5</v>
      </c>
      <c r="N11" s="894">
        <f ca="1">IF($C11=1,$AL11,SUM($AJ11:$AL11)*INDEX('Schedule Allocation'!N:N,MATCH($D11,'Schedule Allocation'!$A:$A,0)))</f>
        <v>0.5</v>
      </c>
      <c r="O11" s="894">
        <f ca="1">IF($C11=1,$AL11,SUM($AJ11:$AL11)*INDEX('Schedule Allocation'!O:O,MATCH($D11,'Schedule Allocation'!$A:$A,0)))</f>
        <v>0.5</v>
      </c>
      <c r="P11" s="894">
        <f ca="1">IF($C11=1,$AL11,SUM($AJ11:$AL11)*INDEX('Schedule Allocation'!P:P,MATCH($D11,'Schedule Allocation'!$A:$A,0)))</f>
        <v>0.5</v>
      </c>
      <c r="Q11" s="894">
        <f ca="1">IF($C11=1,$AL11,SUM($AJ11:$AL11)*INDEX('Schedule Allocation'!Q:Q,MATCH($D11,'Schedule Allocation'!$A:$A,0)))</f>
        <v>0.5</v>
      </c>
      <c r="R11" s="894">
        <f ca="1">IF($C11=1,$AL11,SUM($AJ11:$AL11)*INDEX('Schedule Allocation'!R:R,MATCH($D11,'Schedule Allocation'!$A:$A,0)))</f>
        <v>0.5</v>
      </c>
      <c r="S11" s="894">
        <f ca="1">IF($C11=1,$AL11,SUM($AJ11:$AL11)*INDEX('Schedule Allocation'!S:S,MATCH($D11,'Schedule Allocation'!$A:$A,0)))</f>
        <v>0.5</v>
      </c>
      <c r="T11" s="894">
        <f ca="1">IF($C11=1,$AL11,SUM($AJ11:$AL11)*INDEX('Schedule Allocation'!T:T,MATCH($D11,'Schedule Allocation'!$A:$A,0)))</f>
        <v>0.5</v>
      </c>
      <c r="U11" s="894">
        <f ca="1">OFFSET(AT11,0,(MATCH('Model Report Formatized'!$E$1,$AN$1:$AN$6,0))*17-17)</f>
        <v>0.5</v>
      </c>
      <c r="V11" s="894">
        <f ca="1">OFFSET(AU11,0,(MATCH('Model Report Formatized'!$E$1,$AN$1:$AN$6,0))*17-17)</f>
        <v>0.5</v>
      </c>
      <c r="W11" s="894">
        <f ca="1">OFFSET(AV11,0,(MATCH('Model Report Formatized'!$E$1,$AN$1:$AN$6,0))*17-17)</f>
        <v>0.5</v>
      </c>
      <c r="X11" s="894">
        <f ca="1">OFFSET(AW11,0,(MATCH('Model Report Formatized'!$E$1,$AN$1:$AN$6,0))*17-17)</f>
        <v>0.5</v>
      </c>
      <c r="Y11" s="894">
        <f ca="1">OFFSET(AX11,0,(MATCH('Model Report Formatized'!$E$1,$AN$1:$AN$6,0))*17-17)</f>
        <v>1</v>
      </c>
      <c r="Z11" s="894">
        <f ca="1">OFFSET(AY11,0,(MATCH('Model Report Formatized'!$E$1,$AN$1:$AN$6,0))*17-17)</f>
        <v>1</v>
      </c>
      <c r="AA11" s="894">
        <f ca="1">OFFSET(AZ11,0,(MATCH('Model Report Formatized'!$E$1,$AN$1:$AN$6,0))*17-17)</f>
        <v>1</v>
      </c>
      <c r="AB11" s="894">
        <f ca="1">OFFSET(BA11,0,(MATCH('Model Report Formatized'!$E$1,$AN$1:$AN$6,0))*17-17)</f>
        <v>1</v>
      </c>
      <c r="AC11" s="894">
        <f ca="1">OFFSET(BB11,0,(MATCH('Model Report Formatized'!$E$1,$AN$1:$AN$6,0))*17-17)</f>
        <v>1</v>
      </c>
      <c r="AD11" s="894">
        <f ca="1">OFFSET(BC11,0,(MATCH('Model Report Formatized'!$E$1,$AN$1:$AN$6,0))*17-17)</f>
        <v>1</v>
      </c>
      <c r="AE11" s="894">
        <f ca="1">OFFSET(BD11,0,(MATCH('Model Report Formatized'!$E$1,$AN$1:$AN$6,0))*17-17)</f>
        <v>1</v>
      </c>
      <c r="AF11" s="894">
        <f ca="1">OFFSET(BE11,0,(MATCH('Model Report Formatized'!$E$1,$AN$1:$AN$6,0))*17-17)</f>
        <v>1</v>
      </c>
      <c r="AG11" s="894">
        <f ca="1">OFFSET(BF11,0,(MATCH('Model Report Formatized'!$E$1,$AN$1:$AN$6,0))*17-17)</f>
        <v>1</v>
      </c>
      <c r="AH11" s="891">
        <f t="shared" ca="1" si="1"/>
        <v>1</v>
      </c>
      <c r="AJ11" s="895">
        <f ca="1">OFFSET(AQ11,0,(MATCH('Model Report Formatized'!$E$1,$AN$1:$AN$6,0))*17-17)</f>
        <v>0.5</v>
      </c>
      <c r="AK11" s="895">
        <f ca="1">OFFSET(AR11,0,(MATCH('Model Report Formatized'!$E$1,$AN$1:$AN$6,0))*17-17)</f>
        <v>0.5</v>
      </c>
      <c r="AL11" s="895">
        <f ca="1">OFFSET(AS11,0,(MATCH('Model Report Formatized'!$E$1,$AN$1:$AN$6,0))*17-17)</f>
        <v>0.5</v>
      </c>
      <c r="AQ11" s="893">
        <v>0.5</v>
      </c>
      <c r="AR11" s="893">
        <v>0.5</v>
      </c>
      <c r="AS11" s="893">
        <v>0.5</v>
      </c>
      <c r="AT11" s="893">
        <v>0.5</v>
      </c>
      <c r="AU11" s="893">
        <v>0.5</v>
      </c>
      <c r="AV11" s="893">
        <v>0.5</v>
      </c>
      <c r="AW11" s="893">
        <v>0.5</v>
      </c>
      <c r="AX11" s="893">
        <v>1</v>
      </c>
      <c r="AY11" s="893">
        <v>1</v>
      </c>
      <c r="AZ11" s="893">
        <v>1</v>
      </c>
      <c r="BA11" s="893">
        <v>1</v>
      </c>
      <c r="BB11" s="893">
        <v>1</v>
      </c>
      <c r="BC11" s="893">
        <v>1</v>
      </c>
      <c r="BD11" s="893">
        <v>1</v>
      </c>
      <c r="BE11" s="893">
        <v>1</v>
      </c>
      <c r="BF11" s="893">
        <v>1</v>
      </c>
      <c r="BH11" s="816">
        <v>1</v>
      </c>
      <c r="BI11" s="816">
        <v>1</v>
      </c>
      <c r="BJ11" s="816">
        <v>1</v>
      </c>
      <c r="BK11" s="816">
        <v>1</v>
      </c>
      <c r="BL11" s="816">
        <v>1</v>
      </c>
      <c r="BM11" s="816">
        <v>1</v>
      </c>
      <c r="BN11" s="816">
        <v>1</v>
      </c>
      <c r="BO11" s="816">
        <v>1</v>
      </c>
      <c r="BP11" s="816">
        <v>1</v>
      </c>
      <c r="BQ11" s="816">
        <v>1</v>
      </c>
      <c r="BR11" s="816">
        <v>1</v>
      </c>
      <c r="BS11" s="816">
        <v>1</v>
      </c>
      <c r="BT11" s="816">
        <v>1</v>
      </c>
      <c r="BU11" s="816">
        <v>1</v>
      </c>
      <c r="BV11" s="816">
        <v>1</v>
      </c>
      <c r="BW11" s="816">
        <v>1</v>
      </c>
      <c r="BY11" s="817">
        <v>0.5</v>
      </c>
      <c r="BZ11" s="817">
        <v>0.5</v>
      </c>
      <c r="CA11" s="817">
        <v>0.5</v>
      </c>
      <c r="CB11" s="817">
        <v>0.5</v>
      </c>
      <c r="CC11" s="817">
        <v>0.5</v>
      </c>
      <c r="CD11" s="817">
        <v>1</v>
      </c>
      <c r="CE11" s="817">
        <v>1</v>
      </c>
      <c r="CF11" s="817">
        <v>1</v>
      </c>
      <c r="CG11" s="817">
        <v>1</v>
      </c>
      <c r="CH11" s="817">
        <v>1</v>
      </c>
      <c r="CI11" s="817">
        <v>1</v>
      </c>
      <c r="CJ11" s="817">
        <v>1</v>
      </c>
      <c r="CK11" s="817">
        <v>1</v>
      </c>
      <c r="CL11" s="817">
        <v>1</v>
      </c>
      <c r="CM11" s="817">
        <v>1</v>
      </c>
      <c r="CN11" s="817">
        <v>1</v>
      </c>
      <c r="CP11" s="875">
        <v>0.5</v>
      </c>
      <c r="CQ11" s="875">
        <v>0.5</v>
      </c>
      <c r="CR11" s="875">
        <v>0.5</v>
      </c>
      <c r="CS11" s="875">
        <v>0.5</v>
      </c>
      <c r="CT11" s="875">
        <v>0.5</v>
      </c>
      <c r="CU11" s="875">
        <v>0.5</v>
      </c>
      <c r="CV11" s="875">
        <v>0.5</v>
      </c>
      <c r="CW11" s="875">
        <v>1</v>
      </c>
      <c r="CX11" s="875">
        <v>1</v>
      </c>
      <c r="CY11" s="875">
        <v>1</v>
      </c>
      <c r="CZ11" s="875">
        <v>1</v>
      </c>
      <c r="DA11" s="875">
        <v>1</v>
      </c>
      <c r="DB11" s="875">
        <v>1</v>
      </c>
      <c r="DC11" s="875">
        <v>1</v>
      </c>
      <c r="DD11" s="875">
        <v>1</v>
      </c>
      <c r="DE11" s="875">
        <v>1</v>
      </c>
      <c r="DG11" s="816">
        <v>1</v>
      </c>
      <c r="DH11" s="816">
        <v>1</v>
      </c>
      <c r="DI11" s="816">
        <v>1</v>
      </c>
      <c r="DJ11" s="816">
        <v>1</v>
      </c>
      <c r="DK11" s="816">
        <v>1</v>
      </c>
      <c r="DL11" s="816">
        <v>1</v>
      </c>
      <c r="DM11" s="816">
        <v>1</v>
      </c>
      <c r="DN11" s="816">
        <v>1</v>
      </c>
      <c r="DO11" s="816">
        <v>1</v>
      </c>
      <c r="DP11" s="816">
        <v>1</v>
      </c>
      <c r="DQ11" s="816">
        <v>1</v>
      </c>
      <c r="DR11" s="816">
        <v>1</v>
      </c>
      <c r="DS11" s="816">
        <v>1</v>
      </c>
      <c r="DT11" s="816">
        <v>1</v>
      </c>
      <c r="DU11" s="816">
        <v>1</v>
      </c>
      <c r="DV11" s="816">
        <v>1</v>
      </c>
      <c r="DX11" s="816">
        <v>0.5</v>
      </c>
      <c r="DY11" s="816">
        <v>0.5</v>
      </c>
      <c r="DZ11" s="816">
        <v>0.5</v>
      </c>
      <c r="EA11" s="816">
        <v>0.5</v>
      </c>
      <c r="EB11" s="816">
        <v>0.5</v>
      </c>
      <c r="EC11" s="816">
        <v>1</v>
      </c>
      <c r="ED11" s="816">
        <v>1</v>
      </c>
      <c r="EE11" s="816">
        <v>1</v>
      </c>
      <c r="EF11" s="816">
        <v>1</v>
      </c>
      <c r="EG11" s="816">
        <v>1</v>
      </c>
      <c r="EH11" s="816">
        <v>1</v>
      </c>
      <c r="EI11" s="816">
        <v>1</v>
      </c>
      <c r="EJ11" s="816">
        <v>1</v>
      </c>
      <c r="EK11" s="816">
        <v>1</v>
      </c>
      <c r="EL11" s="816">
        <v>1</v>
      </c>
      <c r="EM11" s="816">
        <v>1</v>
      </c>
      <c r="FQ11" s="898"/>
      <c r="FS11" s="898"/>
      <c r="FT11" s="898"/>
      <c r="FU11" s="898"/>
      <c r="FV11" s="898"/>
      <c r="FW11" s="898"/>
      <c r="FX11" s="898"/>
      <c r="FY11" s="898"/>
      <c r="FZ11" s="898"/>
      <c r="GA11" s="898"/>
      <c r="GB11" s="898"/>
      <c r="GC11" s="898"/>
      <c r="GD11" s="898"/>
      <c r="GE11" s="898"/>
      <c r="GF11" s="898"/>
      <c r="GG11" s="898"/>
      <c r="GH11" s="898"/>
      <c r="GJ11" s="898"/>
      <c r="GK11" s="898"/>
      <c r="GL11" s="898"/>
      <c r="GM11" s="898"/>
      <c r="GN11" s="898"/>
      <c r="GO11" s="898"/>
      <c r="GP11" s="898"/>
      <c r="GQ11" s="898"/>
      <c r="GR11" s="898"/>
      <c r="GS11" s="898"/>
      <c r="GT11" s="898"/>
      <c r="GU11" s="898"/>
      <c r="GV11" s="898"/>
      <c r="GW11" s="898"/>
      <c r="GX11" s="898"/>
      <c r="GY11" s="898"/>
      <c r="HA11" s="898"/>
      <c r="HB11" s="898"/>
      <c r="HC11" s="898"/>
      <c r="HD11" s="898"/>
      <c r="HE11" s="898"/>
      <c r="HF11" s="898"/>
      <c r="HG11" s="898"/>
      <c r="HH11" s="898"/>
      <c r="HI11" s="898"/>
      <c r="HJ11" s="898"/>
      <c r="HK11" s="898"/>
      <c r="HL11" s="898"/>
      <c r="HM11" s="898"/>
      <c r="HN11" s="898"/>
      <c r="HO11" s="898"/>
      <c r="HP11" s="898"/>
    </row>
    <row r="12" spans="1:224">
      <c r="B12" s="816" t="s">
        <v>1156</v>
      </c>
      <c r="C12" s="816">
        <v>1</v>
      </c>
      <c r="D12" s="816">
        <f t="shared" si="0"/>
        <v>0</v>
      </c>
      <c r="E12" s="816">
        <v>0</v>
      </c>
      <c r="F12" s="816" t="str">
        <f>INDEX('Data Interface'!$C:$C,MATCH(B12,'Data Interface'!$B:$B,0))</f>
        <v xml:space="preserve">Trade Finance - Non FI </v>
      </c>
      <c r="G12" s="894">
        <f ca="1">IF($C12=1,$AJ12,SUM($AJ12:$AL12)*INDEX('Schedule Allocation'!G:G,MATCH($D12,'Schedule Allocation'!$A:$A,0)))</f>
        <v>1</v>
      </c>
      <c r="H12" s="894">
        <f ca="1">IF($C12=1,$AK12,SUM($AJ12:$AL12)*INDEX('Schedule Allocation'!H:H,MATCH($D12,'Schedule Allocation'!$A:$A,0)))</f>
        <v>1</v>
      </c>
      <c r="I12" s="894">
        <f ca="1">IF($C12=1,$AK12,SUM($AJ12:$AL12)*INDEX('Schedule Allocation'!I:I,MATCH($D12,'Schedule Allocation'!$A:$A,0)))</f>
        <v>1</v>
      </c>
      <c r="J12" s="894">
        <f ca="1">IF($C12=1,$AK12,SUM($AJ12:$AL12)*INDEX('Schedule Allocation'!J:J,MATCH($D12,'Schedule Allocation'!$A:$A,0)))</f>
        <v>1</v>
      </c>
      <c r="K12" s="894">
        <f ca="1">IF($C12=1,$AK12,SUM($AJ12:$AL12)*INDEX('Schedule Allocation'!K:K,MATCH($D12,'Schedule Allocation'!$A:$A,0)))</f>
        <v>1</v>
      </c>
      <c r="L12" s="894">
        <f ca="1">IF($C12=1,$AK12,SUM($AJ12:$AL12)*INDEX('Schedule Allocation'!L:L,MATCH($D12,'Schedule Allocation'!$A:$A,0)))</f>
        <v>1</v>
      </c>
      <c r="M12" s="894">
        <f ca="1">IF($C12=1,$AK12,SUM($AJ12:$AL12)*INDEX('Schedule Allocation'!M:M,MATCH($D12,'Schedule Allocation'!$A:$A,0)))</f>
        <v>1</v>
      </c>
      <c r="N12" s="894">
        <f ca="1">IF($C12=1,$AL12,SUM($AJ12:$AL12)*INDEX('Schedule Allocation'!N:N,MATCH($D12,'Schedule Allocation'!$A:$A,0)))</f>
        <v>1</v>
      </c>
      <c r="O12" s="894">
        <f ca="1">IF($C12=1,$AL12,SUM($AJ12:$AL12)*INDEX('Schedule Allocation'!O:O,MATCH($D12,'Schedule Allocation'!$A:$A,0)))</f>
        <v>1</v>
      </c>
      <c r="P12" s="894">
        <f ca="1">IF($C12=1,$AL12,SUM($AJ12:$AL12)*INDEX('Schedule Allocation'!P:P,MATCH($D12,'Schedule Allocation'!$A:$A,0)))</f>
        <v>1</v>
      </c>
      <c r="Q12" s="894">
        <f ca="1">IF($C12=1,$AL12,SUM($AJ12:$AL12)*INDEX('Schedule Allocation'!Q:Q,MATCH($D12,'Schedule Allocation'!$A:$A,0)))</f>
        <v>1</v>
      </c>
      <c r="R12" s="894">
        <f ca="1">IF($C12=1,$AL12,SUM($AJ12:$AL12)*INDEX('Schedule Allocation'!R:R,MATCH($D12,'Schedule Allocation'!$A:$A,0)))</f>
        <v>1</v>
      </c>
      <c r="S12" s="894">
        <f ca="1">IF($C12=1,$AL12,SUM($AJ12:$AL12)*INDEX('Schedule Allocation'!S:S,MATCH($D12,'Schedule Allocation'!$A:$A,0)))</f>
        <v>1</v>
      </c>
      <c r="T12" s="894">
        <f ca="1">IF($C12=1,$AL12,SUM($AJ12:$AL12)*INDEX('Schedule Allocation'!T:T,MATCH($D12,'Schedule Allocation'!$A:$A,0)))</f>
        <v>1</v>
      </c>
      <c r="U12" s="894">
        <f ca="1">OFFSET(AT12,0,(MATCH('Model Report Formatized'!$E$1,$AN$1:$AN$6,0))*17-17)</f>
        <v>1</v>
      </c>
      <c r="V12" s="894">
        <f ca="1">OFFSET(AU12,0,(MATCH('Model Report Formatized'!$E$1,$AN$1:$AN$6,0))*17-17)</f>
        <v>1</v>
      </c>
      <c r="W12" s="894">
        <f ca="1">OFFSET(AV12,0,(MATCH('Model Report Formatized'!$E$1,$AN$1:$AN$6,0))*17-17)</f>
        <v>1</v>
      </c>
      <c r="X12" s="894">
        <f ca="1">OFFSET(AW12,0,(MATCH('Model Report Formatized'!$E$1,$AN$1:$AN$6,0))*17-17)</f>
        <v>1</v>
      </c>
      <c r="Y12" s="894">
        <f ca="1">OFFSET(AX12,0,(MATCH('Model Report Formatized'!$E$1,$AN$1:$AN$6,0))*17-17)</f>
        <v>1</v>
      </c>
      <c r="Z12" s="894">
        <f ca="1">OFFSET(AY12,0,(MATCH('Model Report Formatized'!$E$1,$AN$1:$AN$6,0))*17-17)</f>
        <v>1</v>
      </c>
      <c r="AA12" s="894">
        <f ca="1">OFFSET(AZ12,0,(MATCH('Model Report Formatized'!$E$1,$AN$1:$AN$6,0))*17-17)</f>
        <v>1</v>
      </c>
      <c r="AB12" s="894">
        <f ca="1">OFFSET(BA12,0,(MATCH('Model Report Formatized'!$E$1,$AN$1:$AN$6,0))*17-17)</f>
        <v>1</v>
      </c>
      <c r="AC12" s="894">
        <f ca="1">OFFSET(BB12,0,(MATCH('Model Report Formatized'!$E$1,$AN$1:$AN$6,0))*17-17)</f>
        <v>1</v>
      </c>
      <c r="AD12" s="894">
        <f ca="1">OFFSET(BC12,0,(MATCH('Model Report Formatized'!$E$1,$AN$1:$AN$6,0))*17-17)</f>
        <v>1</v>
      </c>
      <c r="AE12" s="894">
        <f ca="1">OFFSET(BD12,0,(MATCH('Model Report Formatized'!$E$1,$AN$1:$AN$6,0))*17-17)</f>
        <v>1</v>
      </c>
      <c r="AF12" s="894">
        <f ca="1">OFFSET(BE12,0,(MATCH('Model Report Formatized'!$E$1,$AN$1:$AN$6,0))*17-17)</f>
        <v>1</v>
      </c>
      <c r="AG12" s="894">
        <f ca="1">OFFSET(BF12,0,(MATCH('Model Report Formatized'!$E$1,$AN$1:$AN$6,0))*17-17)</f>
        <v>1</v>
      </c>
      <c r="AH12" s="891">
        <f t="shared" ca="1" si="1"/>
        <v>1</v>
      </c>
      <c r="AJ12" s="895">
        <f ca="1">OFFSET(AQ12,0,(MATCH('Model Report Formatized'!$E$1,$AN$1:$AN$6,0))*17-17)</f>
        <v>1</v>
      </c>
      <c r="AK12" s="895">
        <f ca="1">OFFSET(AR12,0,(MATCH('Model Report Formatized'!$E$1,$AN$1:$AN$6,0))*17-17)</f>
        <v>1</v>
      </c>
      <c r="AL12" s="895">
        <f ca="1">OFFSET(AS12,0,(MATCH('Model Report Formatized'!$E$1,$AN$1:$AN$6,0))*17-17)</f>
        <v>1</v>
      </c>
      <c r="AQ12" s="893">
        <v>1</v>
      </c>
      <c r="AR12" s="893">
        <v>1</v>
      </c>
      <c r="AS12" s="893">
        <v>1</v>
      </c>
      <c r="AT12" s="893">
        <v>1</v>
      </c>
      <c r="AU12" s="893">
        <v>1</v>
      </c>
      <c r="AV12" s="893">
        <v>1</v>
      </c>
      <c r="AW12" s="893">
        <v>1</v>
      </c>
      <c r="AX12" s="893">
        <v>1</v>
      </c>
      <c r="AY12" s="893">
        <v>1</v>
      </c>
      <c r="AZ12" s="893">
        <v>1</v>
      </c>
      <c r="BA12" s="893">
        <v>1</v>
      </c>
      <c r="BB12" s="893">
        <v>1</v>
      </c>
      <c r="BC12" s="893">
        <v>1</v>
      </c>
      <c r="BD12" s="893">
        <v>1</v>
      </c>
      <c r="BE12" s="893">
        <v>1</v>
      </c>
      <c r="BF12" s="893">
        <v>1</v>
      </c>
      <c r="BH12" s="816">
        <v>1</v>
      </c>
      <c r="BI12" s="816">
        <v>1</v>
      </c>
      <c r="BJ12" s="816">
        <v>1</v>
      </c>
      <c r="BK12" s="816">
        <v>1</v>
      </c>
      <c r="BL12" s="816">
        <v>1</v>
      </c>
      <c r="BM12" s="816">
        <v>1</v>
      </c>
      <c r="BN12" s="816">
        <v>1</v>
      </c>
      <c r="BO12" s="816">
        <v>1</v>
      </c>
      <c r="BP12" s="816">
        <v>1</v>
      </c>
      <c r="BQ12" s="816">
        <v>1</v>
      </c>
      <c r="BR12" s="816">
        <v>1</v>
      </c>
      <c r="BS12" s="816">
        <v>1</v>
      </c>
      <c r="BT12" s="816">
        <v>1</v>
      </c>
      <c r="BU12" s="816">
        <v>1</v>
      </c>
      <c r="BV12" s="816">
        <v>1</v>
      </c>
      <c r="BW12" s="816">
        <v>1</v>
      </c>
      <c r="BY12" s="817">
        <v>1</v>
      </c>
      <c r="BZ12" s="817">
        <v>1</v>
      </c>
      <c r="CA12" s="817">
        <v>1</v>
      </c>
      <c r="CB12" s="817">
        <v>1</v>
      </c>
      <c r="CC12" s="817">
        <v>1</v>
      </c>
      <c r="CD12" s="817">
        <v>1</v>
      </c>
      <c r="CE12" s="817">
        <v>1</v>
      </c>
      <c r="CF12" s="817">
        <v>1</v>
      </c>
      <c r="CG12" s="817">
        <v>1</v>
      </c>
      <c r="CH12" s="817">
        <v>1</v>
      </c>
      <c r="CI12" s="817">
        <v>1</v>
      </c>
      <c r="CJ12" s="817">
        <v>1</v>
      </c>
      <c r="CK12" s="817">
        <v>1</v>
      </c>
      <c r="CL12" s="817">
        <v>1</v>
      </c>
      <c r="CM12" s="817">
        <v>1</v>
      </c>
      <c r="CN12" s="817">
        <v>1</v>
      </c>
      <c r="CP12" s="875">
        <v>1</v>
      </c>
      <c r="CQ12" s="875">
        <v>1</v>
      </c>
      <c r="CR12" s="875">
        <v>1</v>
      </c>
      <c r="CS12" s="875">
        <v>1</v>
      </c>
      <c r="CT12" s="875">
        <v>1</v>
      </c>
      <c r="CU12" s="875">
        <v>1</v>
      </c>
      <c r="CV12" s="875">
        <v>1</v>
      </c>
      <c r="CW12" s="875">
        <v>1</v>
      </c>
      <c r="CX12" s="875">
        <v>1</v>
      </c>
      <c r="CY12" s="875">
        <v>1</v>
      </c>
      <c r="CZ12" s="875">
        <v>1</v>
      </c>
      <c r="DA12" s="875">
        <v>1</v>
      </c>
      <c r="DB12" s="875">
        <v>1</v>
      </c>
      <c r="DC12" s="875">
        <v>1</v>
      </c>
      <c r="DD12" s="875">
        <v>1</v>
      </c>
      <c r="DE12" s="875">
        <v>1</v>
      </c>
      <c r="DG12" s="816">
        <v>1</v>
      </c>
      <c r="DH12" s="816">
        <v>1</v>
      </c>
      <c r="DI12" s="816">
        <v>1</v>
      </c>
      <c r="DJ12" s="816">
        <v>1</v>
      </c>
      <c r="DK12" s="816">
        <v>1</v>
      </c>
      <c r="DL12" s="816">
        <v>1</v>
      </c>
      <c r="DM12" s="816">
        <v>1</v>
      </c>
      <c r="DN12" s="816">
        <v>1</v>
      </c>
      <c r="DO12" s="816">
        <v>1</v>
      </c>
      <c r="DP12" s="816">
        <v>1</v>
      </c>
      <c r="DQ12" s="816">
        <v>1</v>
      </c>
      <c r="DR12" s="816">
        <v>1</v>
      </c>
      <c r="DS12" s="816">
        <v>1</v>
      </c>
      <c r="DT12" s="816">
        <v>1</v>
      </c>
      <c r="DU12" s="816">
        <v>1</v>
      </c>
      <c r="DV12" s="816">
        <v>1</v>
      </c>
      <c r="DX12" s="816">
        <v>1</v>
      </c>
      <c r="DY12" s="816">
        <v>1</v>
      </c>
      <c r="DZ12" s="816">
        <v>1</v>
      </c>
      <c r="EA12" s="816">
        <v>1</v>
      </c>
      <c r="EB12" s="816">
        <v>1</v>
      </c>
      <c r="EC12" s="816">
        <v>1</v>
      </c>
      <c r="ED12" s="816">
        <v>1</v>
      </c>
      <c r="EE12" s="816">
        <v>1</v>
      </c>
      <c r="EF12" s="816">
        <v>1</v>
      </c>
      <c r="EG12" s="816">
        <v>1</v>
      </c>
      <c r="EH12" s="816">
        <v>1</v>
      </c>
      <c r="EI12" s="816">
        <v>1</v>
      </c>
      <c r="EJ12" s="816">
        <v>1</v>
      </c>
      <c r="EK12" s="816">
        <v>1</v>
      </c>
      <c r="EL12" s="816">
        <v>1</v>
      </c>
      <c r="EM12" s="816">
        <v>1</v>
      </c>
      <c r="FQ12" s="898"/>
      <c r="FS12" s="898"/>
      <c r="FT12" s="898"/>
      <c r="FU12" s="898"/>
      <c r="FV12" s="898"/>
      <c r="FW12" s="898"/>
      <c r="FX12" s="898"/>
      <c r="FY12" s="898"/>
      <c r="FZ12" s="898"/>
      <c r="GA12" s="898"/>
      <c r="GB12" s="898"/>
      <c r="GC12" s="898"/>
      <c r="GD12" s="898"/>
      <c r="GE12" s="898"/>
      <c r="GF12" s="898"/>
      <c r="GG12" s="898"/>
      <c r="GH12" s="898"/>
      <c r="GJ12" s="898"/>
      <c r="GK12" s="898"/>
      <c r="GL12" s="898"/>
      <c r="GM12" s="898"/>
      <c r="GN12" s="898"/>
      <c r="GO12" s="898"/>
      <c r="GP12" s="898"/>
      <c r="GQ12" s="898"/>
      <c r="GR12" s="898"/>
      <c r="GS12" s="898"/>
      <c r="GT12" s="898"/>
      <c r="GU12" s="898"/>
      <c r="GV12" s="898"/>
      <c r="GW12" s="898"/>
      <c r="GX12" s="898"/>
      <c r="GY12" s="898"/>
      <c r="HA12" s="898"/>
      <c r="HB12" s="898"/>
      <c r="HC12" s="898"/>
      <c r="HD12" s="898"/>
      <c r="HE12" s="898"/>
      <c r="HF12" s="898"/>
      <c r="HG12" s="898"/>
      <c r="HH12" s="898"/>
      <c r="HI12" s="898"/>
      <c r="HJ12" s="898"/>
      <c r="HK12" s="898"/>
      <c r="HL12" s="898"/>
      <c r="HM12" s="898"/>
      <c r="HN12" s="898"/>
      <c r="HO12" s="898"/>
      <c r="HP12" s="898"/>
    </row>
    <row r="13" spans="1:224">
      <c r="A13" s="816" t="s">
        <v>1235</v>
      </c>
      <c r="B13" s="816" t="s">
        <v>1165</v>
      </c>
      <c r="C13" s="816">
        <v>1</v>
      </c>
      <c r="D13" s="816">
        <f t="shared" si="0"/>
        <v>1</v>
      </c>
      <c r="E13" s="816">
        <v>0</v>
      </c>
      <c r="F13" s="816" t="str">
        <f>INDEX('Data Interface'!$C:$C,MATCH(B13,'Data Interface'!$B:$B,0))</f>
        <v>Due to Affiliate - Call Loans</v>
      </c>
      <c r="G13" s="894">
        <f ca="1">IF($C13=1,$AJ13,SUM($AJ13:$AL13)*INDEX('Schedule Allocation'!G:G,MATCH($D13,'Schedule Allocation'!$A:$A,0)))</f>
        <v>1</v>
      </c>
      <c r="H13" s="894">
        <f ca="1">IF($C13=1,$AK13,SUM($AJ13:$AL13)*INDEX('Schedule Allocation'!H:H,MATCH($D13,'Schedule Allocation'!$A:$A,0)))</f>
        <v>1</v>
      </c>
      <c r="I13" s="894">
        <f ca="1">IF($C13=1,$AK13,SUM($AJ13:$AL13)*INDEX('Schedule Allocation'!I:I,MATCH($D13,'Schedule Allocation'!$A:$A,0)))</f>
        <v>1</v>
      </c>
      <c r="J13" s="894">
        <f ca="1">IF($C13=1,$AK13,SUM($AJ13:$AL13)*INDEX('Schedule Allocation'!J:J,MATCH($D13,'Schedule Allocation'!$A:$A,0)))</f>
        <v>1</v>
      </c>
      <c r="K13" s="894">
        <f ca="1">IF($C13=1,$AK13,SUM($AJ13:$AL13)*INDEX('Schedule Allocation'!K:K,MATCH($D13,'Schedule Allocation'!$A:$A,0)))</f>
        <v>1</v>
      </c>
      <c r="L13" s="894">
        <f ca="1">IF($C13=1,$AK13,SUM($AJ13:$AL13)*INDEX('Schedule Allocation'!L:L,MATCH($D13,'Schedule Allocation'!$A:$A,0)))</f>
        <v>1</v>
      </c>
      <c r="M13" s="894">
        <f ca="1">IF($C13=1,$AK13,SUM($AJ13:$AL13)*INDEX('Schedule Allocation'!M:M,MATCH($D13,'Schedule Allocation'!$A:$A,0)))</f>
        <v>1</v>
      </c>
      <c r="N13" s="894">
        <f ca="1">IF($C13=1,$AL13,SUM($AJ13:$AL13)*INDEX('Schedule Allocation'!N:N,MATCH($D13,'Schedule Allocation'!$A:$A,0)))</f>
        <v>1</v>
      </c>
      <c r="O13" s="894">
        <f ca="1">IF($C13=1,$AL13,SUM($AJ13:$AL13)*INDEX('Schedule Allocation'!O:O,MATCH($D13,'Schedule Allocation'!$A:$A,0)))</f>
        <v>1</v>
      </c>
      <c r="P13" s="894">
        <f ca="1">IF($C13=1,$AL13,SUM($AJ13:$AL13)*INDEX('Schedule Allocation'!P:P,MATCH($D13,'Schedule Allocation'!$A:$A,0)))</f>
        <v>1</v>
      </c>
      <c r="Q13" s="894">
        <f ca="1">IF($C13=1,$AL13,SUM($AJ13:$AL13)*INDEX('Schedule Allocation'!Q:Q,MATCH($D13,'Schedule Allocation'!$A:$A,0)))</f>
        <v>1</v>
      </c>
      <c r="R13" s="894">
        <f ca="1">IF($C13=1,$AL13,SUM($AJ13:$AL13)*INDEX('Schedule Allocation'!R:R,MATCH($D13,'Schedule Allocation'!$A:$A,0)))</f>
        <v>1</v>
      </c>
      <c r="S13" s="894">
        <f ca="1">IF($C13=1,$AL13,SUM($AJ13:$AL13)*INDEX('Schedule Allocation'!S:S,MATCH($D13,'Schedule Allocation'!$A:$A,0)))</f>
        <v>1</v>
      </c>
      <c r="T13" s="894">
        <f ca="1">IF($C13=1,$AL13,SUM($AJ13:$AL13)*INDEX('Schedule Allocation'!T:T,MATCH($D13,'Schedule Allocation'!$A:$A,0)))</f>
        <v>1</v>
      </c>
      <c r="U13" s="894">
        <f ca="1">OFFSET(AT13,0,(MATCH('Model Report Formatized'!$E$1,$AN$1:$AN$6,0))*17-17)</f>
        <v>1</v>
      </c>
      <c r="V13" s="894">
        <f ca="1">OFFSET(AU13,0,(MATCH('Model Report Formatized'!$E$1,$AN$1:$AN$6,0))*17-17)</f>
        <v>1</v>
      </c>
      <c r="W13" s="894">
        <f ca="1">OFFSET(AV13,0,(MATCH('Model Report Formatized'!$E$1,$AN$1:$AN$6,0))*17-17)</f>
        <v>1</v>
      </c>
      <c r="X13" s="894">
        <f ca="1">OFFSET(AW13,0,(MATCH('Model Report Formatized'!$E$1,$AN$1:$AN$6,0))*17-17)</f>
        <v>1</v>
      </c>
      <c r="Y13" s="894">
        <f ca="1">OFFSET(AX13,0,(MATCH('Model Report Formatized'!$E$1,$AN$1:$AN$6,0))*17-17)</f>
        <v>1</v>
      </c>
      <c r="Z13" s="894">
        <f ca="1">OFFSET(AY13,0,(MATCH('Model Report Formatized'!$E$1,$AN$1:$AN$6,0))*17-17)</f>
        <v>1</v>
      </c>
      <c r="AA13" s="894">
        <f ca="1">OFFSET(AZ13,0,(MATCH('Model Report Formatized'!$E$1,$AN$1:$AN$6,0))*17-17)</f>
        <v>1</v>
      </c>
      <c r="AB13" s="894">
        <f ca="1">OFFSET(BA13,0,(MATCH('Model Report Formatized'!$E$1,$AN$1:$AN$6,0))*17-17)</f>
        <v>1</v>
      </c>
      <c r="AC13" s="894">
        <f ca="1">OFFSET(BB13,0,(MATCH('Model Report Formatized'!$E$1,$AN$1:$AN$6,0))*17-17)</f>
        <v>1</v>
      </c>
      <c r="AD13" s="894">
        <f ca="1">OFFSET(BC13,0,(MATCH('Model Report Formatized'!$E$1,$AN$1:$AN$6,0))*17-17)</f>
        <v>1</v>
      </c>
      <c r="AE13" s="894">
        <f ca="1">OFFSET(BD13,0,(MATCH('Model Report Formatized'!$E$1,$AN$1:$AN$6,0))*17-17)</f>
        <v>1</v>
      </c>
      <c r="AF13" s="894">
        <f ca="1">OFFSET(BE13,0,(MATCH('Model Report Formatized'!$E$1,$AN$1:$AN$6,0))*17-17)</f>
        <v>1</v>
      </c>
      <c r="AG13" s="894">
        <f ca="1">OFFSET(BF13,0,(MATCH('Model Report Formatized'!$E$1,$AN$1:$AN$6,0))*17-17)</f>
        <v>1</v>
      </c>
      <c r="AH13" s="891">
        <f t="shared" ca="1" si="1"/>
        <v>1</v>
      </c>
      <c r="AJ13" s="895">
        <f ca="1">OFFSET(AQ13,0,(MATCH('Model Report Formatized'!$E$1,$AN$1:$AN$6,0))*17-17)</f>
        <v>1</v>
      </c>
      <c r="AK13" s="895">
        <f ca="1">OFFSET(AR13,0,(MATCH('Model Report Formatized'!$E$1,$AN$1:$AN$6,0))*17-17)</f>
        <v>1</v>
      </c>
      <c r="AL13" s="895">
        <f ca="1">OFFSET(AS13,0,(MATCH('Model Report Formatized'!$E$1,$AN$1:$AN$6,0))*17-17)</f>
        <v>1</v>
      </c>
      <c r="AQ13" s="893">
        <v>1</v>
      </c>
      <c r="AR13" s="893">
        <v>1</v>
      </c>
      <c r="AS13" s="893">
        <v>1</v>
      </c>
      <c r="AT13" s="893">
        <v>1</v>
      </c>
      <c r="AU13" s="893">
        <v>1</v>
      </c>
      <c r="AV13" s="893">
        <v>1</v>
      </c>
      <c r="AW13" s="893">
        <v>1</v>
      </c>
      <c r="AX13" s="893">
        <v>1</v>
      </c>
      <c r="AY13" s="893">
        <v>1</v>
      </c>
      <c r="AZ13" s="893">
        <v>1</v>
      </c>
      <c r="BA13" s="893">
        <v>1</v>
      </c>
      <c r="BB13" s="893">
        <v>1</v>
      </c>
      <c r="BC13" s="893">
        <v>1</v>
      </c>
      <c r="BD13" s="893">
        <v>1</v>
      </c>
      <c r="BE13" s="893">
        <v>1</v>
      </c>
      <c r="BF13" s="893">
        <v>1</v>
      </c>
      <c r="BH13" s="816">
        <v>1</v>
      </c>
      <c r="BI13" s="816">
        <v>1</v>
      </c>
      <c r="BJ13" s="816">
        <v>1</v>
      </c>
      <c r="BK13" s="816">
        <v>1</v>
      </c>
      <c r="BL13" s="816">
        <v>1</v>
      </c>
      <c r="BM13" s="816">
        <v>1</v>
      </c>
      <c r="BN13" s="816">
        <v>1</v>
      </c>
      <c r="BO13" s="816">
        <v>1</v>
      </c>
      <c r="BP13" s="816">
        <v>1</v>
      </c>
      <c r="BQ13" s="816">
        <v>1</v>
      </c>
      <c r="BR13" s="816">
        <v>1</v>
      </c>
      <c r="BS13" s="816">
        <v>1</v>
      </c>
      <c r="BT13" s="816">
        <v>1</v>
      </c>
      <c r="BU13" s="816">
        <v>1</v>
      </c>
      <c r="BV13" s="816">
        <v>1</v>
      </c>
      <c r="BW13" s="816">
        <v>1</v>
      </c>
      <c r="BY13" s="817">
        <v>1</v>
      </c>
      <c r="BZ13" s="817">
        <v>1</v>
      </c>
      <c r="CA13" s="817">
        <v>1</v>
      </c>
      <c r="CB13" s="817">
        <v>1</v>
      </c>
      <c r="CC13" s="817">
        <v>1</v>
      </c>
      <c r="CD13" s="817">
        <v>1</v>
      </c>
      <c r="CE13" s="817">
        <v>1</v>
      </c>
      <c r="CF13" s="817">
        <v>1</v>
      </c>
      <c r="CG13" s="817">
        <v>1</v>
      </c>
      <c r="CH13" s="817">
        <v>1</v>
      </c>
      <c r="CI13" s="817">
        <v>1</v>
      </c>
      <c r="CJ13" s="817">
        <v>1</v>
      </c>
      <c r="CK13" s="817">
        <v>1</v>
      </c>
      <c r="CL13" s="817">
        <v>1</v>
      </c>
      <c r="CM13" s="817">
        <v>1</v>
      </c>
      <c r="CN13" s="817">
        <v>1</v>
      </c>
      <c r="CP13" s="875">
        <v>1</v>
      </c>
      <c r="CQ13" s="875">
        <v>1</v>
      </c>
      <c r="CR13" s="875">
        <v>1</v>
      </c>
      <c r="CS13" s="875">
        <v>1</v>
      </c>
      <c r="CT13" s="875">
        <v>1</v>
      </c>
      <c r="CU13" s="875">
        <v>1</v>
      </c>
      <c r="CV13" s="875">
        <v>1</v>
      </c>
      <c r="CW13" s="875">
        <v>1</v>
      </c>
      <c r="CX13" s="875">
        <v>1</v>
      </c>
      <c r="CY13" s="875">
        <v>1</v>
      </c>
      <c r="CZ13" s="875">
        <v>1</v>
      </c>
      <c r="DA13" s="875">
        <v>1</v>
      </c>
      <c r="DB13" s="875">
        <v>1</v>
      </c>
      <c r="DC13" s="875">
        <v>1</v>
      </c>
      <c r="DD13" s="875">
        <v>1</v>
      </c>
      <c r="DE13" s="875">
        <v>1</v>
      </c>
      <c r="DG13" s="816">
        <v>1</v>
      </c>
      <c r="DH13" s="816">
        <v>1</v>
      </c>
      <c r="DI13" s="816">
        <v>1</v>
      </c>
      <c r="DJ13" s="816">
        <v>1</v>
      </c>
      <c r="DK13" s="816">
        <v>1</v>
      </c>
      <c r="DL13" s="816">
        <v>1</v>
      </c>
      <c r="DM13" s="816">
        <v>1</v>
      </c>
      <c r="DN13" s="816">
        <v>1</v>
      </c>
      <c r="DO13" s="816">
        <v>1</v>
      </c>
      <c r="DP13" s="816">
        <v>1</v>
      </c>
      <c r="DQ13" s="816">
        <v>1</v>
      </c>
      <c r="DR13" s="816">
        <v>1</v>
      </c>
      <c r="DS13" s="816">
        <v>1</v>
      </c>
      <c r="DT13" s="816">
        <v>1</v>
      </c>
      <c r="DU13" s="816">
        <v>1</v>
      </c>
      <c r="DV13" s="816">
        <v>1</v>
      </c>
      <c r="DX13" s="816">
        <v>1</v>
      </c>
      <c r="DY13" s="816">
        <v>1</v>
      </c>
      <c r="DZ13" s="816">
        <v>1</v>
      </c>
      <c r="EA13" s="816">
        <v>1</v>
      </c>
      <c r="EB13" s="816">
        <v>1</v>
      </c>
      <c r="EC13" s="816">
        <v>1</v>
      </c>
      <c r="ED13" s="816">
        <v>1</v>
      </c>
      <c r="EE13" s="816">
        <v>1</v>
      </c>
      <c r="EF13" s="816">
        <v>1</v>
      </c>
      <c r="EG13" s="816">
        <v>1</v>
      </c>
      <c r="EH13" s="816">
        <v>1</v>
      </c>
      <c r="EI13" s="816">
        <v>1</v>
      </c>
      <c r="EJ13" s="816">
        <v>1</v>
      </c>
      <c r="EK13" s="816">
        <v>1</v>
      </c>
      <c r="EL13" s="816">
        <v>1</v>
      </c>
      <c r="EM13" s="816">
        <v>1</v>
      </c>
      <c r="FQ13" s="898"/>
      <c r="FS13" s="898"/>
      <c r="FT13" s="898"/>
      <c r="FU13" s="898"/>
      <c r="FV13" s="898"/>
      <c r="FW13" s="898"/>
      <c r="FX13" s="898"/>
      <c r="FY13" s="898"/>
      <c r="FZ13" s="898"/>
      <c r="GA13" s="898"/>
      <c r="GB13" s="898"/>
      <c r="GC13" s="898"/>
      <c r="GD13" s="898"/>
      <c r="GE13" s="898"/>
      <c r="GF13" s="898"/>
      <c r="GG13" s="898"/>
      <c r="GH13" s="898"/>
      <c r="GJ13" s="898"/>
      <c r="GK13" s="898"/>
      <c r="GL13" s="898"/>
      <c r="GM13" s="898"/>
      <c r="GN13" s="898"/>
      <c r="GO13" s="898"/>
      <c r="GP13" s="898"/>
      <c r="GQ13" s="898"/>
      <c r="GR13" s="898"/>
      <c r="GS13" s="898"/>
      <c r="GT13" s="898"/>
      <c r="GU13" s="898"/>
      <c r="GV13" s="898"/>
      <c r="GW13" s="898"/>
      <c r="GX13" s="898"/>
      <c r="GY13" s="898"/>
      <c r="HA13" s="898"/>
      <c r="HB13" s="898"/>
      <c r="HC13" s="898"/>
      <c r="HD13" s="898"/>
      <c r="HE13" s="898"/>
      <c r="HF13" s="898"/>
      <c r="HG13" s="898"/>
      <c r="HH13" s="898"/>
      <c r="HI13" s="898"/>
      <c r="HJ13" s="898"/>
      <c r="HK13" s="898"/>
      <c r="HL13" s="898"/>
      <c r="HM13" s="898"/>
      <c r="HN13" s="898"/>
      <c r="HO13" s="898"/>
      <c r="HP13" s="898"/>
    </row>
    <row r="14" spans="1:224">
      <c r="B14" s="816" t="s">
        <v>996</v>
      </c>
      <c r="C14" s="816">
        <v>1</v>
      </c>
      <c r="D14" s="816">
        <f t="shared" si="0"/>
        <v>1</v>
      </c>
      <c r="E14" s="816">
        <v>0</v>
      </c>
      <c r="F14" s="816" t="str">
        <f>INDEX('Data Interface'!$C:$C,MATCH(B14,'Data Interface'!$B:$B,0))</f>
        <v>Due to Interbranch - Call Loans (Exclude HO)</v>
      </c>
      <c r="G14" s="894">
        <f ca="1">IF($C14=1,$AJ14,SUM($AJ14:$AL14)*INDEX('Schedule Allocation'!G:G,MATCH($D14,'Schedule Allocation'!$A:$A,0)))</f>
        <v>1</v>
      </c>
      <c r="H14" s="894">
        <f ca="1">IF($C14=1,$AK14,SUM($AJ14:$AL14)*INDEX('Schedule Allocation'!H:H,MATCH($D14,'Schedule Allocation'!$A:$A,0)))</f>
        <v>1</v>
      </c>
      <c r="I14" s="894">
        <f ca="1">IF($C14=1,$AK14,SUM($AJ14:$AL14)*INDEX('Schedule Allocation'!I:I,MATCH($D14,'Schedule Allocation'!$A:$A,0)))</f>
        <v>1</v>
      </c>
      <c r="J14" s="894">
        <f ca="1">IF($C14=1,$AK14,SUM($AJ14:$AL14)*INDEX('Schedule Allocation'!J:J,MATCH($D14,'Schedule Allocation'!$A:$A,0)))</f>
        <v>1</v>
      </c>
      <c r="K14" s="894">
        <f ca="1">IF($C14=1,$AK14,SUM($AJ14:$AL14)*INDEX('Schedule Allocation'!K:K,MATCH($D14,'Schedule Allocation'!$A:$A,0)))</f>
        <v>1</v>
      </c>
      <c r="L14" s="894">
        <f ca="1">IF($C14=1,$AK14,SUM($AJ14:$AL14)*INDEX('Schedule Allocation'!L:L,MATCH($D14,'Schedule Allocation'!$A:$A,0)))</f>
        <v>1</v>
      </c>
      <c r="M14" s="894">
        <f ca="1">IF($C14=1,$AK14,SUM($AJ14:$AL14)*INDEX('Schedule Allocation'!M:M,MATCH($D14,'Schedule Allocation'!$A:$A,0)))</f>
        <v>1</v>
      </c>
      <c r="N14" s="894">
        <f ca="1">IF($C14=1,$AL14,SUM($AJ14:$AL14)*INDEX('Schedule Allocation'!N:N,MATCH($D14,'Schedule Allocation'!$A:$A,0)))</f>
        <v>1</v>
      </c>
      <c r="O14" s="894">
        <f ca="1">IF($C14=1,$AL14,SUM($AJ14:$AL14)*INDEX('Schedule Allocation'!O:O,MATCH($D14,'Schedule Allocation'!$A:$A,0)))</f>
        <v>1</v>
      </c>
      <c r="P14" s="894">
        <f ca="1">IF($C14=1,$AL14,SUM($AJ14:$AL14)*INDEX('Schedule Allocation'!P:P,MATCH($D14,'Schedule Allocation'!$A:$A,0)))</f>
        <v>1</v>
      </c>
      <c r="Q14" s="894">
        <f ca="1">IF($C14=1,$AL14,SUM($AJ14:$AL14)*INDEX('Schedule Allocation'!Q:Q,MATCH($D14,'Schedule Allocation'!$A:$A,0)))</f>
        <v>1</v>
      </c>
      <c r="R14" s="894">
        <f ca="1">IF($C14=1,$AL14,SUM($AJ14:$AL14)*INDEX('Schedule Allocation'!R:R,MATCH($D14,'Schedule Allocation'!$A:$A,0)))</f>
        <v>1</v>
      </c>
      <c r="S14" s="894">
        <f ca="1">IF($C14=1,$AL14,SUM($AJ14:$AL14)*INDEX('Schedule Allocation'!S:S,MATCH($D14,'Schedule Allocation'!$A:$A,0)))</f>
        <v>1</v>
      </c>
      <c r="T14" s="894">
        <f ca="1">IF($C14=1,$AL14,SUM($AJ14:$AL14)*INDEX('Schedule Allocation'!T:T,MATCH($D14,'Schedule Allocation'!$A:$A,0)))</f>
        <v>1</v>
      </c>
      <c r="U14" s="894">
        <f ca="1">OFFSET(AT14,0,(MATCH('Model Report Formatized'!$E$1,$AN$1:$AN$6,0))*17-17)</f>
        <v>1</v>
      </c>
      <c r="V14" s="894">
        <f ca="1">OFFSET(AU14,0,(MATCH('Model Report Formatized'!$E$1,$AN$1:$AN$6,0))*17-17)</f>
        <v>1</v>
      </c>
      <c r="W14" s="894">
        <f ca="1">OFFSET(AV14,0,(MATCH('Model Report Formatized'!$E$1,$AN$1:$AN$6,0))*17-17)</f>
        <v>1</v>
      </c>
      <c r="X14" s="894">
        <f ca="1">OFFSET(AW14,0,(MATCH('Model Report Formatized'!$E$1,$AN$1:$AN$6,0))*17-17)</f>
        <v>1</v>
      </c>
      <c r="Y14" s="894">
        <f ca="1">OFFSET(AX14,0,(MATCH('Model Report Formatized'!$E$1,$AN$1:$AN$6,0))*17-17)</f>
        <v>1</v>
      </c>
      <c r="Z14" s="894">
        <f ca="1">OFFSET(AY14,0,(MATCH('Model Report Formatized'!$E$1,$AN$1:$AN$6,0))*17-17)</f>
        <v>1</v>
      </c>
      <c r="AA14" s="894">
        <f ca="1">OFFSET(AZ14,0,(MATCH('Model Report Formatized'!$E$1,$AN$1:$AN$6,0))*17-17)</f>
        <v>1</v>
      </c>
      <c r="AB14" s="894">
        <f ca="1">OFFSET(BA14,0,(MATCH('Model Report Formatized'!$E$1,$AN$1:$AN$6,0))*17-17)</f>
        <v>1</v>
      </c>
      <c r="AC14" s="894">
        <f ca="1">OFFSET(BB14,0,(MATCH('Model Report Formatized'!$E$1,$AN$1:$AN$6,0))*17-17)</f>
        <v>1</v>
      </c>
      <c r="AD14" s="894">
        <f ca="1">OFFSET(BC14,0,(MATCH('Model Report Formatized'!$E$1,$AN$1:$AN$6,0))*17-17)</f>
        <v>1</v>
      </c>
      <c r="AE14" s="894">
        <f ca="1">OFFSET(BD14,0,(MATCH('Model Report Formatized'!$E$1,$AN$1:$AN$6,0))*17-17)</f>
        <v>1</v>
      </c>
      <c r="AF14" s="894">
        <f ca="1">OFFSET(BE14,0,(MATCH('Model Report Formatized'!$E$1,$AN$1:$AN$6,0))*17-17)</f>
        <v>1</v>
      </c>
      <c r="AG14" s="894">
        <f ca="1">OFFSET(BF14,0,(MATCH('Model Report Formatized'!$E$1,$AN$1:$AN$6,0))*17-17)</f>
        <v>1</v>
      </c>
      <c r="AH14" s="891">
        <f t="shared" ca="1" si="1"/>
        <v>1</v>
      </c>
      <c r="AJ14" s="895">
        <f ca="1">OFFSET(AQ14,0,(MATCH('Model Report Formatized'!$E$1,$AN$1:$AN$6,0))*17-17)</f>
        <v>1</v>
      </c>
      <c r="AK14" s="895">
        <f ca="1">OFFSET(AR14,0,(MATCH('Model Report Formatized'!$E$1,$AN$1:$AN$6,0))*17-17)</f>
        <v>1</v>
      </c>
      <c r="AL14" s="895">
        <f ca="1">OFFSET(AS14,0,(MATCH('Model Report Formatized'!$E$1,$AN$1:$AN$6,0))*17-17)</f>
        <v>1</v>
      </c>
      <c r="AQ14" s="893">
        <v>1</v>
      </c>
      <c r="AR14" s="893">
        <v>1</v>
      </c>
      <c r="AS14" s="893">
        <v>1</v>
      </c>
      <c r="AT14" s="893">
        <v>1</v>
      </c>
      <c r="AU14" s="893">
        <v>1</v>
      </c>
      <c r="AV14" s="893">
        <v>1</v>
      </c>
      <c r="AW14" s="893">
        <v>1</v>
      </c>
      <c r="AX14" s="893">
        <v>1</v>
      </c>
      <c r="AY14" s="893">
        <v>1</v>
      </c>
      <c r="AZ14" s="893">
        <v>1</v>
      </c>
      <c r="BA14" s="893">
        <v>1</v>
      </c>
      <c r="BB14" s="893">
        <v>1</v>
      </c>
      <c r="BC14" s="893">
        <v>1</v>
      </c>
      <c r="BD14" s="893">
        <v>1</v>
      </c>
      <c r="BE14" s="893">
        <v>1</v>
      </c>
      <c r="BF14" s="893">
        <v>1</v>
      </c>
      <c r="BH14" s="816">
        <v>1</v>
      </c>
      <c r="BI14" s="816">
        <v>1</v>
      </c>
      <c r="BJ14" s="816">
        <v>1</v>
      </c>
      <c r="BK14" s="816">
        <v>1</v>
      </c>
      <c r="BL14" s="816">
        <v>1</v>
      </c>
      <c r="BM14" s="816">
        <v>1</v>
      </c>
      <c r="BN14" s="816">
        <v>1</v>
      </c>
      <c r="BO14" s="816">
        <v>1</v>
      </c>
      <c r="BP14" s="816">
        <v>1</v>
      </c>
      <c r="BQ14" s="816">
        <v>1</v>
      </c>
      <c r="BR14" s="816">
        <v>1</v>
      </c>
      <c r="BS14" s="816">
        <v>1</v>
      </c>
      <c r="BT14" s="816">
        <v>1</v>
      </c>
      <c r="BU14" s="816">
        <v>1</v>
      </c>
      <c r="BV14" s="816">
        <v>1</v>
      </c>
      <c r="BW14" s="816">
        <v>1</v>
      </c>
      <c r="BY14" s="817">
        <v>1</v>
      </c>
      <c r="BZ14" s="817">
        <v>1</v>
      </c>
      <c r="CA14" s="817">
        <v>1</v>
      </c>
      <c r="CB14" s="817">
        <v>1</v>
      </c>
      <c r="CC14" s="817">
        <v>1</v>
      </c>
      <c r="CD14" s="817">
        <v>1</v>
      </c>
      <c r="CE14" s="817">
        <v>1</v>
      </c>
      <c r="CF14" s="817">
        <v>1</v>
      </c>
      <c r="CG14" s="817">
        <v>1</v>
      </c>
      <c r="CH14" s="817">
        <v>1</v>
      </c>
      <c r="CI14" s="817">
        <v>1</v>
      </c>
      <c r="CJ14" s="817">
        <v>1</v>
      </c>
      <c r="CK14" s="817">
        <v>1</v>
      </c>
      <c r="CL14" s="817">
        <v>1</v>
      </c>
      <c r="CM14" s="817">
        <v>1</v>
      </c>
      <c r="CN14" s="817">
        <v>1</v>
      </c>
      <c r="CP14" s="875">
        <v>1</v>
      </c>
      <c r="CQ14" s="875">
        <v>1</v>
      </c>
      <c r="CR14" s="875">
        <v>1</v>
      </c>
      <c r="CS14" s="875">
        <v>1</v>
      </c>
      <c r="CT14" s="875">
        <v>1</v>
      </c>
      <c r="CU14" s="875">
        <v>1</v>
      </c>
      <c r="CV14" s="875">
        <v>1</v>
      </c>
      <c r="CW14" s="875">
        <v>1</v>
      </c>
      <c r="CX14" s="875">
        <v>1</v>
      </c>
      <c r="CY14" s="875">
        <v>1</v>
      </c>
      <c r="CZ14" s="875">
        <v>1</v>
      </c>
      <c r="DA14" s="875">
        <v>1</v>
      </c>
      <c r="DB14" s="875">
        <v>1</v>
      </c>
      <c r="DC14" s="875">
        <v>1</v>
      </c>
      <c r="DD14" s="875">
        <v>1</v>
      </c>
      <c r="DE14" s="875">
        <v>1</v>
      </c>
      <c r="DG14" s="816">
        <v>1</v>
      </c>
      <c r="DH14" s="816">
        <v>1</v>
      </c>
      <c r="DI14" s="816">
        <v>1</v>
      </c>
      <c r="DJ14" s="816">
        <v>1</v>
      </c>
      <c r="DK14" s="816">
        <v>1</v>
      </c>
      <c r="DL14" s="816">
        <v>1</v>
      </c>
      <c r="DM14" s="816">
        <v>1</v>
      </c>
      <c r="DN14" s="816">
        <v>1</v>
      </c>
      <c r="DO14" s="816">
        <v>1</v>
      </c>
      <c r="DP14" s="816">
        <v>1</v>
      </c>
      <c r="DQ14" s="816">
        <v>1</v>
      </c>
      <c r="DR14" s="816">
        <v>1</v>
      </c>
      <c r="DS14" s="816">
        <v>1</v>
      </c>
      <c r="DT14" s="816">
        <v>1</v>
      </c>
      <c r="DU14" s="816">
        <v>1</v>
      </c>
      <c r="DV14" s="816">
        <v>1</v>
      </c>
      <c r="DX14" s="816">
        <v>1</v>
      </c>
      <c r="DY14" s="816">
        <v>1</v>
      </c>
      <c r="DZ14" s="816">
        <v>1</v>
      </c>
      <c r="EA14" s="816">
        <v>1</v>
      </c>
      <c r="EB14" s="816">
        <v>1</v>
      </c>
      <c r="EC14" s="816">
        <v>1</v>
      </c>
      <c r="ED14" s="816">
        <v>1</v>
      </c>
      <c r="EE14" s="816">
        <v>1</v>
      </c>
      <c r="EF14" s="816">
        <v>1</v>
      </c>
      <c r="EG14" s="816">
        <v>1</v>
      </c>
      <c r="EH14" s="816">
        <v>1</v>
      </c>
      <c r="EI14" s="816">
        <v>1</v>
      </c>
      <c r="EJ14" s="816">
        <v>1</v>
      </c>
      <c r="EK14" s="816">
        <v>1</v>
      </c>
      <c r="EL14" s="816">
        <v>1</v>
      </c>
      <c r="EM14" s="816">
        <v>1</v>
      </c>
      <c r="FQ14" s="898"/>
      <c r="FS14" s="898"/>
      <c r="FT14" s="898"/>
      <c r="FU14" s="898"/>
      <c r="FV14" s="898"/>
      <c r="FW14" s="898"/>
      <c r="FX14" s="898"/>
      <c r="FY14" s="898"/>
      <c r="FZ14" s="898"/>
      <c r="GA14" s="898"/>
      <c r="GB14" s="898"/>
      <c r="GC14" s="898"/>
      <c r="GD14" s="898"/>
      <c r="GE14" s="898"/>
      <c r="GF14" s="898"/>
      <c r="GG14" s="898"/>
      <c r="GH14" s="898"/>
      <c r="GJ14" s="898"/>
      <c r="GK14" s="898"/>
      <c r="GL14" s="898"/>
      <c r="GM14" s="898"/>
      <c r="GN14" s="898"/>
      <c r="GO14" s="898"/>
      <c r="GP14" s="898"/>
      <c r="GQ14" s="898"/>
      <c r="GR14" s="898"/>
      <c r="GS14" s="898"/>
      <c r="GT14" s="898"/>
      <c r="GU14" s="898"/>
      <c r="GV14" s="898"/>
      <c r="GW14" s="898"/>
      <c r="GX14" s="898"/>
      <c r="GY14" s="898"/>
      <c r="HA14" s="898"/>
      <c r="HB14" s="898"/>
      <c r="HC14" s="898"/>
      <c r="HD14" s="898"/>
      <c r="HE14" s="898"/>
      <c r="HF14" s="898"/>
      <c r="HG14" s="898"/>
      <c r="HH14" s="898"/>
      <c r="HI14" s="898"/>
      <c r="HJ14" s="898"/>
      <c r="HK14" s="898"/>
      <c r="HL14" s="898"/>
      <c r="HM14" s="898"/>
      <c r="HN14" s="898"/>
      <c r="HO14" s="898"/>
      <c r="HP14" s="898"/>
    </row>
    <row r="15" spans="1:224">
      <c r="A15" s="816" t="s">
        <v>1234</v>
      </c>
      <c r="B15" s="816" t="s">
        <v>1230</v>
      </c>
      <c r="C15" s="816">
        <v>1</v>
      </c>
      <c r="D15" s="816">
        <f t="shared" si="0"/>
        <v>1</v>
      </c>
      <c r="E15" s="816">
        <v>0</v>
      </c>
      <c r="F15" s="816" t="str">
        <f>INDEX('Data Interface'!$C:$C,MATCH(B15,'Data Interface'!$B:$B,0))</f>
        <v>Due to Interbranch - Call Loans (H.O.)</v>
      </c>
      <c r="G15" s="894">
        <f ca="1">IF($C15=1,$AJ15,SUM($AJ15:$AL15)*INDEX('Schedule Allocation'!G:G,MATCH($D15,'Schedule Allocation'!$A:$A,0)))</f>
        <v>1</v>
      </c>
      <c r="H15" s="894">
        <f ca="1">IF($C15=1,$AK15,SUM($AJ15:$AL15)*INDEX('Schedule Allocation'!H:H,MATCH($D15,'Schedule Allocation'!$A:$A,0)))</f>
        <v>1</v>
      </c>
      <c r="I15" s="894">
        <f ca="1">IF($C15=1,$AK15,SUM($AJ15:$AL15)*INDEX('Schedule Allocation'!I:I,MATCH($D15,'Schedule Allocation'!$A:$A,0)))</f>
        <v>1</v>
      </c>
      <c r="J15" s="894">
        <f ca="1">IF($C15=1,$AK15,SUM($AJ15:$AL15)*INDEX('Schedule Allocation'!J:J,MATCH($D15,'Schedule Allocation'!$A:$A,0)))</f>
        <v>1</v>
      </c>
      <c r="K15" s="894">
        <f ca="1">IF($C15=1,$AK15,SUM($AJ15:$AL15)*INDEX('Schedule Allocation'!K:K,MATCH($D15,'Schedule Allocation'!$A:$A,0)))</f>
        <v>1</v>
      </c>
      <c r="L15" s="894">
        <f ca="1">IF($C15=1,$AK15,SUM($AJ15:$AL15)*INDEX('Schedule Allocation'!L:L,MATCH($D15,'Schedule Allocation'!$A:$A,0)))</f>
        <v>1</v>
      </c>
      <c r="M15" s="894">
        <f ca="1">IF($C15=1,$AK15,SUM($AJ15:$AL15)*INDEX('Schedule Allocation'!M:M,MATCH($D15,'Schedule Allocation'!$A:$A,0)))</f>
        <v>1</v>
      </c>
      <c r="N15" s="894">
        <f ca="1">IF($C15=1,$AL15,SUM($AJ15:$AL15)*INDEX('Schedule Allocation'!N:N,MATCH($D15,'Schedule Allocation'!$A:$A,0)))</f>
        <v>1</v>
      </c>
      <c r="O15" s="894">
        <f ca="1">IF($C15=1,$AL15,SUM($AJ15:$AL15)*INDEX('Schedule Allocation'!O:O,MATCH($D15,'Schedule Allocation'!$A:$A,0)))</f>
        <v>1</v>
      </c>
      <c r="P15" s="894">
        <f ca="1">IF($C15=1,$AL15,SUM($AJ15:$AL15)*INDEX('Schedule Allocation'!P:P,MATCH($D15,'Schedule Allocation'!$A:$A,0)))</f>
        <v>1</v>
      </c>
      <c r="Q15" s="894">
        <f ca="1">IF($C15=1,$AL15,SUM($AJ15:$AL15)*INDEX('Schedule Allocation'!Q:Q,MATCH($D15,'Schedule Allocation'!$A:$A,0)))</f>
        <v>1</v>
      </c>
      <c r="R15" s="894">
        <f ca="1">IF($C15=1,$AL15,SUM($AJ15:$AL15)*INDEX('Schedule Allocation'!R:R,MATCH($D15,'Schedule Allocation'!$A:$A,0)))</f>
        <v>1</v>
      </c>
      <c r="S15" s="894">
        <f ca="1">IF($C15=1,$AL15,SUM($AJ15:$AL15)*INDEX('Schedule Allocation'!S:S,MATCH($D15,'Schedule Allocation'!$A:$A,0)))</f>
        <v>1</v>
      </c>
      <c r="T15" s="894">
        <f ca="1">IF($C15=1,$AL15,SUM($AJ15:$AL15)*INDEX('Schedule Allocation'!T:T,MATCH($D15,'Schedule Allocation'!$A:$A,0)))</f>
        <v>1</v>
      </c>
      <c r="U15" s="894">
        <f ca="1">OFFSET(AT15,0,(MATCH('Model Report Formatized'!$E$1,$AN$1:$AN$6,0))*17-17)</f>
        <v>1</v>
      </c>
      <c r="V15" s="894">
        <f ca="1">OFFSET(AU15,0,(MATCH('Model Report Formatized'!$E$1,$AN$1:$AN$6,0))*17-17)</f>
        <v>1</v>
      </c>
      <c r="W15" s="894">
        <f ca="1">OFFSET(AV15,0,(MATCH('Model Report Formatized'!$E$1,$AN$1:$AN$6,0))*17-17)</f>
        <v>1</v>
      </c>
      <c r="X15" s="894">
        <f ca="1">OFFSET(AW15,0,(MATCH('Model Report Formatized'!$E$1,$AN$1:$AN$6,0))*17-17)</f>
        <v>1</v>
      </c>
      <c r="Y15" s="894">
        <f ca="1">OFFSET(AX15,0,(MATCH('Model Report Formatized'!$E$1,$AN$1:$AN$6,0))*17-17)</f>
        <v>1</v>
      </c>
      <c r="Z15" s="894">
        <f ca="1">OFFSET(AY15,0,(MATCH('Model Report Formatized'!$E$1,$AN$1:$AN$6,0))*17-17)</f>
        <v>1</v>
      </c>
      <c r="AA15" s="894">
        <f ca="1">OFFSET(AZ15,0,(MATCH('Model Report Formatized'!$E$1,$AN$1:$AN$6,0))*17-17)</f>
        <v>1</v>
      </c>
      <c r="AB15" s="894">
        <f ca="1">OFFSET(BA15,0,(MATCH('Model Report Formatized'!$E$1,$AN$1:$AN$6,0))*17-17)</f>
        <v>1</v>
      </c>
      <c r="AC15" s="894">
        <f ca="1">OFFSET(BB15,0,(MATCH('Model Report Formatized'!$E$1,$AN$1:$AN$6,0))*17-17)</f>
        <v>1</v>
      </c>
      <c r="AD15" s="894">
        <f ca="1">OFFSET(BC15,0,(MATCH('Model Report Formatized'!$E$1,$AN$1:$AN$6,0))*17-17)</f>
        <v>1</v>
      </c>
      <c r="AE15" s="894">
        <f ca="1">OFFSET(BD15,0,(MATCH('Model Report Formatized'!$E$1,$AN$1:$AN$6,0))*17-17)</f>
        <v>1</v>
      </c>
      <c r="AF15" s="894">
        <f ca="1">OFFSET(BE15,0,(MATCH('Model Report Formatized'!$E$1,$AN$1:$AN$6,0))*17-17)</f>
        <v>1</v>
      </c>
      <c r="AG15" s="894">
        <f ca="1">OFFSET(BF15,0,(MATCH('Model Report Formatized'!$E$1,$AN$1:$AN$6,0))*17-17)</f>
        <v>1</v>
      </c>
      <c r="AH15" s="891">
        <f t="shared" ca="1" si="1"/>
        <v>1</v>
      </c>
      <c r="AJ15" s="895">
        <f ca="1">OFFSET(AQ15,0,(MATCH('Model Report Formatized'!$E$1,$AN$1:$AN$6,0))*17-17)</f>
        <v>1</v>
      </c>
      <c r="AK15" s="895">
        <f ca="1">OFFSET(AR15,0,(MATCH('Model Report Formatized'!$E$1,$AN$1:$AN$6,0))*17-17)</f>
        <v>1</v>
      </c>
      <c r="AL15" s="895">
        <f ca="1">OFFSET(AS15,0,(MATCH('Model Report Formatized'!$E$1,$AN$1:$AN$6,0))*17-17)</f>
        <v>1</v>
      </c>
      <c r="AQ15" s="893">
        <v>1</v>
      </c>
      <c r="AR15" s="893">
        <v>1</v>
      </c>
      <c r="AS15" s="893">
        <v>1</v>
      </c>
      <c r="AT15" s="893">
        <v>1</v>
      </c>
      <c r="AU15" s="893">
        <v>1</v>
      </c>
      <c r="AV15" s="893">
        <v>1</v>
      </c>
      <c r="AW15" s="893">
        <v>1</v>
      </c>
      <c r="AX15" s="893">
        <v>1</v>
      </c>
      <c r="AY15" s="893">
        <v>1</v>
      </c>
      <c r="AZ15" s="893">
        <v>1</v>
      </c>
      <c r="BA15" s="893">
        <v>1</v>
      </c>
      <c r="BB15" s="893">
        <v>1</v>
      </c>
      <c r="BC15" s="893">
        <v>1</v>
      </c>
      <c r="BD15" s="893">
        <v>1</v>
      </c>
      <c r="BE15" s="893">
        <v>1</v>
      </c>
      <c r="BF15" s="893">
        <v>1</v>
      </c>
      <c r="BH15" s="816">
        <v>1</v>
      </c>
      <c r="BI15" s="816">
        <v>1</v>
      </c>
      <c r="BJ15" s="816">
        <v>1</v>
      </c>
      <c r="BK15" s="816">
        <v>1</v>
      </c>
      <c r="BL15" s="816">
        <v>1</v>
      </c>
      <c r="BM15" s="816">
        <v>1</v>
      </c>
      <c r="BN15" s="816">
        <v>1</v>
      </c>
      <c r="BO15" s="816">
        <v>1</v>
      </c>
      <c r="BP15" s="816">
        <v>1</v>
      </c>
      <c r="BQ15" s="816">
        <v>1</v>
      </c>
      <c r="BR15" s="816">
        <v>1</v>
      </c>
      <c r="BS15" s="816">
        <v>1</v>
      </c>
      <c r="BT15" s="816">
        <v>1</v>
      </c>
      <c r="BU15" s="816">
        <v>1</v>
      </c>
      <c r="BV15" s="816">
        <v>1</v>
      </c>
      <c r="BW15" s="816">
        <v>1</v>
      </c>
      <c r="BY15" s="817">
        <v>1</v>
      </c>
      <c r="BZ15" s="817">
        <v>1</v>
      </c>
      <c r="CA15" s="817">
        <v>1</v>
      </c>
      <c r="CB15" s="817">
        <v>1</v>
      </c>
      <c r="CC15" s="817">
        <v>1</v>
      </c>
      <c r="CD15" s="817">
        <v>1</v>
      </c>
      <c r="CE15" s="817">
        <v>1</v>
      </c>
      <c r="CF15" s="817">
        <v>1</v>
      </c>
      <c r="CG15" s="817">
        <v>1</v>
      </c>
      <c r="CH15" s="817">
        <v>1</v>
      </c>
      <c r="CI15" s="817">
        <v>1</v>
      </c>
      <c r="CJ15" s="817">
        <v>1</v>
      </c>
      <c r="CK15" s="817">
        <v>1</v>
      </c>
      <c r="CL15" s="817">
        <v>1</v>
      </c>
      <c r="CM15" s="817">
        <v>1</v>
      </c>
      <c r="CN15" s="817">
        <v>1</v>
      </c>
      <c r="CP15" s="875">
        <v>1</v>
      </c>
      <c r="CQ15" s="875">
        <v>1</v>
      </c>
      <c r="CR15" s="875">
        <v>1</v>
      </c>
      <c r="CS15" s="875">
        <v>1</v>
      </c>
      <c r="CT15" s="875">
        <v>1</v>
      </c>
      <c r="CU15" s="875">
        <v>1</v>
      </c>
      <c r="CV15" s="875">
        <v>1</v>
      </c>
      <c r="CW15" s="875">
        <v>1</v>
      </c>
      <c r="CX15" s="875">
        <v>1</v>
      </c>
      <c r="CY15" s="875">
        <v>1</v>
      </c>
      <c r="CZ15" s="875">
        <v>1</v>
      </c>
      <c r="DA15" s="875">
        <v>1</v>
      </c>
      <c r="DB15" s="875">
        <v>1</v>
      </c>
      <c r="DC15" s="875">
        <v>1</v>
      </c>
      <c r="DD15" s="875">
        <v>1</v>
      </c>
      <c r="DE15" s="875">
        <v>1</v>
      </c>
      <c r="DG15" s="816">
        <v>1</v>
      </c>
      <c r="DH15" s="816">
        <v>1</v>
      </c>
      <c r="DI15" s="816">
        <v>1</v>
      </c>
      <c r="DJ15" s="816">
        <v>1</v>
      </c>
      <c r="DK15" s="816">
        <v>1</v>
      </c>
      <c r="DL15" s="816">
        <v>1</v>
      </c>
      <c r="DM15" s="816">
        <v>1</v>
      </c>
      <c r="DN15" s="816">
        <v>1</v>
      </c>
      <c r="DO15" s="816">
        <v>1</v>
      </c>
      <c r="DP15" s="816">
        <v>1</v>
      </c>
      <c r="DQ15" s="816">
        <v>1</v>
      </c>
      <c r="DR15" s="816">
        <v>1</v>
      </c>
      <c r="DS15" s="816">
        <v>1</v>
      </c>
      <c r="DT15" s="816">
        <v>1</v>
      </c>
      <c r="DU15" s="816">
        <v>1</v>
      </c>
      <c r="DV15" s="816">
        <v>1</v>
      </c>
      <c r="DX15" s="816">
        <v>1</v>
      </c>
      <c r="DY15" s="816">
        <v>1</v>
      </c>
      <c r="DZ15" s="816">
        <v>1</v>
      </c>
      <c r="EA15" s="816">
        <v>1</v>
      </c>
      <c r="EB15" s="816">
        <v>1</v>
      </c>
      <c r="EC15" s="816">
        <v>1</v>
      </c>
      <c r="ED15" s="816">
        <v>1</v>
      </c>
      <c r="EE15" s="816">
        <v>1</v>
      </c>
      <c r="EF15" s="816">
        <v>1</v>
      </c>
      <c r="EG15" s="816">
        <v>1</v>
      </c>
      <c r="EH15" s="816">
        <v>1</v>
      </c>
      <c r="EI15" s="816">
        <v>1</v>
      </c>
      <c r="EJ15" s="816">
        <v>1</v>
      </c>
      <c r="EK15" s="816">
        <v>1</v>
      </c>
      <c r="EL15" s="816">
        <v>1</v>
      </c>
      <c r="EM15" s="816">
        <v>1</v>
      </c>
      <c r="FQ15" s="898"/>
      <c r="FS15" s="898"/>
      <c r="FT15" s="898"/>
      <c r="FU15" s="898"/>
      <c r="FV15" s="898"/>
      <c r="FW15" s="898"/>
      <c r="FX15" s="898"/>
      <c r="FY15" s="898"/>
      <c r="FZ15" s="898"/>
      <c r="GA15" s="898"/>
      <c r="GB15" s="898"/>
      <c r="GC15" s="898"/>
      <c r="GD15" s="898"/>
      <c r="GE15" s="898"/>
      <c r="GF15" s="898"/>
      <c r="GG15" s="898"/>
      <c r="GH15" s="898"/>
      <c r="GJ15" s="898"/>
      <c r="GK15" s="898"/>
      <c r="GL15" s="898"/>
      <c r="GM15" s="898"/>
      <c r="GN15" s="898"/>
      <c r="GO15" s="898"/>
      <c r="GP15" s="898"/>
      <c r="GQ15" s="898"/>
      <c r="GR15" s="898"/>
      <c r="GS15" s="898"/>
      <c r="GT15" s="898"/>
      <c r="GU15" s="898"/>
      <c r="GV15" s="898"/>
      <c r="GW15" s="898"/>
      <c r="GX15" s="898"/>
      <c r="GY15" s="898"/>
      <c r="HA15" s="898"/>
      <c r="HB15" s="898"/>
      <c r="HC15" s="898"/>
      <c r="HD15" s="898"/>
      <c r="HE15" s="898"/>
      <c r="HF15" s="898"/>
      <c r="HG15" s="898"/>
      <c r="HH15" s="898"/>
      <c r="HI15" s="898"/>
      <c r="HJ15" s="898"/>
      <c r="HK15" s="898"/>
      <c r="HL15" s="898"/>
      <c r="HM15" s="898"/>
      <c r="HN15" s="898"/>
      <c r="HO15" s="898"/>
      <c r="HP15" s="898"/>
    </row>
    <row r="16" spans="1:224">
      <c r="A16" s="816" t="s">
        <v>1234</v>
      </c>
      <c r="B16" s="816" t="s">
        <v>1287</v>
      </c>
      <c r="C16" s="816">
        <v>1</v>
      </c>
      <c r="D16" s="816">
        <f t="shared" si="0"/>
        <v>1</v>
      </c>
      <c r="E16" s="816">
        <v>0</v>
      </c>
      <c r="F16" s="816" t="str">
        <f>INDEX('Data Interface'!$C:$C,MATCH(B16,'Data Interface'!$B:$B,0))</f>
        <v>Due to Interbranch - Trade Finance</v>
      </c>
      <c r="G16" s="894">
        <f ca="1">IF($C16=1,$AJ16,SUM($AJ16:$AL16)*INDEX('Schedule Allocation'!G:G,MATCH($D16,'Schedule Allocation'!$A:$A,0)))</f>
        <v>1</v>
      </c>
      <c r="H16" s="894">
        <f ca="1">IF($C16=1,$AK16,SUM($AJ16:$AL16)*INDEX('Schedule Allocation'!H:H,MATCH($D16,'Schedule Allocation'!$A:$A,0)))</f>
        <v>1</v>
      </c>
      <c r="I16" s="894">
        <f ca="1">IF($C16=1,$AK16,SUM($AJ16:$AL16)*INDEX('Schedule Allocation'!I:I,MATCH($D16,'Schedule Allocation'!$A:$A,0)))</f>
        <v>1</v>
      </c>
      <c r="J16" s="894">
        <f ca="1">IF($C16=1,$AK16,SUM($AJ16:$AL16)*INDEX('Schedule Allocation'!J:J,MATCH($D16,'Schedule Allocation'!$A:$A,0)))</f>
        <v>1</v>
      </c>
      <c r="K16" s="894">
        <f ca="1">IF($C16=1,$AK16,SUM($AJ16:$AL16)*INDEX('Schedule Allocation'!K:K,MATCH($D16,'Schedule Allocation'!$A:$A,0)))</f>
        <v>1</v>
      </c>
      <c r="L16" s="894">
        <f ca="1">IF($C16=1,$AK16,SUM($AJ16:$AL16)*INDEX('Schedule Allocation'!L:L,MATCH($D16,'Schedule Allocation'!$A:$A,0)))</f>
        <v>1</v>
      </c>
      <c r="M16" s="894">
        <f ca="1">IF($C16=1,$AK16,SUM($AJ16:$AL16)*INDEX('Schedule Allocation'!M:M,MATCH($D16,'Schedule Allocation'!$A:$A,0)))</f>
        <v>1</v>
      </c>
      <c r="N16" s="894">
        <f ca="1">IF($C16=1,$AL16,SUM($AJ16:$AL16)*INDEX('Schedule Allocation'!N:N,MATCH($D16,'Schedule Allocation'!$A:$A,0)))</f>
        <v>1</v>
      </c>
      <c r="O16" s="894">
        <f ca="1">IF($C16=1,$AL16,SUM($AJ16:$AL16)*INDEX('Schedule Allocation'!O:O,MATCH($D16,'Schedule Allocation'!$A:$A,0)))</f>
        <v>1</v>
      </c>
      <c r="P16" s="894">
        <f ca="1">IF($C16=1,$AL16,SUM($AJ16:$AL16)*INDEX('Schedule Allocation'!P:P,MATCH($D16,'Schedule Allocation'!$A:$A,0)))</f>
        <v>1</v>
      </c>
      <c r="Q16" s="894">
        <f ca="1">IF($C16=1,$AL16,SUM($AJ16:$AL16)*INDEX('Schedule Allocation'!Q:Q,MATCH($D16,'Schedule Allocation'!$A:$A,0)))</f>
        <v>1</v>
      </c>
      <c r="R16" s="894">
        <f ca="1">IF($C16=1,$AL16,SUM($AJ16:$AL16)*INDEX('Schedule Allocation'!R:R,MATCH($D16,'Schedule Allocation'!$A:$A,0)))</f>
        <v>1</v>
      </c>
      <c r="S16" s="894">
        <f ca="1">IF($C16=1,$AL16,SUM($AJ16:$AL16)*INDEX('Schedule Allocation'!S:S,MATCH($D16,'Schedule Allocation'!$A:$A,0)))</f>
        <v>1</v>
      </c>
      <c r="T16" s="894">
        <f ca="1">IF($C16=1,$AL16,SUM($AJ16:$AL16)*INDEX('Schedule Allocation'!T:T,MATCH($D16,'Schedule Allocation'!$A:$A,0)))</f>
        <v>1</v>
      </c>
      <c r="U16" s="894">
        <f ca="1">OFFSET(AT16,0,(MATCH('Model Report Formatized'!$E$1,$AN$1:$AN$6,0))*17-17)</f>
        <v>1</v>
      </c>
      <c r="V16" s="894">
        <f ca="1">OFFSET(AU16,0,(MATCH('Model Report Formatized'!$E$1,$AN$1:$AN$6,0))*17-17)</f>
        <v>1</v>
      </c>
      <c r="W16" s="894">
        <f ca="1">OFFSET(AV16,0,(MATCH('Model Report Formatized'!$E$1,$AN$1:$AN$6,0))*17-17)</f>
        <v>1</v>
      </c>
      <c r="X16" s="894">
        <f ca="1">OFFSET(AW16,0,(MATCH('Model Report Formatized'!$E$1,$AN$1:$AN$6,0))*17-17)</f>
        <v>1</v>
      </c>
      <c r="Y16" s="894">
        <f ca="1">OFFSET(AX16,0,(MATCH('Model Report Formatized'!$E$1,$AN$1:$AN$6,0))*17-17)</f>
        <v>1</v>
      </c>
      <c r="Z16" s="894">
        <f ca="1">OFFSET(AY16,0,(MATCH('Model Report Formatized'!$E$1,$AN$1:$AN$6,0))*17-17)</f>
        <v>1</v>
      </c>
      <c r="AA16" s="894">
        <f ca="1">OFFSET(AZ16,0,(MATCH('Model Report Formatized'!$E$1,$AN$1:$AN$6,0))*17-17)</f>
        <v>1</v>
      </c>
      <c r="AB16" s="894">
        <f ca="1">OFFSET(BA16,0,(MATCH('Model Report Formatized'!$E$1,$AN$1:$AN$6,0))*17-17)</f>
        <v>1</v>
      </c>
      <c r="AC16" s="894">
        <f ca="1">OFFSET(BB16,0,(MATCH('Model Report Formatized'!$E$1,$AN$1:$AN$6,0))*17-17)</f>
        <v>1</v>
      </c>
      <c r="AD16" s="894">
        <f ca="1">OFFSET(BC16,0,(MATCH('Model Report Formatized'!$E$1,$AN$1:$AN$6,0))*17-17)</f>
        <v>1</v>
      </c>
      <c r="AE16" s="894">
        <f ca="1">OFFSET(BD16,0,(MATCH('Model Report Formatized'!$E$1,$AN$1:$AN$6,0))*17-17)</f>
        <v>1</v>
      </c>
      <c r="AF16" s="894">
        <f ca="1">OFFSET(BE16,0,(MATCH('Model Report Formatized'!$E$1,$AN$1:$AN$6,0))*17-17)</f>
        <v>1</v>
      </c>
      <c r="AG16" s="894">
        <f ca="1">OFFSET(BF16,0,(MATCH('Model Report Formatized'!$E$1,$AN$1:$AN$6,0))*17-17)</f>
        <v>1</v>
      </c>
      <c r="AH16" s="891">
        <f t="shared" ca="1" si="1"/>
        <v>1</v>
      </c>
      <c r="AJ16" s="895">
        <f ca="1">OFFSET(AQ16,0,(MATCH('Model Report Formatized'!$E$1,$AN$1:$AN$6,0))*17-17)</f>
        <v>1</v>
      </c>
      <c r="AK16" s="895">
        <f ca="1">OFFSET(AR16,0,(MATCH('Model Report Formatized'!$E$1,$AN$1:$AN$6,0))*17-17)</f>
        <v>1</v>
      </c>
      <c r="AL16" s="895">
        <f ca="1">OFFSET(AS16,0,(MATCH('Model Report Formatized'!$E$1,$AN$1:$AN$6,0))*17-17)</f>
        <v>1</v>
      </c>
      <c r="AQ16" s="893">
        <v>1</v>
      </c>
      <c r="AR16" s="893">
        <v>1</v>
      </c>
      <c r="AS16" s="893">
        <v>1</v>
      </c>
      <c r="AT16" s="893">
        <v>1</v>
      </c>
      <c r="AU16" s="893">
        <v>1</v>
      </c>
      <c r="AV16" s="893">
        <v>1</v>
      </c>
      <c r="AW16" s="893">
        <v>1</v>
      </c>
      <c r="AX16" s="893">
        <v>1</v>
      </c>
      <c r="AY16" s="893">
        <v>1</v>
      </c>
      <c r="AZ16" s="893">
        <v>1</v>
      </c>
      <c r="BA16" s="893">
        <v>1</v>
      </c>
      <c r="BB16" s="893">
        <v>1</v>
      </c>
      <c r="BC16" s="893">
        <v>1</v>
      </c>
      <c r="BD16" s="893">
        <v>1</v>
      </c>
      <c r="BE16" s="893">
        <v>1</v>
      </c>
      <c r="BF16" s="893">
        <v>1</v>
      </c>
      <c r="BH16" s="816">
        <v>1</v>
      </c>
      <c r="BI16" s="816">
        <v>1</v>
      </c>
      <c r="BJ16" s="816">
        <v>1</v>
      </c>
      <c r="BK16" s="816">
        <v>1</v>
      </c>
      <c r="BL16" s="816">
        <v>1</v>
      </c>
      <c r="BM16" s="816">
        <v>1</v>
      </c>
      <c r="BN16" s="816">
        <v>1</v>
      </c>
      <c r="BO16" s="816">
        <v>1</v>
      </c>
      <c r="BP16" s="816">
        <v>1</v>
      </c>
      <c r="BQ16" s="816">
        <v>1</v>
      </c>
      <c r="BR16" s="816">
        <v>1</v>
      </c>
      <c r="BS16" s="816">
        <v>1</v>
      </c>
      <c r="BT16" s="816">
        <v>1</v>
      </c>
      <c r="BU16" s="816">
        <v>1</v>
      </c>
      <c r="BV16" s="816">
        <v>1</v>
      </c>
      <c r="BW16" s="816">
        <v>1</v>
      </c>
      <c r="BY16" s="817">
        <v>1</v>
      </c>
      <c r="BZ16" s="817">
        <v>1</v>
      </c>
      <c r="CA16" s="817">
        <v>1</v>
      </c>
      <c r="CB16" s="817">
        <v>1</v>
      </c>
      <c r="CC16" s="817">
        <v>1</v>
      </c>
      <c r="CD16" s="817">
        <v>1</v>
      </c>
      <c r="CE16" s="817">
        <v>1</v>
      </c>
      <c r="CF16" s="817">
        <v>1</v>
      </c>
      <c r="CG16" s="817">
        <v>1</v>
      </c>
      <c r="CH16" s="817">
        <v>1</v>
      </c>
      <c r="CI16" s="817">
        <v>1</v>
      </c>
      <c r="CJ16" s="817">
        <v>1</v>
      </c>
      <c r="CK16" s="817">
        <v>1</v>
      </c>
      <c r="CL16" s="817">
        <v>1</v>
      </c>
      <c r="CM16" s="817">
        <v>1</v>
      </c>
      <c r="CN16" s="817">
        <v>1</v>
      </c>
      <c r="CP16" s="875">
        <v>1</v>
      </c>
      <c r="CQ16" s="875">
        <v>1</v>
      </c>
      <c r="CR16" s="875">
        <v>1</v>
      </c>
      <c r="CS16" s="875">
        <v>1</v>
      </c>
      <c r="CT16" s="875">
        <v>1</v>
      </c>
      <c r="CU16" s="875">
        <v>1</v>
      </c>
      <c r="CV16" s="875">
        <v>1</v>
      </c>
      <c r="CW16" s="875">
        <v>1</v>
      </c>
      <c r="CX16" s="875">
        <v>1</v>
      </c>
      <c r="CY16" s="875">
        <v>1</v>
      </c>
      <c r="CZ16" s="875">
        <v>1</v>
      </c>
      <c r="DA16" s="875">
        <v>1</v>
      </c>
      <c r="DB16" s="875">
        <v>1</v>
      </c>
      <c r="DC16" s="875">
        <v>1</v>
      </c>
      <c r="DD16" s="875">
        <v>1</v>
      </c>
      <c r="DE16" s="875">
        <v>1</v>
      </c>
      <c r="DG16" s="816">
        <v>1</v>
      </c>
      <c r="DH16" s="816">
        <v>1</v>
      </c>
      <c r="DI16" s="816">
        <v>1</v>
      </c>
      <c r="DJ16" s="816">
        <v>1</v>
      </c>
      <c r="DK16" s="816">
        <v>1</v>
      </c>
      <c r="DL16" s="816">
        <v>1</v>
      </c>
      <c r="DM16" s="816">
        <v>1</v>
      </c>
      <c r="DN16" s="816">
        <v>1</v>
      </c>
      <c r="DO16" s="816">
        <v>1</v>
      </c>
      <c r="DP16" s="816">
        <v>1</v>
      </c>
      <c r="DQ16" s="816">
        <v>1</v>
      </c>
      <c r="DR16" s="816">
        <v>1</v>
      </c>
      <c r="DS16" s="816">
        <v>1</v>
      </c>
      <c r="DT16" s="816">
        <v>1</v>
      </c>
      <c r="DU16" s="816">
        <v>1</v>
      </c>
      <c r="DV16" s="816">
        <v>1</v>
      </c>
      <c r="DX16" s="816">
        <v>1</v>
      </c>
      <c r="DY16" s="816">
        <v>1</v>
      </c>
      <c r="DZ16" s="816">
        <v>1</v>
      </c>
      <c r="EA16" s="816">
        <v>1</v>
      </c>
      <c r="EB16" s="816">
        <v>1</v>
      </c>
      <c r="EC16" s="816">
        <v>1</v>
      </c>
      <c r="ED16" s="816">
        <v>1</v>
      </c>
      <c r="EE16" s="816">
        <v>1</v>
      </c>
      <c r="EF16" s="816">
        <v>1</v>
      </c>
      <c r="EG16" s="816">
        <v>1</v>
      </c>
      <c r="EH16" s="816">
        <v>1</v>
      </c>
      <c r="EI16" s="816">
        <v>1</v>
      </c>
      <c r="EJ16" s="816">
        <v>1</v>
      </c>
      <c r="EK16" s="816">
        <v>1</v>
      </c>
      <c r="EL16" s="816">
        <v>1</v>
      </c>
      <c r="EM16" s="816">
        <v>1</v>
      </c>
      <c r="FQ16" s="898"/>
      <c r="FS16" s="898"/>
      <c r="FT16" s="898"/>
      <c r="FU16" s="898"/>
      <c r="FV16" s="898"/>
      <c r="FW16" s="898"/>
      <c r="FX16" s="898"/>
      <c r="FY16" s="898"/>
      <c r="FZ16" s="898"/>
      <c r="GA16" s="898"/>
      <c r="GB16" s="898"/>
      <c r="GC16" s="898"/>
      <c r="GD16" s="898"/>
      <c r="GE16" s="898"/>
      <c r="GF16" s="898"/>
      <c r="GG16" s="898"/>
      <c r="GH16" s="898"/>
      <c r="GJ16" s="898"/>
      <c r="GK16" s="898"/>
      <c r="GL16" s="898"/>
      <c r="GM16" s="898"/>
      <c r="GN16" s="898"/>
      <c r="GO16" s="898"/>
      <c r="GP16" s="898"/>
      <c r="GQ16" s="898"/>
      <c r="GR16" s="898"/>
      <c r="GS16" s="898"/>
      <c r="GT16" s="898"/>
      <c r="GU16" s="898"/>
      <c r="GV16" s="898"/>
      <c r="GW16" s="898"/>
      <c r="GX16" s="898"/>
      <c r="GY16" s="898"/>
      <c r="HA16" s="898"/>
      <c r="HB16" s="898"/>
      <c r="HC16" s="898"/>
      <c r="HD16" s="898"/>
      <c r="HE16" s="898"/>
      <c r="HF16" s="898"/>
      <c r="HG16" s="898"/>
      <c r="HH16" s="898"/>
      <c r="HI16" s="898"/>
      <c r="HJ16" s="898"/>
      <c r="HK16" s="898"/>
      <c r="HL16" s="898"/>
      <c r="HM16" s="898"/>
      <c r="HN16" s="898"/>
      <c r="HO16" s="898"/>
      <c r="HP16" s="898"/>
    </row>
    <row r="17" spans="1:224">
      <c r="A17" s="816" t="s">
        <v>1303</v>
      </c>
      <c r="B17" s="816" t="s">
        <v>1300</v>
      </c>
      <c r="C17" s="816">
        <v>1</v>
      </c>
      <c r="D17" s="816">
        <f t="shared" si="0"/>
        <v>1</v>
      </c>
      <c r="E17" s="816">
        <v>0</v>
      </c>
      <c r="F17" s="816" t="str">
        <f>INDEX('Data Interface'!$C:$C,MATCH(B17,'Data Interface'!$B:$B,0))</f>
        <v>Due to Banks - Call Loans</v>
      </c>
      <c r="G17" s="894">
        <f ca="1">IF($C17=1,$AJ17,SUM($AJ17:$AL17)*INDEX('Schedule Allocation'!G:G,MATCH($D17,'Schedule Allocation'!$A:$A,0)))</f>
        <v>1</v>
      </c>
      <c r="H17" s="894">
        <f ca="1">IF($C17=1,$AK17,SUM($AJ17:$AL17)*INDEX('Schedule Allocation'!H:H,MATCH($D17,'Schedule Allocation'!$A:$A,0)))</f>
        <v>1</v>
      </c>
      <c r="I17" s="894">
        <f ca="1">IF($C17=1,$AK17,SUM($AJ17:$AL17)*INDEX('Schedule Allocation'!I:I,MATCH($D17,'Schedule Allocation'!$A:$A,0)))</f>
        <v>1</v>
      </c>
      <c r="J17" s="894">
        <f ca="1">IF($C17=1,$AK17,SUM($AJ17:$AL17)*INDEX('Schedule Allocation'!J:J,MATCH($D17,'Schedule Allocation'!$A:$A,0)))</f>
        <v>1</v>
      </c>
      <c r="K17" s="894">
        <f ca="1">IF($C17=1,$AK17,SUM($AJ17:$AL17)*INDEX('Schedule Allocation'!K:K,MATCH($D17,'Schedule Allocation'!$A:$A,0)))</f>
        <v>1</v>
      </c>
      <c r="L17" s="894">
        <f ca="1">IF($C17=1,$AK17,SUM($AJ17:$AL17)*INDEX('Schedule Allocation'!L:L,MATCH($D17,'Schedule Allocation'!$A:$A,0)))</f>
        <v>1</v>
      </c>
      <c r="M17" s="894">
        <f ca="1">IF($C17=1,$AK17,SUM($AJ17:$AL17)*INDEX('Schedule Allocation'!M:M,MATCH($D17,'Schedule Allocation'!$A:$A,0)))</f>
        <v>1</v>
      </c>
      <c r="N17" s="894">
        <f ca="1">IF($C17=1,$AL17,SUM($AJ17:$AL17)*INDEX('Schedule Allocation'!N:N,MATCH($D17,'Schedule Allocation'!$A:$A,0)))</f>
        <v>1</v>
      </c>
      <c r="O17" s="894">
        <f ca="1">IF($C17=1,$AL17,SUM($AJ17:$AL17)*INDEX('Schedule Allocation'!O:O,MATCH($D17,'Schedule Allocation'!$A:$A,0)))</f>
        <v>1</v>
      </c>
      <c r="P17" s="894">
        <f ca="1">IF($C17=1,$AL17,SUM($AJ17:$AL17)*INDEX('Schedule Allocation'!P:P,MATCH($D17,'Schedule Allocation'!$A:$A,0)))</f>
        <v>1</v>
      </c>
      <c r="Q17" s="894">
        <f ca="1">IF($C17=1,$AL17,SUM($AJ17:$AL17)*INDEX('Schedule Allocation'!Q:Q,MATCH($D17,'Schedule Allocation'!$A:$A,0)))</f>
        <v>1</v>
      </c>
      <c r="R17" s="894">
        <f ca="1">IF($C17=1,$AL17,SUM($AJ17:$AL17)*INDEX('Schedule Allocation'!R:R,MATCH($D17,'Schedule Allocation'!$A:$A,0)))</f>
        <v>1</v>
      </c>
      <c r="S17" s="894">
        <f ca="1">IF($C17=1,$AL17,SUM($AJ17:$AL17)*INDEX('Schedule Allocation'!S:S,MATCH($D17,'Schedule Allocation'!$A:$A,0)))</f>
        <v>1</v>
      </c>
      <c r="T17" s="894">
        <f ca="1">IF($C17=1,$AL17,SUM($AJ17:$AL17)*INDEX('Schedule Allocation'!T:T,MATCH($D17,'Schedule Allocation'!$A:$A,0)))</f>
        <v>1</v>
      </c>
      <c r="U17" s="894">
        <f ca="1">OFFSET(AT17,0,(MATCH('Model Report Formatized'!$E$1,$AN$1:$AN$6,0))*17-17)</f>
        <v>1</v>
      </c>
      <c r="V17" s="894">
        <f ca="1">OFFSET(AU17,0,(MATCH('Model Report Formatized'!$E$1,$AN$1:$AN$6,0))*17-17)</f>
        <v>1</v>
      </c>
      <c r="W17" s="894">
        <f ca="1">OFFSET(AV17,0,(MATCH('Model Report Formatized'!$E$1,$AN$1:$AN$6,0))*17-17)</f>
        <v>1</v>
      </c>
      <c r="X17" s="894">
        <f ca="1">OFFSET(AW17,0,(MATCH('Model Report Formatized'!$E$1,$AN$1:$AN$6,0))*17-17)</f>
        <v>1</v>
      </c>
      <c r="Y17" s="894">
        <f ca="1">OFFSET(AX17,0,(MATCH('Model Report Formatized'!$E$1,$AN$1:$AN$6,0))*17-17)</f>
        <v>1</v>
      </c>
      <c r="Z17" s="894">
        <f ca="1">OFFSET(AY17,0,(MATCH('Model Report Formatized'!$E$1,$AN$1:$AN$6,0))*17-17)</f>
        <v>1</v>
      </c>
      <c r="AA17" s="894">
        <f ca="1">OFFSET(AZ17,0,(MATCH('Model Report Formatized'!$E$1,$AN$1:$AN$6,0))*17-17)</f>
        <v>1</v>
      </c>
      <c r="AB17" s="894">
        <f ca="1">OFFSET(BA17,0,(MATCH('Model Report Formatized'!$E$1,$AN$1:$AN$6,0))*17-17)</f>
        <v>1</v>
      </c>
      <c r="AC17" s="894">
        <f ca="1">OFFSET(BB17,0,(MATCH('Model Report Formatized'!$E$1,$AN$1:$AN$6,0))*17-17)</f>
        <v>1</v>
      </c>
      <c r="AD17" s="894">
        <f ca="1">OFFSET(BC17,0,(MATCH('Model Report Formatized'!$E$1,$AN$1:$AN$6,0))*17-17)</f>
        <v>1</v>
      </c>
      <c r="AE17" s="894">
        <f ca="1">OFFSET(BD17,0,(MATCH('Model Report Formatized'!$E$1,$AN$1:$AN$6,0))*17-17)</f>
        <v>1</v>
      </c>
      <c r="AF17" s="894">
        <f ca="1">OFFSET(BE17,0,(MATCH('Model Report Formatized'!$E$1,$AN$1:$AN$6,0))*17-17)</f>
        <v>1</v>
      </c>
      <c r="AG17" s="894">
        <f ca="1">OFFSET(BF17,0,(MATCH('Model Report Formatized'!$E$1,$AN$1:$AN$6,0))*17-17)</f>
        <v>1</v>
      </c>
      <c r="AH17" s="891">
        <f t="shared" ca="1" si="1"/>
        <v>1</v>
      </c>
      <c r="AJ17" s="895">
        <f ca="1">OFFSET(AQ17,0,(MATCH('Model Report Formatized'!$E$1,$AN$1:$AN$6,0))*17-17)</f>
        <v>1</v>
      </c>
      <c r="AK17" s="895">
        <f ca="1">OFFSET(AR17,0,(MATCH('Model Report Formatized'!$E$1,$AN$1:$AN$6,0))*17-17)</f>
        <v>1</v>
      </c>
      <c r="AL17" s="895">
        <f ca="1">OFFSET(AS17,0,(MATCH('Model Report Formatized'!$E$1,$AN$1:$AN$6,0))*17-17)</f>
        <v>1</v>
      </c>
      <c r="AQ17" s="893">
        <v>1</v>
      </c>
      <c r="AR17" s="893">
        <v>1</v>
      </c>
      <c r="AS17" s="893">
        <v>1</v>
      </c>
      <c r="AT17" s="893">
        <v>1</v>
      </c>
      <c r="AU17" s="893">
        <v>1</v>
      </c>
      <c r="AV17" s="893">
        <v>1</v>
      </c>
      <c r="AW17" s="893">
        <v>1</v>
      </c>
      <c r="AX17" s="893">
        <v>1</v>
      </c>
      <c r="AY17" s="893">
        <v>1</v>
      </c>
      <c r="AZ17" s="893">
        <v>1</v>
      </c>
      <c r="BA17" s="893">
        <v>1</v>
      </c>
      <c r="BB17" s="893">
        <v>1</v>
      </c>
      <c r="BC17" s="893">
        <v>1</v>
      </c>
      <c r="BD17" s="893">
        <v>1</v>
      </c>
      <c r="BE17" s="893">
        <v>1</v>
      </c>
      <c r="BF17" s="893">
        <v>1</v>
      </c>
      <c r="BH17" s="816">
        <v>1</v>
      </c>
      <c r="BI17" s="816">
        <v>1</v>
      </c>
      <c r="BJ17" s="816">
        <v>1</v>
      </c>
      <c r="BK17" s="816">
        <v>1</v>
      </c>
      <c r="BL17" s="816">
        <v>1</v>
      </c>
      <c r="BM17" s="816">
        <v>1</v>
      </c>
      <c r="BN17" s="816">
        <v>1</v>
      </c>
      <c r="BO17" s="816">
        <v>1</v>
      </c>
      <c r="BP17" s="816">
        <v>1</v>
      </c>
      <c r="BQ17" s="816">
        <v>1</v>
      </c>
      <c r="BR17" s="816">
        <v>1</v>
      </c>
      <c r="BS17" s="816">
        <v>1</v>
      </c>
      <c r="BT17" s="816">
        <v>1</v>
      </c>
      <c r="BU17" s="816">
        <v>1</v>
      </c>
      <c r="BV17" s="816">
        <v>1</v>
      </c>
      <c r="BW17" s="816">
        <v>1</v>
      </c>
      <c r="BY17" s="816">
        <v>1</v>
      </c>
      <c r="BZ17" s="816">
        <v>1</v>
      </c>
      <c r="CA17" s="816">
        <v>1</v>
      </c>
      <c r="CB17" s="816">
        <v>1</v>
      </c>
      <c r="CC17" s="816">
        <v>1</v>
      </c>
      <c r="CD17" s="816">
        <v>1</v>
      </c>
      <c r="CE17" s="816">
        <v>1</v>
      </c>
      <c r="CF17" s="816">
        <v>1</v>
      </c>
      <c r="CG17" s="816">
        <v>1</v>
      </c>
      <c r="CH17" s="816">
        <v>1</v>
      </c>
      <c r="CI17" s="816">
        <v>1</v>
      </c>
      <c r="CJ17" s="816">
        <v>1</v>
      </c>
      <c r="CK17" s="816">
        <v>1</v>
      </c>
      <c r="CL17" s="816">
        <v>1</v>
      </c>
      <c r="CM17" s="816">
        <v>1</v>
      </c>
      <c r="CN17" s="816">
        <v>1</v>
      </c>
      <c r="CP17" s="875">
        <v>1</v>
      </c>
      <c r="CQ17" s="875">
        <v>1</v>
      </c>
      <c r="CR17" s="875">
        <v>1</v>
      </c>
      <c r="CS17" s="875">
        <v>1</v>
      </c>
      <c r="CT17" s="875">
        <v>1</v>
      </c>
      <c r="CU17" s="875">
        <v>1</v>
      </c>
      <c r="CV17" s="875">
        <v>1</v>
      </c>
      <c r="CW17" s="875">
        <v>1</v>
      </c>
      <c r="CX17" s="875">
        <v>1</v>
      </c>
      <c r="CY17" s="875">
        <v>1</v>
      </c>
      <c r="CZ17" s="875">
        <v>1</v>
      </c>
      <c r="DA17" s="875">
        <v>1</v>
      </c>
      <c r="DB17" s="875">
        <v>1</v>
      </c>
      <c r="DC17" s="875">
        <v>1</v>
      </c>
      <c r="DD17" s="875">
        <v>1</v>
      </c>
      <c r="DE17" s="875">
        <v>1</v>
      </c>
      <c r="DG17" s="816">
        <v>1</v>
      </c>
      <c r="DH17" s="816">
        <v>1</v>
      </c>
      <c r="DI17" s="816">
        <v>1</v>
      </c>
      <c r="DJ17" s="816">
        <v>1</v>
      </c>
      <c r="DK17" s="816">
        <v>1</v>
      </c>
      <c r="DL17" s="816">
        <v>1</v>
      </c>
      <c r="DM17" s="816">
        <v>1</v>
      </c>
      <c r="DN17" s="816">
        <v>1</v>
      </c>
      <c r="DO17" s="816">
        <v>1</v>
      </c>
      <c r="DP17" s="816">
        <v>1</v>
      </c>
      <c r="DQ17" s="816">
        <v>1</v>
      </c>
      <c r="DR17" s="816">
        <v>1</v>
      </c>
      <c r="DS17" s="816">
        <v>1</v>
      </c>
      <c r="DT17" s="816">
        <v>1</v>
      </c>
      <c r="DU17" s="816">
        <v>1</v>
      </c>
      <c r="DV17" s="816">
        <v>1</v>
      </c>
      <c r="DX17" s="816">
        <v>1</v>
      </c>
      <c r="DY17" s="816">
        <v>1</v>
      </c>
      <c r="DZ17" s="816">
        <v>1</v>
      </c>
      <c r="EA17" s="816">
        <v>1</v>
      </c>
      <c r="EB17" s="816">
        <v>1</v>
      </c>
      <c r="EC17" s="816">
        <v>1</v>
      </c>
      <c r="ED17" s="816">
        <v>1</v>
      </c>
      <c r="EE17" s="816">
        <v>1</v>
      </c>
      <c r="EF17" s="816">
        <v>1</v>
      </c>
      <c r="EG17" s="816">
        <v>1</v>
      </c>
      <c r="EH17" s="816">
        <v>1</v>
      </c>
      <c r="EI17" s="816">
        <v>1</v>
      </c>
      <c r="EJ17" s="816">
        <v>1</v>
      </c>
      <c r="EK17" s="816">
        <v>1</v>
      </c>
      <c r="EL17" s="816">
        <v>1</v>
      </c>
      <c r="EM17" s="816">
        <v>1</v>
      </c>
      <c r="FQ17" s="898"/>
      <c r="FS17" s="898"/>
      <c r="FT17" s="898"/>
      <c r="FU17" s="898"/>
      <c r="FV17" s="898"/>
      <c r="FW17" s="898"/>
      <c r="FX17" s="898"/>
      <c r="FY17" s="898"/>
      <c r="FZ17" s="898"/>
      <c r="GA17" s="898"/>
      <c r="GB17" s="898"/>
      <c r="GC17" s="898"/>
      <c r="GD17" s="898"/>
      <c r="GE17" s="898"/>
      <c r="GF17" s="898"/>
      <c r="GG17" s="898"/>
      <c r="GH17" s="898"/>
      <c r="GJ17" s="898"/>
      <c r="GK17" s="898"/>
      <c r="GL17" s="898"/>
      <c r="GM17" s="898"/>
      <c r="GN17" s="898"/>
      <c r="GO17" s="898"/>
      <c r="GP17" s="898"/>
      <c r="GQ17" s="898"/>
      <c r="GR17" s="898"/>
      <c r="GS17" s="898"/>
      <c r="GT17" s="898"/>
      <c r="GU17" s="898"/>
      <c r="GV17" s="898"/>
      <c r="GW17" s="898"/>
      <c r="GX17" s="898"/>
      <c r="GY17" s="898"/>
      <c r="HA17" s="898"/>
      <c r="HB17" s="898"/>
      <c r="HC17" s="898"/>
      <c r="HD17" s="898"/>
      <c r="HE17" s="898"/>
      <c r="HF17" s="898"/>
      <c r="HG17" s="898"/>
      <c r="HH17" s="898"/>
      <c r="HI17" s="898"/>
      <c r="HJ17" s="898"/>
      <c r="HK17" s="898"/>
      <c r="HL17" s="898"/>
      <c r="HM17" s="898"/>
      <c r="HN17" s="898"/>
      <c r="HO17" s="898"/>
      <c r="HP17" s="898"/>
    </row>
    <row r="18" spans="1:224">
      <c r="A18" s="816" t="s">
        <v>1235</v>
      </c>
      <c r="B18" s="816" t="s">
        <v>1232</v>
      </c>
      <c r="C18" s="816">
        <v>1</v>
      </c>
      <c r="D18" s="816">
        <f t="shared" si="0"/>
        <v>1</v>
      </c>
      <c r="E18" s="816">
        <v>0</v>
      </c>
      <c r="F18" s="816" t="str">
        <f>INDEX('Data Interface'!$C:$C,MATCH(B18,'Data Interface'!$B:$B,0))</f>
        <v>Due to Banks - Time Deposit</v>
      </c>
      <c r="G18" s="894">
        <f ca="1">IF($C18=1,$AJ18,SUM($AJ18:$AL18)*INDEX('Schedule Allocation'!G:G,MATCH($D18,'Schedule Allocation'!$A:$A,0)))</f>
        <v>1</v>
      </c>
      <c r="H18" s="894">
        <f ca="1">IF($C18=1,$AK18,SUM($AJ18:$AL18)*INDEX('Schedule Allocation'!H:H,MATCH($D18,'Schedule Allocation'!$A:$A,0)))</f>
        <v>1</v>
      </c>
      <c r="I18" s="894">
        <f ca="1">IF($C18=1,$AK18,SUM($AJ18:$AL18)*INDEX('Schedule Allocation'!I:I,MATCH($D18,'Schedule Allocation'!$A:$A,0)))</f>
        <v>1</v>
      </c>
      <c r="J18" s="894">
        <f ca="1">IF($C18=1,$AK18,SUM($AJ18:$AL18)*INDEX('Schedule Allocation'!J:J,MATCH($D18,'Schedule Allocation'!$A:$A,0)))</f>
        <v>1</v>
      </c>
      <c r="K18" s="894">
        <f ca="1">IF($C18=1,$AK18,SUM($AJ18:$AL18)*INDEX('Schedule Allocation'!K:K,MATCH($D18,'Schedule Allocation'!$A:$A,0)))</f>
        <v>1</v>
      </c>
      <c r="L18" s="894">
        <f ca="1">IF($C18=1,$AK18,SUM($AJ18:$AL18)*INDEX('Schedule Allocation'!L:L,MATCH($D18,'Schedule Allocation'!$A:$A,0)))</f>
        <v>1</v>
      </c>
      <c r="M18" s="894">
        <f ca="1">IF($C18=1,$AK18,SUM($AJ18:$AL18)*INDEX('Schedule Allocation'!M:M,MATCH($D18,'Schedule Allocation'!$A:$A,0)))</f>
        <v>1</v>
      </c>
      <c r="N18" s="894">
        <f ca="1">IF($C18=1,$AL18,SUM($AJ18:$AL18)*INDEX('Schedule Allocation'!N:N,MATCH($D18,'Schedule Allocation'!$A:$A,0)))</f>
        <v>1</v>
      </c>
      <c r="O18" s="894">
        <f ca="1">IF($C18=1,$AL18,SUM($AJ18:$AL18)*INDEX('Schedule Allocation'!O:O,MATCH($D18,'Schedule Allocation'!$A:$A,0)))</f>
        <v>1</v>
      </c>
      <c r="P18" s="894">
        <f ca="1">IF($C18=1,$AL18,SUM($AJ18:$AL18)*INDEX('Schedule Allocation'!P:P,MATCH($D18,'Schedule Allocation'!$A:$A,0)))</f>
        <v>1</v>
      </c>
      <c r="Q18" s="894">
        <f ca="1">IF($C18=1,$AL18,SUM($AJ18:$AL18)*INDEX('Schedule Allocation'!Q:Q,MATCH($D18,'Schedule Allocation'!$A:$A,0)))</f>
        <v>1</v>
      </c>
      <c r="R18" s="894">
        <f ca="1">IF($C18=1,$AL18,SUM($AJ18:$AL18)*INDEX('Schedule Allocation'!R:R,MATCH($D18,'Schedule Allocation'!$A:$A,0)))</f>
        <v>1</v>
      </c>
      <c r="S18" s="894">
        <f ca="1">IF($C18=1,$AL18,SUM($AJ18:$AL18)*INDEX('Schedule Allocation'!S:S,MATCH($D18,'Schedule Allocation'!$A:$A,0)))</f>
        <v>1</v>
      </c>
      <c r="T18" s="894">
        <f ca="1">IF($C18=1,$AL18,SUM($AJ18:$AL18)*INDEX('Schedule Allocation'!T:T,MATCH($D18,'Schedule Allocation'!$A:$A,0)))</f>
        <v>1</v>
      </c>
      <c r="U18" s="894">
        <f ca="1">OFFSET(AT18,0,(MATCH('Model Report Formatized'!$E$1,$AN$1:$AN$6,0))*17-17)</f>
        <v>1</v>
      </c>
      <c r="V18" s="894">
        <f ca="1">OFFSET(AU18,0,(MATCH('Model Report Formatized'!$E$1,$AN$1:$AN$6,0))*17-17)</f>
        <v>1</v>
      </c>
      <c r="W18" s="894">
        <f ca="1">OFFSET(AV18,0,(MATCH('Model Report Formatized'!$E$1,$AN$1:$AN$6,0))*17-17)</f>
        <v>1</v>
      </c>
      <c r="X18" s="894">
        <f ca="1">OFFSET(AW18,0,(MATCH('Model Report Formatized'!$E$1,$AN$1:$AN$6,0))*17-17)</f>
        <v>1</v>
      </c>
      <c r="Y18" s="894">
        <f ca="1">OFFSET(AX18,0,(MATCH('Model Report Formatized'!$E$1,$AN$1:$AN$6,0))*17-17)</f>
        <v>1</v>
      </c>
      <c r="Z18" s="894">
        <f ca="1">OFFSET(AY18,0,(MATCH('Model Report Formatized'!$E$1,$AN$1:$AN$6,0))*17-17)</f>
        <v>1</v>
      </c>
      <c r="AA18" s="894">
        <f ca="1">OFFSET(AZ18,0,(MATCH('Model Report Formatized'!$E$1,$AN$1:$AN$6,0))*17-17)</f>
        <v>1</v>
      </c>
      <c r="AB18" s="894">
        <f ca="1">OFFSET(BA18,0,(MATCH('Model Report Formatized'!$E$1,$AN$1:$AN$6,0))*17-17)</f>
        <v>1</v>
      </c>
      <c r="AC18" s="894">
        <f ca="1">OFFSET(BB18,0,(MATCH('Model Report Formatized'!$E$1,$AN$1:$AN$6,0))*17-17)</f>
        <v>1</v>
      </c>
      <c r="AD18" s="894">
        <f ca="1">OFFSET(BC18,0,(MATCH('Model Report Formatized'!$E$1,$AN$1:$AN$6,0))*17-17)</f>
        <v>1</v>
      </c>
      <c r="AE18" s="894">
        <f ca="1">OFFSET(BD18,0,(MATCH('Model Report Formatized'!$E$1,$AN$1:$AN$6,0))*17-17)</f>
        <v>1</v>
      </c>
      <c r="AF18" s="894">
        <f ca="1">OFFSET(BE18,0,(MATCH('Model Report Formatized'!$E$1,$AN$1:$AN$6,0))*17-17)</f>
        <v>1</v>
      </c>
      <c r="AG18" s="894">
        <f ca="1">OFFSET(BF18,0,(MATCH('Model Report Formatized'!$E$1,$AN$1:$AN$6,0))*17-17)</f>
        <v>1</v>
      </c>
      <c r="AH18" s="891">
        <f t="shared" ca="1" si="1"/>
        <v>1</v>
      </c>
      <c r="AJ18" s="895">
        <f ca="1">OFFSET(AQ18,0,(MATCH('Model Report Formatized'!$E$1,$AN$1:$AN$6,0))*17-17)</f>
        <v>1</v>
      </c>
      <c r="AK18" s="895">
        <f ca="1">OFFSET(AR18,0,(MATCH('Model Report Formatized'!$E$1,$AN$1:$AN$6,0))*17-17)</f>
        <v>1</v>
      </c>
      <c r="AL18" s="895">
        <f ca="1">OFFSET(AS18,0,(MATCH('Model Report Formatized'!$E$1,$AN$1:$AN$6,0))*17-17)</f>
        <v>1</v>
      </c>
      <c r="AQ18" s="893">
        <v>1</v>
      </c>
      <c r="AR18" s="893">
        <v>1</v>
      </c>
      <c r="AS18" s="893">
        <v>1</v>
      </c>
      <c r="AT18" s="893">
        <v>1</v>
      </c>
      <c r="AU18" s="893">
        <v>1</v>
      </c>
      <c r="AV18" s="893">
        <v>1</v>
      </c>
      <c r="AW18" s="893">
        <v>1</v>
      </c>
      <c r="AX18" s="893">
        <v>1</v>
      </c>
      <c r="AY18" s="893">
        <v>1</v>
      </c>
      <c r="AZ18" s="893">
        <v>1</v>
      </c>
      <c r="BA18" s="893">
        <v>1</v>
      </c>
      <c r="BB18" s="893">
        <v>1</v>
      </c>
      <c r="BC18" s="893">
        <v>1</v>
      </c>
      <c r="BD18" s="893">
        <v>1</v>
      </c>
      <c r="BE18" s="893">
        <v>1</v>
      </c>
      <c r="BF18" s="893">
        <v>1</v>
      </c>
      <c r="BH18" s="816">
        <v>1</v>
      </c>
      <c r="BI18" s="816">
        <v>1</v>
      </c>
      <c r="BJ18" s="816">
        <v>1</v>
      </c>
      <c r="BK18" s="816">
        <v>1</v>
      </c>
      <c r="BL18" s="816">
        <v>1</v>
      </c>
      <c r="BM18" s="816">
        <v>1</v>
      </c>
      <c r="BN18" s="816">
        <v>1</v>
      </c>
      <c r="BO18" s="816">
        <v>1</v>
      </c>
      <c r="BP18" s="816">
        <v>1</v>
      </c>
      <c r="BQ18" s="816">
        <v>1</v>
      </c>
      <c r="BR18" s="816">
        <v>1</v>
      </c>
      <c r="BS18" s="816">
        <v>1</v>
      </c>
      <c r="BT18" s="816">
        <v>1</v>
      </c>
      <c r="BU18" s="816">
        <v>1</v>
      </c>
      <c r="BV18" s="816">
        <v>1</v>
      </c>
      <c r="BW18" s="816">
        <v>1</v>
      </c>
      <c r="BY18" s="817">
        <v>1</v>
      </c>
      <c r="BZ18" s="817">
        <v>1</v>
      </c>
      <c r="CA18" s="817">
        <v>1</v>
      </c>
      <c r="CB18" s="817">
        <v>1</v>
      </c>
      <c r="CC18" s="817">
        <v>1</v>
      </c>
      <c r="CD18" s="817">
        <v>1</v>
      </c>
      <c r="CE18" s="817">
        <v>1</v>
      </c>
      <c r="CF18" s="817">
        <v>1</v>
      </c>
      <c r="CG18" s="817">
        <v>1</v>
      </c>
      <c r="CH18" s="817">
        <v>1</v>
      </c>
      <c r="CI18" s="817">
        <v>1</v>
      </c>
      <c r="CJ18" s="817">
        <v>1</v>
      </c>
      <c r="CK18" s="817">
        <v>1</v>
      </c>
      <c r="CL18" s="817">
        <v>1</v>
      </c>
      <c r="CM18" s="817">
        <v>1</v>
      </c>
      <c r="CN18" s="817">
        <v>1</v>
      </c>
      <c r="CP18" s="875">
        <v>1</v>
      </c>
      <c r="CQ18" s="875">
        <v>1</v>
      </c>
      <c r="CR18" s="875">
        <v>1</v>
      </c>
      <c r="CS18" s="875">
        <v>1</v>
      </c>
      <c r="CT18" s="875">
        <v>1</v>
      </c>
      <c r="CU18" s="875">
        <v>1</v>
      </c>
      <c r="CV18" s="875">
        <v>1</v>
      </c>
      <c r="CW18" s="875">
        <v>1</v>
      </c>
      <c r="CX18" s="875">
        <v>1</v>
      </c>
      <c r="CY18" s="875">
        <v>1</v>
      </c>
      <c r="CZ18" s="875">
        <v>1</v>
      </c>
      <c r="DA18" s="875">
        <v>1</v>
      </c>
      <c r="DB18" s="875">
        <v>1</v>
      </c>
      <c r="DC18" s="875">
        <v>1</v>
      </c>
      <c r="DD18" s="875">
        <v>1</v>
      </c>
      <c r="DE18" s="875">
        <v>1</v>
      </c>
      <c r="DG18" s="816">
        <v>1</v>
      </c>
      <c r="DH18" s="816">
        <v>1</v>
      </c>
      <c r="DI18" s="816">
        <v>1</v>
      </c>
      <c r="DJ18" s="816">
        <v>1</v>
      </c>
      <c r="DK18" s="816">
        <v>1</v>
      </c>
      <c r="DL18" s="816">
        <v>1</v>
      </c>
      <c r="DM18" s="816">
        <v>1</v>
      </c>
      <c r="DN18" s="816">
        <v>1</v>
      </c>
      <c r="DO18" s="816">
        <v>1</v>
      </c>
      <c r="DP18" s="816">
        <v>1</v>
      </c>
      <c r="DQ18" s="816">
        <v>1</v>
      </c>
      <c r="DR18" s="816">
        <v>1</v>
      </c>
      <c r="DS18" s="816">
        <v>1</v>
      </c>
      <c r="DT18" s="816">
        <v>1</v>
      </c>
      <c r="DU18" s="816">
        <v>1</v>
      </c>
      <c r="DV18" s="816">
        <v>1</v>
      </c>
      <c r="DX18" s="816">
        <v>1</v>
      </c>
      <c r="DY18" s="816">
        <v>1</v>
      </c>
      <c r="DZ18" s="816">
        <v>1</v>
      </c>
      <c r="EA18" s="816">
        <v>1</v>
      </c>
      <c r="EB18" s="816">
        <v>1</v>
      </c>
      <c r="EC18" s="816">
        <v>1</v>
      </c>
      <c r="ED18" s="816">
        <v>1</v>
      </c>
      <c r="EE18" s="816">
        <v>1</v>
      </c>
      <c r="EF18" s="816">
        <v>1</v>
      </c>
      <c r="EG18" s="816">
        <v>1</v>
      </c>
      <c r="EH18" s="816">
        <v>1</v>
      </c>
      <c r="EI18" s="816">
        <v>1</v>
      </c>
      <c r="EJ18" s="816">
        <v>1</v>
      </c>
      <c r="EK18" s="816">
        <v>1</v>
      </c>
      <c r="EL18" s="816">
        <v>1</v>
      </c>
      <c r="EM18" s="816">
        <v>1</v>
      </c>
      <c r="FQ18" s="898"/>
      <c r="FS18" s="898"/>
      <c r="FT18" s="898"/>
      <c r="FU18" s="898"/>
      <c r="FV18" s="898"/>
      <c r="FW18" s="898"/>
      <c r="FX18" s="898"/>
      <c r="FY18" s="898"/>
      <c r="FZ18" s="898"/>
      <c r="GA18" s="898"/>
      <c r="GB18" s="898"/>
      <c r="GC18" s="898"/>
      <c r="GD18" s="898"/>
      <c r="GE18" s="898"/>
      <c r="GF18" s="898"/>
      <c r="GG18" s="898"/>
      <c r="GH18" s="898"/>
      <c r="GJ18" s="898"/>
      <c r="GK18" s="898"/>
      <c r="GL18" s="898"/>
      <c r="GM18" s="898"/>
      <c r="GN18" s="898"/>
      <c r="GO18" s="898"/>
      <c r="GP18" s="898"/>
      <c r="GQ18" s="898"/>
      <c r="GR18" s="898"/>
      <c r="GS18" s="898"/>
      <c r="GT18" s="898"/>
      <c r="GU18" s="898"/>
      <c r="GV18" s="898"/>
      <c r="GW18" s="898"/>
      <c r="GX18" s="898"/>
      <c r="GY18" s="898"/>
      <c r="HA18" s="898"/>
      <c r="HB18" s="898"/>
      <c r="HC18" s="898"/>
      <c r="HD18" s="898"/>
      <c r="HE18" s="898"/>
      <c r="HF18" s="898"/>
      <c r="HG18" s="898"/>
      <c r="HH18" s="898"/>
      <c r="HI18" s="898"/>
      <c r="HJ18" s="898"/>
      <c r="HK18" s="898"/>
      <c r="HL18" s="898"/>
      <c r="HM18" s="898"/>
      <c r="HN18" s="898"/>
      <c r="HO18" s="898"/>
      <c r="HP18" s="898"/>
    </row>
    <row r="19" spans="1:224">
      <c r="A19" s="816" t="s">
        <v>1303</v>
      </c>
      <c r="B19" s="816" t="s">
        <v>1313</v>
      </c>
      <c r="C19" s="816">
        <v>1</v>
      </c>
      <c r="D19" s="816">
        <f t="shared" si="0"/>
        <v>0</v>
      </c>
      <c r="E19" s="816">
        <v>0</v>
      </c>
      <c r="F19" s="816" t="str">
        <f>INDEX('Data Interface'!$C:$C,MATCH(B19,'Data Interface'!$B:$B,0))</f>
        <v>Eurofund Borrowed</v>
      </c>
      <c r="G19" s="894">
        <f ca="1">IF($C19=1,$AJ19,SUM($AJ19:$AL19)*INDEX('Schedule Allocation'!G:G,MATCH($D19,'Schedule Allocation'!$A:$A,0)))</f>
        <v>1</v>
      </c>
      <c r="H19" s="894">
        <f ca="1">IF($C19=1,$AK19,SUM($AJ19:$AL19)*INDEX('Schedule Allocation'!H:H,MATCH($D19,'Schedule Allocation'!$A:$A,0)))</f>
        <v>1</v>
      </c>
      <c r="I19" s="894">
        <f ca="1">IF($C19=1,$AK19,SUM($AJ19:$AL19)*INDEX('Schedule Allocation'!I:I,MATCH($D19,'Schedule Allocation'!$A:$A,0)))</f>
        <v>1</v>
      </c>
      <c r="J19" s="894">
        <f ca="1">IF($C19=1,$AK19,SUM($AJ19:$AL19)*INDEX('Schedule Allocation'!J:J,MATCH($D19,'Schedule Allocation'!$A:$A,0)))</f>
        <v>1</v>
      </c>
      <c r="K19" s="894">
        <f ca="1">IF($C19=1,$AK19,SUM($AJ19:$AL19)*INDEX('Schedule Allocation'!K:K,MATCH($D19,'Schedule Allocation'!$A:$A,0)))</f>
        <v>1</v>
      </c>
      <c r="L19" s="894">
        <f ca="1">IF($C19=1,$AK19,SUM($AJ19:$AL19)*INDEX('Schedule Allocation'!L:L,MATCH($D19,'Schedule Allocation'!$A:$A,0)))</f>
        <v>1</v>
      </c>
      <c r="M19" s="894">
        <f ca="1">IF($C19=1,$AK19,SUM($AJ19:$AL19)*INDEX('Schedule Allocation'!M:M,MATCH($D19,'Schedule Allocation'!$A:$A,0)))</f>
        <v>1</v>
      </c>
      <c r="N19" s="894">
        <f ca="1">IF($C19=1,$AL19,SUM($AJ19:$AL19)*INDEX('Schedule Allocation'!N:N,MATCH($D19,'Schedule Allocation'!$A:$A,0)))</f>
        <v>1</v>
      </c>
      <c r="O19" s="894">
        <f ca="1">IF($C19=1,$AL19,SUM($AJ19:$AL19)*INDEX('Schedule Allocation'!O:O,MATCH($D19,'Schedule Allocation'!$A:$A,0)))</f>
        <v>1</v>
      </c>
      <c r="P19" s="894">
        <f ca="1">IF($C19=1,$AL19,SUM($AJ19:$AL19)*INDEX('Schedule Allocation'!P:P,MATCH($D19,'Schedule Allocation'!$A:$A,0)))</f>
        <v>1</v>
      </c>
      <c r="Q19" s="894">
        <f ca="1">IF($C19=1,$AL19,SUM($AJ19:$AL19)*INDEX('Schedule Allocation'!Q:Q,MATCH($D19,'Schedule Allocation'!$A:$A,0)))</f>
        <v>1</v>
      </c>
      <c r="R19" s="894">
        <f ca="1">IF($C19=1,$AL19,SUM($AJ19:$AL19)*INDEX('Schedule Allocation'!R:R,MATCH($D19,'Schedule Allocation'!$A:$A,0)))</f>
        <v>1</v>
      </c>
      <c r="S19" s="894">
        <f ca="1">IF($C19=1,$AL19,SUM($AJ19:$AL19)*INDEX('Schedule Allocation'!S:S,MATCH($D19,'Schedule Allocation'!$A:$A,0)))</f>
        <v>1</v>
      </c>
      <c r="T19" s="894">
        <f ca="1">IF($C19=1,$AL19,SUM($AJ19:$AL19)*INDEX('Schedule Allocation'!T:T,MATCH($D19,'Schedule Allocation'!$A:$A,0)))</f>
        <v>1</v>
      </c>
      <c r="U19" s="894">
        <f ca="1">OFFSET(AT19,0,(MATCH('Model Report Formatized'!$E$1,$AN$1:$AN$6,0))*17-17)</f>
        <v>1</v>
      </c>
      <c r="V19" s="894">
        <f ca="1">OFFSET(AU19,0,(MATCH('Model Report Formatized'!$E$1,$AN$1:$AN$6,0))*17-17)</f>
        <v>1</v>
      </c>
      <c r="W19" s="894">
        <f ca="1">OFFSET(AV19,0,(MATCH('Model Report Formatized'!$E$1,$AN$1:$AN$6,0))*17-17)</f>
        <v>1</v>
      </c>
      <c r="X19" s="894">
        <f ca="1">OFFSET(AW19,0,(MATCH('Model Report Formatized'!$E$1,$AN$1:$AN$6,0))*17-17)</f>
        <v>1</v>
      </c>
      <c r="Y19" s="894">
        <f ca="1">OFFSET(AX19,0,(MATCH('Model Report Formatized'!$E$1,$AN$1:$AN$6,0))*17-17)</f>
        <v>1</v>
      </c>
      <c r="Z19" s="894">
        <f ca="1">OFFSET(AY19,0,(MATCH('Model Report Formatized'!$E$1,$AN$1:$AN$6,0))*17-17)</f>
        <v>1</v>
      </c>
      <c r="AA19" s="894">
        <f ca="1">OFFSET(AZ19,0,(MATCH('Model Report Formatized'!$E$1,$AN$1:$AN$6,0))*17-17)</f>
        <v>1</v>
      </c>
      <c r="AB19" s="894">
        <f ca="1">OFFSET(BA19,0,(MATCH('Model Report Formatized'!$E$1,$AN$1:$AN$6,0))*17-17)</f>
        <v>1</v>
      </c>
      <c r="AC19" s="894">
        <f ca="1">OFFSET(BB19,0,(MATCH('Model Report Formatized'!$E$1,$AN$1:$AN$6,0))*17-17)</f>
        <v>1</v>
      </c>
      <c r="AD19" s="894">
        <f ca="1">OFFSET(BC19,0,(MATCH('Model Report Formatized'!$E$1,$AN$1:$AN$6,0))*17-17)</f>
        <v>1</v>
      </c>
      <c r="AE19" s="894">
        <f ca="1">OFFSET(BD19,0,(MATCH('Model Report Formatized'!$E$1,$AN$1:$AN$6,0))*17-17)</f>
        <v>1</v>
      </c>
      <c r="AF19" s="894">
        <f ca="1">OFFSET(BE19,0,(MATCH('Model Report Formatized'!$E$1,$AN$1:$AN$6,0))*17-17)</f>
        <v>1</v>
      </c>
      <c r="AG19" s="894">
        <f ca="1">OFFSET(BF19,0,(MATCH('Model Report Formatized'!$E$1,$AN$1:$AN$6,0))*17-17)</f>
        <v>1</v>
      </c>
      <c r="AH19" s="891">
        <f t="shared" ca="1" si="1"/>
        <v>1</v>
      </c>
      <c r="AJ19" s="895">
        <f ca="1">OFFSET(AQ19,0,(MATCH('Model Report Formatized'!$E$1,$AN$1:$AN$6,0))*17-17)</f>
        <v>1</v>
      </c>
      <c r="AK19" s="895">
        <f ca="1">OFFSET(AR19,0,(MATCH('Model Report Formatized'!$E$1,$AN$1:$AN$6,0))*17-17)</f>
        <v>1</v>
      </c>
      <c r="AL19" s="895">
        <f ca="1">OFFSET(AS19,0,(MATCH('Model Report Formatized'!$E$1,$AN$1:$AN$6,0))*17-17)</f>
        <v>1</v>
      </c>
      <c r="AQ19" s="893">
        <v>1</v>
      </c>
      <c r="AR19" s="893">
        <v>1</v>
      </c>
      <c r="AS19" s="893">
        <v>1</v>
      </c>
      <c r="AT19" s="893">
        <v>1</v>
      </c>
      <c r="AU19" s="893">
        <v>1</v>
      </c>
      <c r="AV19" s="893">
        <v>1</v>
      </c>
      <c r="AW19" s="893">
        <v>1</v>
      </c>
      <c r="AX19" s="893">
        <v>1</v>
      </c>
      <c r="AY19" s="893">
        <v>1</v>
      </c>
      <c r="AZ19" s="893">
        <v>1</v>
      </c>
      <c r="BA19" s="893">
        <v>1</v>
      </c>
      <c r="BB19" s="893">
        <v>1</v>
      </c>
      <c r="BC19" s="893">
        <v>1</v>
      </c>
      <c r="BD19" s="893">
        <v>1</v>
      </c>
      <c r="BE19" s="893">
        <v>1</v>
      </c>
      <c r="BF19" s="893">
        <v>1</v>
      </c>
      <c r="BH19" s="816">
        <v>1</v>
      </c>
      <c r="BI19" s="816">
        <v>1</v>
      </c>
      <c r="BJ19" s="816">
        <v>1</v>
      </c>
      <c r="BK19" s="816">
        <v>1</v>
      </c>
      <c r="BL19" s="816">
        <v>1</v>
      </c>
      <c r="BM19" s="816">
        <v>1</v>
      </c>
      <c r="BN19" s="816">
        <v>1</v>
      </c>
      <c r="BO19" s="816">
        <v>1</v>
      </c>
      <c r="BP19" s="816">
        <v>1</v>
      </c>
      <c r="BQ19" s="816">
        <v>1</v>
      </c>
      <c r="BR19" s="816">
        <v>1</v>
      </c>
      <c r="BS19" s="816">
        <v>1</v>
      </c>
      <c r="BT19" s="816">
        <v>1</v>
      </c>
      <c r="BU19" s="816">
        <v>1</v>
      </c>
      <c r="BV19" s="816">
        <v>1</v>
      </c>
      <c r="BW19" s="816">
        <v>1</v>
      </c>
      <c r="BY19" s="816">
        <v>1</v>
      </c>
      <c r="BZ19" s="816">
        <v>1</v>
      </c>
      <c r="CA19" s="816">
        <v>1</v>
      </c>
      <c r="CB19" s="816">
        <v>1</v>
      </c>
      <c r="CC19" s="816">
        <v>1</v>
      </c>
      <c r="CD19" s="816">
        <v>1</v>
      </c>
      <c r="CE19" s="816">
        <v>1</v>
      </c>
      <c r="CF19" s="816">
        <v>1</v>
      </c>
      <c r="CG19" s="816">
        <v>1</v>
      </c>
      <c r="CH19" s="816">
        <v>1</v>
      </c>
      <c r="CI19" s="816">
        <v>1</v>
      </c>
      <c r="CJ19" s="816">
        <v>1</v>
      </c>
      <c r="CK19" s="816">
        <v>1</v>
      </c>
      <c r="CL19" s="816">
        <v>1</v>
      </c>
      <c r="CM19" s="816">
        <v>1</v>
      </c>
      <c r="CN19" s="816">
        <v>1</v>
      </c>
      <c r="CP19" s="875">
        <v>1</v>
      </c>
      <c r="CQ19" s="875">
        <v>1</v>
      </c>
      <c r="CR19" s="875">
        <v>1</v>
      </c>
      <c r="CS19" s="875">
        <v>1</v>
      </c>
      <c r="CT19" s="875">
        <v>1</v>
      </c>
      <c r="CU19" s="875">
        <v>1</v>
      </c>
      <c r="CV19" s="875">
        <v>1</v>
      </c>
      <c r="CW19" s="875">
        <v>1</v>
      </c>
      <c r="CX19" s="875">
        <v>1</v>
      </c>
      <c r="CY19" s="875">
        <v>1</v>
      </c>
      <c r="CZ19" s="875">
        <v>1</v>
      </c>
      <c r="DA19" s="875">
        <v>1</v>
      </c>
      <c r="DB19" s="875">
        <v>1</v>
      </c>
      <c r="DC19" s="875">
        <v>1</v>
      </c>
      <c r="DD19" s="875">
        <v>1</v>
      </c>
      <c r="DE19" s="875">
        <v>1</v>
      </c>
      <c r="DG19" s="816">
        <v>1</v>
      </c>
      <c r="DH19" s="816">
        <v>1</v>
      </c>
      <c r="DI19" s="816">
        <v>1</v>
      </c>
      <c r="DJ19" s="816">
        <v>1</v>
      </c>
      <c r="DK19" s="816">
        <v>1</v>
      </c>
      <c r="DL19" s="816">
        <v>1</v>
      </c>
      <c r="DM19" s="816">
        <v>1</v>
      </c>
      <c r="DN19" s="816">
        <v>1</v>
      </c>
      <c r="DO19" s="816">
        <v>1</v>
      </c>
      <c r="DP19" s="816">
        <v>1</v>
      </c>
      <c r="DQ19" s="816">
        <v>1</v>
      </c>
      <c r="DR19" s="816">
        <v>1</v>
      </c>
      <c r="DS19" s="816">
        <v>1</v>
      </c>
      <c r="DT19" s="816">
        <v>1</v>
      </c>
      <c r="DU19" s="816">
        <v>1</v>
      </c>
      <c r="DV19" s="816">
        <v>1</v>
      </c>
      <c r="DX19" s="816">
        <v>1</v>
      </c>
      <c r="DY19" s="816">
        <v>1</v>
      </c>
      <c r="DZ19" s="816">
        <v>1</v>
      </c>
      <c r="EA19" s="816">
        <v>1</v>
      </c>
      <c r="EB19" s="816">
        <v>1</v>
      </c>
      <c r="EC19" s="816">
        <v>1</v>
      </c>
      <c r="ED19" s="816">
        <v>1</v>
      </c>
      <c r="EE19" s="816">
        <v>1</v>
      </c>
      <c r="EF19" s="816">
        <v>1</v>
      </c>
      <c r="EG19" s="816">
        <v>1</v>
      </c>
      <c r="EH19" s="816">
        <v>1</v>
      </c>
      <c r="EI19" s="816">
        <v>1</v>
      </c>
      <c r="EJ19" s="816">
        <v>1</v>
      </c>
      <c r="EK19" s="816">
        <v>1</v>
      </c>
      <c r="EL19" s="816">
        <v>1</v>
      </c>
      <c r="EM19" s="816">
        <v>1</v>
      </c>
      <c r="FQ19" s="898"/>
      <c r="FS19" s="898"/>
      <c r="FT19" s="898"/>
      <c r="FU19" s="898"/>
      <c r="FV19" s="898"/>
      <c r="FW19" s="898"/>
      <c r="FX19" s="898"/>
      <c r="FY19" s="898"/>
      <c r="FZ19" s="898"/>
      <c r="GA19" s="898"/>
      <c r="GB19" s="898"/>
      <c r="GC19" s="898"/>
      <c r="GD19" s="898"/>
      <c r="GE19" s="898"/>
      <c r="GF19" s="898"/>
      <c r="GG19" s="898"/>
      <c r="GH19" s="898"/>
      <c r="GJ19" s="898"/>
      <c r="GK19" s="898"/>
      <c r="GL19" s="898"/>
      <c r="GM19" s="898"/>
      <c r="GN19" s="898"/>
      <c r="GO19" s="898"/>
      <c r="GP19" s="898"/>
      <c r="GQ19" s="898"/>
      <c r="GR19" s="898"/>
      <c r="GS19" s="898"/>
      <c r="GT19" s="898"/>
      <c r="GU19" s="898"/>
      <c r="GV19" s="898"/>
      <c r="GW19" s="898"/>
      <c r="GX19" s="898"/>
      <c r="GY19" s="898"/>
      <c r="HA19" s="898"/>
      <c r="HB19" s="898"/>
      <c r="HC19" s="898"/>
      <c r="HD19" s="898"/>
      <c r="HE19" s="898"/>
      <c r="HF19" s="898"/>
      <c r="HG19" s="898"/>
      <c r="HH19" s="898"/>
      <c r="HI19" s="898"/>
      <c r="HJ19" s="898"/>
      <c r="HK19" s="898"/>
      <c r="HL19" s="898"/>
      <c r="HM19" s="898"/>
      <c r="HN19" s="898"/>
      <c r="HO19" s="898"/>
      <c r="HP19" s="898"/>
    </row>
    <row r="20" spans="1:224">
      <c r="A20" s="816" t="s">
        <v>1235</v>
      </c>
      <c r="B20" s="816" t="s">
        <v>1315</v>
      </c>
      <c r="C20" s="816">
        <v>1</v>
      </c>
      <c r="D20" s="816">
        <f t="shared" si="0"/>
        <v>0</v>
      </c>
      <c r="E20" s="816">
        <v>0</v>
      </c>
      <c r="F20" s="816" t="str">
        <f>INDEX('Data Interface'!$C:$C,MATCH(B20,'Data Interface'!$B:$B,0))</f>
        <v>Federal Fund Purchased</v>
      </c>
      <c r="G20" s="894">
        <f ca="1">IF($C20=1,$AJ20,SUM($AJ20:$AL20)*INDEX('Schedule Allocation'!G:G,MATCH($D20,'Schedule Allocation'!$A:$A,0)))</f>
        <v>1</v>
      </c>
      <c r="H20" s="894">
        <f ca="1">IF($C20=1,$AK20,SUM($AJ20:$AL20)*INDEX('Schedule Allocation'!H:H,MATCH($D20,'Schedule Allocation'!$A:$A,0)))</f>
        <v>1</v>
      </c>
      <c r="I20" s="894">
        <f ca="1">IF($C20=1,$AK20,SUM($AJ20:$AL20)*INDEX('Schedule Allocation'!I:I,MATCH($D20,'Schedule Allocation'!$A:$A,0)))</f>
        <v>1</v>
      </c>
      <c r="J20" s="894">
        <f ca="1">IF($C20=1,$AK20,SUM($AJ20:$AL20)*INDEX('Schedule Allocation'!J:J,MATCH($D20,'Schedule Allocation'!$A:$A,0)))</f>
        <v>1</v>
      </c>
      <c r="K20" s="894">
        <f ca="1">IF($C20=1,$AK20,SUM($AJ20:$AL20)*INDEX('Schedule Allocation'!K:K,MATCH($D20,'Schedule Allocation'!$A:$A,0)))</f>
        <v>1</v>
      </c>
      <c r="L20" s="894">
        <f ca="1">IF($C20=1,$AK20,SUM($AJ20:$AL20)*INDEX('Schedule Allocation'!L:L,MATCH($D20,'Schedule Allocation'!$A:$A,0)))</f>
        <v>1</v>
      </c>
      <c r="M20" s="894">
        <f ca="1">IF($C20=1,$AK20,SUM($AJ20:$AL20)*INDEX('Schedule Allocation'!M:M,MATCH($D20,'Schedule Allocation'!$A:$A,0)))</f>
        <v>1</v>
      </c>
      <c r="N20" s="894">
        <f ca="1">IF($C20=1,$AL20,SUM($AJ20:$AL20)*INDEX('Schedule Allocation'!N:N,MATCH($D20,'Schedule Allocation'!$A:$A,0)))</f>
        <v>1</v>
      </c>
      <c r="O20" s="894">
        <f ca="1">IF($C20=1,$AL20,SUM($AJ20:$AL20)*INDEX('Schedule Allocation'!O:O,MATCH($D20,'Schedule Allocation'!$A:$A,0)))</f>
        <v>1</v>
      </c>
      <c r="P20" s="894">
        <f ca="1">IF($C20=1,$AL20,SUM($AJ20:$AL20)*INDEX('Schedule Allocation'!P:P,MATCH($D20,'Schedule Allocation'!$A:$A,0)))</f>
        <v>1</v>
      </c>
      <c r="Q20" s="894">
        <f ca="1">IF($C20=1,$AL20,SUM($AJ20:$AL20)*INDEX('Schedule Allocation'!Q:Q,MATCH($D20,'Schedule Allocation'!$A:$A,0)))</f>
        <v>1</v>
      </c>
      <c r="R20" s="894">
        <f ca="1">IF($C20=1,$AL20,SUM($AJ20:$AL20)*INDEX('Schedule Allocation'!R:R,MATCH($D20,'Schedule Allocation'!$A:$A,0)))</f>
        <v>1</v>
      </c>
      <c r="S20" s="894">
        <f ca="1">IF($C20=1,$AL20,SUM($AJ20:$AL20)*INDEX('Schedule Allocation'!S:S,MATCH($D20,'Schedule Allocation'!$A:$A,0)))</f>
        <v>1</v>
      </c>
      <c r="T20" s="894">
        <f ca="1">IF($C20=1,$AL20,SUM($AJ20:$AL20)*INDEX('Schedule Allocation'!T:T,MATCH($D20,'Schedule Allocation'!$A:$A,0)))</f>
        <v>1</v>
      </c>
      <c r="U20" s="894">
        <f ca="1">OFFSET(AT20,0,(MATCH('Model Report Formatized'!$E$1,$AN$1:$AN$6,0))*17-17)</f>
        <v>1</v>
      </c>
      <c r="V20" s="894">
        <f ca="1">OFFSET(AU20,0,(MATCH('Model Report Formatized'!$E$1,$AN$1:$AN$6,0))*17-17)</f>
        <v>1</v>
      </c>
      <c r="W20" s="894">
        <f ca="1">OFFSET(AV20,0,(MATCH('Model Report Formatized'!$E$1,$AN$1:$AN$6,0))*17-17)</f>
        <v>1</v>
      </c>
      <c r="X20" s="894">
        <f ca="1">OFFSET(AW20,0,(MATCH('Model Report Formatized'!$E$1,$AN$1:$AN$6,0))*17-17)</f>
        <v>1</v>
      </c>
      <c r="Y20" s="894">
        <f ca="1">OFFSET(AX20,0,(MATCH('Model Report Formatized'!$E$1,$AN$1:$AN$6,0))*17-17)</f>
        <v>1</v>
      </c>
      <c r="Z20" s="894">
        <f ca="1">OFFSET(AY20,0,(MATCH('Model Report Formatized'!$E$1,$AN$1:$AN$6,0))*17-17)</f>
        <v>1</v>
      </c>
      <c r="AA20" s="894">
        <f ca="1">OFFSET(AZ20,0,(MATCH('Model Report Formatized'!$E$1,$AN$1:$AN$6,0))*17-17)</f>
        <v>1</v>
      </c>
      <c r="AB20" s="894">
        <f ca="1">OFFSET(BA20,0,(MATCH('Model Report Formatized'!$E$1,$AN$1:$AN$6,0))*17-17)</f>
        <v>1</v>
      </c>
      <c r="AC20" s="894">
        <f ca="1">OFFSET(BB20,0,(MATCH('Model Report Formatized'!$E$1,$AN$1:$AN$6,0))*17-17)</f>
        <v>1</v>
      </c>
      <c r="AD20" s="894">
        <f ca="1">OFFSET(BC20,0,(MATCH('Model Report Formatized'!$E$1,$AN$1:$AN$6,0))*17-17)</f>
        <v>1</v>
      </c>
      <c r="AE20" s="894">
        <f ca="1">OFFSET(BD20,0,(MATCH('Model Report Formatized'!$E$1,$AN$1:$AN$6,0))*17-17)</f>
        <v>1</v>
      </c>
      <c r="AF20" s="894">
        <f ca="1">OFFSET(BE20,0,(MATCH('Model Report Formatized'!$E$1,$AN$1:$AN$6,0))*17-17)</f>
        <v>1</v>
      </c>
      <c r="AG20" s="894">
        <f ca="1">OFFSET(BF20,0,(MATCH('Model Report Formatized'!$E$1,$AN$1:$AN$6,0))*17-17)</f>
        <v>1</v>
      </c>
      <c r="AH20" s="891">
        <f t="shared" ca="1" si="1"/>
        <v>1</v>
      </c>
      <c r="AJ20" s="895">
        <f ca="1">OFFSET(AQ20,0,(MATCH('Model Report Formatized'!$E$1,$AN$1:$AN$6,0))*17-17)</f>
        <v>1</v>
      </c>
      <c r="AK20" s="895">
        <f ca="1">OFFSET(AR20,0,(MATCH('Model Report Formatized'!$E$1,$AN$1:$AN$6,0))*17-17)</f>
        <v>1</v>
      </c>
      <c r="AL20" s="895">
        <f ca="1">OFFSET(AS20,0,(MATCH('Model Report Formatized'!$E$1,$AN$1:$AN$6,0))*17-17)</f>
        <v>1</v>
      </c>
      <c r="AQ20" s="893">
        <v>1</v>
      </c>
      <c r="AR20" s="893">
        <v>1</v>
      </c>
      <c r="AS20" s="893">
        <v>1</v>
      </c>
      <c r="AT20" s="893">
        <v>1</v>
      </c>
      <c r="AU20" s="893">
        <v>1</v>
      </c>
      <c r="AV20" s="893">
        <v>1</v>
      </c>
      <c r="AW20" s="893">
        <v>1</v>
      </c>
      <c r="AX20" s="893">
        <v>1</v>
      </c>
      <c r="AY20" s="893">
        <v>1</v>
      </c>
      <c r="AZ20" s="893">
        <v>1</v>
      </c>
      <c r="BA20" s="893">
        <v>1</v>
      </c>
      <c r="BB20" s="893">
        <v>1</v>
      </c>
      <c r="BC20" s="893">
        <v>1</v>
      </c>
      <c r="BD20" s="893">
        <v>1</v>
      </c>
      <c r="BE20" s="893">
        <v>1</v>
      </c>
      <c r="BF20" s="893">
        <v>1</v>
      </c>
      <c r="BH20" s="816">
        <v>1</v>
      </c>
      <c r="BI20" s="816">
        <v>1</v>
      </c>
      <c r="BJ20" s="816">
        <v>1</v>
      </c>
      <c r="BK20" s="816">
        <v>1</v>
      </c>
      <c r="BL20" s="816">
        <v>1</v>
      </c>
      <c r="BM20" s="816">
        <v>1</v>
      </c>
      <c r="BN20" s="816">
        <v>1</v>
      </c>
      <c r="BO20" s="816">
        <v>1</v>
      </c>
      <c r="BP20" s="816">
        <v>1</v>
      </c>
      <c r="BQ20" s="816">
        <v>1</v>
      </c>
      <c r="BR20" s="816">
        <v>1</v>
      </c>
      <c r="BS20" s="816">
        <v>1</v>
      </c>
      <c r="BT20" s="816">
        <v>1</v>
      </c>
      <c r="BU20" s="816">
        <v>1</v>
      </c>
      <c r="BV20" s="816">
        <v>1</v>
      </c>
      <c r="BW20" s="816">
        <v>1</v>
      </c>
      <c r="BY20" s="817">
        <v>1</v>
      </c>
      <c r="BZ20" s="817">
        <v>1</v>
      </c>
      <c r="CA20" s="817">
        <v>1</v>
      </c>
      <c r="CB20" s="817">
        <v>1</v>
      </c>
      <c r="CC20" s="817">
        <v>1</v>
      </c>
      <c r="CD20" s="817">
        <v>1</v>
      </c>
      <c r="CE20" s="817">
        <v>1</v>
      </c>
      <c r="CF20" s="817">
        <v>1</v>
      </c>
      <c r="CG20" s="817">
        <v>1</v>
      </c>
      <c r="CH20" s="817">
        <v>1</v>
      </c>
      <c r="CI20" s="817">
        <v>1</v>
      </c>
      <c r="CJ20" s="817">
        <v>1</v>
      </c>
      <c r="CK20" s="817">
        <v>1</v>
      </c>
      <c r="CL20" s="817">
        <v>1</v>
      </c>
      <c r="CM20" s="817">
        <v>1</v>
      </c>
      <c r="CN20" s="817">
        <v>1</v>
      </c>
      <c r="CP20" s="875">
        <v>1</v>
      </c>
      <c r="CQ20" s="875">
        <v>1</v>
      </c>
      <c r="CR20" s="875">
        <v>1</v>
      </c>
      <c r="CS20" s="875">
        <v>1</v>
      </c>
      <c r="CT20" s="875">
        <v>1</v>
      </c>
      <c r="CU20" s="875">
        <v>1</v>
      </c>
      <c r="CV20" s="875">
        <v>1</v>
      </c>
      <c r="CW20" s="875">
        <v>1</v>
      </c>
      <c r="CX20" s="875">
        <v>1</v>
      </c>
      <c r="CY20" s="875">
        <v>1</v>
      </c>
      <c r="CZ20" s="875">
        <v>1</v>
      </c>
      <c r="DA20" s="875">
        <v>1</v>
      </c>
      <c r="DB20" s="875">
        <v>1</v>
      </c>
      <c r="DC20" s="875">
        <v>1</v>
      </c>
      <c r="DD20" s="875">
        <v>1</v>
      </c>
      <c r="DE20" s="875">
        <v>1</v>
      </c>
      <c r="DG20" s="816">
        <v>1</v>
      </c>
      <c r="DH20" s="816">
        <v>1</v>
      </c>
      <c r="DI20" s="816">
        <v>1</v>
      </c>
      <c r="DJ20" s="816">
        <v>1</v>
      </c>
      <c r="DK20" s="816">
        <v>1</v>
      </c>
      <c r="DL20" s="816">
        <v>1</v>
      </c>
      <c r="DM20" s="816">
        <v>1</v>
      </c>
      <c r="DN20" s="816">
        <v>1</v>
      </c>
      <c r="DO20" s="816">
        <v>1</v>
      </c>
      <c r="DP20" s="816">
        <v>1</v>
      </c>
      <c r="DQ20" s="816">
        <v>1</v>
      </c>
      <c r="DR20" s="816">
        <v>1</v>
      </c>
      <c r="DS20" s="816">
        <v>1</v>
      </c>
      <c r="DT20" s="816">
        <v>1</v>
      </c>
      <c r="DU20" s="816">
        <v>1</v>
      </c>
      <c r="DV20" s="816">
        <v>1</v>
      </c>
      <c r="DX20" s="816">
        <v>1</v>
      </c>
      <c r="DY20" s="816">
        <v>1</v>
      </c>
      <c r="DZ20" s="816">
        <v>1</v>
      </c>
      <c r="EA20" s="816">
        <v>1</v>
      </c>
      <c r="EB20" s="816">
        <v>1</v>
      </c>
      <c r="EC20" s="816">
        <v>1</v>
      </c>
      <c r="ED20" s="816">
        <v>1</v>
      </c>
      <c r="EE20" s="816">
        <v>1</v>
      </c>
      <c r="EF20" s="816">
        <v>1</v>
      </c>
      <c r="EG20" s="816">
        <v>1</v>
      </c>
      <c r="EH20" s="816">
        <v>1</v>
      </c>
      <c r="EI20" s="816">
        <v>1</v>
      </c>
      <c r="EJ20" s="816">
        <v>1</v>
      </c>
      <c r="EK20" s="816">
        <v>1</v>
      </c>
      <c r="EL20" s="816">
        <v>1</v>
      </c>
      <c r="EM20" s="816">
        <v>1</v>
      </c>
      <c r="FQ20" s="898"/>
      <c r="FS20" s="898"/>
      <c r="FT20" s="898"/>
      <c r="FU20" s="898"/>
      <c r="FV20" s="898"/>
      <c r="FW20" s="898"/>
      <c r="FX20" s="898"/>
      <c r="FY20" s="898"/>
      <c r="FZ20" s="898"/>
      <c r="GA20" s="898"/>
      <c r="GB20" s="898"/>
      <c r="GC20" s="898"/>
      <c r="GD20" s="898"/>
      <c r="GE20" s="898"/>
      <c r="GF20" s="898"/>
      <c r="GG20" s="898"/>
      <c r="GH20" s="898"/>
      <c r="GJ20" s="898"/>
      <c r="GK20" s="898"/>
      <c r="GL20" s="898"/>
      <c r="GM20" s="898"/>
      <c r="GN20" s="898"/>
      <c r="GO20" s="898"/>
      <c r="GP20" s="898"/>
      <c r="GQ20" s="898"/>
      <c r="GR20" s="898"/>
      <c r="GS20" s="898"/>
      <c r="GT20" s="898"/>
      <c r="GU20" s="898"/>
      <c r="GV20" s="898"/>
      <c r="GW20" s="898"/>
      <c r="GX20" s="898"/>
      <c r="GY20" s="898"/>
      <c r="HA20" s="898"/>
      <c r="HB20" s="898"/>
      <c r="HC20" s="898"/>
      <c r="HD20" s="898"/>
      <c r="HE20" s="898"/>
      <c r="HF20" s="898"/>
      <c r="HG20" s="898"/>
      <c r="HH20" s="898"/>
      <c r="HI20" s="898"/>
      <c r="HJ20" s="898"/>
      <c r="HK20" s="898"/>
      <c r="HL20" s="898"/>
      <c r="HM20" s="898"/>
      <c r="HN20" s="898"/>
      <c r="HO20" s="898"/>
      <c r="HP20" s="898"/>
    </row>
    <row r="21" spans="1:224">
      <c r="B21" s="816">
        <v>9.1</v>
      </c>
      <c r="C21" s="816">
        <v>0</v>
      </c>
      <c r="D21" s="816">
        <f t="shared" si="0"/>
        <v>0</v>
      </c>
      <c r="E21" s="816">
        <v>0</v>
      </c>
      <c r="F21" s="816" t="str">
        <f>INDEX('Data Interface'!$C:$C,MATCH(B21,'Data Interface'!$B:$B,0))</f>
        <v>Demand,MM &amp; Savings - Retail</v>
      </c>
      <c r="G21" s="894">
        <f ca="1">IF($C21=1,$AJ21,SUM($AJ21:$AL21)*INDEX('Schedule Allocation'!G:G,MATCH($D21,'Schedule Allocation'!$A:$A,0)))</f>
        <v>1.2E-2</v>
      </c>
      <c r="H21" s="894">
        <f ca="1">IF($C21=1,$AK21,SUM($AJ21:$AL21)*INDEX('Schedule Allocation'!H:H,MATCH($D21,'Schedule Allocation'!$A:$A,0)))</f>
        <v>4.0000000000000001E-3</v>
      </c>
      <c r="I21" s="894">
        <f ca="1">IF($C21=1,$AK21,SUM($AJ21:$AL21)*INDEX('Schedule Allocation'!I:I,MATCH($D21,'Schedule Allocation'!$A:$A,0)))</f>
        <v>4.0000000000000001E-3</v>
      </c>
      <c r="J21" s="894">
        <f ca="1">IF($C21=1,$AK21,SUM($AJ21:$AL21)*INDEX('Schedule Allocation'!J:J,MATCH($D21,'Schedule Allocation'!$A:$A,0)))</f>
        <v>4.0000000000000001E-3</v>
      </c>
      <c r="K21" s="894">
        <f ca="1">IF($C21=1,$AK21,SUM($AJ21:$AL21)*INDEX('Schedule Allocation'!K:K,MATCH($D21,'Schedule Allocation'!$A:$A,0)))</f>
        <v>4.0000000000000001E-3</v>
      </c>
      <c r="L21" s="894">
        <f ca="1">IF($C21=1,$AK21,SUM($AJ21:$AL21)*INDEX('Schedule Allocation'!L:L,MATCH($D21,'Schedule Allocation'!$A:$A,0)))</f>
        <v>4.0000000000000001E-3</v>
      </c>
      <c r="M21" s="894">
        <f ca="1">IF($C21=1,$AK21,SUM($AJ21:$AL21)*INDEX('Schedule Allocation'!M:M,MATCH($D21,'Schedule Allocation'!$A:$A,0)))</f>
        <v>4.0000000000000001E-3</v>
      </c>
      <c r="N21" s="894">
        <f ca="1">IF($C21=1,$AL21,SUM($AJ21:$AL21)*INDEX('Schedule Allocation'!N:N,MATCH($D21,'Schedule Allocation'!$A:$A,0)))</f>
        <v>3.4285714285714288E-3</v>
      </c>
      <c r="O21" s="894">
        <f ca="1">IF($C21=1,$AL21,SUM($AJ21:$AL21)*INDEX('Schedule Allocation'!O:O,MATCH($D21,'Schedule Allocation'!$A:$A,0)))</f>
        <v>3.4285714285714288E-3</v>
      </c>
      <c r="P21" s="894">
        <f ca="1">IF($C21=1,$AL21,SUM($AJ21:$AL21)*INDEX('Schedule Allocation'!P:P,MATCH($D21,'Schedule Allocation'!$A:$A,0)))</f>
        <v>3.4285714285714288E-3</v>
      </c>
      <c r="Q21" s="894">
        <f ca="1">IF($C21=1,$AL21,SUM($AJ21:$AL21)*INDEX('Schedule Allocation'!Q:Q,MATCH($D21,'Schedule Allocation'!$A:$A,0)))</f>
        <v>3.4285714285714288E-3</v>
      </c>
      <c r="R21" s="894">
        <f ca="1">IF($C21=1,$AL21,SUM($AJ21:$AL21)*INDEX('Schedule Allocation'!R:R,MATCH($D21,'Schedule Allocation'!$A:$A,0)))</f>
        <v>3.4285714285714288E-3</v>
      </c>
      <c r="S21" s="894">
        <f ca="1">IF($C21=1,$AL21,SUM($AJ21:$AL21)*INDEX('Schedule Allocation'!S:S,MATCH($D21,'Schedule Allocation'!$A:$A,0)))</f>
        <v>3.4285714285714288E-3</v>
      </c>
      <c r="T21" s="894">
        <f ca="1">IF($C21=1,$AL21,SUM($AJ21:$AL21)*INDEX('Schedule Allocation'!T:T,MATCH($D21,'Schedule Allocation'!$A:$A,0)))</f>
        <v>3.4285714285714288E-3</v>
      </c>
      <c r="U21" s="894">
        <f ca="1">OFFSET(AT21,0,(MATCH('Model Report Formatized'!$E$1,$AN$1:$AN$6,0))*17-17)</f>
        <v>0.02</v>
      </c>
      <c r="V21" s="894">
        <f ca="1">OFFSET(AU21,0,(MATCH('Model Report Formatized'!$E$1,$AN$1:$AN$6,0))*17-17)</f>
        <v>0.02</v>
      </c>
      <c r="W21" s="894">
        <f ca="1">OFFSET(AV21,0,(MATCH('Model Report Formatized'!$E$1,$AN$1:$AN$6,0))*17-17)</f>
        <v>0</v>
      </c>
      <c r="X21" s="894">
        <f ca="1">OFFSET(AW21,0,(MATCH('Model Report Formatized'!$E$1,$AN$1:$AN$6,0))*17-17)</f>
        <v>0</v>
      </c>
      <c r="Y21" s="894">
        <f ca="1">OFFSET(AX21,0,(MATCH('Model Report Formatized'!$E$1,$AN$1:$AN$6,0))*17-17)</f>
        <v>0</v>
      </c>
      <c r="Z21" s="894">
        <f ca="1">OFFSET(AY21,0,(MATCH('Model Report Formatized'!$E$1,$AN$1:$AN$6,0))*17-17)</f>
        <v>0</v>
      </c>
      <c r="AA21" s="894">
        <f ca="1">OFFSET(AZ21,0,(MATCH('Model Report Formatized'!$E$1,$AN$1:$AN$6,0))*17-17)</f>
        <v>0</v>
      </c>
      <c r="AB21" s="894">
        <f ca="1">OFFSET(BA21,0,(MATCH('Model Report Formatized'!$E$1,$AN$1:$AN$6,0))*17-17)</f>
        <v>0</v>
      </c>
      <c r="AC21" s="894">
        <f ca="1">OFFSET(BB21,0,(MATCH('Model Report Formatized'!$E$1,$AN$1:$AN$6,0))*17-17)</f>
        <v>0</v>
      </c>
      <c r="AD21" s="894">
        <f ca="1">OFFSET(BC21,0,(MATCH('Model Report Formatized'!$E$1,$AN$1:$AN$6,0))*17-17)</f>
        <v>0</v>
      </c>
      <c r="AE21" s="894">
        <f ca="1">OFFSET(BD21,0,(MATCH('Model Report Formatized'!$E$1,$AN$1:$AN$6,0))*17-17)</f>
        <v>0</v>
      </c>
      <c r="AF21" s="894">
        <f ca="1">OFFSET(BE21,0,(MATCH('Model Report Formatized'!$E$1,$AN$1:$AN$6,0))*17-17)</f>
        <v>0</v>
      </c>
      <c r="AG21" s="894">
        <f ca="1">OFFSET(BF21,0,(MATCH('Model Report Formatized'!$E$1,$AN$1:$AN$6,0))*17-17)</f>
        <v>0</v>
      </c>
      <c r="AH21" s="891">
        <f t="shared" ca="1" si="1"/>
        <v>-1.3877787807814457E-17</v>
      </c>
      <c r="AJ21" s="895">
        <f ca="1">OFFSET(AQ21,0,(MATCH('Model Report Formatized'!$E$1,$AN$1:$AN$6,0))*17-17)</f>
        <v>0.02</v>
      </c>
      <c r="AK21" s="895">
        <f ca="1">OFFSET(AR21,0,(MATCH('Model Report Formatized'!$E$1,$AN$1:$AN$6,0))*17-17)</f>
        <v>0.02</v>
      </c>
      <c r="AL21" s="895">
        <f ca="1">OFFSET(AS21,0,(MATCH('Model Report Formatized'!$E$1,$AN$1:$AN$6,0))*17-17)</f>
        <v>0.02</v>
      </c>
      <c r="AQ21" s="893">
        <v>0.02</v>
      </c>
      <c r="AR21" s="893">
        <v>0.02</v>
      </c>
      <c r="AS21" s="893">
        <v>0.02</v>
      </c>
      <c r="AT21" s="893">
        <v>0.02</v>
      </c>
      <c r="AU21" s="893">
        <v>0.02</v>
      </c>
      <c r="AV21" s="893">
        <v>0</v>
      </c>
      <c r="AW21" s="893">
        <v>0</v>
      </c>
      <c r="AX21" s="893">
        <v>0</v>
      </c>
      <c r="AY21" s="893">
        <v>0</v>
      </c>
      <c r="AZ21" s="893">
        <v>0</v>
      </c>
      <c r="BA21" s="893">
        <v>0</v>
      </c>
      <c r="BB21" s="893">
        <v>0</v>
      </c>
      <c r="BC21" s="893">
        <v>0</v>
      </c>
      <c r="BD21" s="893">
        <v>0</v>
      </c>
      <c r="BE21" s="893">
        <v>0</v>
      </c>
      <c r="BF21" s="893">
        <v>0</v>
      </c>
      <c r="BH21" s="816">
        <v>2.4E-2</v>
      </c>
      <c r="BI21" s="816">
        <v>2.4E-2</v>
      </c>
      <c r="BJ21" s="816">
        <v>2.4E-2</v>
      </c>
      <c r="BK21" s="816">
        <v>2.4E-2</v>
      </c>
      <c r="BL21" s="816">
        <v>2.4E-2</v>
      </c>
      <c r="BM21" s="816">
        <v>0</v>
      </c>
      <c r="BN21" s="816">
        <v>0</v>
      </c>
      <c r="BO21" s="816">
        <v>0</v>
      </c>
      <c r="BP21" s="816">
        <v>0</v>
      </c>
      <c r="BQ21" s="816">
        <v>0</v>
      </c>
      <c r="BR21" s="816">
        <v>0</v>
      </c>
      <c r="BS21" s="816">
        <v>0</v>
      </c>
      <c r="BT21" s="816">
        <v>0</v>
      </c>
      <c r="BU21" s="816">
        <v>0</v>
      </c>
      <c r="BV21" s="816">
        <v>0</v>
      </c>
      <c r="BW21" s="816">
        <v>0</v>
      </c>
      <c r="BY21" s="817">
        <v>6.0000000000000001E-3</v>
      </c>
      <c r="BZ21" s="817">
        <v>6.0000000000000001E-3</v>
      </c>
      <c r="CA21" s="817">
        <v>6.0000000000000001E-3</v>
      </c>
      <c r="CB21" s="817">
        <v>6.0000000000000001E-3</v>
      </c>
      <c r="CC21" s="817">
        <v>6.0000000000000001E-3</v>
      </c>
      <c r="CD21" s="817">
        <v>0</v>
      </c>
      <c r="CE21" s="817">
        <v>0</v>
      </c>
      <c r="CF21" s="817">
        <v>0</v>
      </c>
      <c r="CG21" s="817">
        <v>0</v>
      </c>
      <c r="CH21" s="817">
        <v>0</v>
      </c>
      <c r="CI21" s="817">
        <v>0</v>
      </c>
      <c r="CJ21" s="817">
        <v>0</v>
      </c>
      <c r="CK21" s="817">
        <v>0</v>
      </c>
      <c r="CL21" s="817">
        <v>0</v>
      </c>
      <c r="CM21" s="817">
        <v>0</v>
      </c>
      <c r="CN21" s="817">
        <v>0</v>
      </c>
      <c r="CP21" s="892">
        <v>0.02</v>
      </c>
      <c r="CQ21" s="892">
        <v>0.02</v>
      </c>
      <c r="CR21" s="892">
        <v>0.02</v>
      </c>
      <c r="CS21" s="818">
        <v>0.02</v>
      </c>
      <c r="CT21" s="818">
        <v>0.02</v>
      </c>
      <c r="CU21" s="818">
        <v>0</v>
      </c>
      <c r="CV21" s="818">
        <v>0</v>
      </c>
      <c r="CW21" s="818">
        <v>0</v>
      </c>
      <c r="CX21" s="818">
        <v>0</v>
      </c>
      <c r="CY21" s="818">
        <v>0</v>
      </c>
      <c r="CZ21" s="818">
        <v>0</v>
      </c>
      <c r="DA21" s="818">
        <v>0</v>
      </c>
      <c r="DB21" s="818">
        <v>0</v>
      </c>
      <c r="DC21" s="818">
        <v>0</v>
      </c>
      <c r="DD21" s="818">
        <v>0</v>
      </c>
      <c r="DE21" s="818">
        <v>0</v>
      </c>
      <c r="DG21" s="816">
        <v>2.4E-2</v>
      </c>
      <c r="DH21" s="816">
        <v>2.4E-2</v>
      </c>
      <c r="DI21" s="816">
        <v>2.4E-2</v>
      </c>
      <c r="DJ21" s="816">
        <v>2.4E-2</v>
      </c>
      <c r="DK21" s="816">
        <v>2.4E-2</v>
      </c>
      <c r="DL21" s="816">
        <v>0</v>
      </c>
      <c r="DM21" s="816">
        <v>0</v>
      </c>
      <c r="DN21" s="816">
        <v>0</v>
      </c>
      <c r="DO21" s="816">
        <v>0</v>
      </c>
      <c r="DP21" s="816">
        <v>0</v>
      </c>
      <c r="DQ21" s="816">
        <v>0</v>
      </c>
      <c r="DR21" s="816">
        <v>0</v>
      </c>
      <c r="DS21" s="816">
        <v>0</v>
      </c>
      <c r="DT21" s="816">
        <v>0</v>
      </c>
      <c r="DU21" s="816">
        <v>0</v>
      </c>
      <c r="DV21" s="816">
        <v>0</v>
      </c>
      <c r="DX21" s="816">
        <v>6.0000000000000001E-3</v>
      </c>
      <c r="DY21" s="816">
        <v>6.0000000000000001E-3</v>
      </c>
      <c r="DZ21" s="816">
        <v>6.0000000000000001E-3</v>
      </c>
      <c r="EA21" s="816">
        <v>6.0000000000000001E-3</v>
      </c>
      <c r="EB21" s="816">
        <v>6.0000000000000001E-3</v>
      </c>
      <c r="EC21" s="816">
        <v>0</v>
      </c>
      <c r="ED21" s="816">
        <v>0</v>
      </c>
      <c r="EE21" s="816">
        <v>0</v>
      </c>
      <c r="EF21" s="816">
        <v>0</v>
      </c>
      <c r="EG21" s="816">
        <v>0</v>
      </c>
      <c r="EH21" s="816">
        <v>0</v>
      </c>
      <c r="EI21" s="816">
        <v>0</v>
      </c>
      <c r="EJ21" s="816">
        <v>0</v>
      </c>
      <c r="EK21" s="816">
        <v>0</v>
      </c>
      <c r="EL21" s="816">
        <v>0</v>
      </c>
      <c r="EM21" s="816">
        <v>0</v>
      </c>
      <c r="FQ21" s="898"/>
      <c r="FS21" s="898"/>
      <c r="FT21" s="898"/>
      <c r="FU21" s="898"/>
      <c r="FV21" s="898"/>
      <c r="FW21" s="898"/>
      <c r="FX21" s="898"/>
      <c r="FY21" s="898"/>
      <c r="FZ21" s="898"/>
      <c r="GA21" s="898"/>
      <c r="GB21" s="898"/>
      <c r="GC21" s="898"/>
      <c r="GD21" s="898"/>
      <c r="GE21" s="898"/>
      <c r="GF21" s="898"/>
      <c r="GG21" s="898"/>
      <c r="GH21" s="898"/>
      <c r="GJ21" s="898"/>
      <c r="GK21" s="898"/>
      <c r="GL21" s="898"/>
      <c r="GM21" s="898"/>
      <c r="GN21" s="898"/>
      <c r="GO21" s="898"/>
      <c r="GP21" s="898"/>
      <c r="GQ21" s="898"/>
      <c r="GR21" s="898"/>
      <c r="GS21" s="898"/>
      <c r="GT21" s="898"/>
      <c r="GU21" s="898"/>
      <c r="GV21" s="898"/>
      <c r="GW21" s="898"/>
      <c r="GX21" s="898"/>
      <c r="GY21" s="898"/>
      <c r="HA21" s="898"/>
      <c r="HB21" s="898"/>
      <c r="HC21" s="898"/>
      <c r="HD21" s="898"/>
      <c r="HE21" s="898"/>
      <c r="HF21" s="898"/>
      <c r="HG21" s="898"/>
      <c r="HH21" s="898"/>
      <c r="HI21" s="898"/>
      <c r="HJ21" s="898"/>
      <c r="HK21" s="898"/>
      <c r="HL21" s="898"/>
      <c r="HM21" s="898"/>
      <c r="HN21" s="898"/>
      <c r="HO21" s="898"/>
      <c r="HP21" s="898"/>
    </row>
    <row r="22" spans="1:224">
      <c r="B22" s="816">
        <v>9.3000000000000007</v>
      </c>
      <c r="C22" s="816">
        <v>1</v>
      </c>
      <c r="D22" s="816">
        <f t="shared" si="0"/>
        <v>0</v>
      </c>
      <c r="E22" s="816">
        <v>1</v>
      </c>
      <c r="F22" s="816" t="str">
        <f>INDEX('Data Interface'!$C:$C,MATCH(B22,'Data Interface'!$B:$B,0))</f>
        <v>Time Deposits - Retail</v>
      </c>
      <c r="G22" s="894">
        <f ca="1">IF($C22=1,$AJ22,SUM($AJ22:$AL22)*INDEX('Schedule Allocation'!G:G,MATCH($D22,'Schedule Allocation'!$A:$A,0)))</f>
        <v>0.02</v>
      </c>
      <c r="H22" s="894">
        <f ca="1">IF($C22=1,$AK22,SUM($AJ22:$AL22)*INDEX('Schedule Allocation'!H:H,MATCH($D22,'Schedule Allocation'!$A:$A,0)))</f>
        <v>0.04</v>
      </c>
      <c r="I22" s="894">
        <f ca="1">IF($C22=1,$AK22,SUM($AJ22:$AL22)*INDEX('Schedule Allocation'!I:I,MATCH($D22,'Schedule Allocation'!$A:$A,0)))</f>
        <v>0.04</v>
      </c>
      <c r="J22" s="894">
        <f ca="1">IF($C22=1,$AK22,SUM($AJ22:$AL22)*INDEX('Schedule Allocation'!J:J,MATCH($D22,'Schedule Allocation'!$A:$A,0)))</f>
        <v>0.04</v>
      </c>
      <c r="K22" s="894">
        <f ca="1">IF($C22=1,$AK22,SUM($AJ22:$AL22)*INDEX('Schedule Allocation'!K:K,MATCH($D22,'Schedule Allocation'!$A:$A,0)))</f>
        <v>0.04</v>
      </c>
      <c r="L22" s="894">
        <f ca="1">IF($C22=1,$AK22,SUM($AJ22:$AL22)*INDEX('Schedule Allocation'!L:L,MATCH($D22,'Schedule Allocation'!$A:$A,0)))</f>
        <v>0.04</v>
      </c>
      <c r="M22" s="894">
        <f ca="1">IF($C22=1,$AK22,SUM($AJ22:$AL22)*INDEX('Schedule Allocation'!M:M,MATCH($D22,'Schedule Allocation'!$A:$A,0)))</f>
        <v>0.04</v>
      </c>
      <c r="N22" s="894">
        <f ca="1">IF($C22=1,$AL22,SUM($AJ22:$AL22)*INDEX('Schedule Allocation'!N:N,MATCH($D22,'Schedule Allocation'!$A:$A,0)))</f>
        <v>0.06</v>
      </c>
      <c r="O22" s="894">
        <f ca="1">IF($C22=1,$AL22,SUM($AJ22:$AL22)*INDEX('Schedule Allocation'!O:O,MATCH($D22,'Schedule Allocation'!$A:$A,0)))</f>
        <v>0.06</v>
      </c>
      <c r="P22" s="894">
        <f ca="1">IF($C22=1,$AL22,SUM($AJ22:$AL22)*INDEX('Schedule Allocation'!P:P,MATCH($D22,'Schedule Allocation'!$A:$A,0)))</f>
        <v>0.06</v>
      </c>
      <c r="Q22" s="894">
        <f ca="1">IF($C22=1,$AL22,SUM($AJ22:$AL22)*INDEX('Schedule Allocation'!Q:Q,MATCH($D22,'Schedule Allocation'!$A:$A,0)))</f>
        <v>0.06</v>
      </c>
      <c r="R22" s="894">
        <f ca="1">IF($C22=1,$AL22,SUM($AJ22:$AL22)*INDEX('Schedule Allocation'!R:R,MATCH($D22,'Schedule Allocation'!$A:$A,0)))</f>
        <v>0.06</v>
      </c>
      <c r="S22" s="894">
        <f ca="1">IF($C22=1,$AL22,SUM($AJ22:$AL22)*INDEX('Schedule Allocation'!S:S,MATCH($D22,'Schedule Allocation'!$A:$A,0)))</f>
        <v>0.06</v>
      </c>
      <c r="T22" s="894">
        <f ca="1">IF($C22=1,$AL22,SUM($AJ22:$AL22)*INDEX('Schedule Allocation'!T:T,MATCH($D22,'Schedule Allocation'!$A:$A,0)))</f>
        <v>0.06</v>
      </c>
      <c r="U22" s="894">
        <f ca="1">OFFSET(AT22,0,(MATCH('Model Report Formatized'!$E$1,$AN$1:$AN$6,0))*17-17)</f>
        <v>0.08</v>
      </c>
      <c r="V22" s="894">
        <f ca="1">OFFSET(AU22,0,(MATCH('Model Report Formatized'!$E$1,$AN$1:$AN$6,0))*17-17)</f>
        <v>0.1</v>
      </c>
      <c r="W22" s="894">
        <f ca="1">OFFSET(AV22,0,(MATCH('Model Report Formatized'!$E$1,$AN$1:$AN$6,0))*17-17)</f>
        <v>0</v>
      </c>
      <c r="X22" s="894">
        <f ca="1">OFFSET(AW22,0,(MATCH('Model Report Formatized'!$E$1,$AN$1:$AN$6,0))*17-17)</f>
        <v>0</v>
      </c>
      <c r="Y22" s="894">
        <f ca="1">OFFSET(AX22,0,(MATCH('Model Report Formatized'!$E$1,$AN$1:$AN$6,0))*17-17)</f>
        <v>0</v>
      </c>
      <c r="Z22" s="894">
        <f ca="1">OFFSET(AY22,0,(MATCH('Model Report Formatized'!$E$1,$AN$1:$AN$6,0))*17-17)</f>
        <v>0</v>
      </c>
      <c r="AA22" s="894">
        <f ca="1">OFFSET(AZ22,0,(MATCH('Model Report Formatized'!$E$1,$AN$1:$AN$6,0))*17-17)</f>
        <v>0</v>
      </c>
      <c r="AB22" s="894">
        <f ca="1">OFFSET(BA22,0,(MATCH('Model Report Formatized'!$E$1,$AN$1:$AN$6,0))*17-17)</f>
        <v>0</v>
      </c>
      <c r="AC22" s="894">
        <f ca="1">OFFSET(BB22,0,(MATCH('Model Report Formatized'!$E$1,$AN$1:$AN$6,0))*17-17)</f>
        <v>0</v>
      </c>
      <c r="AD22" s="894">
        <f ca="1">OFFSET(BC22,0,(MATCH('Model Report Formatized'!$E$1,$AN$1:$AN$6,0))*17-17)</f>
        <v>0</v>
      </c>
      <c r="AE22" s="894">
        <f ca="1">OFFSET(BD22,0,(MATCH('Model Report Formatized'!$E$1,$AN$1:$AN$6,0))*17-17)</f>
        <v>0</v>
      </c>
      <c r="AF22" s="894">
        <f ca="1">OFFSET(BE22,0,(MATCH('Model Report Formatized'!$E$1,$AN$1:$AN$6,0))*17-17)</f>
        <v>0</v>
      </c>
      <c r="AG22" s="894">
        <f ca="1">OFFSET(BF22,0,(MATCH('Model Report Formatized'!$E$1,$AN$1:$AN$6,0))*17-17)</f>
        <v>0</v>
      </c>
      <c r="AH22" s="891">
        <f t="shared" ca="1" si="1"/>
        <v>0</v>
      </c>
      <c r="AJ22" s="895">
        <f ca="1">OFFSET(AQ22,0,(MATCH('Model Report Formatized'!$E$1,$AN$1:$AN$6,0))*17-17)</f>
        <v>0.02</v>
      </c>
      <c r="AK22" s="895">
        <f ca="1">OFFSET(AR22,0,(MATCH('Model Report Formatized'!$E$1,$AN$1:$AN$6,0))*17-17)</f>
        <v>0.04</v>
      </c>
      <c r="AL22" s="895">
        <f ca="1">OFFSET(AS22,0,(MATCH('Model Report Formatized'!$E$1,$AN$1:$AN$6,0))*17-17)</f>
        <v>0.06</v>
      </c>
      <c r="AQ22" s="893">
        <v>0.02</v>
      </c>
      <c r="AR22" s="893">
        <v>0.04</v>
      </c>
      <c r="AS22" s="893">
        <v>0.06</v>
      </c>
      <c r="AT22" s="893">
        <v>0.08</v>
      </c>
      <c r="AU22" s="893">
        <v>0.1</v>
      </c>
      <c r="AV22" s="893">
        <v>0</v>
      </c>
      <c r="AW22" s="893">
        <v>0</v>
      </c>
      <c r="AX22" s="893">
        <v>0</v>
      </c>
      <c r="AY22" s="893">
        <v>0</v>
      </c>
      <c r="AZ22" s="893">
        <v>0</v>
      </c>
      <c r="BA22" s="893">
        <v>0</v>
      </c>
      <c r="BB22" s="893">
        <v>0</v>
      </c>
      <c r="BC22" s="893">
        <v>0</v>
      </c>
      <c r="BD22" s="893">
        <v>0</v>
      </c>
      <c r="BE22" s="893">
        <v>0</v>
      </c>
      <c r="BF22" s="893">
        <v>0</v>
      </c>
      <c r="BH22" s="816">
        <v>2.4E-2</v>
      </c>
      <c r="BI22" s="816">
        <v>4.8000000000000001E-2</v>
      </c>
      <c r="BJ22" s="816">
        <v>7.2000000000000008E-2</v>
      </c>
      <c r="BK22" s="816">
        <v>9.6000000000000002E-2</v>
      </c>
      <c r="BL22" s="816">
        <v>0.12</v>
      </c>
      <c r="BM22" s="816">
        <v>0.12</v>
      </c>
      <c r="BN22" s="816">
        <v>0.12</v>
      </c>
      <c r="BO22" s="816">
        <v>0.12</v>
      </c>
      <c r="BP22" s="816">
        <v>0.12</v>
      </c>
      <c r="BQ22" s="816">
        <v>0.12</v>
      </c>
      <c r="BR22" s="816">
        <v>0.12</v>
      </c>
      <c r="BS22" s="816">
        <v>0.12</v>
      </c>
      <c r="BT22" s="816">
        <v>0.12</v>
      </c>
      <c r="BU22" s="816">
        <v>0.12</v>
      </c>
      <c r="BV22" s="816">
        <v>0.12</v>
      </c>
      <c r="BW22" s="816">
        <v>0.12</v>
      </c>
      <c r="BY22" s="817">
        <v>6.0000000000000001E-3</v>
      </c>
      <c r="BZ22" s="817">
        <v>1.2E-2</v>
      </c>
      <c r="CA22" s="817">
        <v>1.8000000000000002E-2</v>
      </c>
      <c r="CB22" s="817">
        <v>2.4E-2</v>
      </c>
      <c r="CC22" s="817">
        <v>0.03</v>
      </c>
      <c r="CD22" s="817">
        <v>0.03</v>
      </c>
      <c r="CE22" s="817">
        <v>0.03</v>
      </c>
      <c r="CF22" s="817">
        <v>0.03</v>
      </c>
      <c r="CG22" s="817">
        <v>0.03</v>
      </c>
      <c r="CH22" s="817">
        <v>0.03</v>
      </c>
      <c r="CI22" s="817">
        <v>0.03</v>
      </c>
      <c r="CJ22" s="817">
        <v>0.03</v>
      </c>
      <c r="CK22" s="817">
        <v>0.03</v>
      </c>
      <c r="CL22" s="817">
        <v>0.03</v>
      </c>
      <c r="CM22" s="817">
        <v>0.03</v>
      </c>
      <c r="CN22" s="817">
        <v>0.03</v>
      </c>
      <c r="CP22" s="874">
        <v>0.02</v>
      </c>
      <c r="CQ22" s="874">
        <v>0.04</v>
      </c>
      <c r="CR22" s="874">
        <v>0.06</v>
      </c>
      <c r="CS22" s="874">
        <v>0.08</v>
      </c>
      <c r="CT22" s="874">
        <v>0.1</v>
      </c>
      <c r="CU22" s="874">
        <v>0</v>
      </c>
      <c r="CV22" s="874">
        <v>0</v>
      </c>
      <c r="CW22" s="874">
        <v>0</v>
      </c>
      <c r="CX22" s="874">
        <v>0</v>
      </c>
      <c r="CY22" s="874">
        <v>0</v>
      </c>
      <c r="CZ22" s="874">
        <v>0</v>
      </c>
      <c r="DA22" s="874">
        <v>0</v>
      </c>
      <c r="DB22" s="874">
        <v>0</v>
      </c>
      <c r="DC22" s="874">
        <v>0</v>
      </c>
      <c r="DD22" s="874">
        <v>0</v>
      </c>
      <c r="DE22" s="874">
        <v>0</v>
      </c>
      <c r="DG22" s="816">
        <v>2.4E-2</v>
      </c>
      <c r="DH22" s="816">
        <v>4.8000000000000001E-2</v>
      </c>
      <c r="DI22" s="816">
        <v>7.2000000000000008E-2</v>
      </c>
      <c r="DJ22" s="816">
        <v>9.6000000000000002E-2</v>
      </c>
      <c r="DK22" s="816">
        <v>0.12</v>
      </c>
      <c r="DL22" s="816">
        <v>0.12</v>
      </c>
      <c r="DM22" s="816">
        <v>0.12</v>
      </c>
      <c r="DN22" s="816">
        <v>0.12</v>
      </c>
      <c r="DO22" s="816">
        <v>0.12</v>
      </c>
      <c r="DP22" s="816">
        <v>0.12</v>
      </c>
      <c r="DQ22" s="816">
        <v>0.12</v>
      </c>
      <c r="DR22" s="816">
        <v>0.12</v>
      </c>
      <c r="DS22" s="816">
        <v>0.12</v>
      </c>
      <c r="DT22" s="816">
        <v>0.12</v>
      </c>
      <c r="DU22" s="816">
        <v>0.12</v>
      </c>
      <c r="DV22" s="816">
        <v>0.12</v>
      </c>
      <c r="DX22" s="816">
        <v>6.0000000000000001E-3</v>
      </c>
      <c r="DY22" s="816">
        <v>1.2E-2</v>
      </c>
      <c r="DZ22" s="816">
        <v>1.8000000000000002E-2</v>
      </c>
      <c r="EA22" s="816">
        <v>2.4E-2</v>
      </c>
      <c r="EB22" s="816">
        <v>0.03</v>
      </c>
      <c r="EC22" s="816">
        <v>0.03</v>
      </c>
      <c r="ED22" s="816">
        <v>0.03</v>
      </c>
      <c r="EE22" s="816">
        <v>0.03</v>
      </c>
      <c r="EF22" s="816">
        <v>0.03</v>
      </c>
      <c r="EG22" s="816">
        <v>0.03</v>
      </c>
      <c r="EH22" s="816">
        <v>0.03</v>
      </c>
      <c r="EI22" s="816">
        <v>0.03</v>
      </c>
      <c r="EJ22" s="816">
        <v>0.03</v>
      </c>
      <c r="EK22" s="816">
        <v>0.03</v>
      </c>
      <c r="EL22" s="816">
        <v>0.03</v>
      </c>
      <c r="EM22" s="816">
        <v>0.03</v>
      </c>
      <c r="EO22" s="898">
        <f ca="1">INDEX('Schedule Allocation'!G:G,MATCH($D22,'Schedule Allocation'!$A:$A,0))*SUM(OFFSET($FS22,0,17*(MATCH('Model Report Formatized'!$E$1,Assumptions!$AN$1:$AN$6,0)-4),1,3))</f>
        <v>6.73681447237383E-3</v>
      </c>
      <c r="EP22" s="898">
        <f ca="1">INDEX('Schedule Allocation'!H:H,MATCH($D22,'Schedule Allocation'!$A:$A,0))*SUM(OFFSET($FS22,0,17*(MATCH('Model Report Formatized'!$E$1,Assumptions!$AN$1:$AN$6,0)-4),1,3))</f>
        <v>2.2456048241246097E-3</v>
      </c>
      <c r="EQ22" s="898">
        <f ca="1">INDEX('Schedule Allocation'!I:I,MATCH($D22,'Schedule Allocation'!$A:$A,0))*SUM(OFFSET($FS22,0,17*(MATCH('Model Report Formatized'!$E$1,Assumptions!$AN$1:$AN$6,0)-4),1,3))</f>
        <v>2.2456048241246097E-3</v>
      </c>
      <c r="ER22" s="898">
        <f ca="1">INDEX('Schedule Allocation'!J:J,MATCH($D22,'Schedule Allocation'!$A:$A,0))*SUM(OFFSET($FS22,0,17*(MATCH('Model Report Formatized'!$E$1,Assumptions!$AN$1:$AN$6,0)-4),1,3))</f>
        <v>2.2456048241246097E-3</v>
      </c>
      <c r="ES22" s="898">
        <f ca="1">INDEX('Schedule Allocation'!K:K,MATCH($D22,'Schedule Allocation'!$A:$A,0))*SUM(OFFSET($FS22,0,17*(MATCH('Model Report Formatized'!$E$1,Assumptions!$AN$1:$AN$6,0)-4),1,3))</f>
        <v>2.2456048241246097E-3</v>
      </c>
      <c r="ET22" s="898">
        <f ca="1">INDEX('Schedule Allocation'!L:L,MATCH($D22,'Schedule Allocation'!$A:$A,0))*SUM(OFFSET($FS22,0,17*(MATCH('Model Report Formatized'!$E$1,Assumptions!$AN$1:$AN$6,0)-4),1,3))</f>
        <v>2.2456048241246097E-3</v>
      </c>
      <c r="EU22" s="898">
        <f ca="1">INDEX('Schedule Allocation'!M:M,MATCH($D22,'Schedule Allocation'!$A:$A,0))*SUM(OFFSET($FS22,0,17*(MATCH('Model Report Formatized'!$E$1,Assumptions!$AN$1:$AN$6,0)-4),1,3))</f>
        <v>2.2456048241246097E-3</v>
      </c>
      <c r="EV22" s="898">
        <f ca="1">INDEX('Schedule Allocation'!N:N,MATCH($D22,'Schedule Allocation'!$A:$A,0))*SUM(OFFSET($FS22,0,17*(MATCH('Model Report Formatized'!$E$1,Assumptions!$AN$1:$AN$6,0)-4),1,3))</f>
        <v>1.9248041349639515E-3</v>
      </c>
      <c r="EW22" s="898">
        <f ca="1">INDEX('Schedule Allocation'!O:O,MATCH($D22,'Schedule Allocation'!$A:$A,0))*SUM(OFFSET($FS22,0,17*(MATCH('Model Report Formatized'!$E$1,Assumptions!$AN$1:$AN$6,0)-4),1,3))</f>
        <v>1.9248041349639515E-3</v>
      </c>
      <c r="EX22" s="898">
        <f ca="1">INDEX('Schedule Allocation'!P:P,MATCH($D22,'Schedule Allocation'!$A:$A,0))*SUM(OFFSET($FS22,0,17*(MATCH('Model Report Formatized'!$E$1,Assumptions!$AN$1:$AN$6,0)-4),1,3))</f>
        <v>1.9248041349639515E-3</v>
      </c>
      <c r="EY22" s="898">
        <f ca="1">INDEX('Schedule Allocation'!Q:Q,MATCH($D22,'Schedule Allocation'!$A:$A,0))*SUM(OFFSET($FS22,0,17*(MATCH('Model Report Formatized'!$E$1,Assumptions!$AN$1:$AN$6,0)-4),1,3))</f>
        <v>1.9248041349639515E-3</v>
      </c>
      <c r="EZ22" s="898">
        <f ca="1">INDEX('Schedule Allocation'!R:R,MATCH($D22,'Schedule Allocation'!$A:$A,0))*SUM(OFFSET($FS22,0,17*(MATCH('Model Report Formatized'!$E$1,Assumptions!$AN$1:$AN$6,0)-4),1,3))</f>
        <v>1.9248041349639515E-3</v>
      </c>
      <c r="FA22" s="898">
        <f ca="1">INDEX('Schedule Allocation'!S:S,MATCH($D22,'Schedule Allocation'!$A:$A,0))*SUM(OFFSET($FS22,0,17*(MATCH('Model Report Formatized'!$E$1,Assumptions!$AN$1:$AN$6,0)-4),1,3))</f>
        <v>1.9248041349639515E-3</v>
      </c>
      <c r="FB22" s="898">
        <f ca="1">INDEX('Schedule Allocation'!T:T,MATCH($D22,'Schedule Allocation'!$A:$A,0))*SUM(OFFSET($FS22,0,17*(MATCH('Model Report Formatized'!$E$1,Assumptions!$AN$1:$AN$6,0)-4),1,3))</f>
        <v>1.9248041349639515E-3</v>
      </c>
      <c r="FC22" s="898">
        <f ca="1">SUM(OFFSET(FV22,0,17*(MATCH('Model Report Formatized'!$E$1,Assumptions!$AN$1:$AN$6,0)-4),1,1))</f>
        <v>1.1228024120623046E-2</v>
      </c>
      <c r="FD22" s="898">
        <f ca="1">SUM(OFFSET(FW22,0,17*(MATCH('Model Report Formatized'!$E$1,Assumptions!$AN$1:$AN$6,0)-4),1,1))</f>
        <v>1.1228024120623046E-2</v>
      </c>
      <c r="FE22" s="898">
        <f ca="1">SUM(OFFSET(FX22,0,17*(MATCH('Model Report Formatized'!$E$1,Assumptions!$AN$1:$AN$6,0)-4),1,1))</f>
        <v>0</v>
      </c>
      <c r="FF22" s="898">
        <f ca="1">SUM(OFFSET(FY22,0,17*(MATCH('Model Report Formatized'!$E$1,Assumptions!$AN$1:$AN$6,0)-4),1,1))</f>
        <v>0</v>
      </c>
      <c r="FG22" s="898">
        <f ca="1">SUM(OFFSET(FZ22,0,17*(MATCH('Model Report Formatized'!$E$1,Assumptions!$AN$1:$AN$6,0)-4),1,1))</f>
        <v>0</v>
      </c>
      <c r="FH22" s="898">
        <f ca="1">SUM(OFFSET(GA22,0,17*(MATCH('Model Report Formatized'!$E$1,Assumptions!$AN$1:$AN$6,0)-4),1,1))</f>
        <v>0</v>
      </c>
      <c r="FI22" s="898">
        <f ca="1">SUM(OFFSET(GB22,0,17*(MATCH('Model Report Formatized'!$E$1,Assumptions!$AN$1:$AN$6,0)-4),1,1))</f>
        <v>0</v>
      </c>
      <c r="FJ22" s="898">
        <f ca="1">SUM(OFFSET(GC22,0,17*(MATCH('Model Report Formatized'!$E$1,Assumptions!$AN$1:$AN$6,0)-4),1,1))</f>
        <v>0</v>
      </c>
      <c r="FK22" s="898">
        <f ca="1">SUM(OFFSET(GD22,0,17*(MATCH('Model Report Formatized'!$E$1,Assumptions!$AN$1:$AN$6,0)-4),1,1))</f>
        <v>0</v>
      </c>
      <c r="FL22" s="898">
        <f ca="1">SUM(OFFSET(GE22,0,17*(MATCH('Model Report Formatized'!$E$1,Assumptions!$AN$1:$AN$6,0)-4),1,1))</f>
        <v>0</v>
      </c>
      <c r="FM22" s="898">
        <f ca="1">SUM(OFFSET(GF22,0,17*(MATCH('Model Report Formatized'!$E$1,Assumptions!$AN$1:$AN$6,0)-4),1,1))</f>
        <v>0</v>
      </c>
      <c r="FN22" s="898">
        <f ca="1">SUM(OFFSET(GG22,0,17*(MATCH('Model Report Formatized'!$E$1,Assumptions!$AN$1:$AN$6,0)-4),1,1))</f>
        <v>0</v>
      </c>
      <c r="FO22" s="898">
        <f ca="1">SUM(OFFSET(GH22,0,17*(MATCH('Model Report Formatized'!$E$1,Assumptions!$AN$1:$AN$6,0)-4),1,1))</f>
        <v>0</v>
      </c>
      <c r="FQ22" s="898"/>
      <c r="FS22" s="898">
        <f>IF($E22=0,"",IFERROR(INDEX(RunoffChangeAdj!FO:FO,MATCH($B22,RunoffChangeAdj!$FE:$FE,0)),""))</f>
        <v>3.3684072361869148E-2</v>
      </c>
      <c r="FT22" s="898">
        <f>IF($E22=0,"",IFERROR(INDEX(RunoffChangeAdj!FP:FP,MATCH($B22,RunoffChangeAdj!$FE:$FE,0)),""))</f>
        <v>0</v>
      </c>
      <c r="FU22" s="898">
        <f>IF($E22=0,"",IFERROR(INDEX(RunoffChangeAdj!FQ:FQ,MATCH($B22,RunoffChangeAdj!$FE:$FE,0)),""))</f>
        <v>0</v>
      </c>
      <c r="FV22" s="898">
        <f>IF($E22=0,"",IFERROR(INDEX(RunoffChangeAdj!FR:FR,MATCH($B22,RunoffChangeAdj!$FE:$FE,0)),""))</f>
        <v>1.1228024120623046E-2</v>
      </c>
      <c r="FW22" s="898">
        <f>IF($E22=0,"",IFERROR(INDEX(RunoffChangeAdj!FS:FS,MATCH($B22,RunoffChangeAdj!$FE:$FE,0)),""))</f>
        <v>1.1228024120623046E-2</v>
      </c>
      <c r="FX22" s="898">
        <f>IF($E22=0,"",IFERROR(INDEX(RunoffChangeAdj!FT:FT,MATCH($B22,RunoffChangeAdj!$FE:$FE,0)),""))</f>
        <v>0</v>
      </c>
      <c r="FY22" s="898">
        <f>IF($E22=0,"",IFERROR(INDEX(RunoffChangeAdj!FU:FU,MATCH($B22,RunoffChangeAdj!$FE:$FE,0)),""))</f>
        <v>0</v>
      </c>
      <c r="FZ22" s="898">
        <f>IF($E22=0,"",IFERROR(INDEX(RunoffChangeAdj!FV:FV,MATCH($B22,RunoffChangeAdj!$FE:$FE,0)),""))</f>
        <v>0</v>
      </c>
      <c r="GA22" s="898">
        <f>IF($E22=0,"",IFERROR(INDEX(RunoffChangeAdj!FW:FW,MATCH($B22,RunoffChangeAdj!$FE:$FE,0)),""))</f>
        <v>0</v>
      </c>
      <c r="GB22" s="898">
        <f>IF($E22=0,"",IFERROR(INDEX(RunoffChangeAdj!FX:FX,MATCH($B22,RunoffChangeAdj!$FE:$FE,0)),""))</f>
        <v>0</v>
      </c>
      <c r="GC22" s="898">
        <f>IF($E22=0,"",IFERROR(INDEX(RunoffChangeAdj!FY:FY,MATCH($B22,RunoffChangeAdj!$FE:$FE,0)),""))</f>
        <v>0</v>
      </c>
      <c r="GD22" s="898">
        <f>IF($E22=0,"",IFERROR(INDEX(RunoffChangeAdj!FZ:FZ,MATCH($B22,RunoffChangeAdj!$FE:$FE,0)),""))</f>
        <v>0</v>
      </c>
      <c r="GE22" s="898">
        <f>IF($E22=0,"",IFERROR(INDEX(RunoffChangeAdj!GA:GA,MATCH($B22,RunoffChangeAdj!$FE:$FE,0)),""))</f>
        <v>0</v>
      </c>
      <c r="GF22" s="898">
        <f>IF($E22=0,"",IFERROR(INDEX(RunoffChangeAdj!GB:GB,MATCH($B22,RunoffChangeAdj!$FE:$FE,0)),""))</f>
        <v>0</v>
      </c>
      <c r="GG22" s="898">
        <f>IF($E22=0,"",IFERROR(INDEX(RunoffChangeAdj!GC:GC,MATCH($B22,RunoffChangeAdj!$FE:$FE,0)),""))</f>
        <v>0</v>
      </c>
      <c r="GH22" s="898">
        <f>IF($E22=0,"",IFERROR(INDEX(RunoffChangeAdj!GD:GD,MATCH($B22,RunoffChangeAdj!$FE:$FE,0)),""))</f>
        <v>0</v>
      </c>
      <c r="GJ22" s="898">
        <f>IF($E22=0,"",IFERROR(INDEX(RunoffChangeAdj!GF:GF,MATCH($B22,RunoffChangeAdj!$FE:$FE,0)),""))</f>
        <v>1.8488558357411724E-2</v>
      </c>
      <c r="GK22" s="898">
        <f>IF($E22=0,"",IFERROR(INDEX(RunoffChangeAdj!GG:GG,MATCH($B22,RunoffChangeAdj!$FE:$FE,0)),""))</f>
        <v>0</v>
      </c>
      <c r="GL22" s="898">
        <f>IF($E22=0,"",IFERROR(INDEX(RunoffChangeAdj!GH:GH,MATCH($B22,RunoffChangeAdj!$FE:$FE,0)),""))</f>
        <v>0</v>
      </c>
      <c r="GM22" s="898">
        <f>IF($E22=0,"",IFERROR(INDEX(RunoffChangeAdj!GI:GI,MATCH($B22,RunoffChangeAdj!$FE:$FE,0)),""))</f>
        <v>6.162852785803908E-3</v>
      </c>
      <c r="GN22" s="898">
        <f>IF($E22=0,"",IFERROR(INDEX(RunoffChangeAdj!GJ:GJ,MATCH($B22,RunoffChangeAdj!$FE:$FE,0)),""))</f>
        <v>6.162852785803908E-3</v>
      </c>
      <c r="GO22" s="898">
        <f>IF($E22=0,"",IFERROR(INDEX(RunoffChangeAdj!GK:GK,MATCH($B22,RunoffChangeAdj!$FE:$FE,0)),""))</f>
        <v>0</v>
      </c>
      <c r="GP22" s="898">
        <f>IF($E22=0,"",IFERROR(INDEX(RunoffChangeAdj!GL:GL,MATCH($B22,RunoffChangeAdj!$FE:$FE,0)),""))</f>
        <v>0</v>
      </c>
      <c r="GQ22" s="898">
        <f>IF($E22=0,"",IFERROR(INDEX(RunoffChangeAdj!GM:GM,MATCH($B22,RunoffChangeAdj!$FE:$FE,0)),""))</f>
        <v>0</v>
      </c>
      <c r="GR22" s="898">
        <f>IF($E22=0,"",IFERROR(INDEX(RunoffChangeAdj!GN:GN,MATCH($B22,RunoffChangeAdj!$FE:$FE,0)),""))</f>
        <v>0</v>
      </c>
      <c r="GS22" s="898">
        <f>IF($E22=0,"",IFERROR(INDEX(RunoffChangeAdj!GO:GO,MATCH($B22,RunoffChangeAdj!$FE:$FE,0)),""))</f>
        <v>0</v>
      </c>
      <c r="GT22" s="898">
        <f>IF($E22=0,"",IFERROR(INDEX(RunoffChangeAdj!GP:GP,MATCH($B22,RunoffChangeAdj!$FE:$FE,0)),""))</f>
        <v>0</v>
      </c>
      <c r="GU22" s="898">
        <f>IF($E22=0,"",IFERROR(INDEX(RunoffChangeAdj!GQ:GQ,MATCH($B22,RunoffChangeAdj!$FE:$FE,0)),""))</f>
        <v>0</v>
      </c>
      <c r="GV22" s="898">
        <f>IF($E22=0,"",IFERROR(INDEX(RunoffChangeAdj!GR:GR,MATCH($B22,RunoffChangeAdj!$FE:$FE,0)),""))</f>
        <v>0</v>
      </c>
      <c r="GW22" s="898">
        <f>IF($E22=0,"",IFERROR(INDEX(RunoffChangeAdj!GS:GS,MATCH($B22,RunoffChangeAdj!$FE:$FE,0)),""))</f>
        <v>0</v>
      </c>
      <c r="GX22" s="898">
        <f>IF($E22=0,"",IFERROR(INDEX(RunoffChangeAdj!GT:GT,MATCH($B22,RunoffChangeAdj!$FE:$FE,0)),""))</f>
        <v>0</v>
      </c>
      <c r="GY22" s="898">
        <f>IF($E22=0,"",IFERROR(INDEX(RunoffChangeAdj!GU:GU,MATCH($B22,RunoffChangeAdj!$FE:$FE,0)),""))</f>
        <v>0</v>
      </c>
      <c r="HA22" s="898">
        <f>IF($E22=0,"",IFERROR(INDEX(RunoffChangeAdj!GW:GW,MATCH($B22,RunoffChangeAdj!$FE:$FE,0)),""))</f>
        <v>1.4519596254892421E-2</v>
      </c>
      <c r="HB22" s="898">
        <f>IF($E22=0,"",IFERROR(INDEX(RunoffChangeAdj!GX:GX,MATCH($B22,RunoffChangeAdj!$FE:$FE,0)),""))</f>
        <v>0</v>
      </c>
      <c r="HC22" s="898">
        <f>IF($E22=0,"",IFERROR(INDEX(RunoffChangeAdj!GY:GY,MATCH($B22,RunoffChangeAdj!$FE:$FE,0)),""))</f>
        <v>0</v>
      </c>
      <c r="HD22" s="898">
        <f>IF($E22=0,"",IFERROR(INDEX(RunoffChangeAdj!GZ:GZ,MATCH($B22,RunoffChangeAdj!$FE:$FE,0)),""))</f>
        <v>4.8398654182974744E-3</v>
      </c>
      <c r="HE22" s="898">
        <f>IF($E22=0,"",IFERROR(INDEX(RunoffChangeAdj!HA:HA,MATCH($B22,RunoffChangeAdj!$FE:$FE,0)),""))</f>
        <v>4.8398654182974744E-3</v>
      </c>
      <c r="HF22" s="898">
        <f>IF($E22=0,"",IFERROR(INDEX(RunoffChangeAdj!HB:HB,MATCH($B22,RunoffChangeAdj!$FE:$FE,0)),""))</f>
        <v>0</v>
      </c>
      <c r="HG22" s="898">
        <f>IF($E22=0,"",IFERROR(INDEX(RunoffChangeAdj!HC:HC,MATCH($B22,RunoffChangeAdj!$FE:$FE,0)),""))</f>
        <v>0</v>
      </c>
      <c r="HH22" s="898">
        <f>IF($E22=0,"",IFERROR(INDEX(RunoffChangeAdj!HD:HD,MATCH($B22,RunoffChangeAdj!$FE:$FE,0)),""))</f>
        <v>0</v>
      </c>
      <c r="HI22" s="898">
        <f>IF($E22=0,"",IFERROR(INDEX(RunoffChangeAdj!HE:HE,MATCH($B22,RunoffChangeAdj!$FE:$FE,0)),""))</f>
        <v>0</v>
      </c>
      <c r="HJ22" s="898">
        <f>IF($E22=0,"",IFERROR(INDEX(RunoffChangeAdj!HF:HF,MATCH($B22,RunoffChangeAdj!$FE:$FE,0)),""))</f>
        <v>0</v>
      </c>
      <c r="HK22" s="898">
        <f>IF($E22=0,"",IFERROR(INDEX(RunoffChangeAdj!HG:HG,MATCH($B22,RunoffChangeAdj!$FE:$FE,0)),""))</f>
        <v>0</v>
      </c>
      <c r="HL22" s="898">
        <f>IF($E22=0,"",IFERROR(INDEX(RunoffChangeAdj!HH:HH,MATCH($B22,RunoffChangeAdj!$FE:$FE,0)),""))</f>
        <v>0</v>
      </c>
      <c r="HM22" s="898">
        <f>IF($E22=0,"",IFERROR(INDEX(RunoffChangeAdj!HI:HI,MATCH($B22,RunoffChangeAdj!$FE:$FE,0)),""))</f>
        <v>0</v>
      </c>
      <c r="HN22" s="898">
        <f>IF($E22=0,"",IFERROR(INDEX(RunoffChangeAdj!HJ:HJ,MATCH($B22,RunoffChangeAdj!$FE:$FE,0)),""))</f>
        <v>0</v>
      </c>
      <c r="HO22" s="898">
        <f>IF($E22=0,"",IFERROR(INDEX(RunoffChangeAdj!HK:HK,MATCH($B22,RunoffChangeAdj!$FE:$FE,0)),""))</f>
        <v>0</v>
      </c>
      <c r="HP22" s="898">
        <f>IF($E22=0,"",IFERROR(INDEX(RunoffChangeAdj!HL:HL,MATCH($B22,RunoffChangeAdj!$FE:$FE,0)),""))</f>
        <v>0</v>
      </c>
    </row>
    <row r="23" spans="1:224">
      <c r="B23" s="816">
        <v>9.4</v>
      </c>
      <c r="C23" s="816">
        <v>1</v>
      </c>
      <c r="D23" s="816">
        <f t="shared" si="0"/>
        <v>0</v>
      </c>
      <c r="E23" s="816">
        <v>1</v>
      </c>
      <c r="F23" s="816" t="str">
        <f>INDEX('Data Interface'!$C:$C,MATCH(B23,'Data Interface'!$B:$B,0))</f>
        <v>Time Deposits - Corporates</v>
      </c>
      <c r="G23" s="894">
        <f ca="1">IF($C23=1,$AJ23,SUM($AJ23:$AL23)*INDEX('Schedule Allocation'!G:G,MATCH($D23,'Schedule Allocation'!$A:$A,0)))</f>
        <v>0.08</v>
      </c>
      <c r="H23" s="894">
        <f ca="1">IF($C23=1,$AK23,SUM($AJ23:$AL23)*INDEX('Schedule Allocation'!H:H,MATCH($D23,'Schedule Allocation'!$A:$A,0)))</f>
        <v>0.16</v>
      </c>
      <c r="I23" s="894">
        <f ca="1">IF($C23=1,$AK23,SUM($AJ23:$AL23)*INDEX('Schedule Allocation'!I:I,MATCH($D23,'Schedule Allocation'!$A:$A,0)))</f>
        <v>0.16</v>
      </c>
      <c r="J23" s="894">
        <f ca="1">IF($C23=1,$AK23,SUM($AJ23:$AL23)*INDEX('Schedule Allocation'!J:J,MATCH($D23,'Schedule Allocation'!$A:$A,0)))</f>
        <v>0.16</v>
      </c>
      <c r="K23" s="894">
        <f ca="1">IF($C23=1,$AK23,SUM($AJ23:$AL23)*INDEX('Schedule Allocation'!K:K,MATCH($D23,'Schedule Allocation'!$A:$A,0)))</f>
        <v>0.16</v>
      </c>
      <c r="L23" s="894">
        <f ca="1">IF($C23=1,$AK23,SUM($AJ23:$AL23)*INDEX('Schedule Allocation'!L:L,MATCH($D23,'Schedule Allocation'!$A:$A,0)))</f>
        <v>0.16</v>
      </c>
      <c r="M23" s="894">
        <f ca="1">IF($C23=1,$AK23,SUM($AJ23:$AL23)*INDEX('Schedule Allocation'!M:M,MATCH($D23,'Schedule Allocation'!$A:$A,0)))</f>
        <v>0.16</v>
      </c>
      <c r="N23" s="894">
        <f ca="1">IF($C23=1,$AL23,SUM($AJ23:$AL23)*INDEX('Schedule Allocation'!N:N,MATCH($D23,'Schedule Allocation'!$A:$A,0)))</f>
        <v>0.24</v>
      </c>
      <c r="O23" s="894">
        <f ca="1">IF($C23=1,$AL23,SUM($AJ23:$AL23)*INDEX('Schedule Allocation'!O:O,MATCH($D23,'Schedule Allocation'!$A:$A,0)))</f>
        <v>0.24</v>
      </c>
      <c r="P23" s="894">
        <f ca="1">IF($C23=1,$AL23,SUM($AJ23:$AL23)*INDEX('Schedule Allocation'!P:P,MATCH($D23,'Schedule Allocation'!$A:$A,0)))</f>
        <v>0.24</v>
      </c>
      <c r="Q23" s="894">
        <f ca="1">IF($C23=1,$AL23,SUM($AJ23:$AL23)*INDEX('Schedule Allocation'!Q:Q,MATCH($D23,'Schedule Allocation'!$A:$A,0)))</f>
        <v>0.24</v>
      </c>
      <c r="R23" s="894">
        <f ca="1">IF($C23=1,$AL23,SUM($AJ23:$AL23)*INDEX('Schedule Allocation'!R:R,MATCH($D23,'Schedule Allocation'!$A:$A,0)))</f>
        <v>0.24</v>
      </c>
      <c r="S23" s="894">
        <f ca="1">IF($C23=1,$AL23,SUM($AJ23:$AL23)*INDEX('Schedule Allocation'!S:S,MATCH($D23,'Schedule Allocation'!$A:$A,0)))</f>
        <v>0.24</v>
      </c>
      <c r="T23" s="894">
        <f ca="1">IF($C23=1,$AL23,SUM($AJ23:$AL23)*INDEX('Schedule Allocation'!T:T,MATCH($D23,'Schedule Allocation'!$A:$A,0)))</f>
        <v>0.24</v>
      </c>
      <c r="U23" s="894">
        <f ca="1">OFFSET(AT23,0,(MATCH('Model Report Formatized'!$E$1,$AN$1:$AN$6,0))*17-17)</f>
        <v>0.32</v>
      </c>
      <c r="V23" s="894">
        <f ca="1">OFFSET(AU23,0,(MATCH('Model Report Formatized'!$E$1,$AN$1:$AN$6,0))*17-17)</f>
        <v>0.4</v>
      </c>
      <c r="W23" s="894">
        <f ca="1">OFFSET(AV23,0,(MATCH('Model Report Formatized'!$E$1,$AN$1:$AN$6,0))*17-17)</f>
        <v>0.45454545454545459</v>
      </c>
      <c r="X23" s="894">
        <f ca="1">OFFSET(AW23,0,(MATCH('Model Report Formatized'!$E$1,$AN$1:$AN$6,0))*17-17)</f>
        <v>0.50909090909090915</v>
      </c>
      <c r="Y23" s="894">
        <f ca="1">OFFSET(AX23,0,(MATCH('Model Report Formatized'!$E$1,$AN$1:$AN$6,0))*17-17)</f>
        <v>0.56363636363636371</v>
      </c>
      <c r="Z23" s="894">
        <f ca="1">OFFSET(AY23,0,(MATCH('Model Report Formatized'!$E$1,$AN$1:$AN$6,0))*17-17)</f>
        <v>0.61818181818181828</v>
      </c>
      <c r="AA23" s="894">
        <f ca="1">OFFSET(AZ23,0,(MATCH('Model Report Formatized'!$E$1,$AN$1:$AN$6,0))*17-17)</f>
        <v>0.67272727272727284</v>
      </c>
      <c r="AB23" s="894">
        <f ca="1">OFFSET(BA23,0,(MATCH('Model Report Formatized'!$E$1,$AN$1:$AN$6,0))*17-17)</f>
        <v>0.7272727272727274</v>
      </c>
      <c r="AC23" s="894">
        <f ca="1">OFFSET(BB23,0,(MATCH('Model Report Formatized'!$E$1,$AN$1:$AN$6,0))*17-17)</f>
        <v>0.78181818181818197</v>
      </c>
      <c r="AD23" s="894">
        <f ca="1">OFFSET(BC23,0,(MATCH('Model Report Formatized'!$E$1,$AN$1:$AN$6,0))*17-17)</f>
        <v>0.83636363636363653</v>
      </c>
      <c r="AE23" s="894">
        <f ca="1">OFFSET(BD23,0,(MATCH('Model Report Formatized'!$E$1,$AN$1:$AN$6,0))*17-17)</f>
        <v>0.89090909090909109</v>
      </c>
      <c r="AF23" s="894">
        <f ca="1">OFFSET(BE23,0,(MATCH('Model Report Formatized'!$E$1,$AN$1:$AN$6,0))*17-17)</f>
        <v>0.94545454545454566</v>
      </c>
      <c r="AG23" s="894">
        <f ca="1">OFFSET(BF23,0,(MATCH('Model Report Formatized'!$E$1,$AN$1:$AN$6,0))*17-17)</f>
        <v>1.0000000000000002</v>
      </c>
      <c r="AH23" s="891">
        <f t="shared" ca="1" si="1"/>
        <v>1.0000000000000002</v>
      </c>
      <c r="AJ23" s="895">
        <f ca="1">OFFSET(AQ23,0,(MATCH('Model Report Formatized'!$E$1,$AN$1:$AN$6,0))*17-17)</f>
        <v>0.08</v>
      </c>
      <c r="AK23" s="895">
        <f ca="1">OFFSET(AR23,0,(MATCH('Model Report Formatized'!$E$1,$AN$1:$AN$6,0))*17-17)</f>
        <v>0.16</v>
      </c>
      <c r="AL23" s="895">
        <f ca="1">OFFSET(AS23,0,(MATCH('Model Report Formatized'!$E$1,$AN$1:$AN$6,0))*17-17)</f>
        <v>0.24</v>
      </c>
      <c r="AQ23" s="893">
        <v>0.08</v>
      </c>
      <c r="AR23" s="893">
        <v>0.16</v>
      </c>
      <c r="AS23" s="893">
        <v>0.24</v>
      </c>
      <c r="AT23" s="893">
        <v>0.32</v>
      </c>
      <c r="AU23" s="893">
        <v>0.4</v>
      </c>
      <c r="AV23" s="893">
        <v>0.45454545454545459</v>
      </c>
      <c r="AW23" s="893">
        <v>0.50909090909090915</v>
      </c>
      <c r="AX23" s="893">
        <v>0.56363636363636371</v>
      </c>
      <c r="AY23" s="893">
        <v>0.61818181818181828</v>
      </c>
      <c r="AZ23" s="893">
        <v>0.67272727272727284</v>
      </c>
      <c r="BA23" s="893">
        <v>0.7272727272727274</v>
      </c>
      <c r="BB23" s="893">
        <v>0.78181818181818197</v>
      </c>
      <c r="BC23" s="893">
        <v>0.83636363636363653</v>
      </c>
      <c r="BD23" s="893">
        <v>0.89090909090909109</v>
      </c>
      <c r="BE23" s="893">
        <v>0.94545454545454566</v>
      </c>
      <c r="BF23" s="893">
        <v>1.0000000000000002</v>
      </c>
      <c r="BH23" s="816">
        <v>6.6000000000000003E-2</v>
      </c>
      <c r="BI23" s="816">
        <v>0.13200000000000001</v>
      </c>
      <c r="BJ23" s="816">
        <v>0.19800000000000001</v>
      </c>
      <c r="BK23" s="816">
        <v>0.26400000000000001</v>
      </c>
      <c r="BL23" s="816">
        <v>0.33</v>
      </c>
      <c r="BM23" s="816">
        <v>0.42000000000000004</v>
      </c>
      <c r="BN23" s="816">
        <v>0.51</v>
      </c>
      <c r="BO23" s="816">
        <v>0.56444444444444442</v>
      </c>
      <c r="BP23" s="816">
        <v>0.61888888888888882</v>
      </c>
      <c r="BQ23" s="816">
        <v>0.67333333333333323</v>
      </c>
      <c r="BR23" s="816">
        <v>0.72777777777777763</v>
      </c>
      <c r="BS23" s="816">
        <v>0.78222222222222204</v>
      </c>
      <c r="BT23" s="816">
        <v>0.83666666666666645</v>
      </c>
      <c r="BU23" s="816">
        <v>0.89111111111111085</v>
      </c>
      <c r="BV23" s="816">
        <v>0.94555555555555526</v>
      </c>
      <c r="BW23" s="816">
        <v>0.99999999999999967</v>
      </c>
      <c r="BY23" s="817">
        <v>1.7999999999999999E-2</v>
      </c>
      <c r="BZ23" s="817">
        <v>3.5999999999999997E-2</v>
      </c>
      <c r="CA23" s="817">
        <v>5.3999999999999992E-2</v>
      </c>
      <c r="CB23" s="817">
        <v>7.1999999999999995E-2</v>
      </c>
      <c r="CC23" s="817">
        <v>0.09</v>
      </c>
      <c r="CD23" s="817">
        <v>0.09</v>
      </c>
      <c r="CE23" s="817">
        <v>0.09</v>
      </c>
      <c r="CF23" s="817">
        <v>0.09</v>
      </c>
      <c r="CG23" s="817">
        <v>0.09</v>
      </c>
      <c r="CH23" s="817">
        <v>0.09</v>
      </c>
      <c r="CI23" s="817">
        <v>0.09</v>
      </c>
      <c r="CJ23" s="817">
        <v>0.09</v>
      </c>
      <c r="CK23" s="817">
        <v>0.09</v>
      </c>
      <c r="CL23" s="817">
        <v>0.09</v>
      </c>
      <c r="CM23" s="817">
        <v>0.09</v>
      </c>
      <c r="CN23" s="817">
        <v>0.09</v>
      </c>
      <c r="CP23" s="874">
        <v>0.08</v>
      </c>
      <c r="CQ23" s="874">
        <v>0.16</v>
      </c>
      <c r="CR23" s="874">
        <v>0.24</v>
      </c>
      <c r="CS23" s="874">
        <v>0.32</v>
      </c>
      <c r="CT23" s="874">
        <v>0.4</v>
      </c>
      <c r="CU23" s="874">
        <v>0.45454545454545459</v>
      </c>
      <c r="CV23" s="874">
        <v>0.50909090909090915</v>
      </c>
      <c r="CW23" s="874">
        <v>0.56363636363636371</v>
      </c>
      <c r="CX23" s="874">
        <v>0.61818181818181828</v>
      </c>
      <c r="CY23" s="874">
        <v>0.67272727272727284</v>
      </c>
      <c r="CZ23" s="874">
        <v>0.7272727272727274</v>
      </c>
      <c r="DA23" s="874">
        <v>0.78181818181818197</v>
      </c>
      <c r="DB23" s="874">
        <v>0.83636363636363653</v>
      </c>
      <c r="DC23" s="874">
        <v>0.89090909090909109</v>
      </c>
      <c r="DD23" s="874">
        <v>0.94545454545454566</v>
      </c>
      <c r="DE23" s="874">
        <v>1.0000000000000002</v>
      </c>
      <c r="DG23" s="816">
        <v>6.6000000000000003E-2</v>
      </c>
      <c r="DH23" s="816">
        <v>0.13200000000000001</v>
      </c>
      <c r="DI23" s="816">
        <v>0.19800000000000001</v>
      </c>
      <c r="DJ23" s="816">
        <v>0.26400000000000001</v>
      </c>
      <c r="DK23" s="816">
        <v>0.33</v>
      </c>
      <c r="DL23" s="816">
        <v>0.42000000000000004</v>
      </c>
      <c r="DM23" s="816">
        <v>0.51</v>
      </c>
      <c r="DN23" s="816">
        <v>0.56444444444444442</v>
      </c>
      <c r="DO23" s="816">
        <v>0.61888888888888882</v>
      </c>
      <c r="DP23" s="816">
        <v>0.67333333333333323</v>
      </c>
      <c r="DQ23" s="816">
        <v>0.72777777777777763</v>
      </c>
      <c r="DR23" s="816">
        <v>0.78222222222222204</v>
      </c>
      <c r="DS23" s="816">
        <v>0.83666666666666645</v>
      </c>
      <c r="DT23" s="816">
        <v>0.89111111111111085</v>
      </c>
      <c r="DU23" s="816">
        <v>0.94555555555555526</v>
      </c>
      <c r="DV23" s="816">
        <v>0.99999999999999967</v>
      </c>
      <c r="DX23" s="816">
        <v>1.7999999999999999E-2</v>
      </c>
      <c r="DY23" s="816">
        <v>3.5999999999999997E-2</v>
      </c>
      <c r="DZ23" s="816">
        <v>5.3999999999999992E-2</v>
      </c>
      <c r="EA23" s="816">
        <v>7.1999999999999995E-2</v>
      </c>
      <c r="EB23" s="816">
        <v>0.09</v>
      </c>
      <c r="EC23" s="816">
        <v>0.09</v>
      </c>
      <c r="ED23" s="816">
        <v>0.09</v>
      </c>
      <c r="EE23" s="816">
        <v>0.09</v>
      </c>
      <c r="EF23" s="816">
        <v>0.09</v>
      </c>
      <c r="EG23" s="816">
        <v>0.09</v>
      </c>
      <c r="EH23" s="816">
        <v>0.09</v>
      </c>
      <c r="EI23" s="816">
        <v>0.09</v>
      </c>
      <c r="EJ23" s="816">
        <v>0.09</v>
      </c>
      <c r="EK23" s="816">
        <v>0.09</v>
      </c>
      <c r="EL23" s="816">
        <v>0.09</v>
      </c>
      <c r="EM23" s="816">
        <v>0.09</v>
      </c>
      <c r="EO23" s="898">
        <f ca="1">INDEX('Schedule Allocation'!G:G,MATCH($D23,'Schedule Allocation'!$A:$A,0))*SUM(OFFSET($FS23,0,17*(MATCH('Model Report Formatized'!$E$1,Assumptions!$AN$1:$AN$6,0)-4),1,3))</f>
        <v>2.1590926552587271E-2</v>
      </c>
      <c r="EP23" s="898">
        <f ca="1">INDEX('Schedule Allocation'!H:H,MATCH($D23,'Schedule Allocation'!$A:$A,0))*SUM(OFFSET($FS23,0,17*(MATCH('Model Report Formatized'!$E$1,Assumptions!$AN$1:$AN$6,0)-4),1,3))</f>
        <v>7.1969755175290894E-3</v>
      </c>
      <c r="EQ23" s="898">
        <f ca="1">INDEX('Schedule Allocation'!I:I,MATCH($D23,'Schedule Allocation'!$A:$A,0))*SUM(OFFSET($FS23,0,17*(MATCH('Model Report Formatized'!$E$1,Assumptions!$AN$1:$AN$6,0)-4),1,3))</f>
        <v>7.1969755175290894E-3</v>
      </c>
      <c r="ER23" s="898">
        <f ca="1">INDEX('Schedule Allocation'!J:J,MATCH($D23,'Schedule Allocation'!$A:$A,0))*SUM(OFFSET($FS23,0,17*(MATCH('Model Report Formatized'!$E$1,Assumptions!$AN$1:$AN$6,0)-4),1,3))</f>
        <v>7.1969755175290894E-3</v>
      </c>
      <c r="ES23" s="898">
        <f ca="1">INDEX('Schedule Allocation'!K:K,MATCH($D23,'Schedule Allocation'!$A:$A,0))*SUM(OFFSET($FS23,0,17*(MATCH('Model Report Formatized'!$E$1,Assumptions!$AN$1:$AN$6,0)-4),1,3))</f>
        <v>7.1969755175290894E-3</v>
      </c>
      <c r="ET23" s="898">
        <f ca="1">INDEX('Schedule Allocation'!L:L,MATCH($D23,'Schedule Allocation'!$A:$A,0))*SUM(OFFSET($FS23,0,17*(MATCH('Model Report Formatized'!$E$1,Assumptions!$AN$1:$AN$6,0)-4),1,3))</f>
        <v>7.1969755175290894E-3</v>
      </c>
      <c r="EU23" s="898">
        <f ca="1">INDEX('Schedule Allocation'!M:M,MATCH($D23,'Schedule Allocation'!$A:$A,0))*SUM(OFFSET($FS23,0,17*(MATCH('Model Report Formatized'!$E$1,Assumptions!$AN$1:$AN$6,0)-4),1,3))</f>
        <v>7.1969755175290894E-3</v>
      </c>
      <c r="EV23" s="898">
        <f ca="1">INDEX('Schedule Allocation'!N:N,MATCH($D23,'Schedule Allocation'!$A:$A,0))*SUM(OFFSET($FS23,0,17*(MATCH('Model Report Formatized'!$E$1,Assumptions!$AN$1:$AN$6,0)-4),1,3))</f>
        <v>6.1688361578820777E-3</v>
      </c>
      <c r="EW23" s="898">
        <f ca="1">INDEX('Schedule Allocation'!O:O,MATCH($D23,'Schedule Allocation'!$A:$A,0))*SUM(OFFSET($FS23,0,17*(MATCH('Model Report Formatized'!$E$1,Assumptions!$AN$1:$AN$6,0)-4),1,3))</f>
        <v>6.1688361578820777E-3</v>
      </c>
      <c r="EX23" s="898">
        <f ca="1">INDEX('Schedule Allocation'!P:P,MATCH($D23,'Schedule Allocation'!$A:$A,0))*SUM(OFFSET($FS23,0,17*(MATCH('Model Report Formatized'!$E$1,Assumptions!$AN$1:$AN$6,0)-4),1,3))</f>
        <v>6.1688361578820777E-3</v>
      </c>
      <c r="EY23" s="898">
        <f ca="1">INDEX('Schedule Allocation'!Q:Q,MATCH($D23,'Schedule Allocation'!$A:$A,0))*SUM(OFFSET($FS23,0,17*(MATCH('Model Report Formatized'!$E$1,Assumptions!$AN$1:$AN$6,0)-4),1,3))</f>
        <v>6.1688361578820777E-3</v>
      </c>
      <c r="EZ23" s="898">
        <f ca="1">INDEX('Schedule Allocation'!R:R,MATCH($D23,'Schedule Allocation'!$A:$A,0))*SUM(OFFSET($FS23,0,17*(MATCH('Model Report Formatized'!$E$1,Assumptions!$AN$1:$AN$6,0)-4),1,3))</f>
        <v>6.1688361578820777E-3</v>
      </c>
      <c r="FA23" s="898">
        <f ca="1">INDEX('Schedule Allocation'!S:S,MATCH($D23,'Schedule Allocation'!$A:$A,0))*SUM(OFFSET($FS23,0,17*(MATCH('Model Report Formatized'!$E$1,Assumptions!$AN$1:$AN$6,0)-4),1,3))</f>
        <v>6.1688361578820777E-3</v>
      </c>
      <c r="FB23" s="898">
        <f ca="1">INDEX('Schedule Allocation'!T:T,MATCH($D23,'Schedule Allocation'!$A:$A,0))*SUM(OFFSET($FS23,0,17*(MATCH('Model Report Formatized'!$E$1,Assumptions!$AN$1:$AN$6,0)-4),1,3))</f>
        <v>6.1688361578820777E-3</v>
      </c>
      <c r="FC23" s="898">
        <f ca="1">SUM(OFFSET(FV23,0,17*(MATCH('Model Report Formatized'!$E$1,Assumptions!$AN$1:$AN$6,0)-4),1,1))</f>
        <v>3.5984877587645445E-2</v>
      </c>
      <c r="FD23" s="898">
        <f ca="1">SUM(OFFSET(FW23,0,17*(MATCH('Model Report Formatized'!$E$1,Assumptions!$AN$1:$AN$6,0)-4),1,1))</f>
        <v>3.5984877587645445E-2</v>
      </c>
      <c r="FE23" s="898">
        <f ca="1">SUM(OFFSET(FX23,0,17*(MATCH('Model Report Formatized'!$E$1,Assumptions!$AN$1:$AN$6,0)-4),1,1))</f>
        <v>0</v>
      </c>
      <c r="FF23" s="898">
        <f ca="1">SUM(OFFSET(FY23,0,17*(MATCH('Model Report Formatized'!$E$1,Assumptions!$AN$1:$AN$6,0)-4),1,1))</f>
        <v>0</v>
      </c>
      <c r="FG23" s="898">
        <f ca="1">SUM(OFFSET(FZ23,0,17*(MATCH('Model Report Formatized'!$E$1,Assumptions!$AN$1:$AN$6,0)-4),1,1))</f>
        <v>0</v>
      </c>
      <c r="FH23" s="898">
        <f ca="1">SUM(OFFSET(GA23,0,17*(MATCH('Model Report Formatized'!$E$1,Assumptions!$AN$1:$AN$6,0)-4),1,1))</f>
        <v>0</v>
      </c>
      <c r="FI23" s="898">
        <f ca="1">SUM(OFFSET(GB23,0,17*(MATCH('Model Report Formatized'!$E$1,Assumptions!$AN$1:$AN$6,0)-4),1,1))</f>
        <v>0</v>
      </c>
      <c r="FJ23" s="898">
        <f ca="1">SUM(OFFSET(GC23,0,17*(MATCH('Model Report Formatized'!$E$1,Assumptions!$AN$1:$AN$6,0)-4),1,1))</f>
        <v>0</v>
      </c>
      <c r="FK23" s="898">
        <f ca="1">SUM(OFFSET(GD23,0,17*(MATCH('Model Report Formatized'!$E$1,Assumptions!$AN$1:$AN$6,0)-4),1,1))</f>
        <v>0</v>
      </c>
      <c r="FL23" s="898">
        <f ca="1">SUM(OFFSET(GE23,0,17*(MATCH('Model Report Formatized'!$E$1,Assumptions!$AN$1:$AN$6,0)-4),1,1))</f>
        <v>0</v>
      </c>
      <c r="FM23" s="898">
        <f ca="1">SUM(OFFSET(GF23,0,17*(MATCH('Model Report Formatized'!$E$1,Assumptions!$AN$1:$AN$6,0)-4),1,1))</f>
        <v>0</v>
      </c>
      <c r="FN23" s="898">
        <f ca="1">SUM(OFFSET(GG23,0,17*(MATCH('Model Report Formatized'!$E$1,Assumptions!$AN$1:$AN$6,0)-4),1,1))</f>
        <v>0</v>
      </c>
      <c r="FO23" s="898">
        <f ca="1">SUM(OFFSET(GH23,0,17*(MATCH('Model Report Formatized'!$E$1,Assumptions!$AN$1:$AN$6,0)-4),1,1))</f>
        <v>0</v>
      </c>
      <c r="FQ23" s="898"/>
      <c r="FS23" s="898">
        <f>IF($E23=0,"",IFERROR(INDEX(RunoffChangeAdj!FO:FO,MATCH($B23,RunoffChangeAdj!$FE:$FE,0)),""))</f>
        <v>0.10795463276293635</v>
      </c>
      <c r="FT23" s="898">
        <f>IF($E23=0,"",IFERROR(INDEX(RunoffChangeAdj!FP:FP,MATCH($B23,RunoffChangeAdj!$FE:$FE,0)),""))</f>
        <v>0</v>
      </c>
      <c r="FU23" s="898">
        <f>IF($E23=0,"",IFERROR(INDEX(RunoffChangeAdj!FQ:FQ,MATCH($B23,RunoffChangeAdj!$FE:$FE,0)),""))</f>
        <v>0</v>
      </c>
      <c r="FV23" s="898">
        <f>IF($E23=0,"",IFERROR(INDEX(RunoffChangeAdj!FR:FR,MATCH($B23,RunoffChangeAdj!$FE:$FE,0)),""))</f>
        <v>3.5984877587645445E-2</v>
      </c>
      <c r="FW23" s="898">
        <f>IF($E23=0,"",IFERROR(INDEX(RunoffChangeAdj!FS:FS,MATCH($B23,RunoffChangeAdj!$FE:$FE,0)),""))</f>
        <v>3.5984877587645445E-2</v>
      </c>
      <c r="FX23" s="898">
        <f>IF($E23=0,"",IFERROR(INDEX(RunoffChangeAdj!FT:FT,MATCH($B23,RunoffChangeAdj!$FE:$FE,0)),""))</f>
        <v>0</v>
      </c>
      <c r="FY23" s="898">
        <f>IF($E23=0,"",IFERROR(INDEX(RunoffChangeAdj!FU:FU,MATCH($B23,RunoffChangeAdj!$FE:$FE,0)),""))</f>
        <v>0</v>
      </c>
      <c r="FZ23" s="898">
        <f>IF($E23=0,"",IFERROR(INDEX(RunoffChangeAdj!FV:FV,MATCH($B23,RunoffChangeAdj!$FE:$FE,0)),""))</f>
        <v>0</v>
      </c>
      <c r="GA23" s="898">
        <f>IF($E23=0,"",IFERROR(INDEX(RunoffChangeAdj!FW:FW,MATCH($B23,RunoffChangeAdj!$FE:$FE,0)),""))</f>
        <v>0</v>
      </c>
      <c r="GB23" s="898">
        <f>IF($E23=0,"",IFERROR(INDEX(RunoffChangeAdj!FX:FX,MATCH($B23,RunoffChangeAdj!$FE:$FE,0)),""))</f>
        <v>0</v>
      </c>
      <c r="GC23" s="898">
        <f>IF($E23=0,"",IFERROR(INDEX(RunoffChangeAdj!FY:FY,MATCH($B23,RunoffChangeAdj!$FE:$FE,0)),""))</f>
        <v>0</v>
      </c>
      <c r="GD23" s="898">
        <f>IF($E23=0,"",IFERROR(INDEX(RunoffChangeAdj!FZ:FZ,MATCH($B23,RunoffChangeAdj!$FE:$FE,0)),""))</f>
        <v>0</v>
      </c>
      <c r="GE23" s="898">
        <f>IF($E23=0,"",IFERROR(INDEX(RunoffChangeAdj!GA:GA,MATCH($B23,RunoffChangeAdj!$FE:$FE,0)),""))</f>
        <v>0</v>
      </c>
      <c r="GF23" s="898">
        <f>IF($E23=0,"",IFERROR(INDEX(RunoffChangeAdj!GB:GB,MATCH($B23,RunoffChangeAdj!$FE:$FE,0)),""))</f>
        <v>0</v>
      </c>
      <c r="GG23" s="898">
        <f>IF($E23=0,"",IFERROR(INDEX(RunoffChangeAdj!GC:GC,MATCH($B23,RunoffChangeAdj!$FE:$FE,0)),""))</f>
        <v>0</v>
      </c>
      <c r="GH23" s="898">
        <f>IF($E23=0,"",IFERROR(INDEX(RunoffChangeAdj!GD:GD,MATCH($B23,RunoffChangeAdj!$FE:$FE,0)),""))</f>
        <v>0</v>
      </c>
      <c r="GJ23" s="898">
        <f>IF($E23=0,"",IFERROR(INDEX(RunoffChangeAdj!GF:GF,MATCH($B23,RunoffChangeAdj!$FE:$FE,0)),""))</f>
        <v>6.761053990107653E-2</v>
      </c>
      <c r="GK23" s="898">
        <f>IF($E23=0,"",IFERROR(INDEX(RunoffChangeAdj!GG:GG,MATCH($B23,RunoffChangeAdj!$FE:$FE,0)),""))</f>
        <v>0</v>
      </c>
      <c r="GL23" s="898">
        <f>IF($E23=0,"",IFERROR(INDEX(RunoffChangeAdj!GH:GH,MATCH($B23,RunoffChangeAdj!$FE:$FE,0)),""))</f>
        <v>0</v>
      </c>
      <c r="GM23" s="898">
        <f>IF($E23=0,"",IFERROR(INDEX(RunoffChangeAdj!GI:GI,MATCH($B23,RunoffChangeAdj!$FE:$FE,0)),""))</f>
        <v>2.2536846633692181E-2</v>
      </c>
      <c r="GN23" s="898">
        <f>IF($E23=0,"",IFERROR(INDEX(RunoffChangeAdj!GJ:GJ,MATCH($B23,RunoffChangeAdj!$FE:$FE,0)),""))</f>
        <v>2.2536846633692181E-2</v>
      </c>
      <c r="GO23" s="898">
        <f>IF($E23=0,"",IFERROR(INDEX(RunoffChangeAdj!GK:GK,MATCH($B23,RunoffChangeAdj!$FE:$FE,0)),""))</f>
        <v>0</v>
      </c>
      <c r="GP23" s="898">
        <f>IF($E23=0,"",IFERROR(INDEX(RunoffChangeAdj!GL:GL,MATCH($B23,RunoffChangeAdj!$FE:$FE,0)),""))</f>
        <v>0</v>
      </c>
      <c r="GQ23" s="898">
        <f>IF($E23=0,"",IFERROR(INDEX(RunoffChangeAdj!GM:GM,MATCH($B23,RunoffChangeAdj!$FE:$FE,0)),""))</f>
        <v>0</v>
      </c>
      <c r="GR23" s="898">
        <f>IF($E23=0,"",IFERROR(INDEX(RunoffChangeAdj!GN:GN,MATCH($B23,RunoffChangeAdj!$FE:$FE,0)),""))</f>
        <v>0</v>
      </c>
      <c r="GS23" s="898">
        <f>IF($E23=0,"",IFERROR(INDEX(RunoffChangeAdj!GO:GO,MATCH($B23,RunoffChangeAdj!$FE:$FE,0)),""))</f>
        <v>0</v>
      </c>
      <c r="GT23" s="898">
        <f>IF($E23=0,"",IFERROR(INDEX(RunoffChangeAdj!GP:GP,MATCH($B23,RunoffChangeAdj!$FE:$FE,0)),""))</f>
        <v>0</v>
      </c>
      <c r="GU23" s="898">
        <f>IF($E23=0,"",IFERROR(INDEX(RunoffChangeAdj!GQ:GQ,MATCH($B23,RunoffChangeAdj!$FE:$FE,0)),""))</f>
        <v>0</v>
      </c>
      <c r="GV23" s="898">
        <f>IF($E23=0,"",IFERROR(INDEX(RunoffChangeAdj!GR:GR,MATCH($B23,RunoffChangeAdj!$FE:$FE,0)),""))</f>
        <v>0</v>
      </c>
      <c r="GW23" s="898">
        <f>IF($E23=0,"",IFERROR(INDEX(RunoffChangeAdj!GS:GS,MATCH($B23,RunoffChangeAdj!$FE:$FE,0)),""))</f>
        <v>0</v>
      </c>
      <c r="GX23" s="898">
        <f>IF($E23=0,"",IFERROR(INDEX(RunoffChangeAdj!GT:GT,MATCH($B23,RunoffChangeAdj!$FE:$FE,0)),""))</f>
        <v>0</v>
      </c>
      <c r="GY23" s="898">
        <f>IF($E23=0,"",IFERROR(INDEX(RunoffChangeAdj!GU:GU,MATCH($B23,RunoffChangeAdj!$FE:$FE,0)),""))</f>
        <v>0</v>
      </c>
      <c r="HA23" s="898">
        <f>IF($E23=0,"",IFERROR(INDEX(RunoffChangeAdj!GW:GW,MATCH($B23,RunoffChangeAdj!$FE:$FE,0)),""))</f>
        <v>4.0421247862538173E-2</v>
      </c>
      <c r="HB23" s="898">
        <f>IF($E23=0,"",IFERROR(INDEX(RunoffChangeAdj!GX:GX,MATCH($B23,RunoffChangeAdj!$FE:$FE,0)),""))</f>
        <v>0</v>
      </c>
      <c r="HC23" s="898">
        <f>IF($E23=0,"",IFERROR(INDEX(RunoffChangeAdj!GY:GY,MATCH($B23,RunoffChangeAdj!$FE:$FE,0)),""))</f>
        <v>0</v>
      </c>
      <c r="HD23" s="898">
        <f>IF($E23=0,"",IFERROR(INDEX(RunoffChangeAdj!GZ:GZ,MATCH($B23,RunoffChangeAdj!$FE:$FE,0)),""))</f>
        <v>1.3473749287512729E-2</v>
      </c>
      <c r="HE23" s="898">
        <f>IF($E23=0,"",IFERROR(INDEX(RunoffChangeAdj!HA:HA,MATCH($B23,RunoffChangeAdj!$FE:$FE,0)),""))</f>
        <v>1.3473749287512729E-2</v>
      </c>
      <c r="HF23" s="898">
        <f>IF($E23=0,"",IFERROR(INDEX(RunoffChangeAdj!HB:HB,MATCH($B23,RunoffChangeAdj!$FE:$FE,0)),""))</f>
        <v>0</v>
      </c>
      <c r="HG23" s="898">
        <f>IF($E23=0,"",IFERROR(INDEX(RunoffChangeAdj!HC:HC,MATCH($B23,RunoffChangeAdj!$FE:$FE,0)),""))</f>
        <v>0</v>
      </c>
      <c r="HH23" s="898">
        <f>IF($E23=0,"",IFERROR(INDEX(RunoffChangeAdj!HD:HD,MATCH($B23,RunoffChangeAdj!$FE:$FE,0)),""))</f>
        <v>0</v>
      </c>
      <c r="HI23" s="898">
        <f>IF($E23=0,"",IFERROR(INDEX(RunoffChangeAdj!HE:HE,MATCH($B23,RunoffChangeAdj!$FE:$FE,0)),""))</f>
        <v>0</v>
      </c>
      <c r="HJ23" s="898">
        <f>IF($E23=0,"",IFERROR(INDEX(RunoffChangeAdj!HF:HF,MATCH($B23,RunoffChangeAdj!$FE:$FE,0)),""))</f>
        <v>0</v>
      </c>
      <c r="HK23" s="898">
        <f>IF($E23=0,"",IFERROR(INDEX(RunoffChangeAdj!HG:HG,MATCH($B23,RunoffChangeAdj!$FE:$FE,0)),""))</f>
        <v>0</v>
      </c>
      <c r="HL23" s="898">
        <f>IF($E23=0,"",IFERROR(INDEX(RunoffChangeAdj!HH:HH,MATCH($B23,RunoffChangeAdj!$FE:$FE,0)),""))</f>
        <v>0</v>
      </c>
      <c r="HM23" s="898">
        <f>IF($E23=0,"",IFERROR(INDEX(RunoffChangeAdj!HI:HI,MATCH($B23,RunoffChangeAdj!$FE:$FE,0)),""))</f>
        <v>0</v>
      </c>
      <c r="HN23" s="898">
        <f>IF($E23=0,"",IFERROR(INDEX(RunoffChangeAdj!HJ:HJ,MATCH($B23,RunoffChangeAdj!$FE:$FE,0)),""))</f>
        <v>0</v>
      </c>
      <c r="HO23" s="898">
        <f>IF($E23=0,"",IFERROR(INDEX(RunoffChangeAdj!HK:HK,MATCH($B23,RunoffChangeAdj!$FE:$FE,0)),""))</f>
        <v>0</v>
      </c>
      <c r="HP23" s="898">
        <f>IF($E23=0,"",IFERROR(INDEX(RunoffChangeAdj!HL:HL,MATCH($B23,RunoffChangeAdj!$FE:$FE,0)),""))</f>
        <v>0</v>
      </c>
    </row>
    <row r="24" spans="1:224">
      <c r="A24" s="816" t="s">
        <v>1233</v>
      </c>
      <c r="B24" s="816" t="s">
        <v>1227</v>
      </c>
      <c r="C24" s="816">
        <v>0</v>
      </c>
      <c r="D24" s="816">
        <f t="shared" si="0"/>
        <v>0</v>
      </c>
      <c r="E24" s="816">
        <v>0</v>
      </c>
      <c r="F24" s="816" t="str">
        <f>INDEX('Data Interface'!$C:$C,MATCH(B24,'Data Interface'!$B:$B,0))</f>
        <v>FDIC Sweep Deposits - Retail - Custodial IND</v>
      </c>
      <c r="G24" s="894">
        <f ca="1">IF($C24=1,$AJ24,SUM($AJ24:$AL24)*INDEX('Schedule Allocation'!G:G,MATCH($D24,'Schedule Allocation'!$A:$A,0)))</f>
        <v>1.2E-2</v>
      </c>
      <c r="H24" s="894">
        <f ca="1">IF($C24=1,$AK24,SUM($AJ24:$AL24)*INDEX('Schedule Allocation'!H:H,MATCH($D24,'Schedule Allocation'!$A:$A,0)))</f>
        <v>4.0000000000000001E-3</v>
      </c>
      <c r="I24" s="894">
        <f ca="1">IF($C24=1,$AK24,SUM($AJ24:$AL24)*INDEX('Schedule Allocation'!I:I,MATCH($D24,'Schedule Allocation'!$A:$A,0)))</f>
        <v>4.0000000000000001E-3</v>
      </c>
      <c r="J24" s="894">
        <f ca="1">IF($C24=1,$AK24,SUM($AJ24:$AL24)*INDEX('Schedule Allocation'!J:J,MATCH($D24,'Schedule Allocation'!$A:$A,0)))</f>
        <v>4.0000000000000001E-3</v>
      </c>
      <c r="K24" s="894">
        <f ca="1">IF($C24=1,$AK24,SUM($AJ24:$AL24)*INDEX('Schedule Allocation'!K:K,MATCH($D24,'Schedule Allocation'!$A:$A,0)))</f>
        <v>4.0000000000000001E-3</v>
      </c>
      <c r="L24" s="894">
        <f ca="1">IF($C24=1,$AK24,SUM($AJ24:$AL24)*INDEX('Schedule Allocation'!L:L,MATCH($D24,'Schedule Allocation'!$A:$A,0)))</f>
        <v>4.0000000000000001E-3</v>
      </c>
      <c r="M24" s="894">
        <f ca="1">IF($C24=1,$AK24,SUM($AJ24:$AL24)*INDEX('Schedule Allocation'!M:M,MATCH($D24,'Schedule Allocation'!$A:$A,0)))</f>
        <v>4.0000000000000001E-3</v>
      </c>
      <c r="N24" s="894">
        <f ca="1">IF($C24=1,$AL24,SUM($AJ24:$AL24)*INDEX('Schedule Allocation'!N:N,MATCH($D24,'Schedule Allocation'!$A:$A,0)))</f>
        <v>3.4285714285714288E-3</v>
      </c>
      <c r="O24" s="894">
        <f ca="1">IF($C24=1,$AL24,SUM($AJ24:$AL24)*INDEX('Schedule Allocation'!O:O,MATCH($D24,'Schedule Allocation'!$A:$A,0)))</f>
        <v>3.4285714285714288E-3</v>
      </c>
      <c r="P24" s="894">
        <f ca="1">IF($C24=1,$AL24,SUM($AJ24:$AL24)*INDEX('Schedule Allocation'!P:P,MATCH($D24,'Schedule Allocation'!$A:$A,0)))</f>
        <v>3.4285714285714288E-3</v>
      </c>
      <c r="Q24" s="894">
        <f ca="1">IF($C24=1,$AL24,SUM($AJ24:$AL24)*INDEX('Schedule Allocation'!Q:Q,MATCH($D24,'Schedule Allocation'!$A:$A,0)))</f>
        <v>3.4285714285714288E-3</v>
      </c>
      <c r="R24" s="894">
        <f ca="1">IF($C24=1,$AL24,SUM($AJ24:$AL24)*INDEX('Schedule Allocation'!R:R,MATCH($D24,'Schedule Allocation'!$A:$A,0)))</f>
        <v>3.4285714285714288E-3</v>
      </c>
      <c r="S24" s="894">
        <f ca="1">IF($C24=1,$AL24,SUM($AJ24:$AL24)*INDEX('Schedule Allocation'!S:S,MATCH($D24,'Schedule Allocation'!$A:$A,0)))</f>
        <v>3.4285714285714288E-3</v>
      </c>
      <c r="T24" s="894">
        <f ca="1">IF($C24=1,$AL24,SUM($AJ24:$AL24)*INDEX('Schedule Allocation'!T:T,MATCH($D24,'Schedule Allocation'!$A:$A,0)))</f>
        <v>3.4285714285714288E-3</v>
      </c>
      <c r="U24" s="894">
        <f ca="1">OFFSET(AT24,0,(MATCH('Model Report Formatized'!$E$1,$AN$1:$AN$6,0))*17-17)</f>
        <v>0.02</v>
      </c>
      <c r="V24" s="894">
        <f ca="1">OFFSET(AU24,0,(MATCH('Model Report Formatized'!$E$1,$AN$1:$AN$6,0))*17-17)</f>
        <v>0.02</v>
      </c>
      <c r="W24" s="894">
        <f ca="1">OFFSET(AV24,0,(MATCH('Model Report Formatized'!$E$1,$AN$1:$AN$6,0))*17-17)</f>
        <v>0</v>
      </c>
      <c r="X24" s="894">
        <f ca="1">OFFSET(AW24,0,(MATCH('Model Report Formatized'!$E$1,$AN$1:$AN$6,0))*17-17)</f>
        <v>0</v>
      </c>
      <c r="Y24" s="894">
        <f ca="1">OFFSET(AX24,0,(MATCH('Model Report Formatized'!$E$1,$AN$1:$AN$6,0))*17-17)</f>
        <v>0</v>
      </c>
      <c r="Z24" s="894">
        <f ca="1">OFFSET(AY24,0,(MATCH('Model Report Formatized'!$E$1,$AN$1:$AN$6,0))*17-17)</f>
        <v>0</v>
      </c>
      <c r="AA24" s="894">
        <f ca="1">OFFSET(AZ24,0,(MATCH('Model Report Formatized'!$E$1,$AN$1:$AN$6,0))*17-17)</f>
        <v>0</v>
      </c>
      <c r="AB24" s="894">
        <f ca="1">OFFSET(BA24,0,(MATCH('Model Report Formatized'!$E$1,$AN$1:$AN$6,0))*17-17)</f>
        <v>0</v>
      </c>
      <c r="AC24" s="894">
        <f ca="1">OFFSET(BB24,0,(MATCH('Model Report Formatized'!$E$1,$AN$1:$AN$6,0))*17-17)</f>
        <v>0</v>
      </c>
      <c r="AD24" s="894">
        <f ca="1">OFFSET(BC24,0,(MATCH('Model Report Formatized'!$E$1,$AN$1:$AN$6,0))*17-17)</f>
        <v>0</v>
      </c>
      <c r="AE24" s="894">
        <f ca="1">OFFSET(BD24,0,(MATCH('Model Report Formatized'!$E$1,$AN$1:$AN$6,0))*17-17)</f>
        <v>0</v>
      </c>
      <c r="AF24" s="894">
        <f ca="1">OFFSET(BE24,0,(MATCH('Model Report Formatized'!$E$1,$AN$1:$AN$6,0))*17-17)</f>
        <v>0</v>
      </c>
      <c r="AG24" s="894">
        <f ca="1">OFFSET(BF24,0,(MATCH('Model Report Formatized'!$E$1,$AN$1:$AN$6,0))*17-17)</f>
        <v>0</v>
      </c>
      <c r="AH24" s="891">
        <f t="shared" ca="1" si="1"/>
        <v>-1.3877787807814457E-17</v>
      </c>
      <c r="AJ24" s="895">
        <f ca="1">OFFSET(AQ24,0,(MATCH('Model Report Formatized'!$E$1,$AN$1:$AN$6,0))*17-17)</f>
        <v>0.02</v>
      </c>
      <c r="AK24" s="895">
        <f ca="1">OFFSET(AR24,0,(MATCH('Model Report Formatized'!$E$1,$AN$1:$AN$6,0))*17-17)</f>
        <v>0.02</v>
      </c>
      <c r="AL24" s="895">
        <f ca="1">OFFSET(AS24,0,(MATCH('Model Report Formatized'!$E$1,$AN$1:$AN$6,0))*17-17)</f>
        <v>0.02</v>
      </c>
      <c r="AQ24" s="893">
        <v>0.02</v>
      </c>
      <c r="AR24" s="893">
        <v>0.02</v>
      </c>
      <c r="AS24" s="893">
        <v>0.02</v>
      </c>
      <c r="AT24" s="893">
        <v>0.02</v>
      </c>
      <c r="AU24" s="893">
        <v>0.02</v>
      </c>
      <c r="AV24" s="893">
        <v>0</v>
      </c>
      <c r="AW24" s="893">
        <v>0</v>
      </c>
      <c r="AX24" s="893">
        <v>0</v>
      </c>
      <c r="AY24" s="893">
        <v>0</v>
      </c>
      <c r="AZ24" s="893">
        <v>0</v>
      </c>
      <c r="BA24" s="893">
        <v>0</v>
      </c>
      <c r="BB24" s="893">
        <v>0</v>
      </c>
      <c r="BC24" s="893">
        <v>0</v>
      </c>
      <c r="BD24" s="893">
        <v>0</v>
      </c>
      <c r="BE24" s="893">
        <v>0</v>
      </c>
      <c r="BF24" s="893">
        <v>0</v>
      </c>
      <c r="BH24" s="816">
        <v>2.4E-2</v>
      </c>
      <c r="BI24" s="816">
        <v>2.4E-2</v>
      </c>
      <c r="BJ24" s="816">
        <v>2.4E-2</v>
      </c>
      <c r="BK24" s="816">
        <v>2.4E-2</v>
      </c>
      <c r="BL24" s="816">
        <v>2.4E-2</v>
      </c>
      <c r="BM24" s="816">
        <v>0</v>
      </c>
      <c r="BN24" s="816">
        <v>0</v>
      </c>
      <c r="BO24" s="816">
        <v>0</v>
      </c>
      <c r="BP24" s="816">
        <v>0</v>
      </c>
      <c r="BQ24" s="816">
        <v>0</v>
      </c>
      <c r="BR24" s="816">
        <v>0</v>
      </c>
      <c r="BS24" s="816">
        <v>0</v>
      </c>
      <c r="BT24" s="816">
        <v>0</v>
      </c>
      <c r="BU24" s="816">
        <v>0</v>
      </c>
      <c r="BV24" s="816">
        <v>0</v>
      </c>
      <c r="BW24" s="816">
        <v>0</v>
      </c>
      <c r="BY24" s="817">
        <v>0</v>
      </c>
      <c r="BZ24" s="817">
        <v>0</v>
      </c>
      <c r="CA24" s="817">
        <v>0</v>
      </c>
      <c r="CB24" s="817">
        <v>0</v>
      </c>
      <c r="CC24" s="817">
        <v>0</v>
      </c>
      <c r="CD24" s="817">
        <v>0</v>
      </c>
      <c r="CE24" s="817">
        <v>0</v>
      </c>
      <c r="CF24" s="817">
        <v>0</v>
      </c>
      <c r="CG24" s="817">
        <v>0</v>
      </c>
      <c r="CH24" s="817">
        <v>0</v>
      </c>
      <c r="CI24" s="817">
        <v>0</v>
      </c>
      <c r="CJ24" s="817">
        <v>0</v>
      </c>
      <c r="CK24" s="817">
        <v>0</v>
      </c>
      <c r="CL24" s="817">
        <v>0</v>
      </c>
      <c r="CM24" s="817">
        <v>0</v>
      </c>
      <c r="CN24" s="817">
        <v>0</v>
      </c>
      <c r="CP24" s="818">
        <v>0.02</v>
      </c>
      <c r="CQ24" s="818">
        <v>0.02</v>
      </c>
      <c r="CR24" s="818">
        <v>0.02</v>
      </c>
      <c r="CS24" s="818">
        <v>0.02</v>
      </c>
      <c r="CT24" s="818">
        <v>0.02</v>
      </c>
      <c r="CU24" s="818">
        <v>0</v>
      </c>
      <c r="CV24" s="818">
        <v>0</v>
      </c>
      <c r="CW24" s="818">
        <v>0</v>
      </c>
      <c r="CX24" s="818">
        <v>0</v>
      </c>
      <c r="CY24" s="818">
        <v>0</v>
      </c>
      <c r="CZ24" s="818">
        <v>0</v>
      </c>
      <c r="DA24" s="818">
        <v>0</v>
      </c>
      <c r="DB24" s="818">
        <v>0</v>
      </c>
      <c r="DC24" s="818">
        <v>0</v>
      </c>
      <c r="DD24" s="818">
        <v>0</v>
      </c>
      <c r="DE24" s="818">
        <v>0</v>
      </c>
      <c r="DG24" s="816">
        <v>2.4E-2</v>
      </c>
      <c r="DH24" s="816">
        <v>2.4E-2</v>
      </c>
      <c r="DI24" s="816">
        <v>2.4E-2</v>
      </c>
      <c r="DJ24" s="816">
        <v>2.4E-2</v>
      </c>
      <c r="DK24" s="816">
        <v>2.4E-2</v>
      </c>
      <c r="DL24" s="816">
        <v>0</v>
      </c>
      <c r="DM24" s="816">
        <v>0</v>
      </c>
      <c r="DN24" s="816">
        <v>0</v>
      </c>
      <c r="DO24" s="816">
        <v>0</v>
      </c>
      <c r="DP24" s="816">
        <v>0</v>
      </c>
      <c r="DQ24" s="816">
        <v>0</v>
      </c>
      <c r="DR24" s="816">
        <v>0</v>
      </c>
      <c r="DS24" s="816">
        <v>0</v>
      </c>
      <c r="DT24" s="816">
        <v>0</v>
      </c>
      <c r="DU24" s="816">
        <v>0</v>
      </c>
      <c r="DV24" s="816">
        <v>0</v>
      </c>
      <c r="DX24" s="816">
        <v>0</v>
      </c>
      <c r="DY24" s="816">
        <v>0</v>
      </c>
      <c r="DZ24" s="816">
        <v>0</v>
      </c>
      <c r="EA24" s="816">
        <v>0</v>
      </c>
      <c r="EB24" s="816">
        <v>0</v>
      </c>
      <c r="EC24" s="816">
        <v>0</v>
      </c>
      <c r="ED24" s="816">
        <v>0</v>
      </c>
      <c r="EE24" s="816">
        <v>0</v>
      </c>
      <c r="EF24" s="816">
        <v>0</v>
      </c>
      <c r="EG24" s="816">
        <v>0</v>
      </c>
      <c r="EH24" s="816">
        <v>0</v>
      </c>
      <c r="EI24" s="816">
        <v>0</v>
      </c>
      <c r="EJ24" s="816">
        <v>0</v>
      </c>
      <c r="EK24" s="816">
        <v>0</v>
      </c>
      <c r="EL24" s="816">
        <v>0</v>
      </c>
      <c r="EM24" s="816">
        <v>0</v>
      </c>
      <c r="FQ24" s="898"/>
      <c r="FS24" s="898"/>
      <c r="FT24" s="898"/>
      <c r="FU24" s="898"/>
      <c r="FV24" s="898"/>
      <c r="FW24" s="898"/>
      <c r="FX24" s="898"/>
      <c r="FY24" s="898"/>
      <c r="FZ24" s="898"/>
      <c r="GA24" s="898"/>
      <c r="GB24" s="898"/>
      <c r="GC24" s="898"/>
      <c r="GD24" s="898"/>
      <c r="GE24" s="898"/>
      <c r="GF24" s="898"/>
      <c r="GG24" s="898"/>
      <c r="GH24" s="898"/>
      <c r="GJ24" s="898"/>
      <c r="GK24" s="898"/>
      <c r="GL24" s="898"/>
      <c r="GM24" s="898"/>
      <c r="GN24" s="898"/>
      <c r="GO24" s="898"/>
      <c r="GP24" s="898"/>
      <c r="GQ24" s="898"/>
      <c r="GR24" s="898"/>
      <c r="GS24" s="898"/>
      <c r="GT24" s="898"/>
      <c r="GU24" s="898"/>
      <c r="GV24" s="898"/>
      <c r="GW24" s="898"/>
      <c r="GX24" s="898"/>
      <c r="GY24" s="898"/>
      <c r="HA24" s="898"/>
      <c r="HB24" s="898"/>
      <c r="HC24" s="898"/>
      <c r="HD24" s="898"/>
      <c r="HE24" s="898"/>
      <c r="HF24" s="898"/>
      <c r="HG24" s="898"/>
      <c r="HH24" s="898"/>
      <c r="HI24" s="898"/>
      <c r="HJ24" s="898"/>
      <c r="HK24" s="898"/>
      <c r="HL24" s="898"/>
      <c r="HM24" s="898"/>
      <c r="HN24" s="898"/>
      <c r="HO24" s="898"/>
      <c r="HP24" s="898"/>
    </row>
    <row r="25" spans="1:224">
      <c r="A25" s="816" t="s">
        <v>1233</v>
      </c>
      <c r="B25" s="816" t="s">
        <v>1228</v>
      </c>
      <c r="C25" s="816">
        <v>0</v>
      </c>
      <c r="D25" s="816">
        <f t="shared" si="0"/>
        <v>0</v>
      </c>
      <c r="E25" s="816">
        <v>0</v>
      </c>
      <c r="F25" s="816" t="str">
        <f>INDEX('Data Interface'!$C:$C,MATCH(B25,'Data Interface'!$B:$B,0))</f>
        <v>FDIC Sweep Deposits - Retail - ICS/CEDARS</v>
      </c>
      <c r="G25" s="894">
        <f ca="1">IF($C25=1,$AJ25,SUM($AJ25:$AL25)*INDEX('Schedule Allocation'!G:G,MATCH($D25,'Schedule Allocation'!$A:$A,0)))</f>
        <v>1.2E-2</v>
      </c>
      <c r="H25" s="894">
        <f ca="1">IF($C25=1,$AK25,SUM($AJ25:$AL25)*INDEX('Schedule Allocation'!H:H,MATCH($D25,'Schedule Allocation'!$A:$A,0)))</f>
        <v>4.0000000000000001E-3</v>
      </c>
      <c r="I25" s="894">
        <f ca="1">IF($C25=1,$AK25,SUM($AJ25:$AL25)*INDEX('Schedule Allocation'!I:I,MATCH($D25,'Schedule Allocation'!$A:$A,0)))</f>
        <v>4.0000000000000001E-3</v>
      </c>
      <c r="J25" s="894">
        <f ca="1">IF($C25=1,$AK25,SUM($AJ25:$AL25)*INDEX('Schedule Allocation'!J:J,MATCH($D25,'Schedule Allocation'!$A:$A,0)))</f>
        <v>4.0000000000000001E-3</v>
      </c>
      <c r="K25" s="894">
        <f ca="1">IF($C25=1,$AK25,SUM($AJ25:$AL25)*INDEX('Schedule Allocation'!K:K,MATCH($D25,'Schedule Allocation'!$A:$A,0)))</f>
        <v>4.0000000000000001E-3</v>
      </c>
      <c r="L25" s="894">
        <f ca="1">IF($C25=1,$AK25,SUM($AJ25:$AL25)*INDEX('Schedule Allocation'!L:L,MATCH($D25,'Schedule Allocation'!$A:$A,0)))</f>
        <v>4.0000000000000001E-3</v>
      </c>
      <c r="M25" s="894">
        <f ca="1">IF($C25=1,$AK25,SUM($AJ25:$AL25)*INDEX('Schedule Allocation'!M:M,MATCH($D25,'Schedule Allocation'!$A:$A,0)))</f>
        <v>4.0000000000000001E-3</v>
      </c>
      <c r="N25" s="894">
        <f ca="1">IF($C25=1,$AL25,SUM($AJ25:$AL25)*INDEX('Schedule Allocation'!N:N,MATCH($D25,'Schedule Allocation'!$A:$A,0)))</f>
        <v>3.4285714285714288E-3</v>
      </c>
      <c r="O25" s="894">
        <f ca="1">IF($C25=1,$AL25,SUM($AJ25:$AL25)*INDEX('Schedule Allocation'!O:O,MATCH($D25,'Schedule Allocation'!$A:$A,0)))</f>
        <v>3.4285714285714288E-3</v>
      </c>
      <c r="P25" s="894">
        <f ca="1">IF($C25=1,$AL25,SUM($AJ25:$AL25)*INDEX('Schedule Allocation'!P:P,MATCH($D25,'Schedule Allocation'!$A:$A,0)))</f>
        <v>3.4285714285714288E-3</v>
      </c>
      <c r="Q25" s="894">
        <f ca="1">IF($C25=1,$AL25,SUM($AJ25:$AL25)*INDEX('Schedule Allocation'!Q:Q,MATCH($D25,'Schedule Allocation'!$A:$A,0)))</f>
        <v>3.4285714285714288E-3</v>
      </c>
      <c r="R25" s="894">
        <f ca="1">IF($C25=1,$AL25,SUM($AJ25:$AL25)*INDEX('Schedule Allocation'!R:R,MATCH($D25,'Schedule Allocation'!$A:$A,0)))</f>
        <v>3.4285714285714288E-3</v>
      </c>
      <c r="S25" s="894">
        <f ca="1">IF($C25=1,$AL25,SUM($AJ25:$AL25)*INDEX('Schedule Allocation'!S:S,MATCH($D25,'Schedule Allocation'!$A:$A,0)))</f>
        <v>3.4285714285714288E-3</v>
      </c>
      <c r="T25" s="894">
        <f ca="1">IF($C25=1,$AL25,SUM($AJ25:$AL25)*INDEX('Schedule Allocation'!T:T,MATCH($D25,'Schedule Allocation'!$A:$A,0)))</f>
        <v>3.4285714285714288E-3</v>
      </c>
      <c r="U25" s="894">
        <f ca="1">OFFSET(AT25,0,(MATCH('Model Report Formatized'!$E$1,$AN$1:$AN$6,0))*17-17)</f>
        <v>0.02</v>
      </c>
      <c r="V25" s="894">
        <f ca="1">OFFSET(AU25,0,(MATCH('Model Report Formatized'!$E$1,$AN$1:$AN$6,0))*17-17)</f>
        <v>0.02</v>
      </c>
      <c r="W25" s="894">
        <f ca="1">OFFSET(AV25,0,(MATCH('Model Report Formatized'!$E$1,$AN$1:$AN$6,0))*17-17)</f>
        <v>0</v>
      </c>
      <c r="X25" s="894">
        <f ca="1">OFFSET(AW25,0,(MATCH('Model Report Formatized'!$E$1,$AN$1:$AN$6,0))*17-17)</f>
        <v>0</v>
      </c>
      <c r="Y25" s="894">
        <f ca="1">OFFSET(AX25,0,(MATCH('Model Report Formatized'!$E$1,$AN$1:$AN$6,0))*17-17)</f>
        <v>0</v>
      </c>
      <c r="Z25" s="894">
        <f ca="1">OFFSET(AY25,0,(MATCH('Model Report Formatized'!$E$1,$AN$1:$AN$6,0))*17-17)</f>
        <v>0</v>
      </c>
      <c r="AA25" s="894">
        <f ca="1">OFFSET(AZ25,0,(MATCH('Model Report Formatized'!$E$1,$AN$1:$AN$6,0))*17-17)</f>
        <v>0</v>
      </c>
      <c r="AB25" s="894">
        <f ca="1">OFFSET(BA25,0,(MATCH('Model Report Formatized'!$E$1,$AN$1:$AN$6,0))*17-17)</f>
        <v>0</v>
      </c>
      <c r="AC25" s="894">
        <f ca="1">OFFSET(BB25,0,(MATCH('Model Report Formatized'!$E$1,$AN$1:$AN$6,0))*17-17)</f>
        <v>0</v>
      </c>
      <c r="AD25" s="894">
        <f ca="1">OFFSET(BC25,0,(MATCH('Model Report Formatized'!$E$1,$AN$1:$AN$6,0))*17-17)</f>
        <v>0</v>
      </c>
      <c r="AE25" s="894">
        <f ca="1">OFFSET(BD25,0,(MATCH('Model Report Formatized'!$E$1,$AN$1:$AN$6,0))*17-17)</f>
        <v>0</v>
      </c>
      <c r="AF25" s="894">
        <f ca="1">OFFSET(BE25,0,(MATCH('Model Report Formatized'!$E$1,$AN$1:$AN$6,0))*17-17)</f>
        <v>0</v>
      </c>
      <c r="AG25" s="894">
        <f ca="1">OFFSET(BF25,0,(MATCH('Model Report Formatized'!$E$1,$AN$1:$AN$6,0))*17-17)</f>
        <v>0</v>
      </c>
      <c r="AH25" s="891">
        <f t="shared" ca="1" si="1"/>
        <v>-1.3877787807814457E-17</v>
      </c>
      <c r="AJ25" s="895">
        <f ca="1">OFFSET(AQ25,0,(MATCH('Model Report Formatized'!$E$1,$AN$1:$AN$6,0))*17-17)</f>
        <v>0.02</v>
      </c>
      <c r="AK25" s="895">
        <f ca="1">OFFSET(AR25,0,(MATCH('Model Report Formatized'!$E$1,$AN$1:$AN$6,0))*17-17)</f>
        <v>0.02</v>
      </c>
      <c r="AL25" s="895">
        <f ca="1">OFFSET(AS25,0,(MATCH('Model Report Formatized'!$E$1,$AN$1:$AN$6,0))*17-17)</f>
        <v>0.02</v>
      </c>
      <c r="AQ25" s="893">
        <v>0.02</v>
      </c>
      <c r="AR25" s="893">
        <v>0.02</v>
      </c>
      <c r="AS25" s="893">
        <v>0.02</v>
      </c>
      <c r="AT25" s="893">
        <v>0.02</v>
      </c>
      <c r="AU25" s="893">
        <v>0.02</v>
      </c>
      <c r="AV25" s="893">
        <v>0</v>
      </c>
      <c r="AW25" s="893">
        <v>0</v>
      </c>
      <c r="AX25" s="893">
        <v>0</v>
      </c>
      <c r="AY25" s="893">
        <v>0</v>
      </c>
      <c r="AZ25" s="893">
        <v>0</v>
      </c>
      <c r="BA25" s="893">
        <v>0</v>
      </c>
      <c r="BB25" s="893">
        <v>0</v>
      </c>
      <c r="BC25" s="893">
        <v>0</v>
      </c>
      <c r="BD25" s="893">
        <v>0</v>
      </c>
      <c r="BE25" s="893">
        <v>0</v>
      </c>
      <c r="BF25" s="893">
        <v>0</v>
      </c>
      <c r="BH25" s="816">
        <v>2.4E-2</v>
      </c>
      <c r="BI25" s="816">
        <v>2.4E-2</v>
      </c>
      <c r="BJ25" s="816">
        <v>2.4E-2</v>
      </c>
      <c r="BK25" s="816">
        <v>2.4E-2</v>
      </c>
      <c r="BL25" s="816">
        <v>2.4E-2</v>
      </c>
      <c r="BM25" s="816">
        <v>0</v>
      </c>
      <c r="BN25" s="816">
        <v>0</v>
      </c>
      <c r="BO25" s="816">
        <v>0</v>
      </c>
      <c r="BP25" s="816">
        <v>0</v>
      </c>
      <c r="BQ25" s="816">
        <v>0</v>
      </c>
      <c r="BR25" s="816">
        <v>0</v>
      </c>
      <c r="BS25" s="816">
        <v>0</v>
      </c>
      <c r="BT25" s="816">
        <v>0</v>
      </c>
      <c r="BU25" s="816">
        <v>0</v>
      </c>
      <c r="BV25" s="816">
        <v>0</v>
      </c>
      <c r="BW25" s="816">
        <v>0</v>
      </c>
      <c r="BY25" s="817">
        <v>0</v>
      </c>
      <c r="BZ25" s="817">
        <v>0</v>
      </c>
      <c r="CA25" s="817">
        <v>0</v>
      </c>
      <c r="CB25" s="817">
        <v>0</v>
      </c>
      <c r="CC25" s="817">
        <v>0</v>
      </c>
      <c r="CD25" s="817">
        <v>0</v>
      </c>
      <c r="CE25" s="817">
        <v>0</v>
      </c>
      <c r="CF25" s="817">
        <v>0</v>
      </c>
      <c r="CG25" s="817">
        <v>0</v>
      </c>
      <c r="CH25" s="817">
        <v>0</v>
      </c>
      <c r="CI25" s="817">
        <v>0</v>
      </c>
      <c r="CJ25" s="817">
        <v>0</v>
      </c>
      <c r="CK25" s="817">
        <v>0</v>
      </c>
      <c r="CL25" s="817">
        <v>0</v>
      </c>
      <c r="CM25" s="817">
        <v>0</v>
      </c>
      <c r="CN25" s="817">
        <v>0</v>
      </c>
      <c r="CP25" s="818">
        <v>0.02</v>
      </c>
      <c r="CQ25" s="818">
        <v>0.02</v>
      </c>
      <c r="CR25" s="818">
        <v>0.02</v>
      </c>
      <c r="CS25" s="818">
        <v>0.02</v>
      </c>
      <c r="CT25" s="818">
        <v>0.02</v>
      </c>
      <c r="CU25" s="818">
        <v>0</v>
      </c>
      <c r="CV25" s="818">
        <v>0</v>
      </c>
      <c r="CW25" s="818">
        <v>0</v>
      </c>
      <c r="CX25" s="818">
        <v>0</v>
      </c>
      <c r="CY25" s="818">
        <v>0</v>
      </c>
      <c r="CZ25" s="818">
        <v>0</v>
      </c>
      <c r="DA25" s="818">
        <v>0</v>
      </c>
      <c r="DB25" s="818">
        <v>0</v>
      </c>
      <c r="DC25" s="818">
        <v>0</v>
      </c>
      <c r="DD25" s="818">
        <v>0</v>
      </c>
      <c r="DE25" s="818">
        <v>0</v>
      </c>
      <c r="DG25" s="816">
        <v>2.4E-2</v>
      </c>
      <c r="DH25" s="816">
        <v>2.4E-2</v>
      </c>
      <c r="DI25" s="816">
        <v>2.4E-2</v>
      </c>
      <c r="DJ25" s="816">
        <v>2.4E-2</v>
      </c>
      <c r="DK25" s="816">
        <v>2.4E-2</v>
      </c>
      <c r="DL25" s="816">
        <v>0</v>
      </c>
      <c r="DM25" s="816">
        <v>0</v>
      </c>
      <c r="DN25" s="816">
        <v>0</v>
      </c>
      <c r="DO25" s="816">
        <v>0</v>
      </c>
      <c r="DP25" s="816">
        <v>0</v>
      </c>
      <c r="DQ25" s="816">
        <v>0</v>
      </c>
      <c r="DR25" s="816">
        <v>0</v>
      </c>
      <c r="DS25" s="816">
        <v>0</v>
      </c>
      <c r="DT25" s="816">
        <v>0</v>
      </c>
      <c r="DU25" s="816">
        <v>0</v>
      </c>
      <c r="DV25" s="816">
        <v>0</v>
      </c>
      <c r="DX25" s="816">
        <v>0</v>
      </c>
      <c r="DY25" s="816">
        <v>0</v>
      </c>
      <c r="DZ25" s="816">
        <v>0</v>
      </c>
      <c r="EA25" s="816">
        <v>0</v>
      </c>
      <c r="EB25" s="816">
        <v>0</v>
      </c>
      <c r="EC25" s="816">
        <v>0</v>
      </c>
      <c r="ED25" s="816">
        <v>0</v>
      </c>
      <c r="EE25" s="816">
        <v>0</v>
      </c>
      <c r="EF25" s="816">
        <v>0</v>
      </c>
      <c r="EG25" s="816">
        <v>0</v>
      </c>
      <c r="EH25" s="816">
        <v>0</v>
      </c>
      <c r="EI25" s="816">
        <v>0</v>
      </c>
      <c r="EJ25" s="816">
        <v>0</v>
      </c>
      <c r="EK25" s="816">
        <v>0</v>
      </c>
      <c r="EL25" s="816">
        <v>0</v>
      </c>
      <c r="EM25" s="816">
        <v>0</v>
      </c>
      <c r="FQ25" s="898"/>
      <c r="FS25" s="898"/>
      <c r="FT25" s="898"/>
      <c r="FU25" s="898"/>
      <c r="FV25" s="898"/>
      <c r="FW25" s="898"/>
      <c r="FX25" s="898"/>
      <c r="FY25" s="898"/>
      <c r="FZ25" s="898"/>
      <c r="GA25" s="898"/>
      <c r="GB25" s="898"/>
      <c r="GC25" s="898"/>
      <c r="GD25" s="898"/>
      <c r="GE25" s="898"/>
      <c r="GF25" s="898"/>
      <c r="GG25" s="898"/>
      <c r="GH25" s="898"/>
      <c r="GJ25" s="898"/>
      <c r="GK25" s="898"/>
      <c r="GL25" s="898"/>
      <c r="GM25" s="898"/>
      <c r="GN25" s="898"/>
      <c r="GO25" s="898"/>
      <c r="GP25" s="898"/>
      <c r="GQ25" s="898"/>
      <c r="GR25" s="898"/>
      <c r="GS25" s="898"/>
      <c r="GT25" s="898"/>
      <c r="GU25" s="898"/>
      <c r="GV25" s="898"/>
      <c r="GW25" s="898"/>
      <c r="GX25" s="898"/>
      <c r="GY25" s="898"/>
      <c r="HA25" s="898"/>
      <c r="HB25" s="898"/>
      <c r="HC25" s="898"/>
      <c r="HD25" s="898"/>
      <c r="HE25" s="898"/>
      <c r="HF25" s="898"/>
      <c r="HG25" s="898"/>
      <c r="HH25" s="898"/>
      <c r="HI25" s="898"/>
      <c r="HJ25" s="898"/>
      <c r="HK25" s="898"/>
      <c r="HL25" s="898"/>
      <c r="HM25" s="898"/>
      <c r="HN25" s="898"/>
      <c r="HO25" s="898"/>
      <c r="HP25" s="898"/>
    </row>
    <row r="26" spans="1:224">
      <c r="A26" s="816" t="s">
        <v>1233</v>
      </c>
      <c r="B26" s="816" t="s">
        <v>1286</v>
      </c>
      <c r="C26" s="816">
        <v>0</v>
      </c>
      <c r="D26" s="816">
        <f t="shared" si="0"/>
        <v>0</v>
      </c>
      <c r="E26" s="816">
        <v>0</v>
      </c>
      <c r="F26" s="816" t="str">
        <f>INDEX('Data Interface'!$C:$C,MATCH(B26,'Data Interface'!$B:$B,0))</f>
        <v>FDIC Sweep Deposits - Retail - MMDA</v>
      </c>
      <c r="G26" s="894">
        <f ca="1">IF($C26=1,$AJ26,SUM($AJ26:$AL26)*INDEX('Schedule Allocation'!G:G,MATCH($D26,'Schedule Allocation'!$A:$A,0)))</f>
        <v>1.2E-2</v>
      </c>
      <c r="H26" s="894">
        <f ca="1">IF($C26=1,$AK26,SUM($AJ26:$AL26)*INDEX('Schedule Allocation'!H:H,MATCH($D26,'Schedule Allocation'!$A:$A,0)))</f>
        <v>4.0000000000000001E-3</v>
      </c>
      <c r="I26" s="894">
        <f ca="1">IF($C26=1,$AK26,SUM($AJ26:$AL26)*INDEX('Schedule Allocation'!I:I,MATCH($D26,'Schedule Allocation'!$A:$A,0)))</f>
        <v>4.0000000000000001E-3</v>
      </c>
      <c r="J26" s="894">
        <f ca="1">IF($C26=1,$AK26,SUM($AJ26:$AL26)*INDEX('Schedule Allocation'!J:J,MATCH($D26,'Schedule Allocation'!$A:$A,0)))</f>
        <v>4.0000000000000001E-3</v>
      </c>
      <c r="K26" s="894">
        <f ca="1">IF($C26=1,$AK26,SUM($AJ26:$AL26)*INDEX('Schedule Allocation'!K:K,MATCH($D26,'Schedule Allocation'!$A:$A,0)))</f>
        <v>4.0000000000000001E-3</v>
      </c>
      <c r="L26" s="894">
        <f ca="1">IF($C26=1,$AK26,SUM($AJ26:$AL26)*INDEX('Schedule Allocation'!L:L,MATCH($D26,'Schedule Allocation'!$A:$A,0)))</f>
        <v>4.0000000000000001E-3</v>
      </c>
      <c r="M26" s="894">
        <f ca="1">IF($C26=1,$AK26,SUM($AJ26:$AL26)*INDEX('Schedule Allocation'!M:M,MATCH($D26,'Schedule Allocation'!$A:$A,0)))</f>
        <v>4.0000000000000001E-3</v>
      </c>
      <c r="N26" s="894">
        <f ca="1">IF($C26=1,$AL26,SUM($AJ26:$AL26)*INDEX('Schedule Allocation'!N:N,MATCH($D26,'Schedule Allocation'!$A:$A,0)))</f>
        <v>3.4285714285714288E-3</v>
      </c>
      <c r="O26" s="894">
        <f ca="1">IF($C26=1,$AL26,SUM($AJ26:$AL26)*INDEX('Schedule Allocation'!O:O,MATCH($D26,'Schedule Allocation'!$A:$A,0)))</f>
        <v>3.4285714285714288E-3</v>
      </c>
      <c r="P26" s="894">
        <f ca="1">IF($C26=1,$AL26,SUM($AJ26:$AL26)*INDEX('Schedule Allocation'!P:P,MATCH($D26,'Schedule Allocation'!$A:$A,0)))</f>
        <v>3.4285714285714288E-3</v>
      </c>
      <c r="Q26" s="894">
        <f ca="1">IF($C26=1,$AL26,SUM($AJ26:$AL26)*INDEX('Schedule Allocation'!Q:Q,MATCH($D26,'Schedule Allocation'!$A:$A,0)))</f>
        <v>3.4285714285714288E-3</v>
      </c>
      <c r="R26" s="894">
        <f ca="1">IF($C26=1,$AL26,SUM($AJ26:$AL26)*INDEX('Schedule Allocation'!R:R,MATCH($D26,'Schedule Allocation'!$A:$A,0)))</f>
        <v>3.4285714285714288E-3</v>
      </c>
      <c r="S26" s="894">
        <f ca="1">IF($C26=1,$AL26,SUM($AJ26:$AL26)*INDEX('Schedule Allocation'!S:S,MATCH($D26,'Schedule Allocation'!$A:$A,0)))</f>
        <v>3.4285714285714288E-3</v>
      </c>
      <c r="T26" s="894">
        <f ca="1">IF($C26=1,$AL26,SUM($AJ26:$AL26)*INDEX('Schedule Allocation'!T:T,MATCH($D26,'Schedule Allocation'!$A:$A,0)))</f>
        <v>3.4285714285714288E-3</v>
      </c>
      <c r="U26" s="894">
        <f ca="1">OFFSET(AT26,0,(MATCH('Model Report Formatized'!$E$1,$AN$1:$AN$6,0))*17-17)</f>
        <v>0.02</v>
      </c>
      <c r="V26" s="894">
        <f ca="1">OFFSET(AU26,0,(MATCH('Model Report Formatized'!$E$1,$AN$1:$AN$6,0))*17-17)</f>
        <v>0.02</v>
      </c>
      <c r="W26" s="894">
        <f ca="1">OFFSET(AV26,0,(MATCH('Model Report Formatized'!$E$1,$AN$1:$AN$6,0))*17-17)</f>
        <v>0</v>
      </c>
      <c r="X26" s="894">
        <f ca="1">OFFSET(AW26,0,(MATCH('Model Report Formatized'!$E$1,$AN$1:$AN$6,0))*17-17)</f>
        <v>0</v>
      </c>
      <c r="Y26" s="894">
        <f ca="1">OFFSET(AX26,0,(MATCH('Model Report Formatized'!$E$1,$AN$1:$AN$6,0))*17-17)</f>
        <v>0</v>
      </c>
      <c r="Z26" s="894">
        <f ca="1">OFFSET(AY26,0,(MATCH('Model Report Formatized'!$E$1,$AN$1:$AN$6,0))*17-17)</f>
        <v>0</v>
      </c>
      <c r="AA26" s="894">
        <f ca="1">OFFSET(AZ26,0,(MATCH('Model Report Formatized'!$E$1,$AN$1:$AN$6,0))*17-17)</f>
        <v>0</v>
      </c>
      <c r="AB26" s="894">
        <f ca="1">OFFSET(BA26,0,(MATCH('Model Report Formatized'!$E$1,$AN$1:$AN$6,0))*17-17)</f>
        <v>0</v>
      </c>
      <c r="AC26" s="894">
        <f ca="1">OFFSET(BB26,0,(MATCH('Model Report Formatized'!$E$1,$AN$1:$AN$6,0))*17-17)</f>
        <v>0</v>
      </c>
      <c r="AD26" s="894">
        <f ca="1">OFFSET(BC26,0,(MATCH('Model Report Formatized'!$E$1,$AN$1:$AN$6,0))*17-17)</f>
        <v>0</v>
      </c>
      <c r="AE26" s="894">
        <f ca="1">OFFSET(BD26,0,(MATCH('Model Report Formatized'!$E$1,$AN$1:$AN$6,0))*17-17)</f>
        <v>0</v>
      </c>
      <c r="AF26" s="894">
        <f ca="1">OFFSET(BE26,0,(MATCH('Model Report Formatized'!$E$1,$AN$1:$AN$6,0))*17-17)</f>
        <v>0</v>
      </c>
      <c r="AG26" s="894">
        <f ca="1">OFFSET(BF26,0,(MATCH('Model Report Formatized'!$E$1,$AN$1:$AN$6,0))*17-17)</f>
        <v>0</v>
      </c>
      <c r="AH26" s="891">
        <f t="shared" ca="1" si="1"/>
        <v>-1.3877787807814457E-17</v>
      </c>
      <c r="AJ26" s="895">
        <f ca="1">OFFSET(AQ26,0,(MATCH('Model Report Formatized'!$E$1,$AN$1:$AN$6,0))*17-17)</f>
        <v>0.02</v>
      </c>
      <c r="AK26" s="895">
        <f ca="1">OFFSET(AR26,0,(MATCH('Model Report Formatized'!$E$1,$AN$1:$AN$6,0))*17-17)</f>
        <v>0.02</v>
      </c>
      <c r="AL26" s="895">
        <f ca="1">OFFSET(AS26,0,(MATCH('Model Report Formatized'!$E$1,$AN$1:$AN$6,0))*17-17)</f>
        <v>0.02</v>
      </c>
      <c r="AQ26" s="893">
        <v>0.02</v>
      </c>
      <c r="AR26" s="893">
        <v>0.02</v>
      </c>
      <c r="AS26" s="893">
        <v>0.02</v>
      </c>
      <c r="AT26" s="893">
        <v>0.02</v>
      </c>
      <c r="AU26" s="893">
        <v>0.02</v>
      </c>
      <c r="AV26" s="893">
        <v>0</v>
      </c>
      <c r="AW26" s="893">
        <v>0</v>
      </c>
      <c r="AX26" s="893">
        <v>0</v>
      </c>
      <c r="AY26" s="893">
        <v>0</v>
      </c>
      <c r="AZ26" s="893">
        <v>0</v>
      </c>
      <c r="BA26" s="893">
        <v>0</v>
      </c>
      <c r="BB26" s="893">
        <v>0</v>
      </c>
      <c r="BC26" s="893">
        <v>0</v>
      </c>
      <c r="BD26" s="893">
        <v>0</v>
      </c>
      <c r="BE26" s="893">
        <v>0</v>
      </c>
      <c r="BF26" s="893">
        <v>0</v>
      </c>
      <c r="BH26" s="816">
        <v>2.4E-2</v>
      </c>
      <c r="BI26" s="816">
        <v>2.4E-2</v>
      </c>
      <c r="BJ26" s="816">
        <v>2.4E-2</v>
      </c>
      <c r="BK26" s="816">
        <v>2.4E-2</v>
      </c>
      <c r="BL26" s="816">
        <v>2.4E-2</v>
      </c>
      <c r="BM26" s="816">
        <v>0</v>
      </c>
      <c r="BN26" s="816">
        <v>0</v>
      </c>
      <c r="BO26" s="816">
        <v>0</v>
      </c>
      <c r="BP26" s="816">
        <v>0</v>
      </c>
      <c r="BQ26" s="816">
        <v>0</v>
      </c>
      <c r="BR26" s="816">
        <v>0</v>
      </c>
      <c r="BS26" s="816">
        <v>0</v>
      </c>
      <c r="BT26" s="816">
        <v>0</v>
      </c>
      <c r="BU26" s="816">
        <v>0</v>
      </c>
      <c r="BV26" s="816">
        <v>0</v>
      </c>
      <c r="BW26" s="816">
        <v>0</v>
      </c>
      <c r="BY26" s="817">
        <v>0</v>
      </c>
      <c r="BZ26" s="817">
        <v>0</v>
      </c>
      <c r="CA26" s="817">
        <v>0</v>
      </c>
      <c r="CB26" s="817">
        <v>0</v>
      </c>
      <c r="CC26" s="817">
        <v>0</v>
      </c>
      <c r="CD26" s="817">
        <v>0</v>
      </c>
      <c r="CE26" s="817">
        <v>0</v>
      </c>
      <c r="CF26" s="817">
        <v>0</v>
      </c>
      <c r="CG26" s="817">
        <v>0</v>
      </c>
      <c r="CH26" s="817">
        <v>0</v>
      </c>
      <c r="CI26" s="817">
        <v>0</v>
      </c>
      <c r="CJ26" s="817">
        <v>0</v>
      </c>
      <c r="CK26" s="817">
        <v>0</v>
      </c>
      <c r="CL26" s="817">
        <v>0</v>
      </c>
      <c r="CM26" s="817">
        <v>0</v>
      </c>
      <c r="CN26" s="817">
        <v>0</v>
      </c>
      <c r="CP26" s="818">
        <v>0.02</v>
      </c>
      <c r="CQ26" s="818">
        <v>0.02</v>
      </c>
      <c r="CR26" s="818">
        <v>0.02</v>
      </c>
      <c r="CS26" s="818">
        <v>0.02</v>
      </c>
      <c r="CT26" s="818">
        <v>0.02</v>
      </c>
      <c r="CU26" s="818">
        <v>0</v>
      </c>
      <c r="CV26" s="818">
        <v>0</v>
      </c>
      <c r="CW26" s="818">
        <v>0</v>
      </c>
      <c r="CX26" s="818">
        <v>0</v>
      </c>
      <c r="CY26" s="818">
        <v>0</v>
      </c>
      <c r="CZ26" s="818">
        <v>0</v>
      </c>
      <c r="DA26" s="818">
        <v>0</v>
      </c>
      <c r="DB26" s="818">
        <v>0</v>
      </c>
      <c r="DC26" s="818">
        <v>0</v>
      </c>
      <c r="DD26" s="818">
        <v>0</v>
      </c>
      <c r="DE26" s="818">
        <v>0</v>
      </c>
      <c r="DG26" s="816">
        <v>2.4E-2</v>
      </c>
      <c r="DH26" s="816">
        <v>2.4E-2</v>
      </c>
      <c r="DI26" s="816">
        <v>2.4E-2</v>
      </c>
      <c r="DJ26" s="816">
        <v>2.4E-2</v>
      </c>
      <c r="DK26" s="816">
        <v>2.4E-2</v>
      </c>
      <c r="DL26" s="816">
        <v>0</v>
      </c>
      <c r="DM26" s="816">
        <v>0</v>
      </c>
      <c r="DN26" s="816">
        <v>0</v>
      </c>
      <c r="DO26" s="816">
        <v>0</v>
      </c>
      <c r="DP26" s="816">
        <v>0</v>
      </c>
      <c r="DQ26" s="816">
        <v>0</v>
      </c>
      <c r="DR26" s="816">
        <v>0</v>
      </c>
      <c r="DS26" s="816">
        <v>0</v>
      </c>
      <c r="DT26" s="816">
        <v>0</v>
      </c>
      <c r="DU26" s="816">
        <v>0</v>
      </c>
      <c r="DV26" s="816">
        <v>0</v>
      </c>
      <c r="DX26" s="816">
        <v>0</v>
      </c>
      <c r="DY26" s="816">
        <v>0</v>
      </c>
      <c r="DZ26" s="816">
        <v>0</v>
      </c>
      <c r="EA26" s="816">
        <v>0</v>
      </c>
      <c r="EB26" s="816">
        <v>0</v>
      </c>
      <c r="EC26" s="816">
        <v>0</v>
      </c>
      <c r="ED26" s="816">
        <v>0</v>
      </c>
      <c r="EE26" s="816">
        <v>0</v>
      </c>
      <c r="EF26" s="816">
        <v>0</v>
      </c>
      <c r="EG26" s="816">
        <v>0</v>
      </c>
      <c r="EH26" s="816">
        <v>0</v>
      </c>
      <c r="EI26" s="816">
        <v>0</v>
      </c>
      <c r="EJ26" s="816">
        <v>0</v>
      </c>
      <c r="EK26" s="816">
        <v>0</v>
      </c>
      <c r="EL26" s="816">
        <v>0</v>
      </c>
      <c r="EM26" s="816">
        <v>0</v>
      </c>
      <c r="FQ26" s="898"/>
      <c r="FS26" s="898"/>
      <c r="FT26" s="898"/>
      <c r="FU26" s="898"/>
      <c r="FV26" s="898"/>
      <c r="FW26" s="898"/>
      <c r="FX26" s="898"/>
      <c r="FY26" s="898"/>
      <c r="FZ26" s="898"/>
      <c r="GA26" s="898"/>
      <c r="GB26" s="898"/>
      <c r="GC26" s="898"/>
      <c r="GD26" s="898"/>
      <c r="GE26" s="898"/>
      <c r="GF26" s="898"/>
      <c r="GG26" s="898"/>
      <c r="GH26" s="898"/>
      <c r="GJ26" s="898"/>
      <c r="GK26" s="898"/>
      <c r="GL26" s="898"/>
      <c r="GM26" s="898"/>
      <c r="GN26" s="898"/>
      <c r="GO26" s="898"/>
      <c r="GP26" s="898"/>
      <c r="GQ26" s="898"/>
      <c r="GR26" s="898"/>
      <c r="GS26" s="898"/>
      <c r="GT26" s="898"/>
      <c r="GU26" s="898"/>
      <c r="GV26" s="898"/>
      <c r="GW26" s="898"/>
      <c r="GX26" s="898"/>
      <c r="GY26" s="898"/>
      <c r="HA26" s="898"/>
      <c r="HB26" s="898"/>
      <c r="HC26" s="898"/>
      <c r="HD26" s="898"/>
      <c r="HE26" s="898"/>
      <c r="HF26" s="898"/>
      <c r="HG26" s="898"/>
      <c r="HH26" s="898"/>
      <c r="HI26" s="898"/>
      <c r="HJ26" s="898"/>
      <c r="HK26" s="898"/>
      <c r="HL26" s="898"/>
      <c r="HM26" s="898"/>
      <c r="HN26" s="898"/>
      <c r="HO26" s="898"/>
      <c r="HP26" s="898"/>
    </row>
    <row r="27" spans="1:224">
      <c r="A27" s="816" t="s">
        <v>1233</v>
      </c>
      <c r="B27" s="816" t="s">
        <v>1285</v>
      </c>
      <c r="C27" s="816">
        <v>0</v>
      </c>
      <c r="D27" s="816">
        <f t="shared" si="0"/>
        <v>0</v>
      </c>
      <c r="E27" s="816">
        <v>0</v>
      </c>
      <c r="F27" s="816" t="str">
        <f>INDEX('Data Interface'!$C:$C,MATCH(B27,'Data Interface'!$B:$B,0))</f>
        <v>FDIC Sweep Deposits - Non-Retail</v>
      </c>
      <c r="G27" s="894">
        <f ca="1">IF($C27=1,$AJ27,SUM($AJ27:$AL27)*INDEX('Schedule Allocation'!G:G,MATCH($D27,'Schedule Allocation'!$A:$A,0)))</f>
        <v>1.2E-2</v>
      </c>
      <c r="H27" s="894">
        <f ca="1">IF($C27=1,$AK27,SUM($AJ27:$AL27)*INDEX('Schedule Allocation'!H:H,MATCH($D27,'Schedule Allocation'!$A:$A,0)))</f>
        <v>4.0000000000000001E-3</v>
      </c>
      <c r="I27" s="894">
        <f ca="1">IF($C27=1,$AK27,SUM($AJ27:$AL27)*INDEX('Schedule Allocation'!I:I,MATCH($D27,'Schedule Allocation'!$A:$A,0)))</f>
        <v>4.0000000000000001E-3</v>
      </c>
      <c r="J27" s="894">
        <f ca="1">IF($C27=1,$AK27,SUM($AJ27:$AL27)*INDEX('Schedule Allocation'!J:J,MATCH($D27,'Schedule Allocation'!$A:$A,0)))</f>
        <v>4.0000000000000001E-3</v>
      </c>
      <c r="K27" s="894">
        <f ca="1">IF($C27=1,$AK27,SUM($AJ27:$AL27)*INDEX('Schedule Allocation'!K:K,MATCH($D27,'Schedule Allocation'!$A:$A,0)))</f>
        <v>4.0000000000000001E-3</v>
      </c>
      <c r="L27" s="894">
        <f ca="1">IF($C27=1,$AK27,SUM($AJ27:$AL27)*INDEX('Schedule Allocation'!L:L,MATCH($D27,'Schedule Allocation'!$A:$A,0)))</f>
        <v>4.0000000000000001E-3</v>
      </c>
      <c r="M27" s="894">
        <f ca="1">IF($C27=1,$AK27,SUM($AJ27:$AL27)*INDEX('Schedule Allocation'!M:M,MATCH($D27,'Schedule Allocation'!$A:$A,0)))</f>
        <v>4.0000000000000001E-3</v>
      </c>
      <c r="N27" s="894">
        <f ca="1">IF($C27=1,$AL27,SUM($AJ27:$AL27)*INDEX('Schedule Allocation'!N:N,MATCH($D27,'Schedule Allocation'!$A:$A,0)))</f>
        <v>3.4285714285714288E-3</v>
      </c>
      <c r="O27" s="894">
        <f ca="1">IF($C27=1,$AL27,SUM($AJ27:$AL27)*INDEX('Schedule Allocation'!O:O,MATCH($D27,'Schedule Allocation'!$A:$A,0)))</f>
        <v>3.4285714285714288E-3</v>
      </c>
      <c r="P27" s="894">
        <f ca="1">IF($C27=1,$AL27,SUM($AJ27:$AL27)*INDEX('Schedule Allocation'!P:P,MATCH($D27,'Schedule Allocation'!$A:$A,0)))</f>
        <v>3.4285714285714288E-3</v>
      </c>
      <c r="Q27" s="894">
        <f ca="1">IF($C27=1,$AL27,SUM($AJ27:$AL27)*INDEX('Schedule Allocation'!Q:Q,MATCH($D27,'Schedule Allocation'!$A:$A,0)))</f>
        <v>3.4285714285714288E-3</v>
      </c>
      <c r="R27" s="894">
        <f ca="1">IF($C27=1,$AL27,SUM($AJ27:$AL27)*INDEX('Schedule Allocation'!R:R,MATCH($D27,'Schedule Allocation'!$A:$A,0)))</f>
        <v>3.4285714285714288E-3</v>
      </c>
      <c r="S27" s="894">
        <f ca="1">IF($C27=1,$AL27,SUM($AJ27:$AL27)*INDEX('Schedule Allocation'!S:S,MATCH($D27,'Schedule Allocation'!$A:$A,0)))</f>
        <v>3.4285714285714288E-3</v>
      </c>
      <c r="T27" s="894">
        <f ca="1">IF($C27=1,$AL27,SUM($AJ27:$AL27)*INDEX('Schedule Allocation'!T:T,MATCH($D27,'Schedule Allocation'!$A:$A,0)))</f>
        <v>3.4285714285714288E-3</v>
      </c>
      <c r="U27" s="894">
        <f ca="1">OFFSET(AT27,0,(MATCH('Model Report Formatized'!$E$1,$AN$1:$AN$6,0))*17-17)</f>
        <v>0.02</v>
      </c>
      <c r="V27" s="894">
        <f ca="1">OFFSET(AU27,0,(MATCH('Model Report Formatized'!$E$1,$AN$1:$AN$6,0))*17-17)</f>
        <v>0.02</v>
      </c>
      <c r="W27" s="894">
        <f ca="1">OFFSET(AV27,0,(MATCH('Model Report Formatized'!$E$1,$AN$1:$AN$6,0))*17-17)</f>
        <v>0</v>
      </c>
      <c r="X27" s="894">
        <f ca="1">OFFSET(AW27,0,(MATCH('Model Report Formatized'!$E$1,$AN$1:$AN$6,0))*17-17)</f>
        <v>0</v>
      </c>
      <c r="Y27" s="894">
        <f ca="1">OFFSET(AX27,0,(MATCH('Model Report Formatized'!$E$1,$AN$1:$AN$6,0))*17-17)</f>
        <v>0</v>
      </c>
      <c r="Z27" s="894">
        <f ca="1">OFFSET(AY27,0,(MATCH('Model Report Formatized'!$E$1,$AN$1:$AN$6,0))*17-17)</f>
        <v>0</v>
      </c>
      <c r="AA27" s="894">
        <f ca="1">OFFSET(AZ27,0,(MATCH('Model Report Formatized'!$E$1,$AN$1:$AN$6,0))*17-17)</f>
        <v>0</v>
      </c>
      <c r="AB27" s="894">
        <f ca="1">OFFSET(BA27,0,(MATCH('Model Report Formatized'!$E$1,$AN$1:$AN$6,0))*17-17)</f>
        <v>0</v>
      </c>
      <c r="AC27" s="894">
        <f ca="1">OFFSET(BB27,0,(MATCH('Model Report Formatized'!$E$1,$AN$1:$AN$6,0))*17-17)</f>
        <v>0</v>
      </c>
      <c r="AD27" s="894">
        <f ca="1">OFFSET(BC27,0,(MATCH('Model Report Formatized'!$E$1,$AN$1:$AN$6,0))*17-17)</f>
        <v>0</v>
      </c>
      <c r="AE27" s="894">
        <f ca="1">OFFSET(BD27,0,(MATCH('Model Report Formatized'!$E$1,$AN$1:$AN$6,0))*17-17)</f>
        <v>0</v>
      </c>
      <c r="AF27" s="894">
        <f ca="1">OFFSET(BE27,0,(MATCH('Model Report Formatized'!$E$1,$AN$1:$AN$6,0))*17-17)</f>
        <v>0</v>
      </c>
      <c r="AG27" s="894">
        <f ca="1">OFFSET(BF27,0,(MATCH('Model Report Formatized'!$E$1,$AN$1:$AN$6,0))*17-17)</f>
        <v>0</v>
      </c>
      <c r="AH27" s="891">
        <f t="shared" ca="1" si="1"/>
        <v>-1.3877787807814457E-17</v>
      </c>
      <c r="AJ27" s="895">
        <f ca="1">OFFSET(AQ27,0,(MATCH('Model Report Formatized'!$E$1,$AN$1:$AN$6,0))*17-17)</f>
        <v>0.02</v>
      </c>
      <c r="AK27" s="895">
        <f ca="1">OFFSET(AR27,0,(MATCH('Model Report Formatized'!$E$1,$AN$1:$AN$6,0))*17-17)</f>
        <v>0.02</v>
      </c>
      <c r="AL27" s="895">
        <f ca="1">OFFSET(AS27,0,(MATCH('Model Report Formatized'!$E$1,$AN$1:$AN$6,0))*17-17)</f>
        <v>0.02</v>
      </c>
      <c r="AQ27" s="893">
        <v>0.02</v>
      </c>
      <c r="AR27" s="893">
        <v>0.02</v>
      </c>
      <c r="AS27" s="893">
        <v>0.02</v>
      </c>
      <c r="AT27" s="893">
        <v>0.02</v>
      </c>
      <c r="AU27" s="893">
        <v>0.02</v>
      </c>
      <c r="AV27" s="893">
        <v>0</v>
      </c>
      <c r="AW27" s="893">
        <v>0</v>
      </c>
      <c r="AX27" s="893">
        <v>0</v>
      </c>
      <c r="AY27" s="893">
        <v>0</v>
      </c>
      <c r="AZ27" s="893">
        <v>0</v>
      </c>
      <c r="BA27" s="893">
        <v>0</v>
      </c>
      <c r="BB27" s="893">
        <v>0</v>
      </c>
      <c r="BC27" s="893">
        <v>0</v>
      </c>
      <c r="BD27" s="893">
        <v>0</v>
      </c>
      <c r="BE27" s="893">
        <v>0</v>
      </c>
      <c r="BF27" s="893">
        <v>0</v>
      </c>
      <c r="BH27" s="816">
        <v>2.4E-2</v>
      </c>
      <c r="BI27" s="816">
        <v>2.4E-2</v>
      </c>
      <c r="BJ27" s="816">
        <v>2.4E-2</v>
      </c>
      <c r="BK27" s="816">
        <v>2.4E-2</v>
      </c>
      <c r="BL27" s="816">
        <v>2.4E-2</v>
      </c>
      <c r="BM27" s="816">
        <v>0</v>
      </c>
      <c r="BN27" s="816">
        <v>0</v>
      </c>
      <c r="BO27" s="816">
        <v>0</v>
      </c>
      <c r="BP27" s="816">
        <v>0</v>
      </c>
      <c r="BQ27" s="816">
        <v>0</v>
      </c>
      <c r="BR27" s="816">
        <v>0</v>
      </c>
      <c r="BS27" s="816">
        <v>0</v>
      </c>
      <c r="BT27" s="816">
        <v>0</v>
      </c>
      <c r="BU27" s="816">
        <v>0</v>
      </c>
      <c r="BV27" s="816">
        <v>0</v>
      </c>
      <c r="BW27" s="816">
        <v>0</v>
      </c>
      <c r="BY27" s="817">
        <v>0</v>
      </c>
      <c r="BZ27" s="817">
        <v>0</v>
      </c>
      <c r="CA27" s="817">
        <v>0</v>
      </c>
      <c r="CB27" s="817">
        <v>0</v>
      </c>
      <c r="CC27" s="817">
        <v>0</v>
      </c>
      <c r="CD27" s="817">
        <v>0</v>
      </c>
      <c r="CE27" s="817">
        <v>0</v>
      </c>
      <c r="CF27" s="817">
        <v>0</v>
      </c>
      <c r="CG27" s="817">
        <v>0</v>
      </c>
      <c r="CH27" s="817">
        <v>0</v>
      </c>
      <c r="CI27" s="817">
        <v>0</v>
      </c>
      <c r="CJ27" s="817">
        <v>0</v>
      </c>
      <c r="CK27" s="817">
        <v>0</v>
      </c>
      <c r="CL27" s="817">
        <v>0</v>
      </c>
      <c r="CM27" s="817">
        <v>0</v>
      </c>
      <c r="CN27" s="817">
        <v>0</v>
      </c>
      <c r="CP27" s="818">
        <v>0.02</v>
      </c>
      <c r="CQ27" s="818">
        <v>0.02</v>
      </c>
      <c r="CR27" s="818">
        <v>0.02</v>
      </c>
      <c r="CS27" s="818">
        <v>0.02</v>
      </c>
      <c r="CT27" s="818">
        <v>0.02</v>
      </c>
      <c r="CU27" s="818">
        <v>0</v>
      </c>
      <c r="CV27" s="818">
        <v>0</v>
      </c>
      <c r="CW27" s="818">
        <v>0</v>
      </c>
      <c r="CX27" s="818">
        <v>0</v>
      </c>
      <c r="CY27" s="818">
        <v>0</v>
      </c>
      <c r="CZ27" s="818">
        <v>0</v>
      </c>
      <c r="DA27" s="818">
        <v>0</v>
      </c>
      <c r="DB27" s="818">
        <v>0</v>
      </c>
      <c r="DC27" s="818">
        <v>0</v>
      </c>
      <c r="DD27" s="818">
        <v>0</v>
      </c>
      <c r="DE27" s="818">
        <v>0</v>
      </c>
      <c r="DG27" s="816">
        <v>2.4E-2</v>
      </c>
      <c r="DH27" s="816">
        <v>2.4E-2</v>
      </c>
      <c r="DI27" s="816">
        <v>2.4E-2</v>
      </c>
      <c r="DJ27" s="816">
        <v>2.4E-2</v>
      </c>
      <c r="DK27" s="816">
        <v>2.4E-2</v>
      </c>
      <c r="DL27" s="816">
        <v>0</v>
      </c>
      <c r="DM27" s="816">
        <v>0</v>
      </c>
      <c r="DN27" s="816">
        <v>0</v>
      </c>
      <c r="DO27" s="816">
        <v>0</v>
      </c>
      <c r="DP27" s="816">
        <v>0</v>
      </c>
      <c r="DQ27" s="816">
        <v>0</v>
      </c>
      <c r="DR27" s="816">
        <v>0</v>
      </c>
      <c r="DS27" s="816">
        <v>0</v>
      </c>
      <c r="DT27" s="816">
        <v>0</v>
      </c>
      <c r="DU27" s="816">
        <v>0</v>
      </c>
      <c r="DV27" s="816">
        <v>0</v>
      </c>
      <c r="DX27" s="816">
        <v>0</v>
      </c>
      <c r="DY27" s="816">
        <v>0</v>
      </c>
      <c r="DZ27" s="816">
        <v>0</v>
      </c>
      <c r="EA27" s="816">
        <v>0</v>
      </c>
      <c r="EB27" s="816">
        <v>0</v>
      </c>
      <c r="EC27" s="816">
        <v>0</v>
      </c>
      <c r="ED27" s="816">
        <v>0</v>
      </c>
      <c r="EE27" s="816">
        <v>0</v>
      </c>
      <c r="EF27" s="816">
        <v>0</v>
      </c>
      <c r="EG27" s="816">
        <v>0</v>
      </c>
      <c r="EH27" s="816">
        <v>0</v>
      </c>
      <c r="EI27" s="816">
        <v>0</v>
      </c>
      <c r="EJ27" s="816">
        <v>0</v>
      </c>
      <c r="EK27" s="816">
        <v>0</v>
      </c>
      <c r="EL27" s="816">
        <v>0</v>
      </c>
      <c r="EM27" s="816">
        <v>0</v>
      </c>
      <c r="FQ27" s="898"/>
      <c r="FS27" s="898"/>
      <c r="FT27" s="898"/>
      <c r="FU27" s="898"/>
      <c r="FV27" s="898"/>
      <c r="FW27" s="898"/>
      <c r="FX27" s="898"/>
      <c r="FY27" s="898"/>
      <c r="FZ27" s="898"/>
      <c r="GA27" s="898"/>
      <c r="GB27" s="898"/>
      <c r="GC27" s="898"/>
      <c r="GD27" s="898"/>
      <c r="GE27" s="898"/>
      <c r="GF27" s="898"/>
      <c r="GG27" s="898"/>
      <c r="GH27" s="898"/>
      <c r="GJ27" s="898"/>
      <c r="GK27" s="898"/>
      <c r="GL27" s="898"/>
      <c r="GM27" s="898"/>
      <c r="GN27" s="898"/>
      <c r="GO27" s="898"/>
      <c r="GP27" s="898"/>
      <c r="GQ27" s="898"/>
      <c r="GR27" s="898"/>
      <c r="GS27" s="898"/>
      <c r="GT27" s="898"/>
      <c r="GU27" s="898"/>
      <c r="GV27" s="898"/>
      <c r="GW27" s="898"/>
      <c r="GX27" s="898"/>
      <c r="GY27" s="898"/>
      <c r="HA27" s="898"/>
      <c r="HB27" s="898"/>
      <c r="HC27" s="898"/>
      <c r="HD27" s="898"/>
      <c r="HE27" s="898"/>
      <c r="HF27" s="898"/>
      <c r="HG27" s="898"/>
      <c r="HH27" s="898"/>
      <c r="HI27" s="898"/>
      <c r="HJ27" s="898"/>
      <c r="HK27" s="898"/>
      <c r="HL27" s="898"/>
      <c r="HM27" s="898"/>
      <c r="HN27" s="898"/>
      <c r="HO27" s="898"/>
      <c r="HP27" s="898"/>
    </row>
    <row r="28" spans="1:224">
      <c r="B28" s="816">
        <v>10.199999999999999</v>
      </c>
      <c r="C28" s="816">
        <v>1</v>
      </c>
      <c r="D28" s="816">
        <f t="shared" si="0"/>
        <v>0</v>
      </c>
      <c r="E28" s="816">
        <v>1</v>
      </c>
      <c r="F28" s="816" t="str">
        <f>INDEX('Data Interface'!$C:$C,MATCH(B28,'Data Interface'!$B:$B,0))</f>
        <v>Brokered CDs</v>
      </c>
      <c r="G28" s="894">
        <f ca="1">IF($C28=1,$AJ28,SUM($AJ28:$AL28)*INDEX('Schedule Allocation'!G:G,MATCH($D28,'Schedule Allocation'!$A:$A,0)))</f>
        <v>1</v>
      </c>
      <c r="H28" s="894">
        <f ca="1">IF($C28=1,$AK28,SUM($AJ28:$AL28)*INDEX('Schedule Allocation'!H:H,MATCH($D28,'Schedule Allocation'!$A:$A,0)))</f>
        <v>1</v>
      </c>
      <c r="I28" s="894">
        <f ca="1">IF($C28=1,$AK28,SUM($AJ28:$AL28)*INDEX('Schedule Allocation'!I:I,MATCH($D28,'Schedule Allocation'!$A:$A,0)))</f>
        <v>1</v>
      </c>
      <c r="J28" s="894">
        <f ca="1">IF($C28=1,$AK28,SUM($AJ28:$AL28)*INDEX('Schedule Allocation'!J:J,MATCH($D28,'Schedule Allocation'!$A:$A,0)))</f>
        <v>1</v>
      </c>
      <c r="K28" s="894">
        <f ca="1">IF($C28=1,$AK28,SUM($AJ28:$AL28)*INDEX('Schedule Allocation'!K:K,MATCH($D28,'Schedule Allocation'!$A:$A,0)))</f>
        <v>1</v>
      </c>
      <c r="L28" s="894">
        <f ca="1">IF($C28=1,$AK28,SUM($AJ28:$AL28)*INDEX('Schedule Allocation'!L:L,MATCH($D28,'Schedule Allocation'!$A:$A,0)))</f>
        <v>1</v>
      </c>
      <c r="M28" s="894">
        <f ca="1">IF($C28=1,$AK28,SUM($AJ28:$AL28)*INDEX('Schedule Allocation'!M:M,MATCH($D28,'Schedule Allocation'!$A:$A,0)))</f>
        <v>1</v>
      </c>
      <c r="N28" s="894">
        <f ca="1">IF($C28=1,$AL28,SUM($AJ28:$AL28)*INDEX('Schedule Allocation'!N:N,MATCH($D28,'Schedule Allocation'!$A:$A,0)))</f>
        <v>1</v>
      </c>
      <c r="O28" s="894">
        <f ca="1">IF($C28=1,$AL28,SUM($AJ28:$AL28)*INDEX('Schedule Allocation'!O:O,MATCH($D28,'Schedule Allocation'!$A:$A,0)))</f>
        <v>1</v>
      </c>
      <c r="P28" s="894">
        <f ca="1">IF($C28=1,$AL28,SUM($AJ28:$AL28)*INDEX('Schedule Allocation'!P:P,MATCH($D28,'Schedule Allocation'!$A:$A,0)))</f>
        <v>1</v>
      </c>
      <c r="Q28" s="894">
        <f ca="1">IF($C28=1,$AL28,SUM($AJ28:$AL28)*INDEX('Schedule Allocation'!Q:Q,MATCH($D28,'Schedule Allocation'!$A:$A,0)))</f>
        <v>1</v>
      </c>
      <c r="R28" s="894">
        <f ca="1">IF($C28=1,$AL28,SUM($AJ28:$AL28)*INDEX('Schedule Allocation'!R:R,MATCH($D28,'Schedule Allocation'!$A:$A,0)))</f>
        <v>1</v>
      </c>
      <c r="S28" s="894">
        <f ca="1">IF($C28=1,$AL28,SUM($AJ28:$AL28)*INDEX('Schedule Allocation'!S:S,MATCH($D28,'Schedule Allocation'!$A:$A,0)))</f>
        <v>1</v>
      </c>
      <c r="T28" s="894">
        <f ca="1">IF($C28=1,$AL28,SUM($AJ28:$AL28)*INDEX('Schedule Allocation'!T:T,MATCH($D28,'Schedule Allocation'!$A:$A,0)))</f>
        <v>1</v>
      </c>
      <c r="U28" s="894">
        <f ca="1">OFFSET(AT28,0,(MATCH('Model Report Formatized'!$E$1,$AN$1:$AN$6,0))*17-17)</f>
        <v>1</v>
      </c>
      <c r="V28" s="894">
        <f ca="1">OFFSET(AU28,0,(MATCH('Model Report Formatized'!$E$1,$AN$1:$AN$6,0))*17-17)</f>
        <v>1</v>
      </c>
      <c r="W28" s="894">
        <f ca="1">OFFSET(AV28,0,(MATCH('Model Report Formatized'!$E$1,$AN$1:$AN$6,0))*17-17)</f>
        <v>1</v>
      </c>
      <c r="X28" s="894">
        <f ca="1">OFFSET(AW28,0,(MATCH('Model Report Formatized'!$E$1,$AN$1:$AN$6,0))*17-17)</f>
        <v>1</v>
      </c>
      <c r="Y28" s="894">
        <f ca="1">OFFSET(AX28,0,(MATCH('Model Report Formatized'!$E$1,$AN$1:$AN$6,0))*17-17)</f>
        <v>1</v>
      </c>
      <c r="Z28" s="894">
        <f ca="1">OFFSET(AY28,0,(MATCH('Model Report Formatized'!$E$1,$AN$1:$AN$6,0))*17-17)</f>
        <v>1</v>
      </c>
      <c r="AA28" s="894">
        <f ca="1">OFFSET(AZ28,0,(MATCH('Model Report Formatized'!$E$1,$AN$1:$AN$6,0))*17-17)</f>
        <v>1</v>
      </c>
      <c r="AB28" s="894">
        <f ca="1">OFFSET(BA28,0,(MATCH('Model Report Formatized'!$E$1,$AN$1:$AN$6,0))*17-17)</f>
        <v>1</v>
      </c>
      <c r="AC28" s="894">
        <f ca="1">OFFSET(BB28,0,(MATCH('Model Report Formatized'!$E$1,$AN$1:$AN$6,0))*17-17)</f>
        <v>1</v>
      </c>
      <c r="AD28" s="894">
        <f ca="1">OFFSET(BC28,0,(MATCH('Model Report Formatized'!$E$1,$AN$1:$AN$6,0))*17-17)</f>
        <v>1</v>
      </c>
      <c r="AE28" s="894">
        <f ca="1">OFFSET(BD28,0,(MATCH('Model Report Formatized'!$E$1,$AN$1:$AN$6,0))*17-17)</f>
        <v>1</v>
      </c>
      <c r="AF28" s="894">
        <f ca="1">OFFSET(BE28,0,(MATCH('Model Report Formatized'!$E$1,$AN$1:$AN$6,0))*17-17)</f>
        <v>1</v>
      </c>
      <c r="AG28" s="894">
        <f ca="1">OFFSET(BF28,0,(MATCH('Model Report Formatized'!$E$1,$AN$1:$AN$6,0))*17-17)</f>
        <v>1</v>
      </c>
      <c r="AH28" s="891">
        <f t="shared" ca="1" si="1"/>
        <v>1</v>
      </c>
      <c r="AJ28" s="895">
        <f ca="1">OFFSET(AQ28,0,(MATCH('Model Report Formatized'!$E$1,$AN$1:$AN$6,0))*17-17)</f>
        <v>1</v>
      </c>
      <c r="AK28" s="895">
        <f ca="1">OFFSET(AR28,0,(MATCH('Model Report Formatized'!$E$1,$AN$1:$AN$6,0))*17-17)</f>
        <v>1</v>
      </c>
      <c r="AL28" s="895">
        <f ca="1">OFFSET(AS28,0,(MATCH('Model Report Formatized'!$E$1,$AN$1:$AN$6,0))*17-17)</f>
        <v>1</v>
      </c>
      <c r="AQ28" s="893">
        <v>1</v>
      </c>
      <c r="AR28" s="893">
        <v>1</v>
      </c>
      <c r="AS28" s="893">
        <v>1</v>
      </c>
      <c r="AT28" s="893">
        <v>1</v>
      </c>
      <c r="AU28" s="893">
        <v>1</v>
      </c>
      <c r="AV28" s="893">
        <v>1</v>
      </c>
      <c r="AW28" s="893">
        <v>1</v>
      </c>
      <c r="AX28" s="893">
        <v>1</v>
      </c>
      <c r="AY28" s="893">
        <v>1</v>
      </c>
      <c r="AZ28" s="893">
        <v>1</v>
      </c>
      <c r="BA28" s="893">
        <v>1</v>
      </c>
      <c r="BB28" s="893">
        <v>1</v>
      </c>
      <c r="BC28" s="893">
        <v>1</v>
      </c>
      <c r="BD28" s="893">
        <v>1</v>
      </c>
      <c r="BE28" s="893">
        <v>1</v>
      </c>
      <c r="BF28" s="893">
        <v>1</v>
      </c>
      <c r="BH28" s="816">
        <v>1</v>
      </c>
      <c r="BI28" s="816">
        <v>1</v>
      </c>
      <c r="BJ28" s="816">
        <v>1</v>
      </c>
      <c r="BK28" s="816">
        <v>1</v>
      </c>
      <c r="BL28" s="816">
        <v>1</v>
      </c>
      <c r="BM28" s="816">
        <v>1</v>
      </c>
      <c r="BN28" s="816">
        <v>1</v>
      </c>
      <c r="BO28" s="816">
        <v>1</v>
      </c>
      <c r="BP28" s="816">
        <v>1</v>
      </c>
      <c r="BQ28" s="816">
        <v>1</v>
      </c>
      <c r="BR28" s="816">
        <v>1</v>
      </c>
      <c r="BS28" s="816">
        <v>1</v>
      </c>
      <c r="BT28" s="816">
        <v>1</v>
      </c>
      <c r="BU28" s="816">
        <v>1</v>
      </c>
      <c r="BV28" s="816">
        <v>1</v>
      </c>
      <c r="BW28" s="816">
        <v>1</v>
      </c>
      <c r="BY28" s="817">
        <v>1</v>
      </c>
      <c r="BZ28" s="817">
        <v>1</v>
      </c>
      <c r="CA28" s="817">
        <v>1</v>
      </c>
      <c r="CB28" s="817">
        <v>1</v>
      </c>
      <c r="CC28" s="817">
        <v>1</v>
      </c>
      <c r="CD28" s="817">
        <v>1</v>
      </c>
      <c r="CE28" s="817">
        <v>1</v>
      </c>
      <c r="CF28" s="817">
        <v>1</v>
      </c>
      <c r="CG28" s="817">
        <v>1</v>
      </c>
      <c r="CH28" s="817">
        <v>1</v>
      </c>
      <c r="CI28" s="817">
        <v>1</v>
      </c>
      <c r="CJ28" s="817">
        <v>1</v>
      </c>
      <c r="CK28" s="817">
        <v>1</v>
      </c>
      <c r="CL28" s="817">
        <v>1</v>
      </c>
      <c r="CM28" s="817">
        <v>1</v>
      </c>
      <c r="CN28" s="817">
        <v>1</v>
      </c>
      <c r="CP28" s="875">
        <v>1</v>
      </c>
      <c r="CQ28" s="875">
        <v>1</v>
      </c>
      <c r="CR28" s="875">
        <v>1</v>
      </c>
      <c r="CS28" s="875">
        <v>1</v>
      </c>
      <c r="CT28" s="875">
        <v>1</v>
      </c>
      <c r="CU28" s="875">
        <v>1</v>
      </c>
      <c r="CV28" s="875">
        <v>1</v>
      </c>
      <c r="CW28" s="875">
        <v>1</v>
      </c>
      <c r="CX28" s="875">
        <v>1</v>
      </c>
      <c r="CY28" s="875">
        <v>1</v>
      </c>
      <c r="CZ28" s="875">
        <v>1</v>
      </c>
      <c r="DA28" s="875">
        <v>1</v>
      </c>
      <c r="DB28" s="875">
        <v>1</v>
      </c>
      <c r="DC28" s="875">
        <v>1</v>
      </c>
      <c r="DD28" s="875">
        <v>1</v>
      </c>
      <c r="DE28" s="875">
        <v>1</v>
      </c>
      <c r="DG28" s="816">
        <v>1</v>
      </c>
      <c r="DH28" s="816">
        <v>1</v>
      </c>
      <c r="DI28" s="816">
        <v>1</v>
      </c>
      <c r="DJ28" s="816">
        <v>1</v>
      </c>
      <c r="DK28" s="816">
        <v>1</v>
      </c>
      <c r="DL28" s="816">
        <v>1</v>
      </c>
      <c r="DM28" s="816">
        <v>1</v>
      </c>
      <c r="DN28" s="816">
        <v>1</v>
      </c>
      <c r="DO28" s="816">
        <v>1</v>
      </c>
      <c r="DP28" s="816">
        <v>1</v>
      </c>
      <c r="DQ28" s="816">
        <v>1</v>
      </c>
      <c r="DR28" s="816">
        <v>1</v>
      </c>
      <c r="DS28" s="816">
        <v>1</v>
      </c>
      <c r="DT28" s="816">
        <v>1</v>
      </c>
      <c r="DU28" s="816">
        <v>1</v>
      </c>
      <c r="DV28" s="816">
        <v>1</v>
      </c>
      <c r="DX28" s="816">
        <v>1</v>
      </c>
      <c r="DY28" s="816">
        <v>1</v>
      </c>
      <c r="DZ28" s="816">
        <v>1</v>
      </c>
      <c r="EA28" s="816">
        <v>1</v>
      </c>
      <c r="EB28" s="816">
        <v>1</v>
      </c>
      <c r="EC28" s="816">
        <v>1</v>
      </c>
      <c r="ED28" s="816">
        <v>1</v>
      </c>
      <c r="EE28" s="816">
        <v>1</v>
      </c>
      <c r="EF28" s="816">
        <v>1</v>
      </c>
      <c r="EG28" s="816">
        <v>1</v>
      </c>
      <c r="EH28" s="816">
        <v>1</v>
      </c>
      <c r="EI28" s="816">
        <v>1</v>
      </c>
      <c r="EJ28" s="816">
        <v>1</v>
      </c>
      <c r="EK28" s="816">
        <v>1</v>
      </c>
      <c r="EL28" s="816">
        <v>1</v>
      </c>
      <c r="EM28" s="816">
        <v>1</v>
      </c>
      <c r="EO28" s="898">
        <f ca="1">INDEX('Schedule Allocation'!G:G,MATCH($D28,'Schedule Allocation'!$A:$A,0))*SUM(OFFSET($FS28,0,17*(MATCH('Model Report Formatized'!$E$1,Assumptions!$AN$1:$AN$6,0)-4),1,3))</f>
        <v>2.0000000000000005E-3</v>
      </c>
      <c r="EP28" s="898">
        <f ca="1">INDEX('Schedule Allocation'!H:H,MATCH($D28,'Schedule Allocation'!$A:$A,0))*SUM(OFFSET($FS28,0,17*(MATCH('Model Report Formatized'!$E$1,Assumptions!$AN$1:$AN$6,0)-4),1,3))</f>
        <v>6.6666666666666675E-4</v>
      </c>
      <c r="EQ28" s="898">
        <f ca="1">INDEX('Schedule Allocation'!I:I,MATCH($D28,'Schedule Allocation'!$A:$A,0))*SUM(OFFSET($FS28,0,17*(MATCH('Model Report Formatized'!$E$1,Assumptions!$AN$1:$AN$6,0)-4),1,3))</f>
        <v>6.6666666666666675E-4</v>
      </c>
      <c r="ER28" s="898">
        <f ca="1">INDEX('Schedule Allocation'!J:J,MATCH($D28,'Schedule Allocation'!$A:$A,0))*SUM(OFFSET($FS28,0,17*(MATCH('Model Report Formatized'!$E$1,Assumptions!$AN$1:$AN$6,0)-4),1,3))</f>
        <v>6.6666666666666675E-4</v>
      </c>
      <c r="ES28" s="898">
        <f ca="1">INDEX('Schedule Allocation'!K:K,MATCH($D28,'Schedule Allocation'!$A:$A,0))*SUM(OFFSET($FS28,0,17*(MATCH('Model Report Formatized'!$E$1,Assumptions!$AN$1:$AN$6,0)-4),1,3))</f>
        <v>6.6666666666666675E-4</v>
      </c>
      <c r="ET28" s="898">
        <f ca="1">INDEX('Schedule Allocation'!L:L,MATCH($D28,'Schedule Allocation'!$A:$A,0))*SUM(OFFSET($FS28,0,17*(MATCH('Model Report Formatized'!$E$1,Assumptions!$AN$1:$AN$6,0)-4),1,3))</f>
        <v>6.6666666666666675E-4</v>
      </c>
      <c r="EU28" s="898">
        <f ca="1">INDEX('Schedule Allocation'!M:M,MATCH($D28,'Schedule Allocation'!$A:$A,0))*SUM(OFFSET($FS28,0,17*(MATCH('Model Report Formatized'!$E$1,Assumptions!$AN$1:$AN$6,0)-4),1,3))</f>
        <v>6.6666666666666675E-4</v>
      </c>
      <c r="EV28" s="898">
        <f ca="1">INDEX('Schedule Allocation'!N:N,MATCH($D28,'Schedule Allocation'!$A:$A,0))*SUM(OFFSET($FS28,0,17*(MATCH('Model Report Formatized'!$E$1,Assumptions!$AN$1:$AN$6,0)-4),1,3))</f>
        <v>5.7142857142857158E-4</v>
      </c>
      <c r="EW28" s="898">
        <f ca="1">INDEX('Schedule Allocation'!O:O,MATCH($D28,'Schedule Allocation'!$A:$A,0))*SUM(OFFSET($FS28,0,17*(MATCH('Model Report Formatized'!$E$1,Assumptions!$AN$1:$AN$6,0)-4),1,3))</f>
        <v>5.7142857142857158E-4</v>
      </c>
      <c r="EX28" s="898">
        <f ca="1">INDEX('Schedule Allocation'!P:P,MATCH($D28,'Schedule Allocation'!$A:$A,0))*SUM(OFFSET($FS28,0,17*(MATCH('Model Report Formatized'!$E$1,Assumptions!$AN$1:$AN$6,0)-4),1,3))</f>
        <v>5.7142857142857158E-4</v>
      </c>
      <c r="EY28" s="898">
        <f ca="1">INDEX('Schedule Allocation'!Q:Q,MATCH($D28,'Schedule Allocation'!$A:$A,0))*SUM(OFFSET($FS28,0,17*(MATCH('Model Report Formatized'!$E$1,Assumptions!$AN$1:$AN$6,0)-4),1,3))</f>
        <v>5.7142857142857158E-4</v>
      </c>
      <c r="EZ28" s="898">
        <f ca="1">INDEX('Schedule Allocation'!R:R,MATCH($D28,'Schedule Allocation'!$A:$A,0))*SUM(OFFSET($FS28,0,17*(MATCH('Model Report Formatized'!$E$1,Assumptions!$AN$1:$AN$6,0)-4),1,3))</f>
        <v>5.7142857142857158E-4</v>
      </c>
      <c r="FA28" s="898">
        <f ca="1">INDEX('Schedule Allocation'!S:S,MATCH($D28,'Schedule Allocation'!$A:$A,0))*SUM(OFFSET($FS28,0,17*(MATCH('Model Report Formatized'!$E$1,Assumptions!$AN$1:$AN$6,0)-4),1,3))</f>
        <v>5.7142857142857158E-4</v>
      </c>
      <c r="FB28" s="898">
        <f ca="1">INDEX('Schedule Allocation'!T:T,MATCH($D28,'Schedule Allocation'!$A:$A,0))*SUM(OFFSET($FS28,0,17*(MATCH('Model Report Formatized'!$E$1,Assumptions!$AN$1:$AN$6,0)-4),1,3))</f>
        <v>5.7142857142857158E-4</v>
      </c>
      <c r="FC28" s="898">
        <f ca="1">SUM(OFFSET(FV28,0,17*(MATCH('Model Report Formatized'!$E$1,Assumptions!$AN$1:$AN$6,0)-4),1,1))</f>
        <v>0</v>
      </c>
      <c r="FD28" s="898">
        <f ca="1">SUM(OFFSET(FW28,0,17*(MATCH('Model Report Formatized'!$E$1,Assumptions!$AN$1:$AN$6,0)-4),1,1))</f>
        <v>0</v>
      </c>
      <c r="FE28" s="898">
        <f ca="1">SUM(OFFSET(FX28,0,17*(MATCH('Model Report Formatized'!$E$1,Assumptions!$AN$1:$AN$6,0)-4),1,1))</f>
        <v>0</v>
      </c>
      <c r="FF28" s="898">
        <f ca="1">SUM(OFFSET(FY28,0,17*(MATCH('Model Report Formatized'!$E$1,Assumptions!$AN$1:$AN$6,0)-4),1,1))</f>
        <v>0</v>
      </c>
      <c r="FG28" s="898">
        <f ca="1">SUM(OFFSET(FZ28,0,17*(MATCH('Model Report Formatized'!$E$1,Assumptions!$AN$1:$AN$6,0)-4),1,1))</f>
        <v>0</v>
      </c>
      <c r="FH28" s="898">
        <f ca="1">SUM(OFFSET(GA28,0,17*(MATCH('Model Report Formatized'!$E$1,Assumptions!$AN$1:$AN$6,0)-4),1,1))</f>
        <v>0</v>
      </c>
      <c r="FI28" s="898">
        <f ca="1">SUM(OFFSET(GB28,0,17*(MATCH('Model Report Formatized'!$E$1,Assumptions!$AN$1:$AN$6,0)-4),1,1))</f>
        <v>0</v>
      </c>
      <c r="FJ28" s="898">
        <f ca="1">SUM(OFFSET(GC28,0,17*(MATCH('Model Report Formatized'!$E$1,Assumptions!$AN$1:$AN$6,0)-4),1,1))</f>
        <v>0</v>
      </c>
      <c r="FK28" s="898">
        <f ca="1">SUM(OFFSET(GD28,0,17*(MATCH('Model Report Formatized'!$E$1,Assumptions!$AN$1:$AN$6,0)-4),1,1))</f>
        <v>0</v>
      </c>
      <c r="FL28" s="898">
        <f ca="1">SUM(OFFSET(GE28,0,17*(MATCH('Model Report Formatized'!$E$1,Assumptions!$AN$1:$AN$6,0)-4),1,1))</f>
        <v>0</v>
      </c>
      <c r="FM28" s="898">
        <f ca="1">SUM(OFFSET(GF28,0,17*(MATCH('Model Report Formatized'!$E$1,Assumptions!$AN$1:$AN$6,0)-4),1,1))</f>
        <v>0</v>
      </c>
      <c r="FN28" s="898">
        <f ca="1">SUM(OFFSET(GG28,0,17*(MATCH('Model Report Formatized'!$E$1,Assumptions!$AN$1:$AN$6,0)-4),1,1))</f>
        <v>0</v>
      </c>
      <c r="FO28" s="898">
        <f ca="1">SUM(OFFSET(GH28,0,17*(MATCH('Model Report Formatized'!$E$1,Assumptions!$AN$1:$AN$6,0)-4),1,1))</f>
        <v>0</v>
      </c>
      <c r="FQ28" s="898"/>
      <c r="FS28" s="898">
        <f>IF($E28=0,"",IFERROR(INDEX(RunoffChangeAdj!FO:FO,MATCH($B28,RunoffChangeAdj!$FE:$FE,0)),""))</f>
        <v>1.0000000000000002E-2</v>
      </c>
      <c r="FT28" s="898">
        <f>IF($E28=0,"",IFERROR(INDEX(RunoffChangeAdj!FP:FP,MATCH($B28,RunoffChangeAdj!$FE:$FE,0)),""))</f>
        <v>0</v>
      </c>
      <c r="FU28" s="898">
        <f>IF($E28=0,"",IFERROR(INDEX(RunoffChangeAdj!FQ:FQ,MATCH($B28,RunoffChangeAdj!$FE:$FE,0)),""))</f>
        <v>0</v>
      </c>
      <c r="FV28" s="898">
        <f>IF($E28=0,"",IFERROR(INDEX(RunoffChangeAdj!FR:FR,MATCH($B28,RunoffChangeAdj!$FE:$FE,0)),""))</f>
        <v>0</v>
      </c>
      <c r="FW28" s="898">
        <f>IF($E28=0,"",IFERROR(INDEX(RunoffChangeAdj!FS:FS,MATCH($B28,RunoffChangeAdj!$FE:$FE,0)),""))</f>
        <v>0</v>
      </c>
      <c r="FX28" s="898">
        <f>IF($E28=0,"",IFERROR(INDEX(RunoffChangeAdj!FT:FT,MATCH($B28,RunoffChangeAdj!$FE:$FE,0)),""))</f>
        <v>0</v>
      </c>
      <c r="FY28" s="898">
        <f>IF($E28=0,"",IFERROR(INDEX(RunoffChangeAdj!FU:FU,MATCH($B28,RunoffChangeAdj!$FE:$FE,0)),""))</f>
        <v>0</v>
      </c>
      <c r="FZ28" s="898">
        <f>IF($E28=0,"",IFERROR(INDEX(RunoffChangeAdj!FV:FV,MATCH($B28,RunoffChangeAdj!$FE:$FE,0)),""))</f>
        <v>0</v>
      </c>
      <c r="GA28" s="898">
        <f>IF($E28=0,"",IFERROR(INDEX(RunoffChangeAdj!FW:FW,MATCH($B28,RunoffChangeAdj!$FE:$FE,0)),""))</f>
        <v>0</v>
      </c>
      <c r="GB28" s="898">
        <f>IF($E28=0,"",IFERROR(INDEX(RunoffChangeAdj!FX:FX,MATCH($B28,RunoffChangeAdj!$FE:$FE,0)),""))</f>
        <v>0</v>
      </c>
      <c r="GC28" s="898">
        <f>IF($E28=0,"",IFERROR(INDEX(RunoffChangeAdj!FY:FY,MATCH($B28,RunoffChangeAdj!$FE:$FE,0)),""))</f>
        <v>0</v>
      </c>
      <c r="GD28" s="898">
        <f>IF($E28=0,"",IFERROR(INDEX(RunoffChangeAdj!FZ:FZ,MATCH($B28,RunoffChangeAdj!$FE:$FE,0)),""))</f>
        <v>0</v>
      </c>
      <c r="GE28" s="898">
        <f>IF($E28=0,"",IFERROR(INDEX(RunoffChangeAdj!GA:GA,MATCH($B28,RunoffChangeAdj!$FE:$FE,0)),""))</f>
        <v>0</v>
      </c>
      <c r="GF28" s="898">
        <f>IF($E28=0,"",IFERROR(INDEX(RunoffChangeAdj!GB:GB,MATCH($B28,RunoffChangeAdj!$FE:$FE,0)),""))</f>
        <v>0</v>
      </c>
      <c r="GG28" s="898">
        <f>IF($E28=0,"",IFERROR(INDEX(RunoffChangeAdj!GC:GC,MATCH($B28,RunoffChangeAdj!$FE:$FE,0)),""))</f>
        <v>0</v>
      </c>
      <c r="GH28" s="898">
        <f>IF($E28=0,"",IFERROR(INDEX(RunoffChangeAdj!GD:GD,MATCH($B28,RunoffChangeAdj!$FE:$FE,0)),""))</f>
        <v>0</v>
      </c>
      <c r="GJ28" s="898">
        <f>IF($E28=0,"",IFERROR(INDEX(RunoffChangeAdj!GF:GF,MATCH($B28,RunoffChangeAdj!$FE:$FE,0)),""))</f>
        <v>7.0000000000000001E-3</v>
      </c>
      <c r="GK28" s="898">
        <f>IF($E28=0,"",IFERROR(INDEX(RunoffChangeAdj!GG:GG,MATCH($B28,RunoffChangeAdj!$FE:$FE,0)),""))</f>
        <v>0</v>
      </c>
      <c r="GL28" s="898">
        <f>IF($E28=0,"",IFERROR(INDEX(RunoffChangeAdj!GH:GH,MATCH($B28,RunoffChangeAdj!$FE:$FE,0)),""))</f>
        <v>0</v>
      </c>
      <c r="GM28" s="898">
        <f>IF($E28=0,"",IFERROR(INDEX(RunoffChangeAdj!GI:GI,MATCH($B28,RunoffChangeAdj!$FE:$FE,0)),""))</f>
        <v>0</v>
      </c>
      <c r="GN28" s="898">
        <f>IF($E28=0,"",IFERROR(INDEX(RunoffChangeAdj!GJ:GJ,MATCH($B28,RunoffChangeAdj!$FE:$FE,0)),""))</f>
        <v>0</v>
      </c>
      <c r="GO28" s="898">
        <f>IF($E28=0,"",IFERROR(INDEX(RunoffChangeAdj!GK:GK,MATCH($B28,RunoffChangeAdj!$FE:$FE,0)),""))</f>
        <v>0</v>
      </c>
      <c r="GP28" s="898">
        <f>IF($E28=0,"",IFERROR(INDEX(RunoffChangeAdj!GL:GL,MATCH($B28,RunoffChangeAdj!$FE:$FE,0)),""))</f>
        <v>0</v>
      </c>
      <c r="GQ28" s="898">
        <f>IF($E28=0,"",IFERROR(INDEX(RunoffChangeAdj!GM:GM,MATCH($B28,RunoffChangeAdj!$FE:$FE,0)),""))</f>
        <v>0</v>
      </c>
      <c r="GR28" s="898">
        <f>IF($E28=0,"",IFERROR(INDEX(RunoffChangeAdj!GN:GN,MATCH($B28,RunoffChangeAdj!$FE:$FE,0)),""))</f>
        <v>0</v>
      </c>
      <c r="GS28" s="898">
        <f>IF($E28=0,"",IFERROR(INDEX(RunoffChangeAdj!GO:GO,MATCH($B28,RunoffChangeAdj!$FE:$FE,0)),""))</f>
        <v>0</v>
      </c>
      <c r="GT28" s="898">
        <f>IF($E28=0,"",IFERROR(INDEX(RunoffChangeAdj!GP:GP,MATCH($B28,RunoffChangeAdj!$FE:$FE,0)),""))</f>
        <v>0</v>
      </c>
      <c r="GU28" s="898">
        <f>IF($E28=0,"",IFERROR(INDEX(RunoffChangeAdj!GQ:GQ,MATCH($B28,RunoffChangeAdj!$FE:$FE,0)),""))</f>
        <v>0</v>
      </c>
      <c r="GV28" s="898">
        <f>IF($E28=0,"",IFERROR(INDEX(RunoffChangeAdj!GR:GR,MATCH($B28,RunoffChangeAdj!$FE:$FE,0)),""))</f>
        <v>0</v>
      </c>
      <c r="GW28" s="898">
        <f>IF($E28=0,"",IFERROR(INDEX(RunoffChangeAdj!GS:GS,MATCH($B28,RunoffChangeAdj!$FE:$FE,0)),""))</f>
        <v>0</v>
      </c>
      <c r="GX28" s="898">
        <f>IF($E28=0,"",IFERROR(INDEX(RunoffChangeAdj!GT:GT,MATCH($B28,RunoffChangeAdj!$FE:$FE,0)),""))</f>
        <v>0</v>
      </c>
      <c r="GY28" s="898">
        <f>IF($E28=0,"",IFERROR(INDEX(RunoffChangeAdj!GU:GU,MATCH($B28,RunoffChangeAdj!$FE:$FE,0)),""))</f>
        <v>0</v>
      </c>
      <c r="HA28" s="898">
        <f>IF($E28=0,"",IFERROR(INDEX(RunoffChangeAdj!GW:GW,MATCH($B28,RunoffChangeAdj!$FE:$FE,0)),""))</f>
        <v>3.0000000000000001E-3</v>
      </c>
      <c r="HB28" s="898">
        <f>IF($E28=0,"",IFERROR(INDEX(RunoffChangeAdj!GX:GX,MATCH($B28,RunoffChangeAdj!$FE:$FE,0)),""))</f>
        <v>0</v>
      </c>
      <c r="HC28" s="898">
        <f>IF($E28=0,"",IFERROR(INDEX(RunoffChangeAdj!GY:GY,MATCH($B28,RunoffChangeAdj!$FE:$FE,0)),""))</f>
        <v>0</v>
      </c>
      <c r="HD28" s="898">
        <f>IF($E28=0,"",IFERROR(INDEX(RunoffChangeAdj!GZ:GZ,MATCH($B28,RunoffChangeAdj!$FE:$FE,0)),""))</f>
        <v>0</v>
      </c>
      <c r="HE28" s="898">
        <f>IF($E28=0,"",IFERROR(INDEX(RunoffChangeAdj!HA:HA,MATCH($B28,RunoffChangeAdj!$FE:$FE,0)),""))</f>
        <v>0</v>
      </c>
      <c r="HF28" s="898">
        <f>IF($E28=0,"",IFERROR(INDEX(RunoffChangeAdj!HB:HB,MATCH($B28,RunoffChangeAdj!$FE:$FE,0)),""))</f>
        <v>0</v>
      </c>
      <c r="HG28" s="898">
        <f>IF($E28=0,"",IFERROR(INDEX(RunoffChangeAdj!HC:HC,MATCH($B28,RunoffChangeAdj!$FE:$FE,0)),""))</f>
        <v>0</v>
      </c>
      <c r="HH28" s="898">
        <f>IF($E28=0,"",IFERROR(INDEX(RunoffChangeAdj!HD:HD,MATCH($B28,RunoffChangeAdj!$FE:$FE,0)),""))</f>
        <v>0</v>
      </c>
      <c r="HI28" s="898">
        <f>IF($E28=0,"",IFERROR(INDEX(RunoffChangeAdj!HE:HE,MATCH($B28,RunoffChangeAdj!$FE:$FE,0)),""))</f>
        <v>0</v>
      </c>
      <c r="HJ28" s="898">
        <f>IF($E28=0,"",IFERROR(INDEX(RunoffChangeAdj!HF:HF,MATCH($B28,RunoffChangeAdj!$FE:$FE,0)),""))</f>
        <v>0</v>
      </c>
      <c r="HK28" s="898">
        <f>IF($E28=0,"",IFERROR(INDEX(RunoffChangeAdj!HG:HG,MATCH($B28,RunoffChangeAdj!$FE:$FE,0)),""))</f>
        <v>0</v>
      </c>
      <c r="HL28" s="898">
        <f>IF($E28=0,"",IFERROR(INDEX(RunoffChangeAdj!HH:HH,MATCH($B28,RunoffChangeAdj!$FE:$FE,0)),""))</f>
        <v>0</v>
      </c>
      <c r="HM28" s="898">
        <f>IF($E28=0,"",IFERROR(INDEX(RunoffChangeAdj!HI:HI,MATCH($B28,RunoffChangeAdj!$FE:$FE,0)),""))</f>
        <v>0</v>
      </c>
      <c r="HN28" s="898">
        <f>IF($E28=0,"",IFERROR(INDEX(RunoffChangeAdj!HJ:HJ,MATCH($B28,RunoffChangeAdj!$FE:$FE,0)),""))</f>
        <v>0</v>
      </c>
      <c r="HO28" s="898">
        <f>IF($E28=0,"",IFERROR(INDEX(RunoffChangeAdj!HK:HK,MATCH($B28,RunoffChangeAdj!$FE:$FE,0)),""))</f>
        <v>0</v>
      </c>
      <c r="HP28" s="898">
        <f>IF($E28=0,"",IFERROR(INDEX(RunoffChangeAdj!HL:HL,MATCH($B28,RunoffChangeAdj!$FE:$FE,0)),""))</f>
        <v>0</v>
      </c>
    </row>
    <row r="29" spans="1:224">
      <c r="B29" s="816">
        <v>10.3</v>
      </c>
      <c r="C29" s="816">
        <v>1</v>
      </c>
      <c r="D29" s="816">
        <f t="shared" si="0"/>
        <v>0</v>
      </c>
      <c r="E29" s="816">
        <v>1</v>
      </c>
      <c r="F29" s="816" t="str">
        <f>INDEX('Data Interface'!$C:$C,MATCH(B29,'Data Interface'!$B:$B,0))</f>
        <v>Yankee CDs</v>
      </c>
      <c r="G29" s="894">
        <f ca="1">IF($C29=1,$AJ29,SUM($AJ29:$AL29)*INDEX('Schedule Allocation'!G:G,MATCH($D29,'Schedule Allocation'!$A:$A,0)))</f>
        <v>1</v>
      </c>
      <c r="H29" s="894">
        <f ca="1">IF($C29=1,$AK29,SUM($AJ29:$AL29)*INDEX('Schedule Allocation'!H:H,MATCH($D29,'Schedule Allocation'!$A:$A,0)))</f>
        <v>1</v>
      </c>
      <c r="I29" s="894">
        <f ca="1">IF($C29=1,$AK29,SUM($AJ29:$AL29)*INDEX('Schedule Allocation'!I:I,MATCH($D29,'Schedule Allocation'!$A:$A,0)))</f>
        <v>1</v>
      </c>
      <c r="J29" s="894">
        <f ca="1">IF($C29=1,$AK29,SUM($AJ29:$AL29)*INDEX('Schedule Allocation'!J:J,MATCH($D29,'Schedule Allocation'!$A:$A,0)))</f>
        <v>1</v>
      </c>
      <c r="K29" s="894">
        <f ca="1">IF($C29=1,$AK29,SUM($AJ29:$AL29)*INDEX('Schedule Allocation'!K:K,MATCH($D29,'Schedule Allocation'!$A:$A,0)))</f>
        <v>1</v>
      </c>
      <c r="L29" s="894">
        <f ca="1">IF($C29=1,$AK29,SUM($AJ29:$AL29)*INDEX('Schedule Allocation'!L:L,MATCH($D29,'Schedule Allocation'!$A:$A,0)))</f>
        <v>1</v>
      </c>
      <c r="M29" s="894">
        <f ca="1">IF($C29=1,$AK29,SUM($AJ29:$AL29)*INDEX('Schedule Allocation'!M:M,MATCH($D29,'Schedule Allocation'!$A:$A,0)))</f>
        <v>1</v>
      </c>
      <c r="N29" s="894">
        <f ca="1">IF($C29=1,$AL29,SUM($AJ29:$AL29)*INDEX('Schedule Allocation'!N:N,MATCH($D29,'Schedule Allocation'!$A:$A,0)))</f>
        <v>1</v>
      </c>
      <c r="O29" s="894">
        <f ca="1">IF($C29=1,$AL29,SUM($AJ29:$AL29)*INDEX('Schedule Allocation'!O:O,MATCH($D29,'Schedule Allocation'!$A:$A,0)))</f>
        <v>1</v>
      </c>
      <c r="P29" s="894">
        <f ca="1">IF($C29=1,$AL29,SUM($AJ29:$AL29)*INDEX('Schedule Allocation'!P:P,MATCH($D29,'Schedule Allocation'!$A:$A,0)))</f>
        <v>1</v>
      </c>
      <c r="Q29" s="894">
        <f ca="1">IF($C29=1,$AL29,SUM($AJ29:$AL29)*INDEX('Schedule Allocation'!Q:Q,MATCH($D29,'Schedule Allocation'!$A:$A,0)))</f>
        <v>1</v>
      </c>
      <c r="R29" s="894">
        <f ca="1">IF($C29=1,$AL29,SUM($AJ29:$AL29)*INDEX('Schedule Allocation'!R:R,MATCH($D29,'Schedule Allocation'!$A:$A,0)))</f>
        <v>1</v>
      </c>
      <c r="S29" s="894">
        <f ca="1">IF($C29=1,$AL29,SUM($AJ29:$AL29)*INDEX('Schedule Allocation'!S:S,MATCH($D29,'Schedule Allocation'!$A:$A,0)))</f>
        <v>1</v>
      </c>
      <c r="T29" s="894">
        <f ca="1">IF($C29=1,$AL29,SUM($AJ29:$AL29)*INDEX('Schedule Allocation'!T:T,MATCH($D29,'Schedule Allocation'!$A:$A,0)))</f>
        <v>1</v>
      </c>
      <c r="U29" s="894">
        <f ca="1">OFFSET(AT29,0,(MATCH('Model Report Formatized'!$E$1,$AN$1:$AN$6,0))*17-17)</f>
        <v>1</v>
      </c>
      <c r="V29" s="894">
        <f ca="1">OFFSET(AU29,0,(MATCH('Model Report Formatized'!$E$1,$AN$1:$AN$6,0))*17-17)</f>
        <v>1</v>
      </c>
      <c r="W29" s="894">
        <f ca="1">OFFSET(AV29,0,(MATCH('Model Report Formatized'!$E$1,$AN$1:$AN$6,0))*17-17)</f>
        <v>1</v>
      </c>
      <c r="X29" s="894">
        <f ca="1">OFFSET(AW29,0,(MATCH('Model Report Formatized'!$E$1,$AN$1:$AN$6,0))*17-17)</f>
        <v>1</v>
      </c>
      <c r="Y29" s="894">
        <f ca="1">OFFSET(AX29,0,(MATCH('Model Report Formatized'!$E$1,$AN$1:$AN$6,0))*17-17)</f>
        <v>1</v>
      </c>
      <c r="Z29" s="894">
        <f ca="1">OFFSET(AY29,0,(MATCH('Model Report Formatized'!$E$1,$AN$1:$AN$6,0))*17-17)</f>
        <v>1</v>
      </c>
      <c r="AA29" s="894">
        <f ca="1">OFFSET(AZ29,0,(MATCH('Model Report Formatized'!$E$1,$AN$1:$AN$6,0))*17-17)</f>
        <v>1</v>
      </c>
      <c r="AB29" s="894">
        <f ca="1">OFFSET(BA29,0,(MATCH('Model Report Formatized'!$E$1,$AN$1:$AN$6,0))*17-17)</f>
        <v>1</v>
      </c>
      <c r="AC29" s="894">
        <f ca="1">OFFSET(BB29,0,(MATCH('Model Report Formatized'!$E$1,$AN$1:$AN$6,0))*17-17)</f>
        <v>1</v>
      </c>
      <c r="AD29" s="894">
        <f ca="1">OFFSET(BC29,0,(MATCH('Model Report Formatized'!$E$1,$AN$1:$AN$6,0))*17-17)</f>
        <v>1</v>
      </c>
      <c r="AE29" s="894">
        <f ca="1">OFFSET(BD29,0,(MATCH('Model Report Formatized'!$E$1,$AN$1:$AN$6,0))*17-17)</f>
        <v>1</v>
      </c>
      <c r="AF29" s="894">
        <f ca="1">OFFSET(BE29,0,(MATCH('Model Report Formatized'!$E$1,$AN$1:$AN$6,0))*17-17)</f>
        <v>1</v>
      </c>
      <c r="AG29" s="894">
        <f ca="1">OFFSET(BF29,0,(MATCH('Model Report Formatized'!$E$1,$AN$1:$AN$6,0))*17-17)</f>
        <v>1</v>
      </c>
      <c r="AH29" s="891">
        <f t="shared" ca="1" si="1"/>
        <v>1</v>
      </c>
      <c r="AJ29" s="895">
        <f ca="1">OFFSET(AQ29,0,(MATCH('Model Report Formatized'!$E$1,$AN$1:$AN$6,0))*17-17)</f>
        <v>1</v>
      </c>
      <c r="AK29" s="895">
        <f ca="1">OFFSET(AR29,0,(MATCH('Model Report Formatized'!$E$1,$AN$1:$AN$6,0))*17-17)</f>
        <v>1</v>
      </c>
      <c r="AL29" s="895">
        <f ca="1">OFFSET(AS29,0,(MATCH('Model Report Formatized'!$E$1,$AN$1:$AN$6,0))*17-17)</f>
        <v>1</v>
      </c>
      <c r="AQ29" s="893">
        <v>1</v>
      </c>
      <c r="AR29" s="893">
        <v>1</v>
      </c>
      <c r="AS29" s="893">
        <v>1</v>
      </c>
      <c r="AT29" s="893">
        <v>1</v>
      </c>
      <c r="AU29" s="893">
        <v>1</v>
      </c>
      <c r="AV29" s="893">
        <v>1</v>
      </c>
      <c r="AW29" s="893">
        <v>1</v>
      </c>
      <c r="AX29" s="893">
        <v>1</v>
      </c>
      <c r="AY29" s="893">
        <v>1</v>
      </c>
      <c r="AZ29" s="893">
        <v>1</v>
      </c>
      <c r="BA29" s="893">
        <v>1</v>
      </c>
      <c r="BB29" s="893">
        <v>1</v>
      </c>
      <c r="BC29" s="893">
        <v>1</v>
      </c>
      <c r="BD29" s="893">
        <v>1</v>
      </c>
      <c r="BE29" s="893">
        <v>1</v>
      </c>
      <c r="BF29" s="893">
        <v>1</v>
      </c>
      <c r="BH29" s="816">
        <v>1</v>
      </c>
      <c r="BI29" s="816">
        <v>1</v>
      </c>
      <c r="BJ29" s="816">
        <v>1</v>
      </c>
      <c r="BK29" s="816">
        <v>1</v>
      </c>
      <c r="BL29" s="816">
        <v>1</v>
      </c>
      <c r="BM29" s="816">
        <v>1</v>
      </c>
      <c r="BN29" s="816">
        <v>1</v>
      </c>
      <c r="BO29" s="816">
        <v>1</v>
      </c>
      <c r="BP29" s="816">
        <v>1</v>
      </c>
      <c r="BQ29" s="816">
        <v>1</v>
      </c>
      <c r="BR29" s="816">
        <v>1</v>
      </c>
      <c r="BS29" s="816">
        <v>1</v>
      </c>
      <c r="BT29" s="816">
        <v>1</v>
      </c>
      <c r="BU29" s="816">
        <v>1</v>
      </c>
      <c r="BV29" s="816">
        <v>1</v>
      </c>
      <c r="BW29" s="816">
        <v>1</v>
      </c>
      <c r="BY29" s="817">
        <v>1</v>
      </c>
      <c r="BZ29" s="817">
        <v>1</v>
      </c>
      <c r="CA29" s="817">
        <v>1</v>
      </c>
      <c r="CB29" s="817">
        <v>1</v>
      </c>
      <c r="CC29" s="817">
        <v>1</v>
      </c>
      <c r="CD29" s="817">
        <v>1</v>
      </c>
      <c r="CE29" s="817">
        <v>1</v>
      </c>
      <c r="CF29" s="817">
        <v>1</v>
      </c>
      <c r="CG29" s="817">
        <v>1</v>
      </c>
      <c r="CH29" s="817">
        <v>1</v>
      </c>
      <c r="CI29" s="817">
        <v>1</v>
      </c>
      <c r="CJ29" s="817">
        <v>1</v>
      </c>
      <c r="CK29" s="817">
        <v>1</v>
      </c>
      <c r="CL29" s="817">
        <v>1</v>
      </c>
      <c r="CM29" s="817">
        <v>1</v>
      </c>
      <c r="CN29" s="817">
        <v>1</v>
      </c>
      <c r="CP29" s="875">
        <v>1</v>
      </c>
      <c r="CQ29" s="875">
        <v>1</v>
      </c>
      <c r="CR29" s="875">
        <v>1</v>
      </c>
      <c r="CS29" s="875">
        <v>1</v>
      </c>
      <c r="CT29" s="875">
        <v>1</v>
      </c>
      <c r="CU29" s="875">
        <v>1</v>
      </c>
      <c r="CV29" s="875">
        <v>1</v>
      </c>
      <c r="CW29" s="875">
        <v>1</v>
      </c>
      <c r="CX29" s="875">
        <v>1</v>
      </c>
      <c r="CY29" s="875">
        <v>1</v>
      </c>
      <c r="CZ29" s="875">
        <v>1</v>
      </c>
      <c r="DA29" s="875">
        <v>1</v>
      </c>
      <c r="DB29" s="875">
        <v>1</v>
      </c>
      <c r="DC29" s="875">
        <v>1</v>
      </c>
      <c r="DD29" s="875">
        <v>1</v>
      </c>
      <c r="DE29" s="875">
        <v>1</v>
      </c>
      <c r="DG29" s="816">
        <v>1</v>
      </c>
      <c r="DH29" s="816">
        <v>1</v>
      </c>
      <c r="DI29" s="816">
        <v>1</v>
      </c>
      <c r="DJ29" s="816">
        <v>1</v>
      </c>
      <c r="DK29" s="816">
        <v>1</v>
      </c>
      <c r="DL29" s="816">
        <v>1</v>
      </c>
      <c r="DM29" s="816">
        <v>1</v>
      </c>
      <c r="DN29" s="816">
        <v>1</v>
      </c>
      <c r="DO29" s="816">
        <v>1</v>
      </c>
      <c r="DP29" s="816">
        <v>1</v>
      </c>
      <c r="DQ29" s="816">
        <v>1</v>
      </c>
      <c r="DR29" s="816">
        <v>1</v>
      </c>
      <c r="DS29" s="816">
        <v>1</v>
      </c>
      <c r="DT29" s="816">
        <v>1</v>
      </c>
      <c r="DU29" s="816">
        <v>1</v>
      </c>
      <c r="DV29" s="816">
        <v>1</v>
      </c>
      <c r="DX29" s="816">
        <v>1</v>
      </c>
      <c r="DY29" s="816">
        <v>1</v>
      </c>
      <c r="DZ29" s="816">
        <v>1</v>
      </c>
      <c r="EA29" s="816">
        <v>1</v>
      </c>
      <c r="EB29" s="816">
        <v>1</v>
      </c>
      <c r="EC29" s="816">
        <v>1</v>
      </c>
      <c r="ED29" s="816">
        <v>1</v>
      </c>
      <c r="EE29" s="816">
        <v>1</v>
      </c>
      <c r="EF29" s="816">
        <v>1</v>
      </c>
      <c r="EG29" s="816">
        <v>1</v>
      </c>
      <c r="EH29" s="816">
        <v>1</v>
      </c>
      <c r="EI29" s="816">
        <v>1</v>
      </c>
      <c r="EJ29" s="816">
        <v>1</v>
      </c>
      <c r="EK29" s="816">
        <v>1</v>
      </c>
      <c r="EL29" s="816">
        <v>1</v>
      </c>
      <c r="EM29" s="816">
        <v>1</v>
      </c>
      <c r="EO29" s="898">
        <f ca="1">INDEX('Schedule Allocation'!G:G,MATCH($D29,'Schedule Allocation'!$A:$A,0))*SUM(OFFSET($FS29,0,17*(MATCH('Model Report Formatized'!$E$1,Assumptions!$AN$1:$AN$6,0)-4),1,3))</f>
        <v>4.000000000000001E-3</v>
      </c>
      <c r="EP29" s="898">
        <f ca="1">INDEX('Schedule Allocation'!H:H,MATCH($D29,'Schedule Allocation'!$A:$A,0))*SUM(OFFSET($FS29,0,17*(MATCH('Model Report Formatized'!$E$1,Assumptions!$AN$1:$AN$6,0)-4),1,3))</f>
        <v>1.3333333333333335E-3</v>
      </c>
      <c r="EQ29" s="898">
        <f ca="1">INDEX('Schedule Allocation'!I:I,MATCH($D29,'Schedule Allocation'!$A:$A,0))*SUM(OFFSET($FS29,0,17*(MATCH('Model Report Formatized'!$E$1,Assumptions!$AN$1:$AN$6,0)-4),1,3))</f>
        <v>1.3333333333333335E-3</v>
      </c>
      <c r="ER29" s="898">
        <f ca="1">INDEX('Schedule Allocation'!J:J,MATCH($D29,'Schedule Allocation'!$A:$A,0))*SUM(OFFSET($FS29,0,17*(MATCH('Model Report Formatized'!$E$1,Assumptions!$AN$1:$AN$6,0)-4),1,3))</f>
        <v>1.3333333333333335E-3</v>
      </c>
      <c r="ES29" s="898">
        <f ca="1">INDEX('Schedule Allocation'!K:K,MATCH($D29,'Schedule Allocation'!$A:$A,0))*SUM(OFFSET($FS29,0,17*(MATCH('Model Report Formatized'!$E$1,Assumptions!$AN$1:$AN$6,0)-4),1,3))</f>
        <v>1.3333333333333335E-3</v>
      </c>
      <c r="ET29" s="898">
        <f ca="1">INDEX('Schedule Allocation'!L:L,MATCH($D29,'Schedule Allocation'!$A:$A,0))*SUM(OFFSET($FS29,0,17*(MATCH('Model Report Formatized'!$E$1,Assumptions!$AN$1:$AN$6,0)-4),1,3))</f>
        <v>1.3333333333333335E-3</v>
      </c>
      <c r="EU29" s="898">
        <f ca="1">INDEX('Schedule Allocation'!M:M,MATCH($D29,'Schedule Allocation'!$A:$A,0))*SUM(OFFSET($FS29,0,17*(MATCH('Model Report Formatized'!$E$1,Assumptions!$AN$1:$AN$6,0)-4),1,3))</f>
        <v>1.3333333333333335E-3</v>
      </c>
      <c r="EV29" s="898">
        <f ca="1">INDEX('Schedule Allocation'!N:N,MATCH($D29,'Schedule Allocation'!$A:$A,0))*SUM(OFFSET($FS29,0,17*(MATCH('Model Report Formatized'!$E$1,Assumptions!$AN$1:$AN$6,0)-4),1,3))</f>
        <v>1.1428571428571432E-3</v>
      </c>
      <c r="EW29" s="898">
        <f ca="1">INDEX('Schedule Allocation'!O:O,MATCH($D29,'Schedule Allocation'!$A:$A,0))*SUM(OFFSET($FS29,0,17*(MATCH('Model Report Formatized'!$E$1,Assumptions!$AN$1:$AN$6,0)-4),1,3))</f>
        <v>1.1428571428571432E-3</v>
      </c>
      <c r="EX29" s="898">
        <f ca="1">INDEX('Schedule Allocation'!P:P,MATCH($D29,'Schedule Allocation'!$A:$A,0))*SUM(OFFSET($FS29,0,17*(MATCH('Model Report Formatized'!$E$1,Assumptions!$AN$1:$AN$6,0)-4),1,3))</f>
        <v>1.1428571428571432E-3</v>
      </c>
      <c r="EY29" s="898">
        <f ca="1">INDEX('Schedule Allocation'!Q:Q,MATCH($D29,'Schedule Allocation'!$A:$A,0))*SUM(OFFSET($FS29,0,17*(MATCH('Model Report Formatized'!$E$1,Assumptions!$AN$1:$AN$6,0)-4),1,3))</f>
        <v>1.1428571428571432E-3</v>
      </c>
      <c r="EZ29" s="898">
        <f ca="1">INDEX('Schedule Allocation'!R:R,MATCH($D29,'Schedule Allocation'!$A:$A,0))*SUM(OFFSET($FS29,0,17*(MATCH('Model Report Formatized'!$E$1,Assumptions!$AN$1:$AN$6,0)-4),1,3))</f>
        <v>1.1428571428571432E-3</v>
      </c>
      <c r="FA29" s="898">
        <f ca="1">INDEX('Schedule Allocation'!S:S,MATCH($D29,'Schedule Allocation'!$A:$A,0))*SUM(OFFSET($FS29,0,17*(MATCH('Model Report Formatized'!$E$1,Assumptions!$AN$1:$AN$6,0)-4),1,3))</f>
        <v>1.1428571428571432E-3</v>
      </c>
      <c r="FB29" s="898">
        <f ca="1">INDEX('Schedule Allocation'!T:T,MATCH($D29,'Schedule Allocation'!$A:$A,0))*SUM(OFFSET($FS29,0,17*(MATCH('Model Report Formatized'!$E$1,Assumptions!$AN$1:$AN$6,0)-4),1,3))</f>
        <v>1.1428571428571432E-3</v>
      </c>
      <c r="FC29" s="898">
        <f ca="1">SUM(OFFSET(FV29,0,17*(MATCH('Model Report Formatized'!$E$1,Assumptions!$AN$1:$AN$6,0)-4),1,1))</f>
        <v>0</v>
      </c>
      <c r="FD29" s="898">
        <f ca="1">SUM(OFFSET(FW29,0,17*(MATCH('Model Report Formatized'!$E$1,Assumptions!$AN$1:$AN$6,0)-4),1,1))</f>
        <v>0</v>
      </c>
      <c r="FE29" s="898">
        <f ca="1">SUM(OFFSET(FX29,0,17*(MATCH('Model Report Formatized'!$E$1,Assumptions!$AN$1:$AN$6,0)-4),1,1))</f>
        <v>0</v>
      </c>
      <c r="FF29" s="898">
        <f ca="1">SUM(OFFSET(FY29,0,17*(MATCH('Model Report Formatized'!$E$1,Assumptions!$AN$1:$AN$6,0)-4),1,1))</f>
        <v>0</v>
      </c>
      <c r="FG29" s="898">
        <f ca="1">SUM(OFFSET(FZ29,0,17*(MATCH('Model Report Formatized'!$E$1,Assumptions!$AN$1:$AN$6,0)-4),1,1))</f>
        <v>0</v>
      </c>
      <c r="FH29" s="898">
        <f ca="1">SUM(OFFSET(GA29,0,17*(MATCH('Model Report Formatized'!$E$1,Assumptions!$AN$1:$AN$6,0)-4),1,1))</f>
        <v>0</v>
      </c>
      <c r="FI29" s="898">
        <f ca="1">SUM(OFFSET(GB29,0,17*(MATCH('Model Report Formatized'!$E$1,Assumptions!$AN$1:$AN$6,0)-4),1,1))</f>
        <v>0</v>
      </c>
      <c r="FJ29" s="898">
        <f ca="1">SUM(OFFSET(GC29,0,17*(MATCH('Model Report Formatized'!$E$1,Assumptions!$AN$1:$AN$6,0)-4),1,1))</f>
        <v>0</v>
      </c>
      <c r="FK29" s="898">
        <f ca="1">SUM(OFFSET(GD29,0,17*(MATCH('Model Report Formatized'!$E$1,Assumptions!$AN$1:$AN$6,0)-4),1,1))</f>
        <v>0</v>
      </c>
      <c r="FL29" s="898">
        <f ca="1">SUM(OFFSET(GE29,0,17*(MATCH('Model Report Formatized'!$E$1,Assumptions!$AN$1:$AN$6,0)-4),1,1))</f>
        <v>0</v>
      </c>
      <c r="FM29" s="898">
        <f ca="1">SUM(OFFSET(GF29,0,17*(MATCH('Model Report Formatized'!$E$1,Assumptions!$AN$1:$AN$6,0)-4),1,1))</f>
        <v>0</v>
      </c>
      <c r="FN29" s="898">
        <f ca="1">SUM(OFFSET(GG29,0,17*(MATCH('Model Report Formatized'!$E$1,Assumptions!$AN$1:$AN$6,0)-4),1,1))</f>
        <v>0</v>
      </c>
      <c r="FO29" s="898">
        <f ca="1">SUM(OFFSET(GH29,0,17*(MATCH('Model Report Formatized'!$E$1,Assumptions!$AN$1:$AN$6,0)-4),1,1))</f>
        <v>0</v>
      </c>
      <c r="FQ29" s="898"/>
      <c r="FS29" s="898">
        <f>IF($E29=0,"",IFERROR(INDEX(RunoffChangeAdj!FO:FO,MATCH($B29,RunoffChangeAdj!$FE:$FE,0)),""))</f>
        <v>2.0000000000000004E-2</v>
      </c>
      <c r="FT29" s="898">
        <f>IF($E29=0,"",IFERROR(INDEX(RunoffChangeAdj!FP:FP,MATCH($B29,RunoffChangeAdj!$FE:$FE,0)),""))</f>
        <v>0</v>
      </c>
      <c r="FU29" s="898">
        <f>IF($E29=0,"",IFERROR(INDEX(RunoffChangeAdj!FQ:FQ,MATCH($B29,RunoffChangeAdj!$FE:$FE,0)),""))</f>
        <v>0</v>
      </c>
      <c r="FV29" s="898">
        <f>IF($E29=0,"",IFERROR(INDEX(RunoffChangeAdj!FR:FR,MATCH($B29,RunoffChangeAdj!$FE:$FE,0)),""))</f>
        <v>0</v>
      </c>
      <c r="FW29" s="898">
        <f>IF($E29=0,"",IFERROR(INDEX(RunoffChangeAdj!FS:FS,MATCH($B29,RunoffChangeAdj!$FE:$FE,0)),""))</f>
        <v>0</v>
      </c>
      <c r="FX29" s="898">
        <f>IF($E29=0,"",IFERROR(INDEX(RunoffChangeAdj!FT:FT,MATCH($B29,RunoffChangeAdj!$FE:$FE,0)),""))</f>
        <v>0</v>
      </c>
      <c r="FY29" s="898">
        <f>IF($E29=0,"",IFERROR(INDEX(RunoffChangeAdj!FU:FU,MATCH($B29,RunoffChangeAdj!$FE:$FE,0)),""))</f>
        <v>0</v>
      </c>
      <c r="FZ29" s="898">
        <f>IF($E29=0,"",IFERROR(INDEX(RunoffChangeAdj!FV:FV,MATCH($B29,RunoffChangeAdj!$FE:$FE,0)),""))</f>
        <v>0</v>
      </c>
      <c r="GA29" s="898">
        <f>IF($E29=0,"",IFERROR(INDEX(RunoffChangeAdj!FW:FW,MATCH($B29,RunoffChangeAdj!$FE:$FE,0)),""))</f>
        <v>0</v>
      </c>
      <c r="GB29" s="898">
        <f>IF($E29=0,"",IFERROR(INDEX(RunoffChangeAdj!FX:FX,MATCH($B29,RunoffChangeAdj!$FE:$FE,0)),""))</f>
        <v>0</v>
      </c>
      <c r="GC29" s="898">
        <f>IF($E29=0,"",IFERROR(INDEX(RunoffChangeAdj!FY:FY,MATCH($B29,RunoffChangeAdj!$FE:$FE,0)),""))</f>
        <v>0</v>
      </c>
      <c r="GD29" s="898">
        <f>IF($E29=0,"",IFERROR(INDEX(RunoffChangeAdj!FZ:FZ,MATCH($B29,RunoffChangeAdj!$FE:$FE,0)),""))</f>
        <v>0</v>
      </c>
      <c r="GE29" s="898">
        <f>IF($E29=0,"",IFERROR(INDEX(RunoffChangeAdj!GA:GA,MATCH($B29,RunoffChangeAdj!$FE:$FE,0)),""))</f>
        <v>0</v>
      </c>
      <c r="GF29" s="898">
        <f>IF($E29=0,"",IFERROR(INDEX(RunoffChangeAdj!GB:GB,MATCH($B29,RunoffChangeAdj!$FE:$FE,0)),""))</f>
        <v>0</v>
      </c>
      <c r="GG29" s="898">
        <f>IF($E29=0,"",IFERROR(INDEX(RunoffChangeAdj!GC:GC,MATCH($B29,RunoffChangeAdj!$FE:$FE,0)),""))</f>
        <v>0</v>
      </c>
      <c r="GH29" s="898">
        <f>IF($E29=0,"",IFERROR(INDEX(RunoffChangeAdj!GD:GD,MATCH($B29,RunoffChangeAdj!$FE:$FE,0)),""))</f>
        <v>0</v>
      </c>
      <c r="GJ29" s="898">
        <f>IF($E29=0,"",IFERROR(INDEX(RunoffChangeAdj!GF:GF,MATCH($B29,RunoffChangeAdj!$FE:$FE,0)),""))</f>
        <v>1.4999999999999999E-2</v>
      </c>
      <c r="GK29" s="898">
        <f>IF($E29=0,"",IFERROR(INDEX(RunoffChangeAdj!GG:GG,MATCH($B29,RunoffChangeAdj!$FE:$FE,0)),""))</f>
        <v>0</v>
      </c>
      <c r="GL29" s="898">
        <f>IF($E29=0,"",IFERROR(INDEX(RunoffChangeAdj!GH:GH,MATCH($B29,RunoffChangeAdj!$FE:$FE,0)),""))</f>
        <v>0</v>
      </c>
      <c r="GM29" s="898">
        <f>IF($E29=0,"",IFERROR(INDEX(RunoffChangeAdj!GI:GI,MATCH($B29,RunoffChangeAdj!$FE:$FE,0)),""))</f>
        <v>0</v>
      </c>
      <c r="GN29" s="898">
        <f>IF($E29=0,"",IFERROR(INDEX(RunoffChangeAdj!GJ:GJ,MATCH($B29,RunoffChangeAdj!$FE:$FE,0)),""))</f>
        <v>0</v>
      </c>
      <c r="GO29" s="898">
        <f>IF($E29=0,"",IFERROR(INDEX(RunoffChangeAdj!GK:GK,MATCH($B29,RunoffChangeAdj!$FE:$FE,0)),""))</f>
        <v>0</v>
      </c>
      <c r="GP29" s="898">
        <f>IF($E29=0,"",IFERROR(INDEX(RunoffChangeAdj!GL:GL,MATCH($B29,RunoffChangeAdj!$FE:$FE,0)),""))</f>
        <v>0</v>
      </c>
      <c r="GQ29" s="898">
        <f>IF($E29=0,"",IFERROR(INDEX(RunoffChangeAdj!GM:GM,MATCH($B29,RunoffChangeAdj!$FE:$FE,0)),""))</f>
        <v>0</v>
      </c>
      <c r="GR29" s="898">
        <f>IF($E29=0,"",IFERROR(INDEX(RunoffChangeAdj!GN:GN,MATCH($B29,RunoffChangeAdj!$FE:$FE,0)),""))</f>
        <v>0</v>
      </c>
      <c r="GS29" s="898">
        <f>IF($E29=0,"",IFERROR(INDEX(RunoffChangeAdj!GO:GO,MATCH($B29,RunoffChangeAdj!$FE:$FE,0)),""))</f>
        <v>0</v>
      </c>
      <c r="GT29" s="898">
        <f>IF($E29=0,"",IFERROR(INDEX(RunoffChangeAdj!GP:GP,MATCH($B29,RunoffChangeAdj!$FE:$FE,0)),""))</f>
        <v>0</v>
      </c>
      <c r="GU29" s="898">
        <f>IF($E29=0,"",IFERROR(INDEX(RunoffChangeAdj!GQ:GQ,MATCH($B29,RunoffChangeAdj!$FE:$FE,0)),""))</f>
        <v>0</v>
      </c>
      <c r="GV29" s="898">
        <f>IF($E29=0,"",IFERROR(INDEX(RunoffChangeAdj!GR:GR,MATCH($B29,RunoffChangeAdj!$FE:$FE,0)),""))</f>
        <v>0</v>
      </c>
      <c r="GW29" s="898">
        <f>IF($E29=0,"",IFERROR(INDEX(RunoffChangeAdj!GS:GS,MATCH($B29,RunoffChangeAdj!$FE:$FE,0)),""))</f>
        <v>0</v>
      </c>
      <c r="GX29" s="898">
        <f>IF($E29=0,"",IFERROR(INDEX(RunoffChangeAdj!GT:GT,MATCH($B29,RunoffChangeAdj!$FE:$FE,0)),""))</f>
        <v>0</v>
      </c>
      <c r="GY29" s="898">
        <f>IF($E29=0,"",IFERROR(INDEX(RunoffChangeAdj!GU:GU,MATCH($B29,RunoffChangeAdj!$FE:$FE,0)),""))</f>
        <v>0</v>
      </c>
      <c r="HA29" s="898">
        <f>IF($E29=0,"",IFERROR(INDEX(RunoffChangeAdj!GW:GW,MATCH($B29,RunoffChangeAdj!$FE:$FE,0)),""))</f>
        <v>5.0000000000000001E-3</v>
      </c>
      <c r="HB29" s="898">
        <f>IF($E29=0,"",IFERROR(INDEX(RunoffChangeAdj!GX:GX,MATCH($B29,RunoffChangeAdj!$FE:$FE,0)),""))</f>
        <v>0</v>
      </c>
      <c r="HC29" s="898">
        <f>IF($E29=0,"",IFERROR(INDEX(RunoffChangeAdj!GY:GY,MATCH($B29,RunoffChangeAdj!$FE:$FE,0)),""))</f>
        <v>0</v>
      </c>
      <c r="HD29" s="898">
        <f>IF($E29=0,"",IFERROR(INDEX(RunoffChangeAdj!GZ:GZ,MATCH($B29,RunoffChangeAdj!$FE:$FE,0)),""))</f>
        <v>0</v>
      </c>
      <c r="HE29" s="898">
        <f>IF($E29=0,"",IFERROR(INDEX(RunoffChangeAdj!HA:HA,MATCH($B29,RunoffChangeAdj!$FE:$FE,0)),""))</f>
        <v>0</v>
      </c>
      <c r="HF29" s="898">
        <f>IF($E29=0,"",IFERROR(INDEX(RunoffChangeAdj!HB:HB,MATCH($B29,RunoffChangeAdj!$FE:$FE,0)),""))</f>
        <v>0</v>
      </c>
      <c r="HG29" s="898">
        <f>IF($E29=0,"",IFERROR(INDEX(RunoffChangeAdj!HC:HC,MATCH($B29,RunoffChangeAdj!$FE:$FE,0)),""))</f>
        <v>0</v>
      </c>
      <c r="HH29" s="898">
        <f>IF($E29=0,"",IFERROR(INDEX(RunoffChangeAdj!HD:HD,MATCH($B29,RunoffChangeAdj!$FE:$FE,0)),""))</f>
        <v>0</v>
      </c>
      <c r="HI29" s="898">
        <f>IF($E29=0,"",IFERROR(INDEX(RunoffChangeAdj!HE:HE,MATCH($B29,RunoffChangeAdj!$FE:$FE,0)),""))</f>
        <v>0</v>
      </c>
      <c r="HJ29" s="898">
        <f>IF($E29=0,"",IFERROR(INDEX(RunoffChangeAdj!HF:HF,MATCH($B29,RunoffChangeAdj!$FE:$FE,0)),""))</f>
        <v>0</v>
      </c>
      <c r="HK29" s="898">
        <f>IF($E29=0,"",IFERROR(INDEX(RunoffChangeAdj!HG:HG,MATCH($B29,RunoffChangeAdj!$FE:$FE,0)),""))</f>
        <v>0</v>
      </c>
      <c r="HL29" s="898">
        <f>IF($E29=0,"",IFERROR(INDEX(RunoffChangeAdj!HH:HH,MATCH($B29,RunoffChangeAdj!$FE:$FE,0)),""))</f>
        <v>0</v>
      </c>
      <c r="HM29" s="898">
        <f>IF($E29=0,"",IFERROR(INDEX(RunoffChangeAdj!HI:HI,MATCH($B29,RunoffChangeAdj!$FE:$FE,0)),""))</f>
        <v>0</v>
      </c>
      <c r="HN29" s="898">
        <f>IF($E29=0,"",IFERROR(INDEX(RunoffChangeAdj!HJ:HJ,MATCH($B29,RunoffChangeAdj!$FE:$FE,0)),""))</f>
        <v>0</v>
      </c>
      <c r="HO29" s="898">
        <f>IF($E29=0,"",IFERROR(INDEX(RunoffChangeAdj!HK:HK,MATCH($B29,RunoffChangeAdj!$FE:$FE,0)),""))</f>
        <v>0</v>
      </c>
      <c r="HP29" s="898">
        <f>IF($E29=0,"",IFERROR(INDEX(RunoffChangeAdj!HL:HL,MATCH($B29,RunoffChangeAdj!$FE:$FE,0)),""))</f>
        <v>0</v>
      </c>
    </row>
    <row r="30" spans="1:224">
      <c r="A30" s="816" t="s">
        <v>1244</v>
      </c>
      <c r="B30" s="816">
        <v>11</v>
      </c>
      <c r="C30" s="816">
        <v>1</v>
      </c>
      <c r="D30" s="816">
        <f t="shared" si="0"/>
        <v>0</v>
      </c>
      <c r="E30" s="816">
        <v>1</v>
      </c>
      <c r="F30" s="816" t="str">
        <f>INDEX('Data Interface'!$C:$C,MATCH(B30,'Data Interface'!$B:$B,0))</f>
        <v>Bond Issuance</v>
      </c>
      <c r="G30" s="894">
        <f ca="1">IF($C30=1,$AJ30,SUM($AJ30:$AL30)*INDEX('Schedule Allocation'!G:G,MATCH($D30,'Schedule Allocation'!$A:$A,0)))</f>
        <v>1</v>
      </c>
      <c r="H30" s="894">
        <f ca="1">IF($C30=1,$AK30,SUM($AJ30:$AL30)*INDEX('Schedule Allocation'!H:H,MATCH($D30,'Schedule Allocation'!$A:$A,0)))</f>
        <v>1</v>
      </c>
      <c r="I30" s="894">
        <f ca="1">IF($C30=1,$AK30,SUM($AJ30:$AL30)*INDEX('Schedule Allocation'!I:I,MATCH($D30,'Schedule Allocation'!$A:$A,0)))</f>
        <v>1</v>
      </c>
      <c r="J30" s="894">
        <f ca="1">IF($C30=1,$AK30,SUM($AJ30:$AL30)*INDEX('Schedule Allocation'!J:J,MATCH($D30,'Schedule Allocation'!$A:$A,0)))</f>
        <v>1</v>
      </c>
      <c r="K30" s="894">
        <f ca="1">IF($C30=1,$AK30,SUM($AJ30:$AL30)*INDEX('Schedule Allocation'!K:K,MATCH($D30,'Schedule Allocation'!$A:$A,0)))</f>
        <v>1</v>
      </c>
      <c r="L30" s="894">
        <f ca="1">IF($C30=1,$AK30,SUM($AJ30:$AL30)*INDEX('Schedule Allocation'!L:L,MATCH($D30,'Schedule Allocation'!$A:$A,0)))</f>
        <v>1</v>
      </c>
      <c r="M30" s="894">
        <f ca="1">IF($C30=1,$AK30,SUM($AJ30:$AL30)*INDEX('Schedule Allocation'!M:M,MATCH($D30,'Schedule Allocation'!$A:$A,0)))</f>
        <v>1</v>
      </c>
      <c r="N30" s="894">
        <f ca="1">IF($C30=1,$AL30,SUM($AJ30:$AL30)*INDEX('Schedule Allocation'!N:N,MATCH($D30,'Schedule Allocation'!$A:$A,0)))</f>
        <v>1</v>
      </c>
      <c r="O30" s="894">
        <f ca="1">IF($C30=1,$AL30,SUM($AJ30:$AL30)*INDEX('Schedule Allocation'!O:O,MATCH($D30,'Schedule Allocation'!$A:$A,0)))</f>
        <v>1</v>
      </c>
      <c r="P30" s="894">
        <f ca="1">IF($C30=1,$AL30,SUM($AJ30:$AL30)*INDEX('Schedule Allocation'!P:P,MATCH($D30,'Schedule Allocation'!$A:$A,0)))</f>
        <v>1</v>
      </c>
      <c r="Q30" s="894">
        <f ca="1">IF($C30=1,$AL30,SUM($AJ30:$AL30)*INDEX('Schedule Allocation'!Q:Q,MATCH($D30,'Schedule Allocation'!$A:$A,0)))</f>
        <v>1</v>
      </c>
      <c r="R30" s="894">
        <f ca="1">IF($C30=1,$AL30,SUM($AJ30:$AL30)*INDEX('Schedule Allocation'!R:R,MATCH($D30,'Schedule Allocation'!$A:$A,0)))</f>
        <v>1</v>
      </c>
      <c r="S30" s="894">
        <f ca="1">IF($C30=1,$AL30,SUM($AJ30:$AL30)*INDEX('Schedule Allocation'!S:S,MATCH($D30,'Schedule Allocation'!$A:$A,0)))</f>
        <v>1</v>
      </c>
      <c r="T30" s="894">
        <f ca="1">IF($C30=1,$AL30,SUM($AJ30:$AL30)*INDEX('Schedule Allocation'!T:T,MATCH($D30,'Schedule Allocation'!$A:$A,0)))</f>
        <v>1</v>
      </c>
      <c r="U30" s="894">
        <f ca="1">OFFSET(AT30,0,(MATCH('Model Report Formatized'!$E$1,$AN$1:$AN$6,0))*17-17)</f>
        <v>1</v>
      </c>
      <c r="V30" s="894">
        <f ca="1">OFFSET(AU30,0,(MATCH('Model Report Formatized'!$E$1,$AN$1:$AN$6,0))*17-17)</f>
        <v>1</v>
      </c>
      <c r="W30" s="894">
        <f ca="1">OFFSET(AV30,0,(MATCH('Model Report Formatized'!$E$1,$AN$1:$AN$6,0))*17-17)</f>
        <v>1</v>
      </c>
      <c r="X30" s="894">
        <f ca="1">OFFSET(AW30,0,(MATCH('Model Report Formatized'!$E$1,$AN$1:$AN$6,0))*17-17)</f>
        <v>1</v>
      </c>
      <c r="Y30" s="894">
        <f ca="1">OFFSET(AX30,0,(MATCH('Model Report Formatized'!$E$1,$AN$1:$AN$6,0))*17-17)</f>
        <v>1</v>
      </c>
      <c r="Z30" s="894">
        <f ca="1">OFFSET(AY30,0,(MATCH('Model Report Formatized'!$E$1,$AN$1:$AN$6,0))*17-17)</f>
        <v>1</v>
      </c>
      <c r="AA30" s="894">
        <f ca="1">OFFSET(AZ30,0,(MATCH('Model Report Formatized'!$E$1,$AN$1:$AN$6,0))*17-17)</f>
        <v>1</v>
      </c>
      <c r="AB30" s="894">
        <f ca="1">OFFSET(BA30,0,(MATCH('Model Report Formatized'!$E$1,$AN$1:$AN$6,0))*17-17)</f>
        <v>1</v>
      </c>
      <c r="AC30" s="894">
        <f ca="1">OFFSET(BB30,0,(MATCH('Model Report Formatized'!$E$1,$AN$1:$AN$6,0))*17-17)</f>
        <v>1</v>
      </c>
      <c r="AD30" s="894">
        <f ca="1">OFFSET(BC30,0,(MATCH('Model Report Formatized'!$E$1,$AN$1:$AN$6,0))*17-17)</f>
        <v>1</v>
      </c>
      <c r="AE30" s="894">
        <f ca="1">OFFSET(BD30,0,(MATCH('Model Report Formatized'!$E$1,$AN$1:$AN$6,0))*17-17)</f>
        <v>1</v>
      </c>
      <c r="AF30" s="894">
        <f ca="1">OFFSET(BE30,0,(MATCH('Model Report Formatized'!$E$1,$AN$1:$AN$6,0))*17-17)</f>
        <v>1</v>
      </c>
      <c r="AG30" s="894">
        <f ca="1">OFFSET(BF30,0,(MATCH('Model Report Formatized'!$E$1,$AN$1:$AN$6,0))*17-17)</f>
        <v>1</v>
      </c>
      <c r="AH30" s="891">
        <f t="shared" ca="1" si="1"/>
        <v>1</v>
      </c>
      <c r="AJ30" s="895">
        <f ca="1">OFFSET(AQ30,0,(MATCH('Model Report Formatized'!$E$1,$AN$1:$AN$6,0))*17-17)</f>
        <v>1</v>
      </c>
      <c r="AK30" s="895">
        <f ca="1">OFFSET(AR30,0,(MATCH('Model Report Formatized'!$E$1,$AN$1:$AN$6,0))*17-17)</f>
        <v>1</v>
      </c>
      <c r="AL30" s="895">
        <f ca="1">OFFSET(AS30,0,(MATCH('Model Report Formatized'!$E$1,$AN$1:$AN$6,0))*17-17)</f>
        <v>1</v>
      </c>
      <c r="AQ30" s="893">
        <v>1</v>
      </c>
      <c r="AR30" s="893">
        <v>1</v>
      </c>
      <c r="AS30" s="893">
        <v>1</v>
      </c>
      <c r="AT30" s="893">
        <v>1</v>
      </c>
      <c r="AU30" s="893">
        <v>1</v>
      </c>
      <c r="AV30" s="893">
        <v>1</v>
      </c>
      <c r="AW30" s="893">
        <v>1</v>
      </c>
      <c r="AX30" s="893">
        <v>1</v>
      </c>
      <c r="AY30" s="893">
        <v>1</v>
      </c>
      <c r="AZ30" s="893">
        <v>1</v>
      </c>
      <c r="BA30" s="893">
        <v>1</v>
      </c>
      <c r="BB30" s="893">
        <v>1</v>
      </c>
      <c r="BC30" s="893">
        <v>1</v>
      </c>
      <c r="BD30" s="893">
        <v>1</v>
      </c>
      <c r="BE30" s="893">
        <v>1</v>
      </c>
      <c r="BF30" s="893">
        <v>1</v>
      </c>
      <c r="BH30" s="816">
        <v>1</v>
      </c>
      <c r="BI30" s="816">
        <v>1</v>
      </c>
      <c r="BJ30" s="816">
        <v>1</v>
      </c>
      <c r="BK30" s="816">
        <v>1</v>
      </c>
      <c r="BL30" s="816">
        <v>1</v>
      </c>
      <c r="BM30" s="816">
        <v>1</v>
      </c>
      <c r="BN30" s="816">
        <v>1</v>
      </c>
      <c r="BO30" s="816">
        <v>1</v>
      </c>
      <c r="BP30" s="816">
        <v>1</v>
      </c>
      <c r="BQ30" s="816">
        <v>1</v>
      </c>
      <c r="BR30" s="816">
        <v>1</v>
      </c>
      <c r="BS30" s="816">
        <v>1</v>
      </c>
      <c r="BT30" s="816">
        <v>1</v>
      </c>
      <c r="BU30" s="816">
        <v>1</v>
      </c>
      <c r="BV30" s="816">
        <v>1</v>
      </c>
      <c r="BW30" s="816">
        <v>1</v>
      </c>
      <c r="BY30" s="816">
        <v>1</v>
      </c>
      <c r="BZ30" s="816">
        <v>1</v>
      </c>
      <c r="CA30" s="816">
        <v>1</v>
      </c>
      <c r="CB30" s="816">
        <v>1</v>
      </c>
      <c r="CC30" s="816">
        <v>1</v>
      </c>
      <c r="CD30" s="816">
        <v>1</v>
      </c>
      <c r="CE30" s="816">
        <v>1</v>
      </c>
      <c r="CF30" s="816">
        <v>1</v>
      </c>
      <c r="CG30" s="816">
        <v>1</v>
      </c>
      <c r="CH30" s="816">
        <v>1</v>
      </c>
      <c r="CI30" s="816">
        <v>1</v>
      </c>
      <c r="CJ30" s="816">
        <v>1</v>
      </c>
      <c r="CK30" s="816">
        <v>1</v>
      </c>
      <c r="CL30" s="816">
        <v>1</v>
      </c>
      <c r="CM30" s="816">
        <v>1</v>
      </c>
      <c r="CN30" s="816">
        <v>1</v>
      </c>
      <c r="CP30" s="875">
        <v>1</v>
      </c>
      <c r="CQ30" s="875">
        <v>1</v>
      </c>
      <c r="CR30" s="875">
        <v>1</v>
      </c>
      <c r="CS30" s="875">
        <v>1</v>
      </c>
      <c r="CT30" s="875">
        <v>1</v>
      </c>
      <c r="CU30" s="875">
        <v>1</v>
      </c>
      <c r="CV30" s="875">
        <v>1</v>
      </c>
      <c r="CW30" s="875">
        <v>1</v>
      </c>
      <c r="CX30" s="875">
        <v>1</v>
      </c>
      <c r="CY30" s="875">
        <v>1</v>
      </c>
      <c r="CZ30" s="875">
        <v>1</v>
      </c>
      <c r="DA30" s="875">
        <v>1</v>
      </c>
      <c r="DB30" s="875">
        <v>1</v>
      </c>
      <c r="DC30" s="875">
        <v>1</v>
      </c>
      <c r="DD30" s="875">
        <v>1</v>
      </c>
      <c r="DE30" s="875">
        <v>1</v>
      </c>
      <c r="DG30" s="816">
        <v>1</v>
      </c>
      <c r="DH30" s="816">
        <v>1</v>
      </c>
      <c r="DI30" s="816">
        <v>1</v>
      </c>
      <c r="DJ30" s="816">
        <v>1</v>
      </c>
      <c r="DK30" s="816">
        <v>1</v>
      </c>
      <c r="DL30" s="816">
        <v>1</v>
      </c>
      <c r="DM30" s="816">
        <v>1</v>
      </c>
      <c r="DN30" s="816">
        <v>1</v>
      </c>
      <c r="DO30" s="816">
        <v>1</v>
      </c>
      <c r="DP30" s="816">
        <v>1</v>
      </c>
      <c r="DQ30" s="816">
        <v>1</v>
      </c>
      <c r="DR30" s="816">
        <v>1</v>
      </c>
      <c r="DS30" s="816">
        <v>1</v>
      </c>
      <c r="DT30" s="816">
        <v>1</v>
      </c>
      <c r="DU30" s="816">
        <v>1</v>
      </c>
      <c r="DV30" s="816">
        <v>1</v>
      </c>
      <c r="DX30" s="816">
        <v>1</v>
      </c>
      <c r="DY30" s="816">
        <v>1</v>
      </c>
      <c r="DZ30" s="816">
        <v>1</v>
      </c>
      <c r="EA30" s="816">
        <v>1</v>
      </c>
      <c r="EB30" s="816">
        <v>1</v>
      </c>
      <c r="EC30" s="816">
        <v>1</v>
      </c>
      <c r="ED30" s="816">
        <v>1</v>
      </c>
      <c r="EE30" s="816">
        <v>1</v>
      </c>
      <c r="EF30" s="816">
        <v>1</v>
      </c>
      <c r="EG30" s="816">
        <v>1</v>
      </c>
      <c r="EH30" s="816">
        <v>1</v>
      </c>
      <c r="EI30" s="816">
        <v>1</v>
      </c>
      <c r="EJ30" s="816">
        <v>1</v>
      </c>
      <c r="EK30" s="816">
        <v>1</v>
      </c>
      <c r="EL30" s="816">
        <v>1</v>
      </c>
      <c r="EM30" s="816">
        <v>1</v>
      </c>
      <c r="EO30" s="898">
        <f ca="1">INDEX('Schedule Allocation'!G:G,MATCH($D30,'Schedule Allocation'!$A:$A,0))*SUM(OFFSET($FS30,0,17*(MATCH('Model Report Formatized'!$E$1,Assumptions!$AN$1:$AN$6,0)-4),1,3))</f>
        <v>5.9999999999999993E-3</v>
      </c>
      <c r="EP30" s="898">
        <f ca="1">INDEX('Schedule Allocation'!H:H,MATCH($D30,'Schedule Allocation'!$A:$A,0))*SUM(OFFSET($FS30,0,17*(MATCH('Model Report Formatized'!$E$1,Assumptions!$AN$1:$AN$6,0)-4),1,3))</f>
        <v>1.9999999999999996E-3</v>
      </c>
      <c r="EQ30" s="898">
        <f ca="1">INDEX('Schedule Allocation'!I:I,MATCH($D30,'Schedule Allocation'!$A:$A,0))*SUM(OFFSET($FS30,0,17*(MATCH('Model Report Formatized'!$E$1,Assumptions!$AN$1:$AN$6,0)-4),1,3))</f>
        <v>1.9999999999999996E-3</v>
      </c>
      <c r="ER30" s="898">
        <f ca="1">INDEX('Schedule Allocation'!J:J,MATCH($D30,'Schedule Allocation'!$A:$A,0))*SUM(OFFSET($FS30,0,17*(MATCH('Model Report Formatized'!$E$1,Assumptions!$AN$1:$AN$6,0)-4),1,3))</f>
        <v>1.9999999999999996E-3</v>
      </c>
      <c r="ES30" s="898">
        <f ca="1">INDEX('Schedule Allocation'!K:K,MATCH($D30,'Schedule Allocation'!$A:$A,0))*SUM(OFFSET($FS30,0,17*(MATCH('Model Report Formatized'!$E$1,Assumptions!$AN$1:$AN$6,0)-4),1,3))</f>
        <v>1.9999999999999996E-3</v>
      </c>
      <c r="ET30" s="898">
        <f ca="1">INDEX('Schedule Allocation'!L:L,MATCH($D30,'Schedule Allocation'!$A:$A,0))*SUM(OFFSET($FS30,0,17*(MATCH('Model Report Formatized'!$E$1,Assumptions!$AN$1:$AN$6,0)-4),1,3))</f>
        <v>1.9999999999999996E-3</v>
      </c>
      <c r="EU30" s="898">
        <f ca="1">INDEX('Schedule Allocation'!M:M,MATCH($D30,'Schedule Allocation'!$A:$A,0))*SUM(OFFSET($FS30,0,17*(MATCH('Model Report Formatized'!$E$1,Assumptions!$AN$1:$AN$6,0)-4),1,3))</f>
        <v>1.9999999999999996E-3</v>
      </c>
      <c r="EV30" s="898">
        <f ca="1">INDEX('Schedule Allocation'!N:N,MATCH($D30,'Schedule Allocation'!$A:$A,0))*SUM(OFFSET($FS30,0,17*(MATCH('Model Report Formatized'!$E$1,Assumptions!$AN$1:$AN$6,0)-4),1,3))</f>
        <v>1.7142857142857142E-3</v>
      </c>
      <c r="EW30" s="898">
        <f ca="1">INDEX('Schedule Allocation'!O:O,MATCH($D30,'Schedule Allocation'!$A:$A,0))*SUM(OFFSET($FS30,0,17*(MATCH('Model Report Formatized'!$E$1,Assumptions!$AN$1:$AN$6,0)-4),1,3))</f>
        <v>1.7142857142857142E-3</v>
      </c>
      <c r="EX30" s="898">
        <f ca="1">INDEX('Schedule Allocation'!P:P,MATCH($D30,'Schedule Allocation'!$A:$A,0))*SUM(OFFSET($FS30,0,17*(MATCH('Model Report Formatized'!$E$1,Assumptions!$AN$1:$AN$6,0)-4),1,3))</f>
        <v>1.7142857142857142E-3</v>
      </c>
      <c r="EY30" s="898">
        <f ca="1">INDEX('Schedule Allocation'!Q:Q,MATCH($D30,'Schedule Allocation'!$A:$A,0))*SUM(OFFSET($FS30,0,17*(MATCH('Model Report Formatized'!$E$1,Assumptions!$AN$1:$AN$6,0)-4),1,3))</f>
        <v>1.7142857142857142E-3</v>
      </c>
      <c r="EZ30" s="898">
        <f ca="1">INDEX('Schedule Allocation'!R:R,MATCH($D30,'Schedule Allocation'!$A:$A,0))*SUM(OFFSET($FS30,0,17*(MATCH('Model Report Formatized'!$E$1,Assumptions!$AN$1:$AN$6,0)-4),1,3))</f>
        <v>1.7142857142857142E-3</v>
      </c>
      <c r="FA30" s="898">
        <f ca="1">INDEX('Schedule Allocation'!S:S,MATCH($D30,'Schedule Allocation'!$A:$A,0))*SUM(OFFSET($FS30,0,17*(MATCH('Model Report Formatized'!$E$1,Assumptions!$AN$1:$AN$6,0)-4),1,3))</f>
        <v>1.7142857142857142E-3</v>
      </c>
      <c r="FB30" s="898">
        <f ca="1">INDEX('Schedule Allocation'!T:T,MATCH($D30,'Schedule Allocation'!$A:$A,0))*SUM(OFFSET($FS30,0,17*(MATCH('Model Report Formatized'!$E$1,Assumptions!$AN$1:$AN$6,0)-4),1,3))</f>
        <v>1.7142857142857142E-3</v>
      </c>
      <c r="FC30" s="898">
        <f ca="1">SUM(OFFSET(FV30,0,17*(MATCH('Model Report Formatized'!$E$1,Assumptions!$AN$1:$AN$6,0)-4),1,1))</f>
        <v>0</v>
      </c>
      <c r="FD30" s="898">
        <f ca="1">SUM(OFFSET(FW30,0,17*(MATCH('Model Report Formatized'!$E$1,Assumptions!$AN$1:$AN$6,0)-4),1,1))</f>
        <v>0</v>
      </c>
      <c r="FE30" s="898">
        <f ca="1">SUM(OFFSET(FX30,0,17*(MATCH('Model Report Formatized'!$E$1,Assumptions!$AN$1:$AN$6,0)-4),1,1))</f>
        <v>0</v>
      </c>
      <c r="FF30" s="898">
        <f ca="1">SUM(OFFSET(FY30,0,17*(MATCH('Model Report Formatized'!$E$1,Assumptions!$AN$1:$AN$6,0)-4),1,1))</f>
        <v>0</v>
      </c>
      <c r="FG30" s="898">
        <f ca="1">SUM(OFFSET(FZ30,0,17*(MATCH('Model Report Formatized'!$E$1,Assumptions!$AN$1:$AN$6,0)-4),1,1))</f>
        <v>0</v>
      </c>
      <c r="FH30" s="898">
        <f ca="1">SUM(OFFSET(GA30,0,17*(MATCH('Model Report Formatized'!$E$1,Assumptions!$AN$1:$AN$6,0)-4),1,1))</f>
        <v>0</v>
      </c>
      <c r="FI30" s="898">
        <f ca="1">SUM(OFFSET(GB30,0,17*(MATCH('Model Report Formatized'!$E$1,Assumptions!$AN$1:$AN$6,0)-4),1,1))</f>
        <v>0</v>
      </c>
      <c r="FJ30" s="898">
        <f ca="1">SUM(OFFSET(GC30,0,17*(MATCH('Model Report Formatized'!$E$1,Assumptions!$AN$1:$AN$6,0)-4),1,1))</f>
        <v>0</v>
      </c>
      <c r="FK30" s="898">
        <f ca="1">SUM(OFFSET(GD30,0,17*(MATCH('Model Report Formatized'!$E$1,Assumptions!$AN$1:$AN$6,0)-4),1,1))</f>
        <v>0</v>
      </c>
      <c r="FL30" s="898">
        <f ca="1">SUM(OFFSET(GE30,0,17*(MATCH('Model Report Formatized'!$E$1,Assumptions!$AN$1:$AN$6,0)-4),1,1))</f>
        <v>0</v>
      </c>
      <c r="FM30" s="898">
        <f ca="1">SUM(OFFSET(GF30,0,17*(MATCH('Model Report Formatized'!$E$1,Assumptions!$AN$1:$AN$6,0)-4),1,1))</f>
        <v>0</v>
      </c>
      <c r="FN30" s="898">
        <f ca="1">SUM(OFFSET(GG30,0,17*(MATCH('Model Report Formatized'!$E$1,Assumptions!$AN$1:$AN$6,0)-4),1,1))</f>
        <v>0</v>
      </c>
      <c r="FO30" s="898">
        <f ca="1">SUM(OFFSET(GH30,0,17*(MATCH('Model Report Formatized'!$E$1,Assumptions!$AN$1:$AN$6,0)-4),1,1))</f>
        <v>0</v>
      </c>
      <c r="FQ30" s="898"/>
      <c r="FS30" s="898">
        <f>IF($E30=0,"",IFERROR(INDEX(RunoffChangeAdj!FO:FO,MATCH($B30,RunoffChangeAdj!$FE:$FE,0)),""))</f>
        <v>2.9999999999999995E-2</v>
      </c>
      <c r="FT30" s="898">
        <f>IF($E30=0,"",IFERROR(INDEX(RunoffChangeAdj!FP:FP,MATCH($B30,RunoffChangeAdj!$FE:$FE,0)),""))</f>
        <v>0</v>
      </c>
      <c r="FU30" s="898">
        <f>IF($E30=0,"",IFERROR(INDEX(RunoffChangeAdj!FQ:FQ,MATCH($B30,RunoffChangeAdj!$FE:$FE,0)),""))</f>
        <v>0</v>
      </c>
      <c r="FV30" s="898">
        <f>IF($E30=0,"",IFERROR(INDEX(RunoffChangeAdj!FR:FR,MATCH($B30,RunoffChangeAdj!$FE:$FE,0)),""))</f>
        <v>0</v>
      </c>
      <c r="FW30" s="898">
        <f>IF($E30=0,"",IFERROR(INDEX(RunoffChangeAdj!FS:FS,MATCH($B30,RunoffChangeAdj!$FE:$FE,0)),""))</f>
        <v>0</v>
      </c>
      <c r="FX30" s="898">
        <f>IF($E30=0,"",IFERROR(INDEX(RunoffChangeAdj!FT:FT,MATCH($B30,RunoffChangeAdj!$FE:$FE,0)),""))</f>
        <v>0</v>
      </c>
      <c r="FY30" s="898">
        <f>IF($E30=0,"",IFERROR(INDEX(RunoffChangeAdj!FU:FU,MATCH($B30,RunoffChangeAdj!$FE:$FE,0)),""))</f>
        <v>0</v>
      </c>
      <c r="FZ30" s="898">
        <f>IF($E30=0,"",IFERROR(INDEX(RunoffChangeAdj!FV:FV,MATCH($B30,RunoffChangeAdj!$FE:$FE,0)),""))</f>
        <v>0</v>
      </c>
      <c r="GA30" s="898">
        <f>IF($E30=0,"",IFERROR(INDEX(RunoffChangeAdj!FW:FW,MATCH($B30,RunoffChangeAdj!$FE:$FE,0)),""))</f>
        <v>0</v>
      </c>
      <c r="GB30" s="898">
        <f>IF($E30=0,"",IFERROR(INDEX(RunoffChangeAdj!FX:FX,MATCH($B30,RunoffChangeAdj!$FE:$FE,0)),""))</f>
        <v>0</v>
      </c>
      <c r="GC30" s="898">
        <f>IF($E30=0,"",IFERROR(INDEX(RunoffChangeAdj!FY:FY,MATCH($B30,RunoffChangeAdj!$FE:$FE,0)),""))</f>
        <v>0</v>
      </c>
      <c r="GD30" s="898">
        <f>IF($E30=0,"",IFERROR(INDEX(RunoffChangeAdj!FZ:FZ,MATCH($B30,RunoffChangeAdj!$FE:$FE,0)),""))</f>
        <v>0</v>
      </c>
      <c r="GE30" s="898">
        <f>IF($E30=0,"",IFERROR(INDEX(RunoffChangeAdj!GA:GA,MATCH($B30,RunoffChangeAdj!$FE:$FE,0)),""))</f>
        <v>0</v>
      </c>
      <c r="GF30" s="898">
        <f>IF($E30=0,"",IFERROR(INDEX(RunoffChangeAdj!GB:GB,MATCH($B30,RunoffChangeAdj!$FE:$FE,0)),""))</f>
        <v>0</v>
      </c>
      <c r="GG30" s="898">
        <f>IF($E30=0,"",IFERROR(INDEX(RunoffChangeAdj!GC:GC,MATCH($B30,RunoffChangeAdj!$FE:$FE,0)),""))</f>
        <v>0</v>
      </c>
      <c r="GH30" s="898">
        <f>IF($E30=0,"",IFERROR(INDEX(RunoffChangeAdj!GD:GD,MATCH($B30,RunoffChangeAdj!$FE:$FE,0)),""))</f>
        <v>0</v>
      </c>
      <c r="GJ30" s="898">
        <f>IF($E30=0,"",IFERROR(INDEX(RunoffChangeAdj!GF:GF,MATCH($B30,RunoffChangeAdj!$FE:$FE,0)),""))</f>
        <v>0.02</v>
      </c>
      <c r="GK30" s="898">
        <f>IF($E30=0,"",IFERROR(INDEX(RunoffChangeAdj!GG:GG,MATCH($B30,RunoffChangeAdj!$FE:$FE,0)),""))</f>
        <v>0</v>
      </c>
      <c r="GL30" s="898">
        <f>IF($E30=0,"",IFERROR(INDEX(RunoffChangeAdj!GH:GH,MATCH($B30,RunoffChangeAdj!$FE:$FE,0)),""))</f>
        <v>0</v>
      </c>
      <c r="GM30" s="898">
        <f>IF($E30=0,"",IFERROR(INDEX(RunoffChangeAdj!GI:GI,MATCH($B30,RunoffChangeAdj!$FE:$FE,0)),""))</f>
        <v>0</v>
      </c>
      <c r="GN30" s="898">
        <f>IF($E30=0,"",IFERROR(INDEX(RunoffChangeAdj!GJ:GJ,MATCH($B30,RunoffChangeAdj!$FE:$FE,0)),""))</f>
        <v>0</v>
      </c>
      <c r="GO30" s="898">
        <f>IF($E30=0,"",IFERROR(INDEX(RunoffChangeAdj!GK:GK,MATCH($B30,RunoffChangeAdj!$FE:$FE,0)),""))</f>
        <v>0</v>
      </c>
      <c r="GP30" s="898">
        <f>IF($E30=0,"",IFERROR(INDEX(RunoffChangeAdj!GL:GL,MATCH($B30,RunoffChangeAdj!$FE:$FE,0)),""))</f>
        <v>0</v>
      </c>
      <c r="GQ30" s="898">
        <f>IF($E30=0,"",IFERROR(INDEX(RunoffChangeAdj!GM:GM,MATCH($B30,RunoffChangeAdj!$FE:$FE,0)),""))</f>
        <v>0</v>
      </c>
      <c r="GR30" s="898">
        <f>IF($E30=0,"",IFERROR(INDEX(RunoffChangeAdj!GN:GN,MATCH($B30,RunoffChangeAdj!$FE:$FE,0)),""))</f>
        <v>0</v>
      </c>
      <c r="GS30" s="898">
        <f>IF($E30=0,"",IFERROR(INDEX(RunoffChangeAdj!GO:GO,MATCH($B30,RunoffChangeAdj!$FE:$FE,0)),""))</f>
        <v>0</v>
      </c>
      <c r="GT30" s="898">
        <f>IF($E30=0,"",IFERROR(INDEX(RunoffChangeAdj!GP:GP,MATCH($B30,RunoffChangeAdj!$FE:$FE,0)),""))</f>
        <v>0</v>
      </c>
      <c r="GU30" s="898">
        <f>IF($E30=0,"",IFERROR(INDEX(RunoffChangeAdj!GQ:GQ,MATCH($B30,RunoffChangeAdj!$FE:$FE,0)),""))</f>
        <v>0</v>
      </c>
      <c r="GV30" s="898">
        <f>IF($E30=0,"",IFERROR(INDEX(RunoffChangeAdj!GR:GR,MATCH($B30,RunoffChangeAdj!$FE:$FE,0)),""))</f>
        <v>0</v>
      </c>
      <c r="GW30" s="898">
        <f>IF($E30=0,"",IFERROR(INDEX(RunoffChangeAdj!GS:GS,MATCH($B30,RunoffChangeAdj!$FE:$FE,0)),""))</f>
        <v>0</v>
      </c>
      <c r="GX30" s="898">
        <f>IF($E30=0,"",IFERROR(INDEX(RunoffChangeAdj!GT:GT,MATCH($B30,RunoffChangeAdj!$FE:$FE,0)),""))</f>
        <v>0</v>
      </c>
      <c r="GY30" s="898">
        <f>IF($E30=0,"",IFERROR(INDEX(RunoffChangeAdj!GU:GU,MATCH($B30,RunoffChangeAdj!$FE:$FE,0)),""))</f>
        <v>0</v>
      </c>
      <c r="HA30" s="898">
        <f>IF($E30=0,"",IFERROR(INDEX(RunoffChangeAdj!GW:GW,MATCH($B30,RunoffChangeAdj!$FE:$FE,0)),""))</f>
        <v>0.01</v>
      </c>
      <c r="HB30" s="898">
        <f>IF($E30=0,"",IFERROR(INDEX(RunoffChangeAdj!GX:GX,MATCH($B30,RunoffChangeAdj!$FE:$FE,0)),""))</f>
        <v>0</v>
      </c>
      <c r="HC30" s="898">
        <f>IF($E30=0,"",IFERROR(INDEX(RunoffChangeAdj!GY:GY,MATCH($B30,RunoffChangeAdj!$FE:$FE,0)),""))</f>
        <v>0</v>
      </c>
      <c r="HD30" s="898">
        <f>IF($E30=0,"",IFERROR(INDEX(RunoffChangeAdj!GZ:GZ,MATCH($B30,RunoffChangeAdj!$FE:$FE,0)),""))</f>
        <v>0</v>
      </c>
      <c r="HE30" s="898">
        <f>IF($E30=0,"",IFERROR(INDEX(RunoffChangeAdj!HA:HA,MATCH($B30,RunoffChangeAdj!$FE:$FE,0)),""))</f>
        <v>0</v>
      </c>
      <c r="HF30" s="898">
        <f>IF($E30=0,"",IFERROR(INDEX(RunoffChangeAdj!HB:HB,MATCH($B30,RunoffChangeAdj!$FE:$FE,0)),""))</f>
        <v>0</v>
      </c>
      <c r="HG30" s="898">
        <f>IF($E30=0,"",IFERROR(INDEX(RunoffChangeAdj!HC:HC,MATCH($B30,RunoffChangeAdj!$FE:$FE,0)),""))</f>
        <v>0</v>
      </c>
      <c r="HH30" s="898">
        <f>IF($E30=0,"",IFERROR(INDEX(RunoffChangeAdj!HD:HD,MATCH($B30,RunoffChangeAdj!$FE:$FE,0)),""))</f>
        <v>0</v>
      </c>
      <c r="HI30" s="898">
        <f>IF($E30=0,"",IFERROR(INDEX(RunoffChangeAdj!HE:HE,MATCH($B30,RunoffChangeAdj!$FE:$FE,0)),""))</f>
        <v>0</v>
      </c>
      <c r="HJ30" s="898">
        <f>IF($E30=0,"",IFERROR(INDEX(RunoffChangeAdj!HF:HF,MATCH($B30,RunoffChangeAdj!$FE:$FE,0)),""))</f>
        <v>0</v>
      </c>
      <c r="HK30" s="898">
        <f>IF($E30=0,"",IFERROR(INDEX(RunoffChangeAdj!HG:HG,MATCH($B30,RunoffChangeAdj!$FE:$FE,0)),""))</f>
        <v>0</v>
      </c>
      <c r="HL30" s="898">
        <f>IF($E30=0,"",IFERROR(INDEX(RunoffChangeAdj!HH:HH,MATCH($B30,RunoffChangeAdj!$FE:$FE,0)),""))</f>
        <v>0</v>
      </c>
      <c r="HM30" s="898">
        <f>IF($E30=0,"",IFERROR(INDEX(RunoffChangeAdj!HI:HI,MATCH($B30,RunoffChangeAdj!$FE:$FE,0)),""))</f>
        <v>0</v>
      </c>
      <c r="HN30" s="898">
        <f>IF($E30=0,"",IFERROR(INDEX(RunoffChangeAdj!HJ:HJ,MATCH($B30,RunoffChangeAdj!$FE:$FE,0)),""))</f>
        <v>0</v>
      </c>
      <c r="HO30" s="898">
        <f>IF($E30=0,"",IFERROR(INDEX(RunoffChangeAdj!HK:HK,MATCH($B30,RunoffChangeAdj!$FE:$FE,0)),""))</f>
        <v>0</v>
      </c>
      <c r="HP30" s="898">
        <f>IF($E30=0,"",IFERROR(INDEX(RunoffChangeAdj!HL:HL,MATCH($B30,RunoffChangeAdj!$FE:$FE,0)),""))</f>
        <v>0</v>
      </c>
    </row>
    <row r="31" spans="1:224">
      <c r="B31" s="816">
        <v>15</v>
      </c>
      <c r="C31" s="816">
        <v>0</v>
      </c>
      <c r="D31" s="816">
        <f t="shared" si="0"/>
        <v>0</v>
      </c>
      <c r="E31" s="816">
        <v>0</v>
      </c>
      <c r="F31" s="816" t="str">
        <f>INDEX('Data Interface'!$C:$C,MATCH(B31,'Data Interface'!$B:$B,0))</f>
        <v>Loan Commitments</v>
      </c>
      <c r="G31" s="894">
        <f ca="1">IF($C31=1,$AJ31,SUM($AJ31:$AL31)*INDEX('Schedule Allocation'!G:G,MATCH($D31,'Schedule Allocation'!$A:$A,0)))</f>
        <v>1.7399999999999999E-2</v>
      </c>
      <c r="H31" s="894">
        <f ca="1">IF($C31=1,$AK31,SUM($AJ31:$AL31)*INDEX('Schedule Allocation'!H:H,MATCH($D31,'Schedule Allocation'!$A:$A,0)))</f>
        <v>5.7999999999999996E-3</v>
      </c>
      <c r="I31" s="894">
        <f ca="1">IF($C31=1,$AK31,SUM($AJ31:$AL31)*INDEX('Schedule Allocation'!I:I,MATCH($D31,'Schedule Allocation'!$A:$A,0)))</f>
        <v>5.7999999999999996E-3</v>
      </c>
      <c r="J31" s="894">
        <f ca="1">IF($C31=1,$AK31,SUM($AJ31:$AL31)*INDEX('Schedule Allocation'!J:J,MATCH($D31,'Schedule Allocation'!$A:$A,0)))</f>
        <v>5.7999999999999996E-3</v>
      </c>
      <c r="K31" s="894">
        <f ca="1">IF($C31=1,$AK31,SUM($AJ31:$AL31)*INDEX('Schedule Allocation'!K:K,MATCH($D31,'Schedule Allocation'!$A:$A,0)))</f>
        <v>5.7999999999999996E-3</v>
      </c>
      <c r="L31" s="894">
        <f ca="1">IF($C31=1,$AK31,SUM($AJ31:$AL31)*INDEX('Schedule Allocation'!L:L,MATCH($D31,'Schedule Allocation'!$A:$A,0)))</f>
        <v>5.7999999999999996E-3</v>
      </c>
      <c r="M31" s="894">
        <f ca="1">IF($C31=1,$AK31,SUM($AJ31:$AL31)*INDEX('Schedule Allocation'!M:M,MATCH($D31,'Schedule Allocation'!$A:$A,0)))</f>
        <v>5.7999999999999996E-3</v>
      </c>
      <c r="N31" s="894">
        <f ca="1">IF($C31=1,$AL31,SUM($AJ31:$AL31)*INDEX('Schedule Allocation'!N:N,MATCH($D31,'Schedule Allocation'!$A:$A,0)))</f>
        <v>4.971428571428572E-3</v>
      </c>
      <c r="O31" s="894">
        <f ca="1">IF($C31=1,$AL31,SUM($AJ31:$AL31)*INDEX('Schedule Allocation'!O:O,MATCH($D31,'Schedule Allocation'!$A:$A,0)))</f>
        <v>4.971428571428572E-3</v>
      </c>
      <c r="P31" s="894">
        <f ca="1">IF($C31=1,$AL31,SUM($AJ31:$AL31)*INDEX('Schedule Allocation'!P:P,MATCH($D31,'Schedule Allocation'!$A:$A,0)))</f>
        <v>4.971428571428572E-3</v>
      </c>
      <c r="Q31" s="894">
        <f ca="1">IF($C31=1,$AL31,SUM($AJ31:$AL31)*INDEX('Schedule Allocation'!Q:Q,MATCH($D31,'Schedule Allocation'!$A:$A,0)))</f>
        <v>4.971428571428572E-3</v>
      </c>
      <c r="R31" s="894">
        <f ca="1">IF($C31=1,$AL31,SUM($AJ31:$AL31)*INDEX('Schedule Allocation'!R:R,MATCH($D31,'Schedule Allocation'!$A:$A,0)))</f>
        <v>4.971428571428572E-3</v>
      </c>
      <c r="S31" s="894">
        <f ca="1">IF($C31=1,$AL31,SUM($AJ31:$AL31)*INDEX('Schedule Allocation'!S:S,MATCH($D31,'Schedule Allocation'!$A:$A,0)))</f>
        <v>4.971428571428572E-3</v>
      </c>
      <c r="T31" s="894">
        <f ca="1">IF($C31=1,$AL31,SUM($AJ31:$AL31)*INDEX('Schedule Allocation'!T:T,MATCH($D31,'Schedule Allocation'!$A:$A,0)))</f>
        <v>4.971428571428572E-3</v>
      </c>
      <c r="U31" s="894">
        <f ca="1">OFFSET(AT31,0,(MATCH('Model Report Formatized'!$E$1,$AN$1:$AN$6,0))*17-17)</f>
        <v>2.8999999999999998E-2</v>
      </c>
      <c r="V31" s="894">
        <f ca="1">OFFSET(AU31,0,(MATCH('Model Report Formatized'!$E$1,$AN$1:$AN$6,0))*17-17)</f>
        <v>2.8999999999999998E-2</v>
      </c>
      <c r="W31" s="894">
        <f ca="1">OFFSET(AV31,0,(MATCH('Model Report Formatized'!$E$1,$AN$1:$AN$6,0))*17-17)</f>
        <v>0.1</v>
      </c>
      <c r="X31" s="894">
        <f ca="1">OFFSET(AW31,0,(MATCH('Model Report Formatized'!$E$1,$AN$1:$AN$6,0))*17-17)</f>
        <v>0.1</v>
      </c>
      <c r="Y31" s="894">
        <f ca="1">OFFSET(AX31,0,(MATCH('Model Report Formatized'!$E$1,$AN$1:$AN$6,0))*17-17)</f>
        <v>0</v>
      </c>
      <c r="Z31" s="894">
        <f ca="1">OFFSET(AY31,0,(MATCH('Model Report Formatized'!$E$1,$AN$1:$AN$6,0))*17-17)</f>
        <v>0</v>
      </c>
      <c r="AA31" s="894">
        <f ca="1">OFFSET(AZ31,0,(MATCH('Model Report Formatized'!$E$1,$AN$1:$AN$6,0))*17-17)</f>
        <v>0</v>
      </c>
      <c r="AB31" s="894">
        <f ca="1">OFFSET(BA31,0,(MATCH('Model Report Formatized'!$E$1,$AN$1:$AN$6,0))*17-17)</f>
        <v>0</v>
      </c>
      <c r="AC31" s="894">
        <f ca="1">OFFSET(BB31,0,(MATCH('Model Report Formatized'!$E$1,$AN$1:$AN$6,0))*17-17)</f>
        <v>0</v>
      </c>
      <c r="AD31" s="894">
        <f ca="1">OFFSET(BC31,0,(MATCH('Model Report Formatized'!$E$1,$AN$1:$AN$6,0))*17-17)</f>
        <v>0</v>
      </c>
      <c r="AE31" s="894">
        <f ca="1">OFFSET(BD31,0,(MATCH('Model Report Formatized'!$E$1,$AN$1:$AN$6,0))*17-17)</f>
        <v>0</v>
      </c>
      <c r="AF31" s="894">
        <f ca="1">OFFSET(BE31,0,(MATCH('Model Report Formatized'!$E$1,$AN$1:$AN$6,0))*17-17)</f>
        <v>0</v>
      </c>
      <c r="AG31" s="894">
        <f ca="1">OFFSET(BF31,0,(MATCH('Model Report Formatized'!$E$1,$AN$1:$AN$6,0))*17-17)</f>
        <v>0</v>
      </c>
      <c r="AH31" s="891">
        <f t="shared" ca="1" si="1"/>
        <v>0</v>
      </c>
      <c r="AJ31" s="895">
        <f ca="1">OFFSET(AQ31,0,(MATCH('Model Report Formatized'!$E$1,$AN$1:$AN$6,0))*17-17)</f>
        <v>2.8999999999999998E-2</v>
      </c>
      <c r="AK31" s="895">
        <f ca="1">OFFSET(AR31,0,(MATCH('Model Report Formatized'!$E$1,$AN$1:$AN$6,0))*17-17)</f>
        <v>2.8999999999999998E-2</v>
      </c>
      <c r="AL31" s="895">
        <f ca="1">OFFSET(AS31,0,(MATCH('Model Report Formatized'!$E$1,$AN$1:$AN$6,0))*17-17)</f>
        <v>2.8999999999999998E-2</v>
      </c>
      <c r="AQ31" s="893">
        <v>0.05</v>
      </c>
      <c r="AR31" s="893">
        <v>3.7500000000000006E-2</v>
      </c>
      <c r="AS31" s="893">
        <v>3.7500000000000006E-2</v>
      </c>
      <c r="AT31" s="893">
        <v>3.7500000000000006E-2</v>
      </c>
      <c r="AU31" s="893">
        <v>3.7500000000000006E-2</v>
      </c>
      <c r="AV31" s="893">
        <v>0.1</v>
      </c>
      <c r="AW31" s="893">
        <v>0.1</v>
      </c>
      <c r="AX31" s="893">
        <v>0</v>
      </c>
      <c r="AY31" s="893">
        <v>0</v>
      </c>
      <c r="AZ31" s="893">
        <v>0</v>
      </c>
      <c r="BA31" s="893">
        <v>0</v>
      </c>
      <c r="BB31" s="893">
        <v>0</v>
      </c>
      <c r="BC31" s="893">
        <v>0</v>
      </c>
      <c r="BD31" s="893">
        <v>0</v>
      </c>
      <c r="BE31" s="893">
        <v>0</v>
      </c>
      <c r="BF31" s="893">
        <v>0</v>
      </c>
      <c r="BH31" s="816">
        <v>0.02</v>
      </c>
      <c r="BI31" s="816">
        <v>0.02</v>
      </c>
      <c r="BJ31" s="816">
        <v>0.02</v>
      </c>
      <c r="BK31" s="816">
        <v>0.02</v>
      </c>
      <c r="BL31" s="816">
        <v>0.02</v>
      </c>
      <c r="BM31" s="816">
        <v>0</v>
      </c>
      <c r="BN31" s="816">
        <v>0</v>
      </c>
      <c r="BO31" s="816">
        <v>0</v>
      </c>
      <c r="BP31" s="816">
        <v>0</v>
      </c>
      <c r="BQ31" s="816">
        <v>0</v>
      </c>
      <c r="BR31" s="816">
        <v>0</v>
      </c>
      <c r="BS31" s="816">
        <v>0</v>
      </c>
      <c r="BT31" s="816">
        <v>0</v>
      </c>
      <c r="BU31" s="816">
        <v>0</v>
      </c>
      <c r="BV31" s="816">
        <v>0</v>
      </c>
      <c r="BW31" s="816">
        <v>0</v>
      </c>
      <c r="BY31" s="817">
        <v>6.0000000000000001E-3</v>
      </c>
      <c r="BZ31" s="817">
        <v>6.0000000000000001E-3</v>
      </c>
      <c r="CA31" s="817">
        <v>6.0000000000000001E-3</v>
      </c>
      <c r="CB31" s="817">
        <v>6.0000000000000001E-3</v>
      </c>
      <c r="CC31" s="817">
        <v>6.0000000000000001E-3</v>
      </c>
      <c r="CD31" s="817">
        <v>0</v>
      </c>
      <c r="CE31" s="817">
        <v>0</v>
      </c>
      <c r="CF31" s="817">
        <v>0</v>
      </c>
      <c r="CG31" s="817">
        <v>0</v>
      </c>
      <c r="CH31" s="817">
        <v>0</v>
      </c>
      <c r="CI31" s="817">
        <v>0</v>
      </c>
      <c r="CJ31" s="817">
        <v>0</v>
      </c>
      <c r="CK31" s="817">
        <v>0</v>
      </c>
      <c r="CL31" s="817">
        <v>0</v>
      </c>
      <c r="CM31" s="817">
        <v>0</v>
      </c>
      <c r="CN31" s="817">
        <v>0</v>
      </c>
      <c r="CP31" s="893">
        <f>INDEX(RunoffChangeAdj!F:F,MATCH($B31,RunoffChangeAdj!$A:$A,0))</f>
        <v>2.8999999999999998E-2</v>
      </c>
      <c r="CQ31" s="893">
        <f>INDEX(RunoffChangeAdj!G:G,MATCH($B31,RunoffChangeAdj!$A:$A,0))</f>
        <v>2.8999999999999998E-2</v>
      </c>
      <c r="CR31" s="893">
        <f>INDEX(RunoffChangeAdj!H:H,MATCH($B31,RunoffChangeAdj!$A:$A,0))</f>
        <v>2.8999999999999998E-2</v>
      </c>
      <c r="CS31" s="893">
        <f>INDEX(RunoffChangeAdj!I:I,MATCH($B31,RunoffChangeAdj!$A:$A,0))</f>
        <v>2.8999999999999998E-2</v>
      </c>
      <c r="CT31" s="893">
        <f>INDEX(RunoffChangeAdj!J:J,MATCH($B31,RunoffChangeAdj!$A:$A,0))</f>
        <v>2.8999999999999998E-2</v>
      </c>
      <c r="CU31" s="893">
        <f>INDEX(RunoffChangeAdj!K:K,MATCH($B31,RunoffChangeAdj!$A:$A,0))</f>
        <v>0.1</v>
      </c>
      <c r="CV31" s="893">
        <f>INDEX(RunoffChangeAdj!L:L,MATCH($B31,RunoffChangeAdj!$A:$A,0))</f>
        <v>0.1</v>
      </c>
      <c r="CW31" s="893">
        <f>INDEX(RunoffChangeAdj!M:M,MATCH($B31,RunoffChangeAdj!$A:$A,0))</f>
        <v>0</v>
      </c>
      <c r="CX31" s="893">
        <f>INDEX(RunoffChangeAdj!N:N,MATCH($B31,RunoffChangeAdj!$A:$A,0))</f>
        <v>0</v>
      </c>
      <c r="CY31" s="893">
        <f>INDEX(RunoffChangeAdj!O:O,MATCH($B31,RunoffChangeAdj!$A:$A,0))</f>
        <v>0</v>
      </c>
      <c r="CZ31" s="893">
        <f>INDEX(RunoffChangeAdj!P:P,MATCH($B31,RunoffChangeAdj!$A:$A,0))</f>
        <v>0</v>
      </c>
      <c r="DA31" s="893">
        <f>INDEX(RunoffChangeAdj!Q:Q,MATCH($B31,RunoffChangeAdj!$A:$A,0))</f>
        <v>0</v>
      </c>
      <c r="DB31" s="893">
        <f>INDEX(RunoffChangeAdj!R:R,MATCH($B31,RunoffChangeAdj!$A:$A,0))</f>
        <v>0</v>
      </c>
      <c r="DC31" s="893">
        <f>INDEX(RunoffChangeAdj!S:S,MATCH($B31,RunoffChangeAdj!$A:$A,0))</f>
        <v>0</v>
      </c>
      <c r="DD31" s="893">
        <f>INDEX(RunoffChangeAdj!T:T,MATCH($B31,RunoffChangeAdj!$A:$A,0))</f>
        <v>0</v>
      </c>
      <c r="DE31" s="893">
        <f>INDEX(RunoffChangeAdj!U:U,MATCH($B31,RunoffChangeAdj!$A:$A,0))</f>
        <v>0</v>
      </c>
      <c r="DF31" s="893">
        <f>INDEX(RunoffChangeAdj!V:V,MATCH($B31,RunoffChangeAdj!$A:$A,0))</f>
        <v>0</v>
      </c>
      <c r="DG31" s="893">
        <f>INDEX(RunoffChangeAdj!W:W,MATCH($B31,RunoffChangeAdj!$A:$A,0))</f>
        <v>0.02</v>
      </c>
      <c r="DH31" s="893">
        <f>INDEX(RunoffChangeAdj!X:X,MATCH($B31,RunoffChangeAdj!$A:$A,0))</f>
        <v>0.02</v>
      </c>
      <c r="DI31" s="893">
        <f>INDEX(RunoffChangeAdj!Y:Y,MATCH($B31,RunoffChangeAdj!$A:$A,0))</f>
        <v>0.02</v>
      </c>
      <c r="DJ31" s="893">
        <f>INDEX(RunoffChangeAdj!Z:Z,MATCH($B31,RunoffChangeAdj!$A:$A,0))</f>
        <v>0.02</v>
      </c>
      <c r="DK31" s="893">
        <f>INDEX(RunoffChangeAdj!AA:AA,MATCH($B31,RunoffChangeAdj!$A:$A,0))</f>
        <v>0.02</v>
      </c>
      <c r="DL31" s="893">
        <f>INDEX(RunoffChangeAdj!AB:AB,MATCH($B31,RunoffChangeAdj!$A:$A,0))</f>
        <v>0</v>
      </c>
      <c r="DM31" s="893">
        <f>INDEX(RunoffChangeAdj!AC:AC,MATCH($B31,RunoffChangeAdj!$A:$A,0))</f>
        <v>0</v>
      </c>
      <c r="DN31" s="893">
        <f>INDEX(RunoffChangeAdj!AD:AD,MATCH($B31,RunoffChangeAdj!$A:$A,0))</f>
        <v>0</v>
      </c>
      <c r="DO31" s="893">
        <f>INDEX(RunoffChangeAdj!AE:AE,MATCH($B31,RunoffChangeAdj!$A:$A,0))</f>
        <v>0</v>
      </c>
      <c r="DP31" s="893">
        <f>INDEX(RunoffChangeAdj!AF:AF,MATCH($B31,RunoffChangeAdj!$A:$A,0))</f>
        <v>0</v>
      </c>
      <c r="DQ31" s="893">
        <f>INDEX(RunoffChangeAdj!AG:AG,MATCH($B31,RunoffChangeAdj!$A:$A,0))</f>
        <v>0</v>
      </c>
      <c r="DR31" s="893">
        <f>INDEX(RunoffChangeAdj!AH:AH,MATCH($B31,RunoffChangeAdj!$A:$A,0))</f>
        <v>0</v>
      </c>
      <c r="DS31" s="893">
        <f>INDEX(RunoffChangeAdj!AI:AI,MATCH($B31,RunoffChangeAdj!$A:$A,0))</f>
        <v>0</v>
      </c>
      <c r="DT31" s="893">
        <f>INDEX(RunoffChangeAdj!AJ:AJ,MATCH($B31,RunoffChangeAdj!$A:$A,0))</f>
        <v>0</v>
      </c>
      <c r="DU31" s="893">
        <f>INDEX(RunoffChangeAdj!AK:AK,MATCH($B31,RunoffChangeAdj!$A:$A,0))</f>
        <v>0</v>
      </c>
      <c r="DV31" s="893">
        <f>INDEX(RunoffChangeAdj!AL:AL,MATCH($B31,RunoffChangeAdj!$A:$A,0))</f>
        <v>0</v>
      </c>
      <c r="DW31" s="893">
        <f>INDEX(RunoffChangeAdj!AM:AM,MATCH($B31,RunoffChangeAdj!$A:$A,0))</f>
        <v>0</v>
      </c>
      <c r="DX31" s="893">
        <f>INDEX(RunoffChangeAdj!AN:AN,MATCH($B31,RunoffChangeAdj!$A:$A,0))</f>
        <v>6.0000000000000001E-3</v>
      </c>
      <c r="DY31" s="893">
        <f>INDEX(RunoffChangeAdj!AO:AO,MATCH($B31,RunoffChangeAdj!$A:$A,0))</f>
        <v>6.0000000000000001E-3</v>
      </c>
      <c r="DZ31" s="893">
        <f>INDEX(RunoffChangeAdj!AP:AP,MATCH($B31,RunoffChangeAdj!$A:$A,0))</f>
        <v>6.0000000000000001E-3</v>
      </c>
      <c r="EA31" s="893">
        <f>INDEX(RunoffChangeAdj!AQ:AQ,MATCH($B31,RunoffChangeAdj!$A:$A,0))</f>
        <v>6.0000000000000001E-3</v>
      </c>
      <c r="EB31" s="893">
        <f>INDEX(RunoffChangeAdj!AR:AR,MATCH($B31,RunoffChangeAdj!$A:$A,0))</f>
        <v>6.0000000000000001E-3</v>
      </c>
      <c r="EC31" s="893">
        <f>INDEX(RunoffChangeAdj!AS:AS,MATCH($B31,RunoffChangeAdj!$A:$A,0))</f>
        <v>0</v>
      </c>
      <c r="ED31" s="893">
        <f>INDEX(RunoffChangeAdj!AT:AT,MATCH($B31,RunoffChangeAdj!$A:$A,0))</f>
        <v>0</v>
      </c>
      <c r="EE31" s="893">
        <f>INDEX(RunoffChangeAdj!AU:AU,MATCH($B31,RunoffChangeAdj!$A:$A,0))</f>
        <v>0</v>
      </c>
      <c r="EF31" s="893">
        <f>INDEX(RunoffChangeAdj!AV:AV,MATCH($B31,RunoffChangeAdj!$A:$A,0))</f>
        <v>0</v>
      </c>
      <c r="EG31" s="893">
        <f>INDEX(RunoffChangeAdj!AW:AW,MATCH($B31,RunoffChangeAdj!$A:$A,0))</f>
        <v>0</v>
      </c>
      <c r="EH31" s="893">
        <f>INDEX(RunoffChangeAdj!AX:AX,MATCH($B31,RunoffChangeAdj!$A:$A,0))</f>
        <v>0</v>
      </c>
      <c r="EI31" s="893">
        <f>INDEX(RunoffChangeAdj!AY:AY,MATCH($B31,RunoffChangeAdj!$A:$A,0))</f>
        <v>0</v>
      </c>
      <c r="EJ31" s="893">
        <f>INDEX(RunoffChangeAdj!AZ:AZ,MATCH($B31,RunoffChangeAdj!$A:$A,0))</f>
        <v>0</v>
      </c>
      <c r="EK31" s="893">
        <f>INDEX(RunoffChangeAdj!BA:BA,MATCH($B31,RunoffChangeAdj!$A:$A,0))</f>
        <v>0</v>
      </c>
      <c r="EL31" s="893">
        <f>INDEX(RunoffChangeAdj!BB:BB,MATCH($B31,RunoffChangeAdj!$A:$A,0))</f>
        <v>0</v>
      </c>
      <c r="EM31" s="893">
        <f>INDEX(RunoffChangeAdj!BC:BC,MATCH($B31,RunoffChangeAdj!$A:$A,0))</f>
        <v>0</v>
      </c>
      <c r="FQ31" s="898"/>
      <c r="FS31" s="898"/>
      <c r="FT31" s="898"/>
      <c r="FU31" s="898"/>
      <c r="FV31" s="898"/>
      <c r="FW31" s="898"/>
      <c r="FX31" s="898"/>
      <c r="FY31" s="898"/>
      <c r="FZ31" s="898"/>
      <c r="GA31" s="898"/>
      <c r="GB31" s="898"/>
      <c r="GC31" s="898"/>
      <c r="GD31" s="898"/>
      <c r="GE31" s="898"/>
      <c r="GF31" s="898"/>
      <c r="GG31" s="898"/>
      <c r="GH31" s="898"/>
      <c r="GJ31" s="898"/>
      <c r="GK31" s="898"/>
      <c r="GL31" s="898"/>
      <c r="GM31" s="898"/>
      <c r="GN31" s="898"/>
      <c r="GO31" s="898"/>
      <c r="GP31" s="898"/>
      <c r="GQ31" s="898"/>
      <c r="GR31" s="898"/>
      <c r="GS31" s="898"/>
      <c r="GT31" s="898"/>
      <c r="GU31" s="898"/>
      <c r="GV31" s="898"/>
      <c r="GW31" s="898"/>
      <c r="GX31" s="898"/>
      <c r="GY31" s="898"/>
      <c r="HA31" s="898"/>
      <c r="HB31" s="898"/>
      <c r="HC31" s="898"/>
      <c r="HD31" s="898"/>
      <c r="HE31" s="898"/>
      <c r="HF31" s="898"/>
      <c r="HG31" s="898"/>
      <c r="HH31" s="898"/>
      <c r="HI31" s="898"/>
      <c r="HJ31" s="898"/>
      <c r="HK31" s="898"/>
      <c r="HL31" s="898"/>
      <c r="HM31" s="898"/>
      <c r="HN31" s="898"/>
      <c r="HO31" s="898"/>
      <c r="HP31" s="898"/>
    </row>
    <row r="32" spans="1:224">
      <c r="B32" s="816">
        <v>16</v>
      </c>
      <c r="C32" s="816">
        <v>0</v>
      </c>
      <c r="D32" s="816">
        <f t="shared" si="0"/>
        <v>0</v>
      </c>
      <c r="E32" s="816">
        <v>0</v>
      </c>
      <c r="F32" s="816" t="str">
        <f>INDEX('Data Interface'!$C:$C,MATCH(B32,'Data Interface'!$B:$B,0))</f>
        <v>Credit Enhancement Facility - CPDP</v>
      </c>
      <c r="G32" s="894">
        <f ca="1">IF($C32=1,$AJ32,SUM($AJ32:$AL32)*INDEX('Schedule Allocation'!G:G,MATCH($D32,'Schedule Allocation'!$A:$A,0)))</f>
        <v>8.0800000000000011E-2</v>
      </c>
      <c r="H32" s="894">
        <f ca="1">IF($C32=1,$AK32,SUM($AJ32:$AL32)*INDEX('Schedule Allocation'!H:H,MATCH($D32,'Schedule Allocation'!$A:$A,0)))</f>
        <v>2.6933333333333333E-2</v>
      </c>
      <c r="I32" s="894">
        <f ca="1">IF($C32=1,$AK32,SUM($AJ32:$AL32)*INDEX('Schedule Allocation'!I:I,MATCH($D32,'Schedule Allocation'!$A:$A,0)))</f>
        <v>2.6933333333333333E-2</v>
      </c>
      <c r="J32" s="894">
        <f ca="1">IF($C32=1,$AK32,SUM($AJ32:$AL32)*INDEX('Schedule Allocation'!J:J,MATCH($D32,'Schedule Allocation'!$A:$A,0)))</f>
        <v>2.6933333333333333E-2</v>
      </c>
      <c r="K32" s="894">
        <f ca="1">IF($C32=1,$AK32,SUM($AJ32:$AL32)*INDEX('Schedule Allocation'!K:K,MATCH($D32,'Schedule Allocation'!$A:$A,0)))</f>
        <v>2.6933333333333333E-2</v>
      </c>
      <c r="L32" s="894">
        <f ca="1">IF($C32=1,$AK32,SUM($AJ32:$AL32)*INDEX('Schedule Allocation'!L:L,MATCH($D32,'Schedule Allocation'!$A:$A,0)))</f>
        <v>2.6933333333333333E-2</v>
      </c>
      <c r="M32" s="894">
        <f ca="1">IF($C32=1,$AK32,SUM($AJ32:$AL32)*INDEX('Schedule Allocation'!M:M,MATCH($D32,'Schedule Allocation'!$A:$A,0)))</f>
        <v>2.6933333333333333E-2</v>
      </c>
      <c r="N32" s="894">
        <f ca="1">IF($C32=1,$AL32,SUM($AJ32:$AL32)*INDEX('Schedule Allocation'!N:N,MATCH($D32,'Schedule Allocation'!$A:$A,0)))</f>
        <v>2.3085714285714289E-2</v>
      </c>
      <c r="O32" s="894">
        <f ca="1">IF($C32=1,$AL32,SUM($AJ32:$AL32)*INDEX('Schedule Allocation'!O:O,MATCH($D32,'Schedule Allocation'!$A:$A,0)))</f>
        <v>2.3085714285714289E-2</v>
      </c>
      <c r="P32" s="894">
        <f ca="1">IF($C32=1,$AL32,SUM($AJ32:$AL32)*INDEX('Schedule Allocation'!P:P,MATCH($D32,'Schedule Allocation'!$A:$A,0)))</f>
        <v>2.3085714285714289E-2</v>
      </c>
      <c r="Q32" s="894">
        <f ca="1">IF($C32=1,$AL32,SUM($AJ32:$AL32)*INDEX('Schedule Allocation'!Q:Q,MATCH($D32,'Schedule Allocation'!$A:$A,0)))</f>
        <v>2.3085714285714289E-2</v>
      </c>
      <c r="R32" s="894">
        <f ca="1">IF($C32=1,$AL32,SUM($AJ32:$AL32)*INDEX('Schedule Allocation'!R:R,MATCH($D32,'Schedule Allocation'!$A:$A,0)))</f>
        <v>2.3085714285714289E-2</v>
      </c>
      <c r="S32" s="894">
        <f ca="1">IF($C32=1,$AL32,SUM($AJ32:$AL32)*INDEX('Schedule Allocation'!S:S,MATCH($D32,'Schedule Allocation'!$A:$A,0)))</f>
        <v>2.3085714285714289E-2</v>
      </c>
      <c r="T32" s="894">
        <f ca="1">IF($C32=1,$AL32,SUM($AJ32:$AL32)*INDEX('Schedule Allocation'!T:T,MATCH($D32,'Schedule Allocation'!$A:$A,0)))</f>
        <v>2.3085714285714289E-2</v>
      </c>
      <c r="U32" s="894">
        <f ca="1">OFFSET(AT32,0,(MATCH('Model Report Formatized'!$E$1,$AN$1:$AN$6,0))*17-17)</f>
        <v>1.1499999999999982E-2</v>
      </c>
      <c r="V32" s="894">
        <f ca="1">OFFSET(AU32,0,(MATCH('Model Report Formatized'!$E$1,$AN$1:$AN$6,0))*17-17)</f>
        <v>1.1499999999999982E-2</v>
      </c>
      <c r="W32" s="894">
        <f ca="1">OFFSET(AV32,0,(MATCH('Model Report Formatized'!$E$1,$AN$1:$AN$6,0))*17-17)</f>
        <v>0.1</v>
      </c>
      <c r="X32" s="894">
        <f ca="1">OFFSET(AW32,0,(MATCH('Model Report Formatized'!$E$1,$AN$1:$AN$6,0))*17-17)</f>
        <v>0.1</v>
      </c>
      <c r="Y32" s="894">
        <f ca="1">OFFSET(AX32,0,(MATCH('Model Report Formatized'!$E$1,$AN$1:$AN$6,0))*17-17)</f>
        <v>0</v>
      </c>
      <c r="Z32" s="894">
        <f ca="1">OFFSET(AY32,0,(MATCH('Model Report Formatized'!$E$1,$AN$1:$AN$6,0))*17-17)</f>
        <v>0</v>
      </c>
      <c r="AA32" s="894">
        <f ca="1">OFFSET(AZ32,0,(MATCH('Model Report Formatized'!$E$1,$AN$1:$AN$6,0))*17-17)</f>
        <v>0</v>
      </c>
      <c r="AB32" s="894">
        <f ca="1">OFFSET(BA32,0,(MATCH('Model Report Formatized'!$E$1,$AN$1:$AN$6,0))*17-17)</f>
        <v>0</v>
      </c>
      <c r="AC32" s="894">
        <f ca="1">OFFSET(BB32,0,(MATCH('Model Report Formatized'!$E$1,$AN$1:$AN$6,0))*17-17)</f>
        <v>0</v>
      </c>
      <c r="AD32" s="894">
        <f ca="1">OFFSET(BC32,0,(MATCH('Model Report Formatized'!$E$1,$AN$1:$AN$6,0))*17-17)</f>
        <v>0</v>
      </c>
      <c r="AE32" s="894">
        <f ca="1">OFFSET(BD32,0,(MATCH('Model Report Formatized'!$E$1,$AN$1:$AN$6,0))*17-17)</f>
        <v>0</v>
      </c>
      <c r="AF32" s="894">
        <f ca="1">OFFSET(BE32,0,(MATCH('Model Report Formatized'!$E$1,$AN$1:$AN$6,0))*17-17)</f>
        <v>0</v>
      </c>
      <c r="AG32" s="894">
        <f ca="1">OFFSET(BF32,0,(MATCH('Model Report Formatized'!$E$1,$AN$1:$AN$6,0))*17-17)</f>
        <v>0</v>
      </c>
      <c r="AH32" s="891">
        <f t="shared" ca="1" si="1"/>
        <v>-1.1102230246251565E-16</v>
      </c>
      <c r="AJ32" s="895">
        <f ca="1">OFFSET(AQ32,0,(MATCH('Model Report Formatized'!$E$1,$AN$1:$AN$6,0))*17-17)</f>
        <v>0.13466666666666668</v>
      </c>
      <c r="AK32" s="895">
        <f ca="1">OFFSET(AR32,0,(MATCH('Model Report Formatized'!$E$1,$AN$1:$AN$6,0))*17-17)</f>
        <v>0.13466666666666668</v>
      </c>
      <c r="AL32" s="895">
        <f ca="1">OFFSET(AS32,0,(MATCH('Model Report Formatized'!$E$1,$AN$1:$AN$6,0))*17-17)</f>
        <v>0.13466666666666668</v>
      </c>
      <c r="AQ32" s="893">
        <f>INDEX(RunoffChangeAdj!F:F,MATCH($B32,RunoffChangeAdj!$A:$A,0))</f>
        <v>0.13466666666666668</v>
      </c>
      <c r="AR32" s="893">
        <f>INDEX(RunoffChangeAdj!G:G,MATCH($B32,RunoffChangeAdj!$A:$A,0))</f>
        <v>0.13466666666666668</v>
      </c>
      <c r="AS32" s="893">
        <f>INDEX(RunoffChangeAdj!H:H,MATCH($B32,RunoffChangeAdj!$A:$A,0))</f>
        <v>0.13466666666666668</v>
      </c>
      <c r="AT32" s="893">
        <f>INDEX(RunoffChangeAdj!I:I,MATCH($B32,RunoffChangeAdj!$A:$A,0))</f>
        <v>1.1499999999999982E-2</v>
      </c>
      <c r="AU32" s="893">
        <f>INDEX(RunoffChangeAdj!J:J,MATCH($B32,RunoffChangeAdj!$A:$A,0))</f>
        <v>1.1499999999999982E-2</v>
      </c>
      <c r="AV32" s="893">
        <f>INDEX(RunoffChangeAdj!K:K,MATCH($B32,RunoffChangeAdj!$A:$A,0))</f>
        <v>0.1</v>
      </c>
      <c r="AW32" s="893">
        <f>INDEX(RunoffChangeAdj!L:L,MATCH($B32,RunoffChangeAdj!$A:$A,0))</f>
        <v>0.1</v>
      </c>
      <c r="AX32" s="893">
        <f>INDEX(RunoffChangeAdj!M:M,MATCH($B32,RunoffChangeAdj!$A:$A,0))</f>
        <v>0</v>
      </c>
      <c r="AY32" s="893">
        <f>INDEX(RunoffChangeAdj!N:N,MATCH($B32,RunoffChangeAdj!$A:$A,0))</f>
        <v>0</v>
      </c>
      <c r="AZ32" s="893">
        <f>INDEX(RunoffChangeAdj!O:O,MATCH($B32,RunoffChangeAdj!$A:$A,0))</f>
        <v>0</v>
      </c>
      <c r="BA32" s="893">
        <f>INDEX(RunoffChangeAdj!P:P,MATCH($B32,RunoffChangeAdj!$A:$A,0))</f>
        <v>0</v>
      </c>
      <c r="BB32" s="893">
        <f>INDEX(RunoffChangeAdj!Q:Q,MATCH($B32,RunoffChangeAdj!$A:$A,0))</f>
        <v>0</v>
      </c>
      <c r="BC32" s="893">
        <f>INDEX(RunoffChangeAdj!R:R,MATCH($B32,RunoffChangeAdj!$A:$A,0))</f>
        <v>0</v>
      </c>
      <c r="BD32" s="893">
        <f>INDEX(RunoffChangeAdj!S:S,MATCH($B32,RunoffChangeAdj!$A:$A,0))</f>
        <v>0</v>
      </c>
      <c r="BE32" s="893">
        <f>INDEX(RunoffChangeAdj!T:T,MATCH($B32,RunoffChangeAdj!$A:$A,0))</f>
        <v>0</v>
      </c>
      <c r="BF32" s="893">
        <f>INDEX(RunoffChangeAdj!U:U,MATCH($B32,RunoffChangeAdj!$A:$A,0))</f>
        <v>0</v>
      </c>
      <c r="BG32" s="893">
        <f>INDEX(RunoffChangeAdj!V:V,MATCH($B32,RunoffChangeAdj!$A:$A,0))</f>
        <v>0</v>
      </c>
      <c r="BH32" s="893">
        <f>INDEX(RunoffChangeAdj!W:W,MATCH($B32,RunoffChangeAdj!$A:$A,0))</f>
        <v>0.10933333333333334</v>
      </c>
      <c r="BI32" s="893">
        <f>INDEX(RunoffChangeAdj!X:X,MATCH($B32,RunoffChangeAdj!$A:$A,0))</f>
        <v>0.10933333333333334</v>
      </c>
      <c r="BJ32" s="893">
        <f>INDEX(RunoffChangeAdj!Y:Y,MATCH($B32,RunoffChangeAdj!$A:$A,0))</f>
        <v>0.10933333333333334</v>
      </c>
      <c r="BK32" s="893">
        <f>INDEX(RunoffChangeAdj!Z:Z,MATCH($B32,RunoffChangeAdj!$A:$A,0))</f>
        <v>1.6999999999999987E-2</v>
      </c>
      <c r="BL32" s="893">
        <f>INDEX(RunoffChangeAdj!AA:AA,MATCH($B32,RunoffChangeAdj!$A:$A,0))</f>
        <v>1.6999999999999987E-2</v>
      </c>
      <c r="BM32" s="893">
        <f>INDEX(RunoffChangeAdj!AB:AB,MATCH($B32,RunoffChangeAdj!$A:$A,0))</f>
        <v>0.1</v>
      </c>
      <c r="BN32" s="893">
        <f>INDEX(RunoffChangeAdj!AC:AC,MATCH($B32,RunoffChangeAdj!$A:$A,0))</f>
        <v>0.1</v>
      </c>
      <c r="BO32" s="893">
        <f>INDEX(RunoffChangeAdj!AD:AD,MATCH($B32,RunoffChangeAdj!$A:$A,0))</f>
        <v>0</v>
      </c>
      <c r="BP32" s="893">
        <f>INDEX(RunoffChangeAdj!AE:AE,MATCH($B32,RunoffChangeAdj!$A:$A,0))</f>
        <v>0</v>
      </c>
      <c r="BQ32" s="893">
        <f>INDEX(RunoffChangeAdj!AF:AF,MATCH($B32,RunoffChangeAdj!$A:$A,0))</f>
        <v>0</v>
      </c>
      <c r="BR32" s="893">
        <f>INDEX(RunoffChangeAdj!AG:AG,MATCH($B32,RunoffChangeAdj!$A:$A,0))</f>
        <v>0</v>
      </c>
      <c r="BS32" s="893">
        <f>INDEX(RunoffChangeAdj!AH:AH,MATCH($B32,RunoffChangeAdj!$A:$A,0))</f>
        <v>0</v>
      </c>
      <c r="BT32" s="893">
        <f>INDEX(RunoffChangeAdj!AI:AI,MATCH($B32,RunoffChangeAdj!$A:$A,0))</f>
        <v>0</v>
      </c>
      <c r="BU32" s="893">
        <f>INDEX(RunoffChangeAdj!AJ:AJ,MATCH($B32,RunoffChangeAdj!$A:$A,0))</f>
        <v>0</v>
      </c>
      <c r="BV32" s="893">
        <f>INDEX(RunoffChangeAdj!AK:AK,MATCH($B32,RunoffChangeAdj!$A:$A,0))</f>
        <v>0</v>
      </c>
      <c r="BW32" s="893">
        <f>INDEX(RunoffChangeAdj!AL:AL,MATCH($B32,RunoffChangeAdj!$A:$A,0))</f>
        <v>0</v>
      </c>
      <c r="BX32" s="893">
        <f>INDEX(RunoffChangeAdj!AM:AM,MATCH($B32,RunoffChangeAdj!$A:$A,0))</f>
        <v>0</v>
      </c>
      <c r="BY32" s="893">
        <f>INDEX(RunoffChangeAdj!AN:AN,MATCH($B32,RunoffChangeAdj!$A:$A,0))</f>
        <v>5.8999999999999997E-2</v>
      </c>
      <c r="BZ32" s="893">
        <f>INDEX(RunoffChangeAdj!AO:AO,MATCH($B32,RunoffChangeAdj!$A:$A,0))</f>
        <v>5.8999999999999997E-2</v>
      </c>
      <c r="CA32" s="893">
        <f>INDEX(RunoffChangeAdj!AP:AP,MATCH($B32,RunoffChangeAdj!$A:$A,0))</f>
        <v>5.8999999999999997E-2</v>
      </c>
      <c r="CB32" s="893">
        <f>INDEX(RunoffChangeAdj!AQ:AQ,MATCH($B32,RunoffChangeAdj!$A:$A,0))</f>
        <v>5.2499999999999991E-2</v>
      </c>
      <c r="CC32" s="893">
        <f>INDEX(RunoffChangeAdj!AR:AR,MATCH($B32,RunoffChangeAdj!$A:$A,0))</f>
        <v>5.2499999999999991E-2</v>
      </c>
      <c r="CD32" s="893">
        <f>INDEX(RunoffChangeAdj!AS:AS,MATCH($B32,RunoffChangeAdj!$A:$A,0))</f>
        <v>0.1</v>
      </c>
      <c r="CE32" s="893">
        <f>INDEX(RunoffChangeAdj!AT:AT,MATCH($B32,RunoffChangeAdj!$A:$A,0))</f>
        <v>0.1</v>
      </c>
      <c r="CF32" s="893">
        <f>INDEX(RunoffChangeAdj!AU:AU,MATCH($B32,RunoffChangeAdj!$A:$A,0))</f>
        <v>0</v>
      </c>
      <c r="CG32" s="893">
        <f>INDEX(RunoffChangeAdj!AV:AV,MATCH($B32,RunoffChangeAdj!$A:$A,0))</f>
        <v>0</v>
      </c>
      <c r="CH32" s="893">
        <f>INDEX(RunoffChangeAdj!AW:AW,MATCH($B32,RunoffChangeAdj!$A:$A,0))</f>
        <v>0</v>
      </c>
      <c r="CI32" s="893">
        <f>INDEX(RunoffChangeAdj!AX:AX,MATCH($B32,RunoffChangeAdj!$A:$A,0))</f>
        <v>0</v>
      </c>
      <c r="CJ32" s="893">
        <f>INDEX(RunoffChangeAdj!AY:AY,MATCH($B32,RunoffChangeAdj!$A:$A,0))</f>
        <v>0</v>
      </c>
      <c r="CK32" s="893">
        <f>INDEX(RunoffChangeAdj!AZ:AZ,MATCH($B32,RunoffChangeAdj!$A:$A,0))</f>
        <v>0</v>
      </c>
      <c r="CL32" s="893">
        <f>INDEX(RunoffChangeAdj!BA:BA,MATCH($B32,RunoffChangeAdj!$A:$A,0))</f>
        <v>0</v>
      </c>
      <c r="CM32" s="893">
        <f>INDEX(RunoffChangeAdj!BB:BB,MATCH($B32,RunoffChangeAdj!$A:$A,0))</f>
        <v>0</v>
      </c>
      <c r="CN32" s="893">
        <f>INDEX(RunoffChangeAdj!BC:BC,MATCH($B32,RunoffChangeAdj!$A:$A,0))</f>
        <v>0</v>
      </c>
      <c r="CP32" s="893">
        <f>INDEX(RunoffChangeAdj!F:F,MATCH($B32,RunoffChangeAdj!$A:$A,0))</f>
        <v>0.13466666666666668</v>
      </c>
      <c r="CQ32" s="893">
        <f>INDEX(RunoffChangeAdj!G:G,MATCH($B32,RunoffChangeAdj!$A:$A,0))</f>
        <v>0.13466666666666668</v>
      </c>
      <c r="CR32" s="893">
        <f>INDEX(RunoffChangeAdj!H:H,MATCH($B32,RunoffChangeAdj!$A:$A,0))</f>
        <v>0.13466666666666668</v>
      </c>
      <c r="CS32" s="893">
        <f>INDEX(RunoffChangeAdj!I:I,MATCH($B32,RunoffChangeAdj!$A:$A,0))</f>
        <v>1.1499999999999982E-2</v>
      </c>
      <c r="CT32" s="893">
        <f>INDEX(RunoffChangeAdj!J:J,MATCH($B32,RunoffChangeAdj!$A:$A,0))</f>
        <v>1.1499999999999982E-2</v>
      </c>
      <c r="CU32" s="893">
        <f>INDEX(RunoffChangeAdj!K:K,MATCH($B32,RunoffChangeAdj!$A:$A,0))</f>
        <v>0.1</v>
      </c>
      <c r="CV32" s="893">
        <f>INDEX(RunoffChangeAdj!L:L,MATCH($B32,RunoffChangeAdj!$A:$A,0))</f>
        <v>0.1</v>
      </c>
      <c r="CW32" s="893">
        <f>INDEX(RunoffChangeAdj!M:M,MATCH($B32,RunoffChangeAdj!$A:$A,0))</f>
        <v>0</v>
      </c>
      <c r="CX32" s="893">
        <f>INDEX(RunoffChangeAdj!N:N,MATCH($B32,RunoffChangeAdj!$A:$A,0))</f>
        <v>0</v>
      </c>
      <c r="CY32" s="893">
        <f>INDEX(RunoffChangeAdj!O:O,MATCH($B32,RunoffChangeAdj!$A:$A,0))</f>
        <v>0</v>
      </c>
      <c r="CZ32" s="893">
        <f>INDEX(RunoffChangeAdj!P:P,MATCH($B32,RunoffChangeAdj!$A:$A,0))</f>
        <v>0</v>
      </c>
      <c r="DA32" s="893">
        <f>INDEX(RunoffChangeAdj!Q:Q,MATCH($B32,RunoffChangeAdj!$A:$A,0))</f>
        <v>0</v>
      </c>
      <c r="DB32" s="893">
        <f>INDEX(RunoffChangeAdj!R:R,MATCH($B32,RunoffChangeAdj!$A:$A,0))</f>
        <v>0</v>
      </c>
      <c r="DC32" s="893">
        <f>INDEX(RunoffChangeAdj!S:S,MATCH($B32,RunoffChangeAdj!$A:$A,0))</f>
        <v>0</v>
      </c>
      <c r="DD32" s="893">
        <f>INDEX(RunoffChangeAdj!T:T,MATCH($B32,RunoffChangeAdj!$A:$A,0))</f>
        <v>0</v>
      </c>
      <c r="DE32" s="893">
        <f>INDEX(RunoffChangeAdj!U:U,MATCH($B32,RunoffChangeAdj!$A:$A,0))</f>
        <v>0</v>
      </c>
      <c r="DF32" s="893">
        <f>INDEX(RunoffChangeAdj!V:V,MATCH($B32,RunoffChangeAdj!$A:$A,0))</f>
        <v>0</v>
      </c>
      <c r="DG32" s="893">
        <f>INDEX(RunoffChangeAdj!W:W,MATCH($B32,RunoffChangeAdj!$A:$A,0))</f>
        <v>0.10933333333333334</v>
      </c>
      <c r="DH32" s="893">
        <f>INDEX(RunoffChangeAdj!X:X,MATCH($B32,RunoffChangeAdj!$A:$A,0))</f>
        <v>0.10933333333333334</v>
      </c>
      <c r="DI32" s="893">
        <f>INDEX(RunoffChangeAdj!Y:Y,MATCH($B32,RunoffChangeAdj!$A:$A,0))</f>
        <v>0.10933333333333334</v>
      </c>
      <c r="DJ32" s="893">
        <f>INDEX(RunoffChangeAdj!Z:Z,MATCH($B32,RunoffChangeAdj!$A:$A,0))</f>
        <v>1.6999999999999987E-2</v>
      </c>
      <c r="DK32" s="893">
        <f>INDEX(RunoffChangeAdj!AA:AA,MATCH($B32,RunoffChangeAdj!$A:$A,0))</f>
        <v>1.6999999999999987E-2</v>
      </c>
      <c r="DL32" s="893">
        <f>INDEX(RunoffChangeAdj!AB:AB,MATCH($B32,RunoffChangeAdj!$A:$A,0))</f>
        <v>0.1</v>
      </c>
      <c r="DM32" s="893">
        <f>INDEX(RunoffChangeAdj!AC:AC,MATCH($B32,RunoffChangeAdj!$A:$A,0))</f>
        <v>0.1</v>
      </c>
      <c r="DN32" s="893">
        <f>INDEX(RunoffChangeAdj!AD:AD,MATCH($B32,RunoffChangeAdj!$A:$A,0))</f>
        <v>0</v>
      </c>
      <c r="DO32" s="893">
        <f>INDEX(RunoffChangeAdj!AE:AE,MATCH($B32,RunoffChangeAdj!$A:$A,0))</f>
        <v>0</v>
      </c>
      <c r="DP32" s="893">
        <f>INDEX(RunoffChangeAdj!AF:AF,MATCH($B32,RunoffChangeAdj!$A:$A,0))</f>
        <v>0</v>
      </c>
      <c r="DQ32" s="893">
        <f>INDEX(RunoffChangeAdj!AG:AG,MATCH($B32,RunoffChangeAdj!$A:$A,0))</f>
        <v>0</v>
      </c>
      <c r="DR32" s="893">
        <f>INDEX(RunoffChangeAdj!AH:AH,MATCH($B32,RunoffChangeAdj!$A:$A,0))</f>
        <v>0</v>
      </c>
      <c r="DS32" s="893">
        <f>INDEX(RunoffChangeAdj!AI:AI,MATCH($B32,RunoffChangeAdj!$A:$A,0))</f>
        <v>0</v>
      </c>
      <c r="DT32" s="893">
        <f>INDEX(RunoffChangeAdj!AJ:AJ,MATCH($B32,RunoffChangeAdj!$A:$A,0))</f>
        <v>0</v>
      </c>
      <c r="DU32" s="893">
        <f>INDEX(RunoffChangeAdj!AK:AK,MATCH($B32,RunoffChangeAdj!$A:$A,0))</f>
        <v>0</v>
      </c>
      <c r="DV32" s="893">
        <f>INDEX(RunoffChangeAdj!AL:AL,MATCH($B32,RunoffChangeAdj!$A:$A,0))</f>
        <v>0</v>
      </c>
      <c r="DW32" s="893">
        <f>INDEX(RunoffChangeAdj!AM:AM,MATCH($B32,RunoffChangeAdj!$A:$A,0))</f>
        <v>0</v>
      </c>
      <c r="DX32" s="893">
        <f>INDEX(RunoffChangeAdj!AN:AN,MATCH($B32,RunoffChangeAdj!$A:$A,0))</f>
        <v>5.8999999999999997E-2</v>
      </c>
      <c r="DY32" s="893">
        <f>INDEX(RunoffChangeAdj!AO:AO,MATCH($B32,RunoffChangeAdj!$A:$A,0))</f>
        <v>5.8999999999999997E-2</v>
      </c>
      <c r="DZ32" s="893">
        <f>INDEX(RunoffChangeAdj!AP:AP,MATCH($B32,RunoffChangeAdj!$A:$A,0))</f>
        <v>5.8999999999999997E-2</v>
      </c>
      <c r="EA32" s="893">
        <f>INDEX(RunoffChangeAdj!AQ:AQ,MATCH($B32,RunoffChangeAdj!$A:$A,0))</f>
        <v>5.2499999999999991E-2</v>
      </c>
      <c r="EB32" s="893">
        <f>INDEX(RunoffChangeAdj!AR:AR,MATCH($B32,RunoffChangeAdj!$A:$A,0))</f>
        <v>5.2499999999999991E-2</v>
      </c>
      <c r="EC32" s="893">
        <f>INDEX(RunoffChangeAdj!AS:AS,MATCH($B32,RunoffChangeAdj!$A:$A,0))</f>
        <v>0.1</v>
      </c>
      <c r="ED32" s="893">
        <f>INDEX(RunoffChangeAdj!AT:AT,MATCH($B32,RunoffChangeAdj!$A:$A,0))</f>
        <v>0.1</v>
      </c>
      <c r="EE32" s="893">
        <f>INDEX(RunoffChangeAdj!AU:AU,MATCH($B32,RunoffChangeAdj!$A:$A,0))</f>
        <v>0</v>
      </c>
      <c r="EF32" s="893">
        <f>INDEX(RunoffChangeAdj!AV:AV,MATCH($B32,RunoffChangeAdj!$A:$A,0))</f>
        <v>0</v>
      </c>
      <c r="EG32" s="893">
        <f>INDEX(RunoffChangeAdj!AW:AW,MATCH($B32,RunoffChangeAdj!$A:$A,0))</f>
        <v>0</v>
      </c>
      <c r="EH32" s="893">
        <f>INDEX(RunoffChangeAdj!AX:AX,MATCH($B32,RunoffChangeAdj!$A:$A,0))</f>
        <v>0</v>
      </c>
      <c r="EI32" s="893">
        <f>INDEX(RunoffChangeAdj!AY:AY,MATCH($B32,RunoffChangeAdj!$A:$A,0))</f>
        <v>0</v>
      </c>
      <c r="EJ32" s="893">
        <f>INDEX(RunoffChangeAdj!AZ:AZ,MATCH($B32,RunoffChangeAdj!$A:$A,0))</f>
        <v>0</v>
      </c>
      <c r="EK32" s="893">
        <f>INDEX(RunoffChangeAdj!BA:BA,MATCH($B32,RunoffChangeAdj!$A:$A,0))</f>
        <v>0</v>
      </c>
      <c r="EL32" s="893">
        <f>INDEX(RunoffChangeAdj!BB:BB,MATCH($B32,RunoffChangeAdj!$A:$A,0))</f>
        <v>0</v>
      </c>
      <c r="EM32" s="893">
        <f>INDEX(RunoffChangeAdj!BC:BC,MATCH($B32,RunoffChangeAdj!$A:$A,0))</f>
        <v>0</v>
      </c>
      <c r="FQ32" s="898"/>
      <c r="FS32" s="898"/>
      <c r="FT32" s="898"/>
      <c r="FU32" s="898"/>
      <c r="FV32" s="898"/>
      <c r="FW32" s="898"/>
      <c r="FX32" s="898"/>
      <c r="FY32" s="898"/>
      <c r="FZ32" s="898"/>
      <c r="GA32" s="898"/>
      <c r="GB32" s="898"/>
      <c r="GC32" s="898"/>
      <c r="GD32" s="898"/>
      <c r="GE32" s="898"/>
      <c r="GF32" s="898"/>
      <c r="GG32" s="898"/>
      <c r="GH32" s="898"/>
      <c r="GJ32" s="898"/>
      <c r="GK32" s="898"/>
      <c r="GL32" s="898"/>
      <c r="GM32" s="898"/>
      <c r="GN32" s="898"/>
      <c r="GO32" s="898"/>
      <c r="GP32" s="898"/>
      <c r="GQ32" s="898"/>
      <c r="GR32" s="898"/>
      <c r="GS32" s="898"/>
      <c r="GT32" s="898"/>
      <c r="GU32" s="898"/>
      <c r="GV32" s="898"/>
      <c r="GW32" s="898"/>
      <c r="GX32" s="898"/>
      <c r="GY32" s="898"/>
      <c r="HA32" s="898"/>
      <c r="HB32" s="898"/>
      <c r="HC32" s="898"/>
      <c r="HD32" s="898"/>
      <c r="HE32" s="898"/>
      <c r="HF32" s="898"/>
      <c r="HG32" s="898"/>
      <c r="HH32" s="898"/>
      <c r="HI32" s="898"/>
      <c r="HJ32" s="898"/>
      <c r="HK32" s="898"/>
      <c r="HL32" s="898"/>
      <c r="HM32" s="898"/>
      <c r="HN32" s="898"/>
      <c r="HO32" s="898"/>
      <c r="HP32" s="898"/>
    </row>
    <row r="33" spans="1:224">
      <c r="B33" s="816">
        <v>16.100000000000001</v>
      </c>
      <c r="C33" s="816">
        <v>0</v>
      </c>
      <c r="D33" s="816">
        <f t="shared" si="0"/>
        <v>0</v>
      </c>
      <c r="E33" s="816">
        <v>0</v>
      </c>
      <c r="F33" s="816" t="str">
        <f>INDEX('Data Interface'!$C:$C,MATCH(B33,'Data Interface'!$B:$B,0))</f>
        <v>Credit Enhancement Facility - 80/20</v>
      </c>
      <c r="G33" s="894">
        <f ca="1">IF($C33=1,$AJ33,SUM($AJ33:$AL33)*INDEX('Schedule Allocation'!G:G,MATCH($D33,'Schedule Allocation'!$A:$A,0)))</f>
        <v>6.522E-3</v>
      </c>
      <c r="H33" s="894">
        <f ca="1">IF($C33=1,$AK33,SUM($AJ33:$AL33)*INDEX('Schedule Allocation'!H:H,MATCH($D33,'Schedule Allocation'!$A:$A,0)))</f>
        <v>2.1740000000000002E-3</v>
      </c>
      <c r="I33" s="894">
        <f ca="1">IF($C33=1,$AK33,SUM($AJ33:$AL33)*INDEX('Schedule Allocation'!I:I,MATCH($D33,'Schedule Allocation'!$A:$A,0)))</f>
        <v>2.1740000000000002E-3</v>
      </c>
      <c r="J33" s="894">
        <f ca="1">IF($C33=1,$AK33,SUM($AJ33:$AL33)*INDEX('Schedule Allocation'!J:J,MATCH($D33,'Schedule Allocation'!$A:$A,0)))</f>
        <v>2.1740000000000002E-3</v>
      </c>
      <c r="K33" s="894">
        <f ca="1">IF($C33=1,$AK33,SUM($AJ33:$AL33)*INDEX('Schedule Allocation'!K:K,MATCH($D33,'Schedule Allocation'!$A:$A,0)))</f>
        <v>2.1740000000000002E-3</v>
      </c>
      <c r="L33" s="894">
        <f ca="1">IF($C33=1,$AK33,SUM($AJ33:$AL33)*INDEX('Schedule Allocation'!L:L,MATCH($D33,'Schedule Allocation'!$A:$A,0)))</f>
        <v>2.1740000000000002E-3</v>
      </c>
      <c r="M33" s="894">
        <f ca="1">IF($C33=1,$AK33,SUM($AJ33:$AL33)*INDEX('Schedule Allocation'!M:M,MATCH($D33,'Schedule Allocation'!$A:$A,0)))</f>
        <v>2.1740000000000002E-3</v>
      </c>
      <c r="N33" s="894">
        <f ca="1">IF($C33=1,$AL33,SUM($AJ33:$AL33)*INDEX('Schedule Allocation'!N:N,MATCH($D33,'Schedule Allocation'!$A:$A,0)))</f>
        <v>1.8634285714285717E-3</v>
      </c>
      <c r="O33" s="894">
        <f ca="1">IF($C33=1,$AL33,SUM($AJ33:$AL33)*INDEX('Schedule Allocation'!O:O,MATCH($D33,'Schedule Allocation'!$A:$A,0)))</f>
        <v>1.8634285714285717E-3</v>
      </c>
      <c r="P33" s="894">
        <f ca="1">IF($C33=1,$AL33,SUM($AJ33:$AL33)*INDEX('Schedule Allocation'!P:P,MATCH($D33,'Schedule Allocation'!$A:$A,0)))</f>
        <v>1.8634285714285717E-3</v>
      </c>
      <c r="Q33" s="894">
        <f ca="1">IF($C33=1,$AL33,SUM($AJ33:$AL33)*INDEX('Schedule Allocation'!Q:Q,MATCH($D33,'Schedule Allocation'!$A:$A,0)))</f>
        <v>1.8634285714285717E-3</v>
      </c>
      <c r="R33" s="894">
        <f ca="1">IF($C33=1,$AL33,SUM($AJ33:$AL33)*INDEX('Schedule Allocation'!R:R,MATCH($D33,'Schedule Allocation'!$A:$A,0)))</f>
        <v>1.8634285714285717E-3</v>
      </c>
      <c r="S33" s="894">
        <f ca="1">IF($C33=1,$AL33,SUM($AJ33:$AL33)*INDEX('Schedule Allocation'!S:S,MATCH($D33,'Schedule Allocation'!$A:$A,0)))</f>
        <v>1.8634285714285717E-3</v>
      </c>
      <c r="T33" s="894">
        <f ca="1">IF($C33=1,$AL33,SUM($AJ33:$AL33)*INDEX('Schedule Allocation'!T:T,MATCH($D33,'Schedule Allocation'!$A:$A,0)))</f>
        <v>1.8634285714285717E-3</v>
      </c>
      <c r="U33" s="894">
        <f ca="1">OFFSET(AT33,0,(MATCH('Model Report Formatized'!$E$1,$AN$1:$AN$6,0))*17-17)</f>
        <v>1.0870000000000001E-2</v>
      </c>
      <c r="V33" s="894">
        <f ca="1">OFFSET(AU33,0,(MATCH('Model Report Formatized'!$E$1,$AN$1:$AN$6,0))*17-17)</f>
        <v>1.0870000000000001E-2</v>
      </c>
      <c r="W33" s="894">
        <f ca="1">OFFSET(AV33,0,(MATCH('Model Report Formatized'!$E$1,$AN$1:$AN$6,0))*17-17)</f>
        <v>0</v>
      </c>
      <c r="X33" s="894">
        <f ca="1">OFFSET(AW33,0,(MATCH('Model Report Formatized'!$E$1,$AN$1:$AN$6,0))*17-17)</f>
        <v>0</v>
      </c>
      <c r="Y33" s="894">
        <f ca="1">OFFSET(AX33,0,(MATCH('Model Report Formatized'!$E$1,$AN$1:$AN$6,0))*17-17)</f>
        <v>0</v>
      </c>
      <c r="Z33" s="894">
        <f ca="1">OFFSET(AY33,0,(MATCH('Model Report Formatized'!$E$1,$AN$1:$AN$6,0))*17-17)</f>
        <v>0</v>
      </c>
      <c r="AA33" s="894">
        <f ca="1">OFFSET(AZ33,0,(MATCH('Model Report Formatized'!$E$1,$AN$1:$AN$6,0))*17-17)</f>
        <v>0</v>
      </c>
      <c r="AB33" s="894">
        <f ca="1">OFFSET(BA33,0,(MATCH('Model Report Formatized'!$E$1,$AN$1:$AN$6,0))*17-17)</f>
        <v>0</v>
      </c>
      <c r="AC33" s="894">
        <f ca="1">OFFSET(BB33,0,(MATCH('Model Report Formatized'!$E$1,$AN$1:$AN$6,0))*17-17)</f>
        <v>0</v>
      </c>
      <c r="AD33" s="894">
        <f ca="1">OFFSET(BC33,0,(MATCH('Model Report Formatized'!$E$1,$AN$1:$AN$6,0))*17-17)</f>
        <v>0</v>
      </c>
      <c r="AE33" s="894">
        <f ca="1">OFFSET(BD33,0,(MATCH('Model Report Formatized'!$E$1,$AN$1:$AN$6,0))*17-17)</f>
        <v>0</v>
      </c>
      <c r="AF33" s="894">
        <f ca="1">OFFSET(BE33,0,(MATCH('Model Report Formatized'!$E$1,$AN$1:$AN$6,0))*17-17)</f>
        <v>0</v>
      </c>
      <c r="AG33" s="894">
        <f ca="1">OFFSET(BF33,0,(MATCH('Model Report Formatized'!$E$1,$AN$1:$AN$6,0))*17-17)</f>
        <v>0</v>
      </c>
      <c r="AH33" s="891">
        <f t="shared" ca="1" si="1"/>
        <v>0</v>
      </c>
      <c r="AJ33" s="895">
        <f ca="1">OFFSET(AQ33,0,(MATCH('Model Report Formatized'!$E$1,$AN$1:$AN$6,0))*17-17)</f>
        <v>1.0869999999999999E-2</v>
      </c>
      <c r="AK33" s="895">
        <f ca="1">OFFSET(AR33,0,(MATCH('Model Report Formatized'!$E$1,$AN$1:$AN$6,0))*17-17)</f>
        <v>1.0869999999999999E-2</v>
      </c>
      <c r="AL33" s="895">
        <f ca="1">OFFSET(AS33,0,(MATCH('Model Report Formatized'!$E$1,$AN$1:$AN$6,0))*17-17)</f>
        <v>1.0869999999999999E-2</v>
      </c>
      <c r="AQ33" s="893">
        <f>INDEX(RunoffChangeAdj!F:F,MATCH($B33,RunoffChangeAdj!$A:$A,0))</f>
        <v>1.0869999999999999E-2</v>
      </c>
      <c r="AR33" s="893">
        <f>INDEX(RunoffChangeAdj!G:G,MATCH($B33,RunoffChangeAdj!$A:$A,0))</f>
        <v>1.0869999999999999E-2</v>
      </c>
      <c r="AS33" s="893">
        <f>INDEX(RunoffChangeAdj!H:H,MATCH($B33,RunoffChangeAdj!$A:$A,0))</f>
        <v>1.0869999999999999E-2</v>
      </c>
      <c r="AT33" s="893">
        <f>INDEX(RunoffChangeAdj!I:I,MATCH($B33,RunoffChangeAdj!$A:$A,0))</f>
        <v>1.0870000000000001E-2</v>
      </c>
      <c r="AU33" s="893">
        <f>INDEX(RunoffChangeAdj!J:J,MATCH($B33,RunoffChangeAdj!$A:$A,0))</f>
        <v>1.0870000000000001E-2</v>
      </c>
      <c r="AV33" s="893">
        <f>INDEX(RunoffChangeAdj!K:K,MATCH($B33,RunoffChangeAdj!$A:$A,0))</f>
        <v>0</v>
      </c>
      <c r="AW33" s="893">
        <f>INDEX(RunoffChangeAdj!L:L,MATCH($B33,RunoffChangeAdj!$A:$A,0))</f>
        <v>0</v>
      </c>
      <c r="AX33" s="893">
        <f>INDEX(RunoffChangeAdj!M:M,MATCH($B33,RunoffChangeAdj!$A:$A,0))</f>
        <v>0</v>
      </c>
      <c r="AY33" s="893">
        <f>INDEX(RunoffChangeAdj!N:N,MATCH($B33,RunoffChangeAdj!$A:$A,0))</f>
        <v>0</v>
      </c>
      <c r="AZ33" s="893">
        <f>INDEX(RunoffChangeAdj!O:O,MATCH($B33,RunoffChangeAdj!$A:$A,0))</f>
        <v>0</v>
      </c>
      <c r="BA33" s="893">
        <f>INDEX(RunoffChangeAdj!P:P,MATCH($B33,RunoffChangeAdj!$A:$A,0))</f>
        <v>0</v>
      </c>
      <c r="BB33" s="893">
        <f>INDEX(RunoffChangeAdj!Q:Q,MATCH($B33,RunoffChangeAdj!$A:$A,0))</f>
        <v>0</v>
      </c>
      <c r="BC33" s="893">
        <f>INDEX(RunoffChangeAdj!R:R,MATCH($B33,RunoffChangeAdj!$A:$A,0))</f>
        <v>0</v>
      </c>
      <c r="BD33" s="893">
        <f>INDEX(RunoffChangeAdj!S:S,MATCH($B33,RunoffChangeAdj!$A:$A,0))</f>
        <v>0</v>
      </c>
      <c r="BE33" s="893">
        <f>INDEX(RunoffChangeAdj!T:T,MATCH($B33,RunoffChangeAdj!$A:$A,0))</f>
        <v>0</v>
      </c>
      <c r="BF33" s="893">
        <f>INDEX(RunoffChangeAdj!U:U,MATCH($B33,RunoffChangeAdj!$A:$A,0))</f>
        <v>0</v>
      </c>
      <c r="BG33" s="893">
        <f>INDEX(RunoffChangeAdj!V:V,MATCH($B33,RunoffChangeAdj!$A:$A,0))</f>
        <v>0</v>
      </c>
      <c r="BH33" s="893">
        <f>INDEX(RunoffChangeAdj!W:W,MATCH($B33,RunoffChangeAdj!$A:$A,0))</f>
        <v>6.5759999999999994E-3</v>
      </c>
      <c r="BI33" s="893">
        <f>INDEX(RunoffChangeAdj!X:X,MATCH($B33,RunoffChangeAdj!$A:$A,0))</f>
        <v>6.5759999999999994E-3</v>
      </c>
      <c r="BJ33" s="893">
        <f>INDEX(RunoffChangeAdj!Y:Y,MATCH($B33,RunoffChangeAdj!$A:$A,0))</f>
        <v>6.5759999999999994E-3</v>
      </c>
      <c r="BK33" s="893">
        <f>INDEX(RunoffChangeAdj!Z:Z,MATCH($B33,RunoffChangeAdj!$A:$A,0))</f>
        <v>6.5760000000000002E-3</v>
      </c>
      <c r="BL33" s="893">
        <f>INDEX(RunoffChangeAdj!AA:AA,MATCH($B33,RunoffChangeAdj!$A:$A,0))</f>
        <v>6.5760000000000002E-3</v>
      </c>
      <c r="BM33" s="893">
        <f>INDEX(RunoffChangeAdj!AB:AB,MATCH($B33,RunoffChangeAdj!$A:$A,0))</f>
        <v>0</v>
      </c>
      <c r="BN33" s="893">
        <f>INDEX(RunoffChangeAdj!AC:AC,MATCH($B33,RunoffChangeAdj!$A:$A,0))</f>
        <v>0</v>
      </c>
      <c r="BO33" s="893">
        <f>INDEX(RunoffChangeAdj!AD:AD,MATCH($B33,RunoffChangeAdj!$A:$A,0))</f>
        <v>0</v>
      </c>
      <c r="BP33" s="893">
        <f>INDEX(RunoffChangeAdj!AE:AE,MATCH($B33,RunoffChangeAdj!$A:$A,0))</f>
        <v>0</v>
      </c>
      <c r="BQ33" s="893">
        <f>INDEX(RunoffChangeAdj!AF:AF,MATCH($B33,RunoffChangeAdj!$A:$A,0))</f>
        <v>0</v>
      </c>
      <c r="BR33" s="893">
        <f>INDEX(RunoffChangeAdj!AG:AG,MATCH($B33,RunoffChangeAdj!$A:$A,0))</f>
        <v>0</v>
      </c>
      <c r="BS33" s="893">
        <f>INDEX(RunoffChangeAdj!AH:AH,MATCH($B33,RunoffChangeAdj!$A:$A,0))</f>
        <v>0</v>
      </c>
      <c r="BT33" s="893">
        <f>INDEX(RunoffChangeAdj!AI:AI,MATCH($B33,RunoffChangeAdj!$A:$A,0))</f>
        <v>0</v>
      </c>
      <c r="BU33" s="893">
        <f>INDEX(RunoffChangeAdj!AJ:AJ,MATCH($B33,RunoffChangeAdj!$A:$A,0))</f>
        <v>0</v>
      </c>
      <c r="BV33" s="893">
        <f>INDEX(RunoffChangeAdj!AK:AK,MATCH($B33,RunoffChangeAdj!$A:$A,0))</f>
        <v>0</v>
      </c>
      <c r="BW33" s="893">
        <f>INDEX(RunoffChangeAdj!AL:AL,MATCH($B33,RunoffChangeAdj!$A:$A,0))</f>
        <v>0</v>
      </c>
      <c r="BX33" s="893">
        <f>INDEX(RunoffChangeAdj!AM:AM,MATCH($B33,RunoffChangeAdj!$A:$A,0))</f>
        <v>0</v>
      </c>
      <c r="BY33" s="893">
        <f>INDEX(RunoffChangeAdj!AN:AN,MATCH($B33,RunoffChangeAdj!$A:$A,0))</f>
        <v>2.9999999999999996E-3</v>
      </c>
      <c r="BZ33" s="893">
        <f>INDEX(RunoffChangeAdj!AO:AO,MATCH($B33,RunoffChangeAdj!$A:$A,0))</f>
        <v>2.9999999999999996E-3</v>
      </c>
      <c r="CA33" s="893">
        <f>INDEX(RunoffChangeAdj!AP:AP,MATCH($B33,RunoffChangeAdj!$A:$A,0))</f>
        <v>2.9999999999999996E-3</v>
      </c>
      <c r="CB33" s="893">
        <f>INDEX(RunoffChangeAdj!AQ:AQ,MATCH($B33,RunoffChangeAdj!$A:$A,0))</f>
        <v>3.0000000000000001E-3</v>
      </c>
      <c r="CC33" s="893">
        <f>INDEX(RunoffChangeAdj!AR:AR,MATCH($B33,RunoffChangeAdj!$A:$A,0))</f>
        <v>3.0000000000000001E-3</v>
      </c>
      <c r="CD33" s="893">
        <f>INDEX(RunoffChangeAdj!AS:AS,MATCH($B33,RunoffChangeAdj!$A:$A,0))</f>
        <v>0</v>
      </c>
      <c r="CE33" s="893">
        <f>INDEX(RunoffChangeAdj!AT:AT,MATCH($B33,RunoffChangeAdj!$A:$A,0))</f>
        <v>0</v>
      </c>
      <c r="CF33" s="893">
        <f>INDEX(RunoffChangeAdj!AU:AU,MATCH($B33,RunoffChangeAdj!$A:$A,0))</f>
        <v>0</v>
      </c>
      <c r="CG33" s="893">
        <f>INDEX(RunoffChangeAdj!AV:AV,MATCH($B33,RunoffChangeAdj!$A:$A,0))</f>
        <v>0</v>
      </c>
      <c r="CH33" s="893">
        <f>INDEX(RunoffChangeAdj!AW:AW,MATCH($B33,RunoffChangeAdj!$A:$A,0))</f>
        <v>0</v>
      </c>
      <c r="CI33" s="893">
        <f>INDEX(RunoffChangeAdj!AX:AX,MATCH($B33,RunoffChangeAdj!$A:$A,0))</f>
        <v>0</v>
      </c>
      <c r="CJ33" s="893">
        <f>INDEX(RunoffChangeAdj!AY:AY,MATCH($B33,RunoffChangeAdj!$A:$A,0))</f>
        <v>0</v>
      </c>
      <c r="CK33" s="893">
        <f>INDEX(RunoffChangeAdj!AZ:AZ,MATCH($B33,RunoffChangeAdj!$A:$A,0))</f>
        <v>0</v>
      </c>
      <c r="CL33" s="893">
        <f>INDEX(RunoffChangeAdj!BA:BA,MATCH($B33,RunoffChangeAdj!$A:$A,0))</f>
        <v>0</v>
      </c>
      <c r="CM33" s="893">
        <f>INDEX(RunoffChangeAdj!BB:BB,MATCH($B33,RunoffChangeAdj!$A:$A,0))</f>
        <v>0</v>
      </c>
      <c r="CN33" s="893">
        <f>INDEX(RunoffChangeAdj!BC:BC,MATCH($B33,RunoffChangeAdj!$A:$A,0))</f>
        <v>0</v>
      </c>
      <c r="CP33" s="893">
        <f>INDEX(RunoffChangeAdj!F:F,MATCH($B33,RunoffChangeAdj!$A:$A,0))</f>
        <v>1.0869999999999999E-2</v>
      </c>
      <c r="CQ33" s="893">
        <f>INDEX(RunoffChangeAdj!G:G,MATCH($B33,RunoffChangeAdj!$A:$A,0))</f>
        <v>1.0869999999999999E-2</v>
      </c>
      <c r="CR33" s="893">
        <f>INDEX(RunoffChangeAdj!H:H,MATCH($B33,RunoffChangeAdj!$A:$A,0))</f>
        <v>1.0869999999999999E-2</v>
      </c>
      <c r="CS33" s="893">
        <f>INDEX(RunoffChangeAdj!I:I,MATCH($B33,RunoffChangeAdj!$A:$A,0))</f>
        <v>1.0870000000000001E-2</v>
      </c>
      <c r="CT33" s="893">
        <f>INDEX(RunoffChangeAdj!J:J,MATCH($B33,RunoffChangeAdj!$A:$A,0))</f>
        <v>1.0870000000000001E-2</v>
      </c>
      <c r="CU33" s="893">
        <f>INDEX(RunoffChangeAdj!K:K,MATCH($B33,RunoffChangeAdj!$A:$A,0))</f>
        <v>0</v>
      </c>
      <c r="CV33" s="893">
        <f>INDEX(RunoffChangeAdj!L:L,MATCH($B33,RunoffChangeAdj!$A:$A,0))</f>
        <v>0</v>
      </c>
      <c r="CW33" s="893">
        <f>INDEX(RunoffChangeAdj!M:M,MATCH($B33,RunoffChangeAdj!$A:$A,0))</f>
        <v>0</v>
      </c>
      <c r="CX33" s="893">
        <f>INDEX(RunoffChangeAdj!N:N,MATCH($B33,RunoffChangeAdj!$A:$A,0))</f>
        <v>0</v>
      </c>
      <c r="CY33" s="893">
        <f>INDEX(RunoffChangeAdj!O:O,MATCH($B33,RunoffChangeAdj!$A:$A,0))</f>
        <v>0</v>
      </c>
      <c r="CZ33" s="893">
        <f>INDEX(RunoffChangeAdj!P:P,MATCH($B33,RunoffChangeAdj!$A:$A,0))</f>
        <v>0</v>
      </c>
      <c r="DA33" s="893">
        <f>INDEX(RunoffChangeAdj!Q:Q,MATCH($B33,RunoffChangeAdj!$A:$A,0))</f>
        <v>0</v>
      </c>
      <c r="DB33" s="893">
        <f>INDEX(RunoffChangeAdj!R:R,MATCH($B33,RunoffChangeAdj!$A:$A,0))</f>
        <v>0</v>
      </c>
      <c r="DC33" s="893">
        <f>INDEX(RunoffChangeAdj!S:S,MATCH($B33,RunoffChangeAdj!$A:$A,0))</f>
        <v>0</v>
      </c>
      <c r="DD33" s="893">
        <f>INDEX(RunoffChangeAdj!T:T,MATCH($B33,RunoffChangeAdj!$A:$A,0))</f>
        <v>0</v>
      </c>
      <c r="DE33" s="893">
        <f>INDEX(RunoffChangeAdj!U:U,MATCH($B33,RunoffChangeAdj!$A:$A,0))</f>
        <v>0</v>
      </c>
      <c r="DF33" s="893">
        <f>INDEX(RunoffChangeAdj!V:V,MATCH($B33,RunoffChangeAdj!$A:$A,0))</f>
        <v>0</v>
      </c>
      <c r="DG33" s="893">
        <f>INDEX(RunoffChangeAdj!W:W,MATCH($B33,RunoffChangeAdj!$A:$A,0))</f>
        <v>6.5759999999999994E-3</v>
      </c>
      <c r="DH33" s="893">
        <f>INDEX(RunoffChangeAdj!X:X,MATCH($B33,RunoffChangeAdj!$A:$A,0))</f>
        <v>6.5759999999999994E-3</v>
      </c>
      <c r="DI33" s="893">
        <f>INDEX(RunoffChangeAdj!Y:Y,MATCH($B33,RunoffChangeAdj!$A:$A,0))</f>
        <v>6.5759999999999994E-3</v>
      </c>
      <c r="DJ33" s="893">
        <f>INDEX(RunoffChangeAdj!Z:Z,MATCH($B33,RunoffChangeAdj!$A:$A,0))</f>
        <v>6.5760000000000002E-3</v>
      </c>
      <c r="DK33" s="893">
        <f>INDEX(RunoffChangeAdj!AA:AA,MATCH($B33,RunoffChangeAdj!$A:$A,0))</f>
        <v>6.5760000000000002E-3</v>
      </c>
      <c r="DL33" s="893">
        <f>INDEX(RunoffChangeAdj!AB:AB,MATCH($B33,RunoffChangeAdj!$A:$A,0))</f>
        <v>0</v>
      </c>
      <c r="DM33" s="893">
        <f>INDEX(RunoffChangeAdj!AC:AC,MATCH($B33,RunoffChangeAdj!$A:$A,0))</f>
        <v>0</v>
      </c>
      <c r="DN33" s="893">
        <f>INDEX(RunoffChangeAdj!AD:AD,MATCH($B33,RunoffChangeAdj!$A:$A,0))</f>
        <v>0</v>
      </c>
      <c r="DO33" s="893">
        <f>INDEX(RunoffChangeAdj!AE:AE,MATCH($B33,RunoffChangeAdj!$A:$A,0))</f>
        <v>0</v>
      </c>
      <c r="DP33" s="893">
        <f>INDEX(RunoffChangeAdj!AF:AF,MATCH($B33,RunoffChangeAdj!$A:$A,0))</f>
        <v>0</v>
      </c>
      <c r="DQ33" s="893">
        <f>INDEX(RunoffChangeAdj!AG:AG,MATCH($B33,RunoffChangeAdj!$A:$A,0))</f>
        <v>0</v>
      </c>
      <c r="DR33" s="893">
        <f>INDEX(RunoffChangeAdj!AH:AH,MATCH($B33,RunoffChangeAdj!$A:$A,0))</f>
        <v>0</v>
      </c>
      <c r="DS33" s="893">
        <f>INDEX(RunoffChangeAdj!AI:AI,MATCH($B33,RunoffChangeAdj!$A:$A,0))</f>
        <v>0</v>
      </c>
      <c r="DT33" s="893">
        <f>INDEX(RunoffChangeAdj!AJ:AJ,MATCH($B33,RunoffChangeAdj!$A:$A,0))</f>
        <v>0</v>
      </c>
      <c r="DU33" s="893">
        <f>INDEX(RunoffChangeAdj!AK:AK,MATCH($B33,RunoffChangeAdj!$A:$A,0))</f>
        <v>0</v>
      </c>
      <c r="DV33" s="893">
        <f>INDEX(RunoffChangeAdj!AL:AL,MATCH($B33,RunoffChangeAdj!$A:$A,0))</f>
        <v>0</v>
      </c>
      <c r="DW33" s="893">
        <f>INDEX(RunoffChangeAdj!AM:AM,MATCH($B33,RunoffChangeAdj!$A:$A,0))</f>
        <v>0</v>
      </c>
      <c r="DX33" s="893">
        <f>INDEX(RunoffChangeAdj!AN:AN,MATCH($B33,RunoffChangeAdj!$A:$A,0))</f>
        <v>2.9999999999999996E-3</v>
      </c>
      <c r="DY33" s="893">
        <f>INDEX(RunoffChangeAdj!AO:AO,MATCH($B33,RunoffChangeAdj!$A:$A,0))</f>
        <v>2.9999999999999996E-3</v>
      </c>
      <c r="DZ33" s="893">
        <f>INDEX(RunoffChangeAdj!AP:AP,MATCH($B33,RunoffChangeAdj!$A:$A,0))</f>
        <v>2.9999999999999996E-3</v>
      </c>
      <c r="EA33" s="893">
        <f>INDEX(RunoffChangeAdj!AQ:AQ,MATCH($B33,RunoffChangeAdj!$A:$A,0))</f>
        <v>3.0000000000000001E-3</v>
      </c>
      <c r="EB33" s="893">
        <f>INDEX(RunoffChangeAdj!AR:AR,MATCH($B33,RunoffChangeAdj!$A:$A,0))</f>
        <v>3.0000000000000001E-3</v>
      </c>
      <c r="EC33" s="893">
        <f>INDEX(RunoffChangeAdj!AS:AS,MATCH($B33,RunoffChangeAdj!$A:$A,0))</f>
        <v>0</v>
      </c>
      <c r="ED33" s="893">
        <f>INDEX(RunoffChangeAdj!AT:AT,MATCH($B33,RunoffChangeAdj!$A:$A,0))</f>
        <v>0</v>
      </c>
      <c r="EE33" s="893">
        <f>INDEX(RunoffChangeAdj!AU:AU,MATCH($B33,RunoffChangeAdj!$A:$A,0))</f>
        <v>0</v>
      </c>
      <c r="EF33" s="893">
        <f>INDEX(RunoffChangeAdj!AV:AV,MATCH($B33,RunoffChangeAdj!$A:$A,0))</f>
        <v>0</v>
      </c>
      <c r="EG33" s="893">
        <f>INDEX(RunoffChangeAdj!AW:AW,MATCH($B33,RunoffChangeAdj!$A:$A,0))</f>
        <v>0</v>
      </c>
      <c r="EH33" s="893">
        <f>INDEX(RunoffChangeAdj!AX:AX,MATCH($B33,RunoffChangeAdj!$A:$A,0))</f>
        <v>0</v>
      </c>
      <c r="EI33" s="893">
        <f>INDEX(RunoffChangeAdj!AY:AY,MATCH($B33,RunoffChangeAdj!$A:$A,0))</f>
        <v>0</v>
      </c>
      <c r="EJ33" s="893">
        <f>INDEX(RunoffChangeAdj!AZ:AZ,MATCH($B33,RunoffChangeAdj!$A:$A,0))</f>
        <v>0</v>
      </c>
      <c r="EK33" s="893">
        <f>INDEX(RunoffChangeAdj!BA:BA,MATCH($B33,RunoffChangeAdj!$A:$A,0))</f>
        <v>0</v>
      </c>
      <c r="EL33" s="893">
        <f>INDEX(RunoffChangeAdj!BB:BB,MATCH($B33,RunoffChangeAdj!$A:$A,0))</f>
        <v>0</v>
      </c>
      <c r="EM33" s="893">
        <f>INDEX(RunoffChangeAdj!BC:BC,MATCH($B33,RunoffChangeAdj!$A:$A,0))</f>
        <v>0</v>
      </c>
      <c r="FQ33" s="898"/>
      <c r="FS33" s="898"/>
      <c r="FT33" s="898"/>
      <c r="FU33" s="898"/>
      <c r="FV33" s="898"/>
      <c r="FW33" s="898"/>
      <c r="FX33" s="898"/>
      <c r="FY33" s="898"/>
      <c r="FZ33" s="898"/>
      <c r="GA33" s="898"/>
      <c r="GB33" s="898"/>
      <c r="GC33" s="898"/>
      <c r="GD33" s="898"/>
      <c r="GE33" s="898"/>
      <c r="GF33" s="898"/>
      <c r="GG33" s="898"/>
      <c r="GH33" s="898"/>
      <c r="GJ33" s="898"/>
      <c r="GK33" s="898"/>
      <c r="GL33" s="898"/>
      <c r="GM33" s="898"/>
      <c r="GN33" s="898"/>
      <c r="GO33" s="898"/>
      <c r="GP33" s="898"/>
      <c r="GQ33" s="898"/>
      <c r="GR33" s="898"/>
      <c r="GS33" s="898"/>
      <c r="GT33" s="898"/>
      <c r="GU33" s="898"/>
      <c r="GV33" s="898"/>
      <c r="GW33" s="898"/>
      <c r="GX33" s="898"/>
      <c r="GY33" s="898"/>
      <c r="HA33" s="898"/>
      <c r="HB33" s="898"/>
      <c r="HC33" s="898"/>
      <c r="HD33" s="898"/>
      <c r="HE33" s="898"/>
      <c r="HF33" s="898"/>
      <c r="HG33" s="898"/>
      <c r="HH33" s="898"/>
      <c r="HI33" s="898"/>
      <c r="HJ33" s="898"/>
      <c r="HK33" s="898"/>
      <c r="HL33" s="898"/>
      <c r="HM33" s="898"/>
      <c r="HN33" s="898"/>
      <c r="HO33" s="898"/>
      <c r="HP33" s="898"/>
    </row>
    <row r="34" spans="1:224">
      <c r="B34" s="816">
        <v>17</v>
      </c>
      <c r="C34" s="816">
        <v>0</v>
      </c>
      <c r="D34" s="816">
        <f t="shared" ref="D34" si="2">IF(OR(AND(ISERROR(SEARCH("Affiliates",F34,1)),ISERROR(SEARCH("Interbranch",F34,1)),ISERROR(SEARCH("Banks",F34,1)),ISERROR(SEARCH("FI",F34,1))),NOT(ISERROR(SEARCH("Non FI",F34,1)))),0,1)</f>
        <v>0</v>
      </c>
      <c r="E34" s="816">
        <v>0</v>
      </c>
      <c r="F34" s="816" t="str">
        <f>INDEX('Data Interface'!$C:$C,MATCH(B34,'Data Interface'!$B:$B,0))</f>
        <v>Stand By LC</v>
      </c>
      <c r="G34" s="894">
        <f ca="1">IF($C34=1,$AJ34,SUM($AJ34:$AL34)*INDEX('Schedule Allocation'!G:G,MATCH($D34,'Schedule Allocation'!$A:$A,0)))</f>
        <v>0</v>
      </c>
      <c r="H34" s="894">
        <f ca="1">IF($C34=1,$AK34,SUM($AJ34:$AL34)*INDEX('Schedule Allocation'!H:H,MATCH($D34,'Schedule Allocation'!$A:$A,0)))</f>
        <v>0</v>
      </c>
      <c r="I34" s="894">
        <f ca="1">IF($C34=1,$AK34,SUM($AJ34:$AL34)*INDEX('Schedule Allocation'!I:I,MATCH($D34,'Schedule Allocation'!$A:$A,0)))</f>
        <v>0</v>
      </c>
      <c r="J34" s="894">
        <f ca="1">IF($C34=1,$AK34,SUM($AJ34:$AL34)*INDEX('Schedule Allocation'!J:J,MATCH($D34,'Schedule Allocation'!$A:$A,0)))</f>
        <v>0</v>
      </c>
      <c r="K34" s="894">
        <f ca="1">IF($C34=1,$AK34,SUM($AJ34:$AL34)*INDEX('Schedule Allocation'!K:K,MATCH($D34,'Schedule Allocation'!$A:$A,0)))</f>
        <v>0</v>
      </c>
      <c r="L34" s="894">
        <f ca="1">IF($C34=1,$AK34,SUM($AJ34:$AL34)*INDEX('Schedule Allocation'!L:L,MATCH($D34,'Schedule Allocation'!$A:$A,0)))</f>
        <v>0</v>
      </c>
      <c r="M34" s="894">
        <f ca="1">IF($C34=1,$AK34,SUM($AJ34:$AL34)*INDEX('Schedule Allocation'!M:M,MATCH($D34,'Schedule Allocation'!$A:$A,0)))</f>
        <v>0</v>
      </c>
      <c r="N34" s="894">
        <f ca="1">IF($C34=1,$AL34,SUM($AJ34:$AL34)*INDEX('Schedule Allocation'!N:N,MATCH($D34,'Schedule Allocation'!$A:$A,0)))</f>
        <v>0</v>
      </c>
      <c r="O34" s="894">
        <f ca="1">IF($C34=1,$AL34,SUM($AJ34:$AL34)*INDEX('Schedule Allocation'!O:O,MATCH($D34,'Schedule Allocation'!$A:$A,0)))</f>
        <v>0</v>
      </c>
      <c r="P34" s="894">
        <f ca="1">IF($C34=1,$AL34,SUM($AJ34:$AL34)*INDEX('Schedule Allocation'!P:P,MATCH($D34,'Schedule Allocation'!$A:$A,0)))</f>
        <v>0</v>
      </c>
      <c r="Q34" s="894">
        <f ca="1">IF($C34=1,$AL34,SUM($AJ34:$AL34)*INDEX('Schedule Allocation'!Q:Q,MATCH($D34,'Schedule Allocation'!$A:$A,0)))</f>
        <v>0</v>
      </c>
      <c r="R34" s="894">
        <f ca="1">IF($C34=1,$AL34,SUM($AJ34:$AL34)*INDEX('Schedule Allocation'!R:R,MATCH($D34,'Schedule Allocation'!$A:$A,0)))</f>
        <v>0</v>
      </c>
      <c r="S34" s="894">
        <f ca="1">IF($C34=1,$AL34,SUM($AJ34:$AL34)*INDEX('Schedule Allocation'!S:S,MATCH($D34,'Schedule Allocation'!$A:$A,0)))</f>
        <v>0</v>
      </c>
      <c r="T34" s="894">
        <f ca="1">IF($C34=1,$AL34,SUM($AJ34:$AL34)*INDEX('Schedule Allocation'!T:T,MATCH($D34,'Schedule Allocation'!$A:$A,0)))</f>
        <v>0</v>
      </c>
      <c r="U34" s="894">
        <f ca="1">OFFSET(AT34,0,(MATCH('Model Report Formatized'!$E$1,$AN$1:$AN$6,0))*17-17)</f>
        <v>0</v>
      </c>
      <c r="V34" s="894">
        <f ca="1">OFFSET(AU34,0,(MATCH('Model Report Formatized'!$E$1,$AN$1:$AN$6,0))*17-17)</f>
        <v>0</v>
      </c>
      <c r="W34" s="894">
        <f ca="1">OFFSET(AV34,0,(MATCH('Model Report Formatized'!$E$1,$AN$1:$AN$6,0))*17-17)</f>
        <v>0</v>
      </c>
      <c r="X34" s="894">
        <f ca="1">OFFSET(AW34,0,(MATCH('Model Report Formatized'!$E$1,$AN$1:$AN$6,0))*17-17)</f>
        <v>0</v>
      </c>
      <c r="Y34" s="894">
        <f ca="1">OFFSET(AX34,0,(MATCH('Model Report Formatized'!$E$1,$AN$1:$AN$6,0))*17-17)</f>
        <v>0</v>
      </c>
      <c r="Z34" s="894">
        <f ca="1">OFFSET(AY34,0,(MATCH('Model Report Formatized'!$E$1,$AN$1:$AN$6,0))*17-17)</f>
        <v>0</v>
      </c>
      <c r="AA34" s="894">
        <f ca="1">OFFSET(AZ34,0,(MATCH('Model Report Formatized'!$E$1,$AN$1:$AN$6,0))*17-17)</f>
        <v>0</v>
      </c>
      <c r="AB34" s="894">
        <f ca="1">OFFSET(BA34,0,(MATCH('Model Report Formatized'!$E$1,$AN$1:$AN$6,0))*17-17)</f>
        <v>0</v>
      </c>
      <c r="AC34" s="894">
        <f ca="1">OFFSET(BB34,0,(MATCH('Model Report Formatized'!$E$1,$AN$1:$AN$6,0))*17-17)</f>
        <v>0</v>
      </c>
      <c r="AD34" s="894">
        <f ca="1">OFFSET(BC34,0,(MATCH('Model Report Formatized'!$E$1,$AN$1:$AN$6,0))*17-17)</f>
        <v>0</v>
      </c>
      <c r="AE34" s="894">
        <f ca="1">OFFSET(BD34,0,(MATCH('Model Report Formatized'!$E$1,$AN$1:$AN$6,0))*17-17)</f>
        <v>0</v>
      </c>
      <c r="AF34" s="894">
        <f ca="1">OFFSET(BE34,0,(MATCH('Model Report Formatized'!$E$1,$AN$1:$AN$6,0))*17-17)</f>
        <v>0</v>
      </c>
      <c r="AG34" s="894">
        <f ca="1">OFFSET(BF34,0,(MATCH('Model Report Formatized'!$E$1,$AN$1:$AN$6,0))*17-17)</f>
        <v>0</v>
      </c>
      <c r="AH34" s="891">
        <f t="shared" ref="AH34" ca="1" si="3">IF(C34=1,AG34,SUM(G34:AG34)-SUM(CP34:DE34))</f>
        <v>0</v>
      </c>
      <c r="AJ34" s="895">
        <f ca="1">OFFSET(AQ34,0,(MATCH('Model Report Formatized'!$E$1,$AN$1:$AN$6,0))*17-17)</f>
        <v>0</v>
      </c>
      <c r="AK34" s="895">
        <f ca="1">OFFSET(AR34,0,(MATCH('Model Report Formatized'!$E$1,$AN$1:$AN$6,0))*17-17)</f>
        <v>0</v>
      </c>
      <c r="AL34" s="895">
        <f ca="1">OFFSET(AS34,0,(MATCH('Model Report Formatized'!$E$1,$AN$1:$AN$6,0))*17-17)</f>
        <v>0</v>
      </c>
      <c r="AQ34" s="893">
        <f>INDEX(RunoffChangeAdj!F:F,MATCH($B34,RunoffChangeAdj!$A:$A,0))</f>
        <v>0</v>
      </c>
      <c r="AR34" s="893">
        <f>INDEX(RunoffChangeAdj!G:G,MATCH($B34,RunoffChangeAdj!$A:$A,0))</f>
        <v>0</v>
      </c>
      <c r="AS34" s="893">
        <f>INDEX(RunoffChangeAdj!H:H,MATCH($B34,RunoffChangeAdj!$A:$A,0))</f>
        <v>0</v>
      </c>
      <c r="AT34" s="893">
        <f>INDEX(RunoffChangeAdj!I:I,MATCH($B34,RunoffChangeAdj!$A:$A,0))</f>
        <v>0</v>
      </c>
      <c r="AU34" s="893">
        <f>INDEX(RunoffChangeAdj!J:J,MATCH($B34,RunoffChangeAdj!$A:$A,0))</f>
        <v>0</v>
      </c>
      <c r="AV34" s="893">
        <f>INDEX(RunoffChangeAdj!K:K,MATCH($B34,RunoffChangeAdj!$A:$A,0))</f>
        <v>0</v>
      </c>
      <c r="AW34" s="893">
        <f>INDEX(RunoffChangeAdj!L:L,MATCH($B34,RunoffChangeAdj!$A:$A,0))</f>
        <v>0</v>
      </c>
      <c r="AX34" s="893">
        <f>INDEX(RunoffChangeAdj!M:M,MATCH($B34,RunoffChangeAdj!$A:$A,0))</f>
        <v>0</v>
      </c>
      <c r="AY34" s="893">
        <f>INDEX(RunoffChangeAdj!N:N,MATCH($B34,RunoffChangeAdj!$A:$A,0))</f>
        <v>0</v>
      </c>
      <c r="AZ34" s="893">
        <f>INDEX(RunoffChangeAdj!O:O,MATCH($B34,RunoffChangeAdj!$A:$A,0))</f>
        <v>0</v>
      </c>
      <c r="BA34" s="893">
        <f>INDEX(RunoffChangeAdj!P:P,MATCH($B34,RunoffChangeAdj!$A:$A,0))</f>
        <v>0</v>
      </c>
      <c r="BB34" s="893">
        <f>INDEX(RunoffChangeAdj!Q:Q,MATCH($B34,RunoffChangeAdj!$A:$A,0))</f>
        <v>0</v>
      </c>
      <c r="BC34" s="893">
        <f>INDEX(RunoffChangeAdj!R:R,MATCH($B34,RunoffChangeAdj!$A:$A,0))</f>
        <v>0</v>
      </c>
      <c r="BD34" s="893">
        <f>INDEX(RunoffChangeAdj!S:S,MATCH($B34,RunoffChangeAdj!$A:$A,0))</f>
        <v>0</v>
      </c>
      <c r="BE34" s="893">
        <f>INDEX(RunoffChangeAdj!T:T,MATCH($B34,RunoffChangeAdj!$A:$A,0))</f>
        <v>0</v>
      </c>
      <c r="BF34" s="893">
        <f>INDEX(RunoffChangeAdj!U:U,MATCH($B34,RunoffChangeAdj!$A:$A,0))</f>
        <v>0</v>
      </c>
      <c r="BG34" s="893">
        <f>INDEX(RunoffChangeAdj!V:V,MATCH($B34,RunoffChangeAdj!$A:$A,0))</f>
        <v>0</v>
      </c>
      <c r="BH34" s="893">
        <f>INDEX(RunoffChangeAdj!W:W,MATCH($B34,RunoffChangeAdj!$A:$A,0))</f>
        <v>0</v>
      </c>
      <c r="BI34" s="893">
        <f>INDEX(RunoffChangeAdj!X:X,MATCH($B34,RunoffChangeAdj!$A:$A,0))</f>
        <v>0</v>
      </c>
      <c r="BJ34" s="893">
        <f>INDEX(RunoffChangeAdj!Y:Y,MATCH($B34,RunoffChangeAdj!$A:$A,0))</f>
        <v>0</v>
      </c>
      <c r="BK34" s="893">
        <f>INDEX(RunoffChangeAdj!Z:Z,MATCH($B34,RunoffChangeAdj!$A:$A,0))</f>
        <v>0</v>
      </c>
      <c r="BL34" s="893">
        <f>INDEX(RunoffChangeAdj!AA:AA,MATCH($B34,RunoffChangeAdj!$A:$A,0))</f>
        <v>0</v>
      </c>
      <c r="BM34" s="893">
        <f>INDEX(RunoffChangeAdj!AB:AB,MATCH($B34,RunoffChangeAdj!$A:$A,0))</f>
        <v>0</v>
      </c>
      <c r="BN34" s="893">
        <f>INDEX(RunoffChangeAdj!AC:AC,MATCH($B34,RunoffChangeAdj!$A:$A,0))</f>
        <v>0</v>
      </c>
      <c r="BO34" s="893">
        <f>INDEX(RunoffChangeAdj!AD:AD,MATCH($B34,RunoffChangeAdj!$A:$A,0))</f>
        <v>0</v>
      </c>
      <c r="BP34" s="893">
        <f>INDEX(RunoffChangeAdj!AE:AE,MATCH($B34,RunoffChangeAdj!$A:$A,0))</f>
        <v>0</v>
      </c>
      <c r="BQ34" s="893">
        <f>INDEX(RunoffChangeAdj!AF:AF,MATCH($B34,RunoffChangeAdj!$A:$A,0))</f>
        <v>0</v>
      </c>
      <c r="BR34" s="893">
        <f>INDEX(RunoffChangeAdj!AG:AG,MATCH($B34,RunoffChangeAdj!$A:$A,0))</f>
        <v>0</v>
      </c>
      <c r="BS34" s="893">
        <f>INDEX(RunoffChangeAdj!AH:AH,MATCH($B34,RunoffChangeAdj!$A:$A,0))</f>
        <v>0</v>
      </c>
      <c r="BT34" s="893">
        <f>INDEX(RunoffChangeAdj!AI:AI,MATCH($B34,RunoffChangeAdj!$A:$A,0))</f>
        <v>0</v>
      </c>
      <c r="BU34" s="893">
        <f>INDEX(RunoffChangeAdj!AJ:AJ,MATCH($B34,RunoffChangeAdj!$A:$A,0))</f>
        <v>0</v>
      </c>
      <c r="BV34" s="893">
        <f>INDEX(RunoffChangeAdj!AK:AK,MATCH($B34,RunoffChangeAdj!$A:$A,0))</f>
        <v>0</v>
      </c>
      <c r="BW34" s="893">
        <f>INDEX(RunoffChangeAdj!AL:AL,MATCH($B34,RunoffChangeAdj!$A:$A,0))</f>
        <v>0</v>
      </c>
      <c r="BX34" s="893">
        <f>INDEX(RunoffChangeAdj!AM:AM,MATCH($B34,RunoffChangeAdj!$A:$A,0))</f>
        <v>0</v>
      </c>
      <c r="BY34" s="893">
        <f>INDEX(RunoffChangeAdj!AN:AN,MATCH($B34,RunoffChangeAdj!$A:$A,0))</f>
        <v>0</v>
      </c>
      <c r="BZ34" s="893">
        <f>INDEX(RunoffChangeAdj!AO:AO,MATCH($B34,RunoffChangeAdj!$A:$A,0))</f>
        <v>0</v>
      </c>
      <c r="CA34" s="893">
        <f>INDEX(RunoffChangeAdj!AP:AP,MATCH($B34,RunoffChangeAdj!$A:$A,0))</f>
        <v>0</v>
      </c>
      <c r="CB34" s="893">
        <f>INDEX(RunoffChangeAdj!AQ:AQ,MATCH($B34,RunoffChangeAdj!$A:$A,0))</f>
        <v>0</v>
      </c>
      <c r="CC34" s="893">
        <f>INDEX(RunoffChangeAdj!AR:AR,MATCH($B34,RunoffChangeAdj!$A:$A,0))</f>
        <v>0</v>
      </c>
      <c r="CD34" s="893">
        <f>INDEX(RunoffChangeAdj!AS:AS,MATCH($B34,RunoffChangeAdj!$A:$A,0))</f>
        <v>0</v>
      </c>
      <c r="CE34" s="893">
        <f>INDEX(RunoffChangeAdj!AT:AT,MATCH($B34,RunoffChangeAdj!$A:$A,0))</f>
        <v>0</v>
      </c>
      <c r="CF34" s="893">
        <f>INDEX(RunoffChangeAdj!AU:AU,MATCH($B34,RunoffChangeAdj!$A:$A,0))</f>
        <v>0</v>
      </c>
      <c r="CG34" s="893">
        <f>INDEX(RunoffChangeAdj!AV:AV,MATCH($B34,RunoffChangeAdj!$A:$A,0))</f>
        <v>0</v>
      </c>
      <c r="CH34" s="893">
        <f>INDEX(RunoffChangeAdj!AW:AW,MATCH($B34,RunoffChangeAdj!$A:$A,0))</f>
        <v>0</v>
      </c>
      <c r="CI34" s="893">
        <f>INDEX(RunoffChangeAdj!AX:AX,MATCH($B34,RunoffChangeAdj!$A:$A,0))</f>
        <v>0</v>
      </c>
      <c r="CJ34" s="893">
        <f>INDEX(RunoffChangeAdj!AY:AY,MATCH($B34,RunoffChangeAdj!$A:$A,0))</f>
        <v>0</v>
      </c>
      <c r="CK34" s="893">
        <f>INDEX(RunoffChangeAdj!AZ:AZ,MATCH($B34,RunoffChangeAdj!$A:$A,0))</f>
        <v>0</v>
      </c>
      <c r="CL34" s="893">
        <f>INDEX(RunoffChangeAdj!BA:BA,MATCH($B34,RunoffChangeAdj!$A:$A,0))</f>
        <v>0</v>
      </c>
      <c r="CM34" s="893">
        <f>INDEX(RunoffChangeAdj!BB:BB,MATCH($B34,RunoffChangeAdj!$A:$A,0))</f>
        <v>0</v>
      </c>
      <c r="CN34" s="893">
        <f>INDEX(RunoffChangeAdj!BC:BC,MATCH($B34,RunoffChangeAdj!$A:$A,0))</f>
        <v>0</v>
      </c>
      <c r="CP34" s="893">
        <f>INDEX(RunoffChangeAdj!F:F,MATCH($B34,RunoffChangeAdj!$A:$A,0))</f>
        <v>0</v>
      </c>
      <c r="CQ34" s="893">
        <f>INDEX(RunoffChangeAdj!G:G,MATCH($B34,RunoffChangeAdj!$A:$A,0))</f>
        <v>0</v>
      </c>
      <c r="CR34" s="893">
        <f>INDEX(RunoffChangeAdj!H:H,MATCH($B34,RunoffChangeAdj!$A:$A,0))</f>
        <v>0</v>
      </c>
      <c r="CS34" s="893">
        <f>INDEX(RunoffChangeAdj!I:I,MATCH($B34,RunoffChangeAdj!$A:$A,0))</f>
        <v>0</v>
      </c>
      <c r="CT34" s="893">
        <f>INDEX(RunoffChangeAdj!J:J,MATCH($B34,RunoffChangeAdj!$A:$A,0))</f>
        <v>0</v>
      </c>
      <c r="CU34" s="893">
        <f>INDEX(RunoffChangeAdj!K:K,MATCH($B34,RunoffChangeAdj!$A:$A,0))</f>
        <v>0</v>
      </c>
      <c r="CV34" s="893">
        <f>INDEX(RunoffChangeAdj!L:L,MATCH($B34,RunoffChangeAdj!$A:$A,0))</f>
        <v>0</v>
      </c>
      <c r="CW34" s="893">
        <f>INDEX(RunoffChangeAdj!M:M,MATCH($B34,RunoffChangeAdj!$A:$A,0))</f>
        <v>0</v>
      </c>
      <c r="CX34" s="893">
        <f>INDEX(RunoffChangeAdj!N:N,MATCH($B34,RunoffChangeAdj!$A:$A,0))</f>
        <v>0</v>
      </c>
      <c r="CY34" s="893">
        <f>INDEX(RunoffChangeAdj!O:O,MATCH($B34,RunoffChangeAdj!$A:$A,0))</f>
        <v>0</v>
      </c>
      <c r="CZ34" s="893">
        <f>INDEX(RunoffChangeAdj!P:P,MATCH($B34,RunoffChangeAdj!$A:$A,0))</f>
        <v>0</v>
      </c>
      <c r="DA34" s="893">
        <f>INDEX(RunoffChangeAdj!Q:Q,MATCH($B34,RunoffChangeAdj!$A:$A,0))</f>
        <v>0</v>
      </c>
      <c r="DB34" s="893">
        <f>INDEX(RunoffChangeAdj!R:R,MATCH($B34,RunoffChangeAdj!$A:$A,0))</f>
        <v>0</v>
      </c>
      <c r="DC34" s="893">
        <f>INDEX(RunoffChangeAdj!S:S,MATCH($B34,RunoffChangeAdj!$A:$A,0))</f>
        <v>0</v>
      </c>
      <c r="DD34" s="893">
        <f>INDEX(RunoffChangeAdj!T:T,MATCH($B34,RunoffChangeAdj!$A:$A,0))</f>
        <v>0</v>
      </c>
      <c r="DE34" s="893">
        <f>INDEX(RunoffChangeAdj!U:U,MATCH($B34,RunoffChangeAdj!$A:$A,0))</f>
        <v>0</v>
      </c>
      <c r="DF34" s="893">
        <f>INDEX(RunoffChangeAdj!V:V,MATCH($B34,RunoffChangeAdj!$A:$A,0))</f>
        <v>0</v>
      </c>
      <c r="DG34" s="893">
        <f>INDEX(RunoffChangeAdj!W:W,MATCH($B34,RunoffChangeAdj!$A:$A,0))</f>
        <v>0</v>
      </c>
      <c r="DH34" s="893">
        <f>INDEX(RunoffChangeAdj!X:X,MATCH($B34,RunoffChangeAdj!$A:$A,0))</f>
        <v>0</v>
      </c>
      <c r="DI34" s="893">
        <f>INDEX(RunoffChangeAdj!Y:Y,MATCH($B34,RunoffChangeAdj!$A:$A,0))</f>
        <v>0</v>
      </c>
      <c r="DJ34" s="893">
        <f>INDEX(RunoffChangeAdj!Z:Z,MATCH($B34,RunoffChangeAdj!$A:$A,0))</f>
        <v>0</v>
      </c>
      <c r="DK34" s="893">
        <f>INDEX(RunoffChangeAdj!AA:AA,MATCH($B34,RunoffChangeAdj!$A:$A,0))</f>
        <v>0</v>
      </c>
      <c r="DL34" s="893">
        <f>INDEX(RunoffChangeAdj!AB:AB,MATCH($B34,RunoffChangeAdj!$A:$A,0))</f>
        <v>0</v>
      </c>
      <c r="DM34" s="893">
        <f>INDEX(RunoffChangeAdj!AC:AC,MATCH($B34,RunoffChangeAdj!$A:$A,0))</f>
        <v>0</v>
      </c>
      <c r="DN34" s="893">
        <f>INDEX(RunoffChangeAdj!AD:AD,MATCH($B34,RunoffChangeAdj!$A:$A,0))</f>
        <v>0</v>
      </c>
      <c r="DO34" s="893">
        <f>INDEX(RunoffChangeAdj!AE:AE,MATCH($B34,RunoffChangeAdj!$A:$A,0))</f>
        <v>0</v>
      </c>
      <c r="DP34" s="893">
        <f>INDEX(RunoffChangeAdj!AF:AF,MATCH($B34,RunoffChangeAdj!$A:$A,0))</f>
        <v>0</v>
      </c>
      <c r="DQ34" s="893">
        <f>INDEX(RunoffChangeAdj!AG:AG,MATCH($B34,RunoffChangeAdj!$A:$A,0))</f>
        <v>0</v>
      </c>
      <c r="DR34" s="893">
        <f>INDEX(RunoffChangeAdj!AH:AH,MATCH($B34,RunoffChangeAdj!$A:$A,0))</f>
        <v>0</v>
      </c>
      <c r="DS34" s="893">
        <f>INDEX(RunoffChangeAdj!AI:AI,MATCH($B34,RunoffChangeAdj!$A:$A,0))</f>
        <v>0</v>
      </c>
      <c r="DT34" s="893">
        <f>INDEX(RunoffChangeAdj!AJ:AJ,MATCH($B34,RunoffChangeAdj!$A:$A,0))</f>
        <v>0</v>
      </c>
      <c r="DU34" s="893">
        <f>INDEX(RunoffChangeAdj!AK:AK,MATCH($B34,RunoffChangeAdj!$A:$A,0))</f>
        <v>0</v>
      </c>
      <c r="DV34" s="893">
        <f>INDEX(RunoffChangeAdj!AL:AL,MATCH($B34,RunoffChangeAdj!$A:$A,0))</f>
        <v>0</v>
      </c>
      <c r="DW34" s="893">
        <f>INDEX(RunoffChangeAdj!AM:AM,MATCH($B34,RunoffChangeAdj!$A:$A,0))</f>
        <v>0</v>
      </c>
      <c r="DX34" s="893">
        <f>INDEX(RunoffChangeAdj!AN:AN,MATCH($B34,RunoffChangeAdj!$A:$A,0))</f>
        <v>0</v>
      </c>
      <c r="DY34" s="893">
        <f>INDEX(RunoffChangeAdj!AO:AO,MATCH($B34,RunoffChangeAdj!$A:$A,0))</f>
        <v>0</v>
      </c>
      <c r="DZ34" s="893">
        <f>INDEX(RunoffChangeAdj!AP:AP,MATCH($B34,RunoffChangeAdj!$A:$A,0))</f>
        <v>0</v>
      </c>
      <c r="EA34" s="893">
        <f>INDEX(RunoffChangeAdj!AQ:AQ,MATCH($B34,RunoffChangeAdj!$A:$A,0))</f>
        <v>0</v>
      </c>
      <c r="EB34" s="893">
        <f>INDEX(RunoffChangeAdj!AR:AR,MATCH($B34,RunoffChangeAdj!$A:$A,0))</f>
        <v>0</v>
      </c>
      <c r="EC34" s="893">
        <f>INDEX(RunoffChangeAdj!AS:AS,MATCH($B34,RunoffChangeAdj!$A:$A,0))</f>
        <v>0</v>
      </c>
      <c r="ED34" s="893">
        <f>INDEX(RunoffChangeAdj!AT:AT,MATCH($B34,RunoffChangeAdj!$A:$A,0))</f>
        <v>0</v>
      </c>
      <c r="EE34" s="893">
        <f>INDEX(RunoffChangeAdj!AU:AU,MATCH($B34,RunoffChangeAdj!$A:$A,0))</f>
        <v>0</v>
      </c>
      <c r="EF34" s="893">
        <f>INDEX(RunoffChangeAdj!AV:AV,MATCH($B34,RunoffChangeAdj!$A:$A,0))</f>
        <v>0</v>
      </c>
      <c r="EG34" s="893">
        <f>INDEX(RunoffChangeAdj!AW:AW,MATCH($B34,RunoffChangeAdj!$A:$A,0))</f>
        <v>0</v>
      </c>
      <c r="EH34" s="893">
        <f>INDEX(RunoffChangeAdj!AX:AX,MATCH($B34,RunoffChangeAdj!$A:$A,0))</f>
        <v>0</v>
      </c>
      <c r="EI34" s="893">
        <f>INDEX(RunoffChangeAdj!AY:AY,MATCH($B34,RunoffChangeAdj!$A:$A,0))</f>
        <v>0</v>
      </c>
      <c r="EJ34" s="893">
        <f>INDEX(RunoffChangeAdj!AZ:AZ,MATCH($B34,RunoffChangeAdj!$A:$A,0))</f>
        <v>0</v>
      </c>
      <c r="EK34" s="893">
        <f>INDEX(RunoffChangeAdj!BA:BA,MATCH($B34,RunoffChangeAdj!$A:$A,0))</f>
        <v>0</v>
      </c>
      <c r="EL34" s="893">
        <f>INDEX(RunoffChangeAdj!BB:BB,MATCH($B34,RunoffChangeAdj!$A:$A,0))</f>
        <v>0</v>
      </c>
      <c r="EM34" s="893">
        <f>INDEX(RunoffChangeAdj!BC:BC,MATCH($B34,RunoffChangeAdj!$A:$A,0))</f>
        <v>0</v>
      </c>
      <c r="FQ34" s="898"/>
      <c r="FS34" s="898"/>
      <c r="FT34" s="898"/>
      <c r="FU34" s="898"/>
      <c r="FV34" s="898"/>
      <c r="FW34" s="898"/>
      <c r="FX34" s="898"/>
      <c r="FY34" s="898"/>
      <c r="FZ34" s="898"/>
      <c r="GA34" s="898"/>
      <c r="GB34" s="898"/>
      <c r="GC34" s="898"/>
      <c r="GD34" s="898"/>
      <c r="GE34" s="898"/>
      <c r="GF34" s="898"/>
      <c r="GG34" s="898"/>
      <c r="GH34" s="898"/>
      <c r="GJ34" s="898"/>
      <c r="GK34" s="898"/>
      <c r="GL34" s="898"/>
      <c r="GM34" s="898"/>
      <c r="GN34" s="898"/>
      <c r="GO34" s="898"/>
      <c r="GP34" s="898"/>
      <c r="GQ34" s="898"/>
      <c r="GR34" s="898"/>
      <c r="GS34" s="898"/>
      <c r="GT34" s="898"/>
      <c r="GU34" s="898"/>
      <c r="GV34" s="898"/>
      <c r="GW34" s="898"/>
      <c r="GX34" s="898"/>
      <c r="GY34" s="898"/>
      <c r="HA34" s="898"/>
      <c r="HB34" s="898"/>
      <c r="HC34" s="898"/>
      <c r="HD34" s="898"/>
      <c r="HE34" s="898"/>
      <c r="HF34" s="898"/>
      <c r="HG34" s="898"/>
      <c r="HH34" s="898"/>
      <c r="HI34" s="898"/>
      <c r="HJ34" s="898"/>
      <c r="HK34" s="898"/>
      <c r="HL34" s="898"/>
      <c r="HM34" s="898"/>
      <c r="HN34" s="898"/>
      <c r="HO34" s="898"/>
      <c r="HP34" s="898"/>
    </row>
    <row r="35" spans="1:224">
      <c r="A35" s="816" t="s">
        <v>1237</v>
      </c>
      <c r="B35" s="816">
        <v>98</v>
      </c>
      <c r="C35" s="816">
        <v>1</v>
      </c>
      <c r="D35" s="816">
        <f t="shared" si="0"/>
        <v>0</v>
      </c>
      <c r="E35" s="816">
        <v>0</v>
      </c>
      <c r="F35" s="816" t="str">
        <f>INDEX('Data Interface'!$C:$C,MATCH(B35,'Data Interface'!$B:$B,0))</f>
        <v>REPO Assets</v>
      </c>
      <c r="G35" s="894">
        <f ca="1">IF($C35=1,$AJ35,SUM($AJ35:$AL35)*INDEX('Schedule Allocation'!G:G,MATCH($D35,'Schedule Allocation'!$A:$A,0)))</f>
        <v>1</v>
      </c>
      <c r="H35" s="894">
        <f ca="1">IF($C35=1,$AK35,SUM($AJ35:$AL35)*INDEX('Schedule Allocation'!H:H,MATCH($D35,'Schedule Allocation'!$A:$A,0)))</f>
        <v>1</v>
      </c>
      <c r="I35" s="894">
        <f ca="1">IF($C35=1,$AK35,SUM($AJ35:$AL35)*INDEX('Schedule Allocation'!I:I,MATCH($D35,'Schedule Allocation'!$A:$A,0)))</f>
        <v>1</v>
      </c>
      <c r="J35" s="894">
        <f ca="1">IF($C35=1,$AK35,SUM($AJ35:$AL35)*INDEX('Schedule Allocation'!J:J,MATCH($D35,'Schedule Allocation'!$A:$A,0)))</f>
        <v>1</v>
      </c>
      <c r="K35" s="894">
        <f ca="1">IF($C35=1,$AK35,SUM($AJ35:$AL35)*INDEX('Schedule Allocation'!K:K,MATCH($D35,'Schedule Allocation'!$A:$A,0)))</f>
        <v>1</v>
      </c>
      <c r="L35" s="894">
        <f ca="1">IF($C35=1,$AK35,SUM($AJ35:$AL35)*INDEX('Schedule Allocation'!L:L,MATCH($D35,'Schedule Allocation'!$A:$A,0)))</f>
        <v>1</v>
      </c>
      <c r="M35" s="894">
        <f ca="1">IF($C35=1,$AK35,SUM($AJ35:$AL35)*INDEX('Schedule Allocation'!M:M,MATCH($D35,'Schedule Allocation'!$A:$A,0)))</f>
        <v>1</v>
      </c>
      <c r="N35" s="894">
        <f ca="1">IF($C35=1,$AL35,SUM($AJ35:$AL35)*INDEX('Schedule Allocation'!N:N,MATCH($D35,'Schedule Allocation'!$A:$A,0)))</f>
        <v>1</v>
      </c>
      <c r="O35" s="894">
        <f ca="1">IF($C35=1,$AL35,SUM($AJ35:$AL35)*INDEX('Schedule Allocation'!O:O,MATCH($D35,'Schedule Allocation'!$A:$A,0)))</f>
        <v>1</v>
      </c>
      <c r="P35" s="894">
        <f ca="1">IF($C35=1,$AL35,SUM($AJ35:$AL35)*INDEX('Schedule Allocation'!P:P,MATCH($D35,'Schedule Allocation'!$A:$A,0)))</f>
        <v>1</v>
      </c>
      <c r="Q35" s="894">
        <f ca="1">IF($C35=1,$AL35,SUM($AJ35:$AL35)*INDEX('Schedule Allocation'!Q:Q,MATCH($D35,'Schedule Allocation'!$A:$A,0)))</f>
        <v>1</v>
      </c>
      <c r="R35" s="894">
        <f ca="1">IF($C35=1,$AL35,SUM($AJ35:$AL35)*INDEX('Schedule Allocation'!R:R,MATCH($D35,'Schedule Allocation'!$A:$A,0)))</f>
        <v>1</v>
      </c>
      <c r="S35" s="894">
        <f ca="1">IF($C35=1,$AL35,SUM($AJ35:$AL35)*INDEX('Schedule Allocation'!S:S,MATCH($D35,'Schedule Allocation'!$A:$A,0)))</f>
        <v>1</v>
      </c>
      <c r="T35" s="894">
        <f ca="1">IF($C35=1,$AL35,SUM($AJ35:$AL35)*INDEX('Schedule Allocation'!T:T,MATCH($D35,'Schedule Allocation'!$A:$A,0)))</f>
        <v>1</v>
      </c>
      <c r="U35" s="894">
        <f ca="1">OFFSET(AT35,0,(MATCH('Model Report Formatized'!$E$1,$AN$1:$AN$6,0))*17-17)</f>
        <v>1</v>
      </c>
      <c r="V35" s="894">
        <f ca="1">OFFSET(AU35,0,(MATCH('Model Report Formatized'!$E$1,$AN$1:$AN$6,0))*17-17)</f>
        <v>1</v>
      </c>
      <c r="W35" s="894">
        <f ca="1">OFFSET(AV35,0,(MATCH('Model Report Formatized'!$E$1,$AN$1:$AN$6,0))*17-17)</f>
        <v>1</v>
      </c>
      <c r="X35" s="894">
        <f ca="1">OFFSET(AW35,0,(MATCH('Model Report Formatized'!$E$1,$AN$1:$AN$6,0))*17-17)</f>
        <v>1</v>
      </c>
      <c r="Y35" s="894">
        <f ca="1">OFFSET(AX35,0,(MATCH('Model Report Formatized'!$E$1,$AN$1:$AN$6,0))*17-17)</f>
        <v>1</v>
      </c>
      <c r="Z35" s="894">
        <f ca="1">OFFSET(AY35,0,(MATCH('Model Report Formatized'!$E$1,$AN$1:$AN$6,0))*17-17)</f>
        <v>1</v>
      </c>
      <c r="AA35" s="894">
        <f ca="1">OFFSET(AZ35,0,(MATCH('Model Report Formatized'!$E$1,$AN$1:$AN$6,0))*17-17)</f>
        <v>1</v>
      </c>
      <c r="AB35" s="894">
        <f ca="1">OFFSET(BA35,0,(MATCH('Model Report Formatized'!$E$1,$AN$1:$AN$6,0))*17-17)</f>
        <v>1</v>
      </c>
      <c r="AC35" s="894">
        <f ca="1">OFFSET(BB35,0,(MATCH('Model Report Formatized'!$E$1,$AN$1:$AN$6,0))*17-17)</f>
        <v>1</v>
      </c>
      <c r="AD35" s="894">
        <f ca="1">OFFSET(BC35,0,(MATCH('Model Report Formatized'!$E$1,$AN$1:$AN$6,0))*17-17)</f>
        <v>1</v>
      </c>
      <c r="AE35" s="894">
        <f ca="1">OFFSET(BD35,0,(MATCH('Model Report Formatized'!$E$1,$AN$1:$AN$6,0))*17-17)</f>
        <v>1</v>
      </c>
      <c r="AF35" s="894">
        <f ca="1">OFFSET(BE35,0,(MATCH('Model Report Formatized'!$E$1,$AN$1:$AN$6,0))*17-17)</f>
        <v>1</v>
      </c>
      <c r="AG35" s="894">
        <f ca="1">OFFSET(BF35,0,(MATCH('Model Report Formatized'!$E$1,$AN$1:$AN$6,0))*17-17)</f>
        <v>1</v>
      </c>
      <c r="AH35" s="891">
        <f t="shared" ca="1" si="1"/>
        <v>1</v>
      </c>
      <c r="AJ35" s="895">
        <f ca="1">OFFSET(AQ35,0,(MATCH('Model Report Formatized'!$E$1,$AN$1:$AN$6,0))*17-17)</f>
        <v>1</v>
      </c>
      <c r="AK35" s="895">
        <f ca="1">OFFSET(AR35,0,(MATCH('Model Report Formatized'!$E$1,$AN$1:$AN$6,0))*17-17)</f>
        <v>1</v>
      </c>
      <c r="AL35" s="895">
        <f ca="1">OFFSET(AS35,0,(MATCH('Model Report Formatized'!$E$1,$AN$1:$AN$6,0))*17-17)</f>
        <v>1</v>
      </c>
      <c r="AQ35" s="893">
        <v>1</v>
      </c>
      <c r="AR35" s="893">
        <v>1</v>
      </c>
      <c r="AS35" s="893">
        <v>1</v>
      </c>
      <c r="AT35" s="893">
        <v>1</v>
      </c>
      <c r="AU35" s="893">
        <v>1</v>
      </c>
      <c r="AV35" s="893">
        <v>1</v>
      </c>
      <c r="AW35" s="893">
        <v>1</v>
      </c>
      <c r="AX35" s="893">
        <v>1</v>
      </c>
      <c r="AY35" s="893">
        <v>1</v>
      </c>
      <c r="AZ35" s="893">
        <v>1</v>
      </c>
      <c r="BA35" s="893">
        <v>1</v>
      </c>
      <c r="BB35" s="893">
        <v>1</v>
      </c>
      <c r="BC35" s="893">
        <v>1</v>
      </c>
      <c r="BD35" s="893">
        <v>1</v>
      </c>
      <c r="BE35" s="893">
        <v>1</v>
      </c>
      <c r="BF35" s="893">
        <v>1</v>
      </c>
      <c r="BH35" s="816">
        <v>1</v>
      </c>
      <c r="BI35" s="816">
        <v>1</v>
      </c>
      <c r="BJ35" s="816">
        <v>1</v>
      </c>
      <c r="BK35" s="816">
        <v>1</v>
      </c>
      <c r="BL35" s="816">
        <v>1</v>
      </c>
      <c r="BM35" s="816">
        <v>1</v>
      </c>
      <c r="BN35" s="816">
        <v>1</v>
      </c>
      <c r="BO35" s="816">
        <v>1</v>
      </c>
      <c r="BP35" s="816">
        <v>1</v>
      </c>
      <c r="BQ35" s="816">
        <v>1</v>
      </c>
      <c r="BR35" s="816">
        <v>1</v>
      </c>
      <c r="BS35" s="816">
        <v>1</v>
      </c>
      <c r="BT35" s="816">
        <v>1</v>
      </c>
      <c r="BU35" s="816">
        <v>1</v>
      </c>
      <c r="BV35" s="816">
        <v>1</v>
      </c>
      <c r="BW35" s="816">
        <v>1</v>
      </c>
      <c r="BY35" s="817">
        <v>1</v>
      </c>
      <c r="BZ35" s="817">
        <v>1</v>
      </c>
      <c r="CA35" s="817">
        <v>1</v>
      </c>
      <c r="CB35" s="817">
        <v>1</v>
      </c>
      <c r="CC35" s="817">
        <v>1</v>
      </c>
      <c r="CD35" s="817">
        <v>1</v>
      </c>
      <c r="CE35" s="817">
        <v>1</v>
      </c>
      <c r="CF35" s="817">
        <v>1</v>
      </c>
      <c r="CG35" s="817">
        <v>1</v>
      </c>
      <c r="CH35" s="817">
        <v>1</v>
      </c>
      <c r="CI35" s="817">
        <v>1</v>
      </c>
      <c r="CJ35" s="817">
        <v>1</v>
      </c>
      <c r="CK35" s="817">
        <v>1</v>
      </c>
      <c r="CL35" s="817">
        <v>1</v>
      </c>
      <c r="CM35" s="817">
        <v>1</v>
      </c>
      <c r="CN35" s="817">
        <v>1</v>
      </c>
      <c r="CP35" s="875">
        <v>1</v>
      </c>
      <c r="CQ35" s="875">
        <v>1</v>
      </c>
      <c r="CR35" s="875">
        <v>1</v>
      </c>
      <c r="CS35" s="875">
        <v>1</v>
      </c>
      <c r="CT35" s="875">
        <v>1</v>
      </c>
      <c r="CU35" s="875">
        <v>1</v>
      </c>
      <c r="CV35" s="875">
        <v>1</v>
      </c>
      <c r="CW35" s="875">
        <v>1</v>
      </c>
      <c r="CX35" s="875">
        <v>1</v>
      </c>
      <c r="CY35" s="875">
        <v>1</v>
      </c>
      <c r="CZ35" s="875">
        <v>1</v>
      </c>
      <c r="DA35" s="875">
        <v>1</v>
      </c>
      <c r="DB35" s="875">
        <v>1</v>
      </c>
      <c r="DC35" s="875">
        <v>1</v>
      </c>
      <c r="DD35" s="875">
        <v>1</v>
      </c>
      <c r="DE35" s="875">
        <v>1</v>
      </c>
      <c r="DG35" s="816">
        <v>1</v>
      </c>
      <c r="DH35" s="816">
        <v>1</v>
      </c>
      <c r="DI35" s="816">
        <v>1</v>
      </c>
      <c r="DJ35" s="816">
        <v>1</v>
      </c>
      <c r="DK35" s="816">
        <v>1</v>
      </c>
      <c r="DL35" s="816">
        <v>1</v>
      </c>
      <c r="DM35" s="816">
        <v>1</v>
      </c>
      <c r="DN35" s="816">
        <v>1</v>
      </c>
      <c r="DO35" s="816">
        <v>1</v>
      </c>
      <c r="DP35" s="816">
        <v>1</v>
      </c>
      <c r="DQ35" s="816">
        <v>1</v>
      </c>
      <c r="DR35" s="816">
        <v>1</v>
      </c>
      <c r="DS35" s="816">
        <v>1</v>
      </c>
      <c r="DT35" s="816">
        <v>1</v>
      </c>
      <c r="DU35" s="816">
        <v>1</v>
      </c>
      <c r="DV35" s="816">
        <v>1</v>
      </c>
      <c r="DX35" s="816">
        <v>1</v>
      </c>
      <c r="DY35" s="816">
        <v>1</v>
      </c>
      <c r="DZ35" s="816">
        <v>1</v>
      </c>
      <c r="EA35" s="816">
        <v>1</v>
      </c>
      <c r="EB35" s="816">
        <v>1</v>
      </c>
      <c r="EC35" s="816">
        <v>1</v>
      </c>
      <c r="ED35" s="816">
        <v>1</v>
      </c>
      <c r="EE35" s="816">
        <v>1</v>
      </c>
      <c r="EF35" s="816">
        <v>1</v>
      </c>
      <c r="EG35" s="816">
        <v>1</v>
      </c>
      <c r="EH35" s="816">
        <v>1</v>
      </c>
      <c r="EI35" s="816">
        <v>1</v>
      </c>
      <c r="EJ35" s="816">
        <v>1</v>
      </c>
      <c r="EK35" s="816">
        <v>1</v>
      </c>
      <c r="EL35" s="816">
        <v>1</v>
      </c>
      <c r="EM35" s="816">
        <v>1</v>
      </c>
      <c r="FQ35" s="898"/>
      <c r="FS35" s="898"/>
      <c r="FT35" s="898"/>
      <c r="FU35" s="898"/>
      <c r="FV35" s="898"/>
      <c r="FW35" s="898"/>
      <c r="FX35" s="898"/>
      <c r="FY35" s="898"/>
      <c r="FZ35" s="898"/>
      <c r="GA35" s="898"/>
      <c r="GB35" s="898"/>
      <c r="GC35" s="898"/>
      <c r="GD35" s="898"/>
      <c r="GE35" s="898"/>
      <c r="GF35" s="898"/>
      <c r="GG35" s="898"/>
      <c r="GH35" s="898"/>
      <c r="GJ35" s="898"/>
      <c r="GK35" s="898"/>
      <c r="GL35" s="898"/>
      <c r="GM35" s="898"/>
      <c r="GN35" s="898"/>
      <c r="GO35" s="898"/>
      <c r="GP35" s="898"/>
      <c r="GQ35" s="898"/>
      <c r="GR35" s="898"/>
      <c r="GS35" s="898"/>
      <c r="GT35" s="898"/>
      <c r="GU35" s="898"/>
      <c r="GV35" s="898"/>
      <c r="GW35" s="898"/>
      <c r="GX35" s="898"/>
      <c r="GY35" s="898"/>
      <c r="HA35" s="898"/>
      <c r="HB35" s="898"/>
      <c r="HC35" s="898"/>
      <c r="HD35" s="898"/>
      <c r="HE35" s="898"/>
      <c r="HF35" s="898"/>
      <c r="HG35" s="898"/>
      <c r="HH35" s="898"/>
      <c r="HI35" s="898"/>
      <c r="HJ35" s="898"/>
      <c r="HK35" s="898"/>
      <c r="HL35" s="898"/>
      <c r="HM35" s="898"/>
      <c r="HN35" s="898"/>
      <c r="HO35" s="898"/>
      <c r="HP35" s="898"/>
    </row>
    <row r="36" spans="1:224">
      <c r="A36" s="816" t="s">
        <v>1237</v>
      </c>
      <c r="B36" s="816">
        <v>99</v>
      </c>
      <c r="C36" s="816">
        <v>1</v>
      </c>
      <c r="D36" s="816">
        <f t="shared" si="0"/>
        <v>0</v>
      </c>
      <c r="E36" s="816">
        <v>0</v>
      </c>
      <c r="F36" s="816" t="str">
        <f>INDEX('Data Interface'!$C:$C,MATCH(B36,'Data Interface'!$B:$B,0))</f>
        <v>REPO Liabilities</v>
      </c>
      <c r="G36" s="894">
        <f ca="1">IF($C36=1,$AJ36,SUM($AJ36:$AL36)*INDEX('Schedule Allocation'!G:G,MATCH($D36,'Schedule Allocation'!$A:$A,0)))</f>
        <v>1</v>
      </c>
      <c r="H36" s="894">
        <f ca="1">IF($C36=1,$AK36,SUM($AJ36:$AL36)*INDEX('Schedule Allocation'!H:H,MATCH($D36,'Schedule Allocation'!$A:$A,0)))</f>
        <v>1</v>
      </c>
      <c r="I36" s="894">
        <f ca="1">IF($C36=1,$AK36,SUM($AJ36:$AL36)*INDEX('Schedule Allocation'!I:I,MATCH($D36,'Schedule Allocation'!$A:$A,0)))</f>
        <v>1</v>
      </c>
      <c r="J36" s="894">
        <f ca="1">IF($C36=1,$AK36,SUM($AJ36:$AL36)*INDEX('Schedule Allocation'!J:J,MATCH($D36,'Schedule Allocation'!$A:$A,0)))</f>
        <v>1</v>
      </c>
      <c r="K36" s="894">
        <f ca="1">IF($C36=1,$AK36,SUM($AJ36:$AL36)*INDEX('Schedule Allocation'!K:K,MATCH($D36,'Schedule Allocation'!$A:$A,0)))</f>
        <v>1</v>
      </c>
      <c r="L36" s="894">
        <f ca="1">IF($C36=1,$AK36,SUM($AJ36:$AL36)*INDEX('Schedule Allocation'!L:L,MATCH($D36,'Schedule Allocation'!$A:$A,0)))</f>
        <v>1</v>
      </c>
      <c r="M36" s="894">
        <f ca="1">IF($C36=1,$AK36,SUM($AJ36:$AL36)*INDEX('Schedule Allocation'!M:M,MATCH($D36,'Schedule Allocation'!$A:$A,0)))</f>
        <v>1</v>
      </c>
      <c r="N36" s="894">
        <f ca="1">IF($C36=1,$AL36,SUM($AJ36:$AL36)*INDEX('Schedule Allocation'!N:N,MATCH($D36,'Schedule Allocation'!$A:$A,0)))</f>
        <v>1</v>
      </c>
      <c r="O36" s="894">
        <f ca="1">IF($C36=1,$AL36,SUM($AJ36:$AL36)*INDEX('Schedule Allocation'!O:O,MATCH($D36,'Schedule Allocation'!$A:$A,0)))</f>
        <v>1</v>
      </c>
      <c r="P36" s="894">
        <f ca="1">IF($C36=1,$AL36,SUM($AJ36:$AL36)*INDEX('Schedule Allocation'!P:P,MATCH($D36,'Schedule Allocation'!$A:$A,0)))</f>
        <v>1</v>
      </c>
      <c r="Q36" s="894">
        <f ca="1">IF($C36=1,$AL36,SUM($AJ36:$AL36)*INDEX('Schedule Allocation'!Q:Q,MATCH($D36,'Schedule Allocation'!$A:$A,0)))</f>
        <v>1</v>
      </c>
      <c r="R36" s="894">
        <f ca="1">IF($C36=1,$AL36,SUM($AJ36:$AL36)*INDEX('Schedule Allocation'!R:R,MATCH($D36,'Schedule Allocation'!$A:$A,0)))</f>
        <v>1</v>
      </c>
      <c r="S36" s="894">
        <f ca="1">IF($C36=1,$AL36,SUM($AJ36:$AL36)*INDEX('Schedule Allocation'!S:S,MATCH($D36,'Schedule Allocation'!$A:$A,0)))</f>
        <v>1</v>
      </c>
      <c r="T36" s="894">
        <f ca="1">IF($C36=1,$AL36,SUM($AJ36:$AL36)*INDEX('Schedule Allocation'!T:T,MATCH($D36,'Schedule Allocation'!$A:$A,0)))</f>
        <v>1</v>
      </c>
      <c r="U36" s="894">
        <f ca="1">OFFSET(AT36,0,(MATCH('Model Report Formatized'!$E$1,$AN$1:$AN$6,0))*17-17)</f>
        <v>1</v>
      </c>
      <c r="V36" s="894">
        <f ca="1">OFFSET(AU36,0,(MATCH('Model Report Formatized'!$E$1,$AN$1:$AN$6,0))*17-17)</f>
        <v>1</v>
      </c>
      <c r="W36" s="894">
        <f ca="1">OFFSET(AV36,0,(MATCH('Model Report Formatized'!$E$1,$AN$1:$AN$6,0))*17-17)</f>
        <v>1</v>
      </c>
      <c r="X36" s="894">
        <f ca="1">OFFSET(AW36,0,(MATCH('Model Report Formatized'!$E$1,$AN$1:$AN$6,0))*17-17)</f>
        <v>1</v>
      </c>
      <c r="Y36" s="894">
        <f ca="1">OFFSET(AX36,0,(MATCH('Model Report Formatized'!$E$1,$AN$1:$AN$6,0))*17-17)</f>
        <v>1</v>
      </c>
      <c r="Z36" s="894">
        <f ca="1">OFFSET(AY36,0,(MATCH('Model Report Formatized'!$E$1,$AN$1:$AN$6,0))*17-17)</f>
        <v>1</v>
      </c>
      <c r="AA36" s="894">
        <f ca="1">OFFSET(AZ36,0,(MATCH('Model Report Formatized'!$E$1,$AN$1:$AN$6,0))*17-17)</f>
        <v>1</v>
      </c>
      <c r="AB36" s="894">
        <f ca="1">OFFSET(BA36,0,(MATCH('Model Report Formatized'!$E$1,$AN$1:$AN$6,0))*17-17)</f>
        <v>1</v>
      </c>
      <c r="AC36" s="894">
        <f ca="1">OFFSET(BB36,0,(MATCH('Model Report Formatized'!$E$1,$AN$1:$AN$6,0))*17-17)</f>
        <v>1</v>
      </c>
      <c r="AD36" s="894">
        <f ca="1">OFFSET(BC36,0,(MATCH('Model Report Formatized'!$E$1,$AN$1:$AN$6,0))*17-17)</f>
        <v>1</v>
      </c>
      <c r="AE36" s="894">
        <f ca="1">OFFSET(BD36,0,(MATCH('Model Report Formatized'!$E$1,$AN$1:$AN$6,0))*17-17)</f>
        <v>1</v>
      </c>
      <c r="AF36" s="894">
        <f ca="1">OFFSET(BE36,0,(MATCH('Model Report Formatized'!$E$1,$AN$1:$AN$6,0))*17-17)</f>
        <v>1</v>
      </c>
      <c r="AG36" s="894">
        <f ca="1">OFFSET(BF36,0,(MATCH('Model Report Formatized'!$E$1,$AN$1:$AN$6,0))*17-17)</f>
        <v>1</v>
      </c>
      <c r="AH36" s="891">
        <f t="shared" ca="1" si="1"/>
        <v>1</v>
      </c>
      <c r="AJ36" s="895">
        <f ca="1">OFFSET(AQ36,0,(MATCH('Model Report Formatized'!$E$1,$AN$1:$AN$6,0))*17-17)</f>
        <v>1</v>
      </c>
      <c r="AK36" s="895">
        <f ca="1">OFFSET(AR36,0,(MATCH('Model Report Formatized'!$E$1,$AN$1:$AN$6,0))*17-17)</f>
        <v>1</v>
      </c>
      <c r="AL36" s="895">
        <f ca="1">OFFSET(AS36,0,(MATCH('Model Report Formatized'!$E$1,$AN$1:$AN$6,0))*17-17)</f>
        <v>1</v>
      </c>
      <c r="AQ36" s="893">
        <v>1</v>
      </c>
      <c r="AR36" s="893">
        <v>1</v>
      </c>
      <c r="AS36" s="893">
        <v>1</v>
      </c>
      <c r="AT36" s="893">
        <v>1</v>
      </c>
      <c r="AU36" s="893">
        <v>1</v>
      </c>
      <c r="AV36" s="893">
        <v>1</v>
      </c>
      <c r="AW36" s="893">
        <v>1</v>
      </c>
      <c r="AX36" s="893">
        <v>1</v>
      </c>
      <c r="AY36" s="893">
        <v>1</v>
      </c>
      <c r="AZ36" s="893">
        <v>1</v>
      </c>
      <c r="BA36" s="893">
        <v>1</v>
      </c>
      <c r="BB36" s="893">
        <v>1</v>
      </c>
      <c r="BC36" s="893">
        <v>1</v>
      </c>
      <c r="BD36" s="893">
        <v>1</v>
      </c>
      <c r="BE36" s="893">
        <v>1</v>
      </c>
      <c r="BF36" s="893">
        <v>1</v>
      </c>
      <c r="BH36" s="816">
        <v>1</v>
      </c>
      <c r="BI36" s="816">
        <v>1</v>
      </c>
      <c r="BJ36" s="816">
        <v>1</v>
      </c>
      <c r="BK36" s="816">
        <v>1</v>
      </c>
      <c r="BL36" s="816">
        <v>1</v>
      </c>
      <c r="BM36" s="816">
        <v>1</v>
      </c>
      <c r="BN36" s="816">
        <v>1</v>
      </c>
      <c r="BO36" s="816">
        <v>1</v>
      </c>
      <c r="BP36" s="816">
        <v>1</v>
      </c>
      <c r="BQ36" s="816">
        <v>1</v>
      </c>
      <c r="BR36" s="816">
        <v>1</v>
      </c>
      <c r="BS36" s="816">
        <v>1</v>
      </c>
      <c r="BT36" s="816">
        <v>1</v>
      </c>
      <c r="BU36" s="816">
        <v>1</v>
      </c>
      <c r="BV36" s="816">
        <v>1</v>
      </c>
      <c r="BW36" s="816">
        <v>1</v>
      </c>
      <c r="BY36" s="817">
        <v>1</v>
      </c>
      <c r="BZ36" s="817">
        <v>1</v>
      </c>
      <c r="CA36" s="817">
        <v>1</v>
      </c>
      <c r="CB36" s="817">
        <v>1</v>
      </c>
      <c r="CC36" s="817">
        <v>1</v>
      </c>
      <c r="CD36" s="817">
        <v>1</v>
      </c>
      <c r="CE36" s="817">
        <v>1</v>
      </c>
      <c r="CF36" s="817">
        <v>1</v>
      </c>
      <c r="CG36" s="817">
        <v>1</v>
      </c>
      <c r="CH36" s="817">
        <v>1</v>
      </c>
      <c r="CI36" s="817">
        <v>1</v>
      </c>
      <c r="CJ36" s="817">
        <v>1</v>
      </c>
      <c r="CK36" s="817">
        <v>1</v>
      </c>
      <c r="CL36" s="817">
        <v>1</v>
      </c>
      <c r="CM36" s="817">
        <v>1</v>
      </c>
      <c r="CN36" s="817">
        <v>1</v>
      </c>
      <c r="CP36" s="875">
        <v>1</v>
      </c>
      <c r="CQ36" s="875">
        <v>1</v>
      </c>
      <c r="CR36" s="875">
        <v>1</v>
      </c>
      <c r="CS36" s="875">
        <v>1</v>
      </c>
      <c r="CT36" s="875">
        <v>1</v>
      </c>
      <c r="CU36" s="875">
        <v>1</v>
      </c>
      <c r="CV36" s="875">
        <v>1</v>
      </c>
      <c r="CW36" s="875">
        <v>1</v>
      </c>
      <c r="CX36" s="875">
        <v>1</v>
      </c>
      <c r="CY36" s="875">
        <v>1</v>
      </c>
      <c r="CZ36" s="875">
        <v>1</v>
      </c>
      <c r="DA36" s="875">
        <v>1</v>
      </c>
      <c r="DB36" s="875">
        <v>1</v>
      </c>
      <c r="DC36" s="875">
        <v>1</v>
      </c>
      <c r="DD36" s="875">
        <v>1</v>
      </c>
      <c r="DE36" s="875">
        <v>1</v>
      </c>
      <c r="DG36" s="816">
        <v>1</v>
      </c>
      <c r="DH36" s="816">
        <v>1</v>
      </c>
      <c r="DI36" s="816">
        <v>1</v>
      </c>
      <c r="DJ36" s="816">
        <v>1</v>
      </c>
      <c r="DK36" s="816">
        <v>1</v>
      </c>
      <c r="DL36" s="816">
        <v>1</v>
      </c>
      <c r="DM36" s="816">
        <v>1</v>
      </c>
      <c r="DN36" s="816">
        <v>1</v>
      </c>
      <c r="DO36" s="816">
        <v>1</v>
      </c>
      <c r="DP36" s="816">
        <v>1</v>
      </c>
      <c r="DQ36" s="816">
        <v>1</v>
      </c>
      <c r="DR36" s="816">
        <v>1</v>
      </c>
      <c r="DS36" s="816">
        <v>1</v>
      </c>
      <c r="DT36" s="816">
        <v>1</v>
      </c>
      <c r="DU36" s="816">
        <v>1</v>
      </c>
      <c r="DV36" s="816">
        <v>1</v>
      </c>
      <c r="DX36" s="816">
        <v>1</v>
      </c>
      <c r="DY36" s="816">
        <v>1</v>
      </c>
      <c r="DZ36" s="816">
        <v>1</v>
      </c>
      <c r="EA36" s="816">
        <v>1</v>
      </c>
      <c r="EB36" s="816">
        <v>1</v>
      </c>
      <c r="EC36" s="816">
        <v>1</v>
      </c>
      <c r="ED36" s="816">
        <v>1</v>
      </c>
      <c r="EE36" s="816">
        <v>1</v>
      </c>
      <c r="EF36" s="816">
        <v>1</v>
      </c>
      <c r="EG36" s="816">
        <v>1</v>
      </c>
      <c r="EH36" s="816">
        <v>1</v>
      </c>
      <c r="EI36" s="816">
        <v>1</v>
      </c>
      <c r="EJ36" s="816">
        <v>1</v>
      </c>
      <c r="EK36" s="816">
        <v>1</v>
      </c>
      <c r="EL36" s="816">
        <v>1</v>
      </c>
      <c r="EM36" s="816">
        <v>1</v>
      </c>
      <c r="FQ36" s="898"/>
      <c r="FS36" s="898"/>
      <c r="FT36" s="898"/>
      <c r="FU36" s="898"/>
      <c r="FV36" s="898"/>
      <c r="FW36" s="898"/>
      <c r="FX36" s="898"/>
      <c r="FY36" s="898"/>
      <c r="FZ36" s="898"/>
      <c r="GA36" s="898"/>
      <c r="GB36" s="898"/>
      <c r="GC36" s="898"/>
      <c r="GD36" s="898"/>
      <c r="GE36" s="898"/>
      <c r="GF36" s="898"/>
      <c r="GG36" s="898"/>
      <c r="GH36" s="898"/>
      <c r="GJ36" s="898"/>
      <c r="GK36" s="898"/>
      <c r="GL36" s="898"/>
      <c r="GM36" s="898"/>
      <c r="GN36" s="898"/>
      <c r="GO36" s="898"/>
      <c r="GP36" s="898"/>
      <c r="GQ36" s="898"/>
      <c r="GR36" s="898"/>
      <c r="GS36" s="898"/>
      <c r="GT36" s="898"/>
      <c r="GU36" s="898"/>
      <c r="GV36" s="898"/>
      <c r="GW36" s="898"/>
      <c r="GX36" s="898"/>
      <c r="GY36" s="898"/>
      <c r="HA36" s="898"/>
      <c r="HB36" s="898"/>
      <c r="HC36" s="898"/>
      <c r="HD36" s="898"/>
      <c r="HE36" s="898"/>
      <c r="HF36" s="898"/>
      <c r="HG36" s="898"/>
      <c r="HH36" s="898"/>
      <c r="HI36" s="898"/>
      <c r="HJ36" s="898"/>
      <c r="HK36" s="898"/>
      <c r="HL36" s="898"/>
      <c r="HM36" s="898"/>
      <c r="HN36" s="898"/>
      <c r="HO36" s="898"/>
      <c r="HP36" s="898"/>
    </row>
    <row r="37" spans="1:224">
      <c r="AJ37" s="895">
        <f ca="1">OFFSET(AQ37,0,(MATCH('Model Report Formatized'!$E$1,$AN$1:$AN$6,0))*17-17)</f>
        <v>0</v>
      </c>
      <c r="AK37" s="895">
        <f ca="1">OFFSET(AR37,0,(MATCH('Model Report Formatized'!$E$1,$AN$1:$AN$6,0))*17-17)</f>
        <v>0</v>
      </c>
      <c r="AL37" s="895">
        <f ca="1">OFFSET(AS37,0,(MATCH('Model Report Formatized'!$E$1,$AN$1:$AN$6,0))*17-17)</f>
        <v>0</v>
      </c>
      <c r="AQ37" s="893"/>
      <c r="AR37" s="893"/>
      <c r="AS37" s="893"/>
      <c r="AT37" s="893"/>
      <c r="AU37" s="893"/>
      <c r="AV37" s="893"/>
      <c r="AW37" s="893"/>
      <c r="AX37" s="893"/>
      <c r="AY37" s="893"/>
      <c r="AZ37" s="893"/>
      <c r="BA37" s="893"/>
      <c r="BB37" s="893"/>
      <c r="BC37" s="893"/>
      <c r="BD37" s="893"/>
      <c r="BE37" s="893"/>
      <c r="BF37" s="893"/>
      <c r="BY37" s="817"/>
      <c r="BZ37" s="817"/>
      <c r="CA37" s="817"/>
      <c r="CB37" s="817"/>
      <c r="CC37" s="817"/>
      <c r="CD37" s="817"/>
      <c r="CE37" s="817"/>
      <c r="CF37" s="817"/>
      <c r="CG37" s="817"/>
      <c r="CH37" s="817"/>
      <c r="CI37" s="817"/>
      <c r="CJ37" s="817"/>
      <c r="CK37" s="817"/>
      <c r="CL37" s="817"/>
      <c r="CM37" s="817"/>
      <c r="CN37" s="817"/>
      <c r="CP37" s="875"/>
      <c r="CQ37" s="875"/>
      <c r="CR37" s="875"/>
      <c r="CS37" s="875"/>
      <c r="CT37" s="875"/>
      <c r="CU37" s="875"/>
      <c r="CV37" s="875"/>
      <c r="CW37" s="875"/>
      <c r="CX37" s="875"/>
      <c r="CY37" s="875"/>
      <c r="CZ37" s="875"/>
      <c r="DA37" s="875"/>
      <c r="DB37" s="875"/>
      <c r="DC37" s="875"/>
      <c r="DD37" s="875"/>
      <c r="DE37" s="875"/>
      <c r="FQ37" s="898"/>
      <c r="FS37" s="898"/>
      <c r="FT37" s="898"/>
      <c r="FU37" s="898"/>
      <c r="FV37" s="898"/>
      <c r="FW37" s="898"/>
      <c r="FX37" s="898"/>
      <c r="FY37" s="898"/>
      <c r="FZ37" s="898"/>
      <c r="GA37" s="898"/>
      <c r="GB37" s="898"/>
      <c r="GC37" s="898"/>
      <c r="GD37" s="898"/>
      <c r="GE37" s="898"/>
      <c r="GF37" s="898"/>
      <c r="GG37" s="898"/>
      <c r="GH37" s="898"/>
      <c r="GJ37" s="898"/>
      <c r="GK37" s="898"/>
      <c r="GL37" s="898"/>
      <c r="GM37" s="898"/>
      <c r="GN37" s="898"/>
      <c r="GO37" s="898"/>
      <c r="GP37" s="898"/>
      <c r="GQ37" s="898"/>
      <c r="GR37" s="898"/>
      <c r="GS37" s="898"/>
      <c r="GT37" s="898"/>
      <c r="GU37" s="898"/>
      <c r="GV37" s="898"/>
      <c r="GW37" s="898"/>
      <c r="GX37" s="898"/>
      <c r="GY37" s="898"/>
      <c r="HA37" s="898"/>
      <c r="HB37" s="898"/>
      <c r="HC37" s="898"/>
      <c r="HD37" s="898"/>
      <c r="HE37" s="898"/>
      <c r="HF37" s="898"/>
      <c r="HG37" s="898"/>
      <c r="HH37" s="898"/>
      <c r="HI37" s="898"/>
      <c r="HJ37" s="898"/>
      <c r="HK37" s="898"/>
      <c r="HL37" s="898"/>
      <c r="HM37" s="898"/>
      <c r="HN37" s="898"/>
      <c r="HO37" s="898"/>
      <c r="HP37" s="898"/>
    </row>
    <row r="38" spans="1:224">
      <c r="B38" s="816" t="s">
        <v>1161</v>
      </c>
      <c r="C38" s="816">
        <v>0</v>
      </c>
      <c r="D38" s="816">
        <f t="shared" ref="D38:D66" si="4">IF(OR(AND(ISERROR(SEARCH("Affiliates",F38,1)),ISERROR(SEARCH("Interbranch",F38,1)),ISERROR(SEARCH("Banks",F38,1)),ISERROR(SEARCH("FI",F38,1))),NOT(ISERROR(SEARCH("Non FI",F38,1)))),0,1)</f>
        <v>1</v>
      </c>
      <c r="E38" s="816">
        <v>0</v>
      </c>
      <c r="F38" s="816" t="str">
        <f>INDEX('Data Interface'!$C:$C,MATCH(B38,'Data Interface'!$B:$B,0))</f>
        <v>Due to Affiliate - Demand - US</v>
      </c>
      <c r="G38" s="894">
        <f ca="1">IF($C38=1,$AJ38,SUM($AJ38:$AL38)*INDEX('Schedule Allocation'!G:G,MATCH($D38,'Schedule Allocation'!$A:$A,0)))</f>
        <v>3.9999999999999994E-2</v>
      </c>
      <c r="H38" s="894">
        <f ca="1">IF($C38=1,$AK38,SUM($AJ38:$AL38)*INDEX('Schedule Allocation'!H:H,MATCH($D38,'Schedule Allocation'!$A:$A,0)))</f>
        <v>6.6666666666666662E-3</v>
      </c>
      <c r="I38" s="894">
        <f ca="1">IF($C38=1,$AK38,SUM($AJ38:$AL38)*INDEX('Schedule Allocation'!I:I,MATCH($D38,'Schedule Allocation'!$A:$A,0)))</f>
        <v>6.6666666666666662E-3</v>
      </c>
      <c r="J38" s="894">
        <f ca="1">IF($C38=1,$AK38,SUM($AJ38:$AL38)*INDEX('Schedule Allocation'!J:J,MATCH($D38,'Schedule Allocation'!$A:$A,0)))</f>
        <v>6.6666666666666662E-3</v>
      </c>
      <c r="K38" s="894">
        <f ca="1">IF($C38=1,$AK38,SUM($AJ38:$AL38)*INDEX('Schedule Allocation'!K:K,MATCH($D38,'Schedule Allocation'!$A:$A,0)))</f>
        <v>6.6666666666666662E-3</v>
      </c>
      <c r="L38" s="894">
        <f ca="1">IF($C38=1,$AK38,SUM($AJ38:$AL38)*INDEX('Schedule Allocation'!L:L,MATCH($D38,'Schedule Allocation'!$A:$A,0)))</f>
        <v>6.6666666666666662E-3</v>
      </c>
      <c r="M38" s="894">
        <f ca="1">IF($C38=1,$AK38,SUM($AJ38:$AL38)*INDEX('Schedule Allocation'!M:M,MATCH($D38,'Schedule Allocation'!$A:$A,0)))</f>
        <v>6.6666666666666662E-3</v>
      </c>
      <c r="N38" s="894">
        <f ca="1">IF($C38=1,$AL38,SUM($AJ38:$AL38)*INDEX('Schedule Allocation'!N:N,MATCH($D38,'Schedule Allocation'!$A:$A,0)))</f>
        <v>5.7142857142857143E-3</v>
      </c>
      <c r="O38" s="894">
        <f ca="1">IF($C38=1,$AL38,SUM($AJ38:$AL38)*INDEX('Schedule Allocation'!O:O,MATCH($D38,'Schedule Allocation'!$A:$A,0)))</f>
        <v>5.7142857142857143E-3</v>
      </c>
      <c r="P38" s="894">
        <f ca="1">IF($C38=1,$AL38,SUM($AJ38:$AL38)*INDEX('Schedule Allocation'!P:P,MATCH($D38,'Schedule Allocation'!$A:$A,0)))</f>
        <v>5.7142857142857143E-3</v>
      </c>
      <c r="Q38" s="894">
        <f ca="1">IF($C38=1,$AL38,SUM($AJ38:$AL38)*INDEX('Schedule Allocation'!Q:Q,MATCH($D38,'Schedule Allocation'!$A:$A,0)))</f>
        <v>5.7142857142857143E-3</v>
      </c>
      <c r="R38" s="894">
        <f ca="1">IF($C38=1,$AL38,SUM($AJ38:$AL38)*INDEX('Schedule Allocation'!R:R,MATCH($D38,'Schedule Allocation'!$A:$A,0)))</f>
        <v>5.7142857142857143E-3</v>
      </c>
      <c r="S38" s="894">
        <f ca="1">IF($C38=1,$AL38,SUM($AJ38:$AL38)*INDEX('Schedule Allocation'!S:S,MATCH($D38,'Schedule Allocation'!$A:$A,0)))</f>
        <v>5.7142857142857143E-3</v>
      </c>
      <c r="T38" s="894">
        <f ca="1">IF($C38=1,$AL38,SUM($AJ38:$AL38)*INDEX('Schedule Allocation'!T:T,MATCH($D38,'Schedule Allocation'!$A:$A,0)))</f>
        <v>5.7142857142857143E-3</v>
      </c>
      <c r="U38" s="894">
        <f ca="1">OFFSET(AT38,0,(MATCH('Model Report Formatized'!$E$1,$AN$1:$AN$6,0))*17-17)</f>
        <v>1.4999999999999999E-2</v>
      </c>
      <c r="V38" s="894">
        <f ca="1">OFFSET(AU38,0,(MATCH('Model Report Formatized'!$E$1,$AN$1:$AN$6,0))*17-17)</f>
        <v>1.4999999999999999E-2</v>
      </c>
      <c r="W38" s="894">
        <f ca="1">OFFSET(AV38,0,(MATCH('Model Report Formatized'!$E$1,$AN$1:$AN$6,0))*17-17)</f>
        <v>1.4999999999999999E-2</v>
      </c>
      <c r="X38" s="894">
        <f ca="1">OFFSET(AW38,0,(MATCH('Model Report Formatized'!$E$1,$AN$1:$AN$6,0))*17-17)</f>
        <v>1.4999999999999999E-2</v>
      </c>
      <c r="Y38" s="894">
        <f ca="1">OFFSET(AX38,0,(MATCH('Model Report Formatized'!$E$1,$AN$1:$AN$6,0))*17-17)</f>
        <v>4.9999999999999984E-3</v>
      </c>
      <c r="Z38" s="894">
        <f ca="1">OFFSET(AY38,0,(MATCH('Model Report Formatized'!$E$1,$AN$1:$AN$6,0))*17-17)</f>
        <v>4.9999999999999984E-3</v>
      </c>
      <c r="AA38" s="894">
        <f ca="1">OFFSET(AZ38,0,(MATCH('Model Report Formatized'!$E$1,$AN$1:$AN$6,0))*17-17)</f>
        <v>4.9999999999999984E-3</v>
      </c>
      <c r="AB38" s="894">
        <f ca="1">OFFSET(BA38,0,(MATCH('Model Report Formatized'!$E$1,$AN$1:$AN$6,0))*17-17)</f>
        <v>4.9999999999999984E-3</v>
      </c>
      <c r="AC38" s="894">
        <f ca="1">OFFSET(BB38,0,(MATCH('Model Report Formatized'!$E$1,$AN$1:$AN$6,0))*17-17)</f>
        <v>4.9999999999999984E-3</v>
      </c>
      <c r="AD38" s="894">
        <f ca="1">OFFSET(BC38,0,(MATCH('Model Report Formatized'!$E$1,$AN$1:$AN$6,0))*17-17)</f>
        <v>4.9999999999999984E-3</v>
      </c>
      <c r="AE38" s="894">
        <f ca="1">OFFSET(BD38,0,(MATCH('Model Report Formatized'!$E$1,$AN$1:$AN$6,0))*17-17)</f>
        <v>4.9999999999999984E-3</v>
      </c>
      <c r="AF38" s="894">
        <f ca="1">OFFSET(BE38,0,(MATCH('Model Report Formatized'!$E$1,$AN$1:$AN$6,0))*17-17)</f>
        <v>4.9999999999999984E-3</v>
      </c>
      <c r="AG38" s="894">
        <f ca="1">OFFSET(BF38,0,(MATCH('Model Report Formatized'!$E$1,$AN$1:$AN$6,0))*17-17)</f>
        <v>4.9999999999999984E-3</v>
      </c>
      <c r="AH38" s="891">
        <f t="shared" ref="AH38:AH66" ca="1" si="5">IF(C38=1,AG38,SUM(G38:AG38)-SUM(CP38:DE38))</f>
        <v>0</v>
      </c>
      <c r="AJ38" s="895">
        <f ca="1">OFFSET(AQ38,0,(MATCH('Model Report Formatized'!$E$1,$AN$1:$AN$6,0))*17-17)</f>
        <v>1.4999999999999999E-2</v>
      </c>
      <c r="AK38" s="895">
        <f ca="1">OFFSET(AR38,0,(MATCH('Model Report Formatized'!$E$1,$AN$1:$AN$6,0))*17-17)</f>
        <v>5.2499999999999998E-2</v>
      </c>
      <c r="AL38" s="895">
        <f ca="1">OFFSET(AS38,0,(MATCH('Model Report Formatized'!$E$1,$AN$1:$AN$6,0))*17-17)</f>
        <v>5.2499999999999998E-2</v>
      </c>
      <c r="AQ38" s="893">
        <v>0</v>
      </c>
      <c r="AR38" s="893">
        <v>0</v>
      </c>
      <c r="AS38" s="893">
        <v>0</v>
      </c>
      <c r="AT38" s="893">
        <v>0</v>
      </c>
      <c r="AU38" s="893">
        <v>0</v>
      </c>
      <c r="AV38" s="893">
        <v>0</v>
      </c>
      <c r="AW38" s="893">
        <v>0</v>
      </c>
      <c r="AX38" s="893">
        <v>0</v>
      </c>
      <c r="AY38" s="893">
        <v>0</v>
      </c>
      <c r="AZ38" s="893">
        <v>0</v>
      </c>
      <c r="BA38" s="893">
        <v>0</v>
      </c>
      <c r="BB38" s="893">
        <v>0</v>
      </c>
      <c r="BC38" s="893">
        <v>0</v>
      </c>
      <c r="BD38" s="893">
        <v>0</v>
      </c>
      <c r="BE38" s="893">
        <v>0</v>
      </c>
      <c r="BF38" s="893">
        <v>0</v>
      </c>
      <c r="BH38" s="816">
        <v>0</v>
      </c>
      <c r="BI38" s="816">
        <v>0</v>
      </c>
      <c r="BJ38" s="816">
        <v>0</v>
      </c>
      <c r="BK38" s="816">
        <v>0</v>
      </c>
      <c r="BL38" s="816">
        <v>0</v>
      </c>
      <c r="BM38" s="816">
        <v>0</v>
      </c>
      <c r="BN38" s="816">
        <v>0</v>
      </c>
      <c r="BO38" s="816">
        <v>0</v>
      </c>
      <c r="BP38" s="816">
        <v>0</v>
      </c>
      <c r="BQ38" s="816">
        <v>0</v>
      </c>
      <c r="BR38" s="816">
        <v>0</v>
      </c>
      <c r="BS38" s="816">
        <v>0</v>
      </c>
      <c r="BT38" s="816">
        <v>0</v>
      </c>
      <c r="BU38" s="816">
        <v>0</v>
      </c>
      <c r="BV38" s="816">
        <v>0</v>
      </c>
      <c r="BW38" s="816">
        <v>0</v>
      </c>
      <c r="BY38" s="816">
        <v>0</v>
      </c>
      <c r="BZ38" s="816">
        <v>0</v>
      </c>
      <c r="CA38" s="816">
        <v>0</v>
      </c>
      <c r="CB38" s="816">
        <v>0</v>
      </c>
      <c r="CC38" s="816">
        <v>0</v>
      </c>
      <c r="CD38" s="816">
        <v>0</v>
      </c>
      <c r="CE38" s="816">
        <v>0</v>
      </c>
      <c r="CF38" s="816">
        <v>0</v>
      </c>
      <c r="CG38" s="816">
        <v>0</v>
      </c>
      <c r="CH38" s="816">
        <v>0</v>
      </c>
      <c r="CI38" s="816">
        <v>0</v>
      </c>
      <c r="CJ38" s="816">
        <v>0</v>
      </c>
      <c r="CK38" s="816">
        <v>0</v>
      </c>
      <c r="CL38" s="816">
        <v>0</v>
      </c>
      <c r="CM38" s="816">
        <v>0</v>
      </c>
      <c r="CN38" s="816">
        <v>0</v>
      </c>
      <c r="CO38" s="816" t="s">
        <v>1340</v>
      </c>
      <c r="CP38" s="818">
        <f>INDEX('Monthly Run-off Change'!I:I,MATCH($B38,'Monthly Run-off Change'!$E:$E,0))</f>
        <v>1.4999999999999999E-2</v>
      </c>
      <c r="CQ38" s="818">
        <f>INDEX('Monthly Run-off Change'!J:J,MATCH($B38,'Monthly Run-off Change'!$E:$E,0))</f>
        <v>5.2499999999999998E-2</v>
      </c>
      <c r="CR38" s="818">
        <f>INDEX('Monthly Run-off Change'!K:K,MATCH($B38,'Monthly Run-off Change'!$E:$E,0))</f>
        <v>5.2499999999999998E-2</v>
      </c>
      <c r="CS38" s="818">
        <f>INDEX('Monthly Run-off Change'!L:L,MATCH($B38,'Monthly Run-off Change'!$E:$E,0))</f>
        <v>1.4999999999999999E-2</v>
      </c>
      <c r="CT38" s="818">
        <f>INDEX('Monthly Run-off Change'!M:M,MATCH($B38,'Monthly Run-off Change'!$E:$E,0))</f>
        <v>1.4999999999999999E-2</v>
      </c>
      <c r="CU38" s="818">
        <f>INDEX('Monthly Run-off Change'!N:N,MATCH($B38,'Monthly Run-off Change'!$E:$E,0))</f>
        <v>1.4999999999999999E-2</v>
      </c>
      <c r="CV38" s="818">
        <f>INDEX('Monthly Run-off Change'!O:O,MATCH($B38,'Monthly Run-off Change'!$E:$E,0))</f>
        <v>1.4999999999999999E-2</v>
      </c>
      <c r="CW38" s="818">
        <f>INDEX('Monthly Run-off Change'!P:P,MATCH($B38,'Monthly Run-off Change'!$E:$E,0))</f>
        <v>4.9999999999999984E-3</v>
      </c>
      <c r="CX38" s="818">
        <f>INDEX('Monthly Run-off Change'!Q:Q,MATCH($B38,'Monthly Run-off Change'!$E:$E,0))</f>
        <v>4.9999999999999984E-3</v>
      </c>
      <c r="CY38" s="818">
        <f>INDEX('Monthly Run-off Change'!R:R,MATCH($B38,'Monthly Run-off Change'!$E:$E,0))</f>
        <v>4.9999999999999984E-3</v>
      </c>
      <c r="CZ38" s="818">
        <f>INDEX('Monthly Run-off Change'!S:S,MATCH($B38,'Monthly Run-off Change'!$E:$E,0))</f>
        <v>4.9999999999999984E-3</v>
      </c>
      <c r="DA38" s="818">
        <f>INDEX('Monthly Run-off Change'!T:T,MATCH($B38,'Monthly Run-off Change'!$E:$E,0))</f>
        <v>4.9999999999999984E-3</v>
      </c>
      <c r="DB38" s="818">
        <f>INDEX('Monthly Run-off Change'!U:U,MATCH($B38,'Monthly Run-off Change'!$E:$E,0))</f>
        <v>4.9999999999999984E-3</v>
      </c>
      <c r="DC38" s="818">
        <f>INDEX('Monthly Run-off Change'!V:V,MATCH($B38,'Monthly Run-off Change'!$E:$E,0))</f>
        <v>4.9999999999999984E-3</v>
      </c>
      <c r="DD38" s="818">
        <f>INDEX('Monthly Run-off Change'!W:W,MATCH($B38,'Monthly Run-off Change'!$E:$E,0))</f>
        <v>4.9999999999999984E-3</v>
      </c>
      <c r="DE38" s="818">
        <f>INDEX('Monthly Run-off Change'!X:X,MATCH($B38,'Monthly Run-off Change'!$E:$E,0))</f>
        <v>4.9999999999999984E-3</v>
      </c>
      <c r="DF38" s="899">
        <f>INDEX('Monthly Run-off Change'!Y:Y,MATCH($B38,'Monthly Run-off Change'!$E:$E,0))</f>
        <v>0</v>
      </c>
      <c r="DG38" s="899">
        <f>INDEX('Monthly Run-off Change'!Z:Z,MATCH($B38,'Monthly Run-off Change'!$E:$E,0))</f>
        <v>1.2E-2</v>
      </c>
      <c r="DH38" s="899">
        <f>INDEX('Monthly Run-off Change'!AA:AA,MATCH($B38,'Monthly Run-off Change'!$E:$E,0))</f>
        <v>4.2000000000000003E-2</v>
      </c>
      <c r="DI38" s="899">
        <f>INDEX('Monthly Run-off Change'!AB:AB,MATCH($B38,'Monthly Run-off Change'!$E:$E,0))</f>
        <v>4.2000000000000003E-2</v>
      </c>
      <c r="DJ38" s="899">
        <f>INDEX('Monthly Run-off Change'!AC:AC,MATCH($B38,'Monthly Run-off Change'!$E:$E,0))</f>
        <v>1.1999999999999997E-2</v>
      </c>
      <c r="DK38" s="899">
        <f>INDEX('Monthly Run-off Change'!AD:AD,MATCH($B38,'Monthly Run-off Change'!$E:$E,0))</f>
        <v>1.1999999999999997E-2</v>
      </c>
      <c r="DL38" s="899">
        <f>INDEX('Monthly Run-off Change'!AE:AE,MATCH($B38,'Monthly Run-off Change'!$E:$E,0))</f>
        <v>1.1999999999999997E-2</v>
      </c>
      <c r="DM38" s="899">
        <f>INDEX('Monthly Run-off Change'!AF:AF,MATCH($B38,'Monthly Run-off Change'!$E:$E,0))</f>
        <v>1.1999999999999997E-2</v>
      </c>
      <c r="DN38" s="899">
        <f>INDEX('Monthly Run-off Change'!AG:AG,MATCH($B38,'Monthly Run-off Change'!$E:$E,0))</f>
        <v>4.0000000000000001E-3</v>
      </c>
      <c r="DO38" s="899">
        <f>INDEX('Monthly Run-off Change'!AH:AH,MATCH($B38,'Monthly Run-off Change'!$E:$E,0))</f>
        <v>4.0000000000000001E-3</v>
      </c>
      <c r="DP38" s="899">
        <f>INDEX('Monthly Run-off Change'!AI:AI,MATCH($B38,'Monthly Run-off Change'!$E:$E,0))</f>
        <v>4.0000000000000001E-3</v>
      </c>
      <c r="DQ38" s="899">
        <f>INDEX('Monthly Run-off Change'!AJ:AJ,MATCH($B38,'Monthly Run-off Change'!$E:$E,0))</f>
        <v>4.0000000000000001E-3</v>
      </c>
      <c r="DR38" s="899">
        <f>INDEX('Monthly Run-off Change'!AK:AK,MATCH($B38,'Monthly Run-off Change'!$E:$E,0))</f>
        <v>4.0000000000000001E-3</v>
      </c>
      <c r="DS38" s="899">
        <f>INDEX('Monthly Run-off Change'!AL:AL,MATCH($B38,'Monthly Run-off Change'!$E:$E,0))</f>
        <v>4.0000000000000001E-3</v>
      </c>
      <c r="DT38" s="899">
        <f>INDEX('Monthly Run-off Change'!AM:AM,MATCH($B38,'Monthly Run-off Change'!$E:$E,0))</f>
        <v>4.0000000000000001E-3</v>
      </c>
      <c r="DU38" s="899">
        <f>INDEX('Monthly Run-off Change'!AN:AN,MATCH($B38,'Monthly Run-off Change'!$E:$E,0))</f>
        <v>4.0000000000000001E-3</v>
      </c>
      <c r="DV38" s="899">
        <f>INDEX('Monthly Run-off Change'!AO:AO,MATCH($B38,'Monthly Run-off Change'!$E:$E,0))</f>
        <v>4.0000000000000001E-3</v>
      </c>
      <c r="DW38" s="899">
        <f>INDEX('Monthly Run-off Change'!AP:AP,MATCH($B38,'Monthly Run-off Change'!$E:$E,0))</f>
        <v>0</v>
      </c>
      <c r="DX38" s="899">
        <f>INDEX('Monthly Run-off Change'!AQ:AQ,MATCH($B38,'Monthly Run-off Change'!$E:$E,0))</f>
        <v>5.000000000000001E-3</v>
      </c>
      <c r="DY38" s="899">
        <f>INDEX('Monthly Run-off Change'!AR:AR,MATCH($B38,'Monthly Run-off Change'!$E:$E,0))</f>
        <v>1.7500000000000002E-2</v>
      </c>
      <c r="DZ38" s="899">
        <f>INDEX('Monthly Run-off Change'!AS:AS,MATCH($B38,'Monthly Run-off Change'!$E:$E,0))</f>
        <v>1.7500000000000002E-2</v>
      </c>
      <c r="EA38" s="899">
        <f>INDEX('Monthly Run-off Change'!AT:AT,MATCH($B38,'Monthly Run-off Change'!$E:$E,0))</f>
        <v>4.9999999999999975E-3</v>
      </c>
      <c r="EB38" s="899">
        <f>INDEX('Monthly Run-off Change'!AU:AU,MATCH($B38,'Monthly Run-off Change'!$E:$E,0))</f>
        <v>4.9999999999999975E-3</v>
      </c>
      <c r="EC38" s="899">
        <f>INDEX('Monthly Run-off Change'!AV:AV,MATCH($B38,'Monthly Run-off Change'!$E:$E,0))</f>
        <v>4.9999999999999975E-3</v>
      </c>
      <c r="ED38" s="899">
        <f>INDEX('Monthly Run-off Change'!AW:AW,MATCH($B38,'Monthly Run-off Change'!$E:$E,0))</f>
        <v>4.9999999999999975E-3</v>
      </c>
      <c r="EE38" s="899">
        <f>INDEX('Monthly Run-off Change'!AX:AX,MATCH($B38,'Monthly Run-off Change'!$E:$E,0))</f>
        <v>1.6666666666666681E-3</v>
      </c>
      <c r="EF38" s="899">
        <f>INDEX('Monthly Run-off Change'!AY:AY,MATCH($B38,'Monthly Run-off Change'!$E:$E,0))</f>
        <v>1.6666666666666681E-3</v>
      </c>
      <c r="EG38" s="899">
        <f>INDEX('Monthly Run-off Change'!AZ:AZ,MATCH($B38,'Monthly Run-off Change'!$E:$E,0))</f>
        <v>1.6666666666666681E-3</v>
      </c>
      <c r="EH38" s="899">
        <f>INDEX('Monthly Run-off Change'!BA:BA,MATCH($B38,'Monthly Run-off Change'!$E:$E,0))</f>
        <v>1.6666666666666681E-3</v>
      </c>
      <c r="EI38" s="899">
        <f>INDEX('Monthly Run-off Change'!BB:BB,MATCH($B38,'Monthly Run-off Change'!$E:$E,0))</f>
        <v>1.6666666666666681E-3</v>
      </c>
      <c r="EJ38" s="899">
        <f>INDEX('Monthly Run-off Change'!BC:BC,MATCH($B38,'Monthly Run-off Change'!$E:$E,0))</f>
        <v>1.6666666666666681E-3</v>
      </c>
      <c r="EK38" s="899">
        <f>INDEX('Monthly Run-off Change'!BD:BD,MATCH($B38,'Monthly Run-off Change'!$E:$E,0))</f>
        <v>1.6666666666666681E-3</v>
      </c>
      <c r="EL38" s="899">
        <f>INDEX('Monthly Run-off Change'!BE:BE,MATCH($B38,'Monthly Run-off Change'!$E:$E,0))</f>
        <v>1.6666666666666681E-3</v>
      </c>
      <c r="EM38" s="899">
        <f>INDEX('Monthly Run-off Change'!BF:BF,MATCH($B38,'Monthly Run-off Change'!$E:$E,0))</f>
        <v>1.6666666666666681E-3</v>
      </c>
      <c r="FQ38" s="898"/>
      <c r="FS38" s="898"/>
      <c r="FT38" s="898"/>
      <c r="FU38" s="898"/>
      <c r="FV38" s="898"/>
      <c r="FW38" s="898"/>
      <c r="FX38" s="898"/>
      <c r="FY38" s="898"/>
      <c r="FZ38" s="898"/>
      <c r="GA38" s="898"/>
      <c r="GB38" s="898"/>
      <c r="GC38" s="898"/>
      <c r="GD38" s="898"/>
      <c r="GE38" s="898"/>
      <c r="GF38" s="898"/>
      <c r="GG38" s="898"/>
      <c r="GH38" s="898"/>
      <c r="GJ38" s="898"/>
      <c r="GK38" s="898"/>
      <c r="GL38" s="898"/>
      <c r="GM38" s="898"/>
      <c r="GN38" s="898"/>
      <c r="GO38" s="898"/>
      <c r="GP38" s="898"/>
      <c r="GQ38" s="898"/>
      <c r="GR38" s="898"/>
      <c r="GS38" s="898"/>
      <c r="GT38" s="898"/>
      <c r="GU38" s="898"/>
      <c r="GV38" s="898"/>
      <c r="GW38" s="898"/>
      <c r="GX38" s="898"/>
      <c r="GY38" s="898"/>
      <c r="HA38" s="898"/>
      <c r="HB38" s="898"/>
      <c r="HC38" s="898"/>
      <c r="HD38" s="898"/>
      <c r="HE38" s="898"/>
      <c r="HF38" s="898"/>
      <c r="HG38" s="898"/>
      <c r="HH38" s="898"/>
      <c r="HI38" s="898"/>
      <c r="HJ38" s="898"/>
      <c r="HK38" s="898"/>
      <c r="HL38" s="898"/>
      <c r="HM38" s="898"/>
      <c r="HN38" s="898"/>
      <c r="HO38" s="898"/>
      <c r="HP38" s="898"/>
    </row>
    <row r="39" spans="1:224">
      <c r="B39" s="816" t="s">
        <v>1162</v>
      </c>
      <c r="C39" s="816">
        <v>0</v>
      </c>
      <c r="D39" s="816">
        <f t="shared" si="4"/>
        <v>1</v>
      </c>
      <c r="E39" s="816">
        <v>0</v>
      </c>
      <c r="F39" s="816" t="str">
        <f>INDEX('Data Interface'!$C:$C,MATCH(B39,'Data Interface'!$B:$B,0))</f>
        <v>Due to Affiliate - Demand - Non-US</v>
      </c>
      <c r="G39" s="894">
        <f ca="1">IF($C39=1,$AJ39,SUM($AJ39:$AL39)*INDEX('Schedule Allocation'!G:G,MATCH($D39,'Schedule Allocation'!$A:$A,0)))</f>
        <v>3.9999999999999994E-2</v>
      </c>
      <c r="H39" s="894">
        <f ca="1">IF($C39=1,$AK39,SUM($AJ39:$AL39)*INDEX('Schedule Allocation'!H:H,MATCH($D39,'Schedule Allocation'!$A:$A,0)))</f>
        <v>6.6666666666666662E-3</v>
      </c>
      <c r="I39" s="894">
        <f ca="1">IF($C39=1,$AK39,SUM($AJ39:$AL39)*INDEX('Schedule Allocation'!I:I,MATCH($D39,'Schedule Allocation'!$A:$A,0)))</f>
        <v>6.6666666666666662E-3</v>
      </c>
      <c r="J39" s="894">
        <f ca="1">IF($C39=1,$AK39,SUM($AJ39:$AL39)*INDEX('Schedule Allocation'!J:J,MATCH($D39,'Schedule Allocation'!$A:$A,0)))</f>
        <v>6.6666666666666662E-3</v>
      </c>
      <c r="K39" s="894">
        <f ca="1">IF($C39=1,$AK39,SUM($AJ39:$AL39)*INDEX('Schedule Allocation'!K:K,MATCH($D39,'Schedule Allocation'!$A:$A,0)))</f>
        <v>6.6666666666666662E-3</v>
      </c>
      <c r="L39" s="894">
        <f ca="1">IF($C39=1,$AK39,SUM($AJ39:$AL39)*INDEX('Schedule Allocation'!L:L,MATCH($D39,'Schedule Allocation'!$A:$A,0)))</f>
        <v>6.6666666666666662E-3</v>
      </c>
      <c r="M39" s="894">
        <f ca="1">IF($C39=1,$AK39,SUM($AJ39:$AL39)*INDEX('Schedule Allocation'!M:M,MATCH($D39,'Schedule Allocation'!$A:$A,0)))</f>
        <v>6.6666666666666662E-3</v>
      </c>
      <c r="N39" s="894">
        <f ca="1">IF($C39=1,$AL39,SUM($AJ39:$AL39)*INDEX('Schedule Allocation'!N:N,MATCH($D39,'Schedule Allocation'!$A:$A,0)))</f>
        <v>5.7142857142857143E-3</v>
      </c>
      <c r="O39" s="894">
        <f ca="1">IF($C39=1,$AL39,SUM($AJ39:$AL39)*INDEX('Schedule Allocation'!O:O,MATCH($D39,'Schedule Allocation'!$A:$A,0)))</f>
        <v>5.7142857142857143E-3</v>
      </c>
      <c r="P39" s="894">
        <f ca="1">IF($C39=1,$AL39,SUM($AJ39:$AL39)*INDEX('Schedule Allocation'!P:P,MATCH($D39,'Schedule Allocation'!$A:$A,0)))</f>
        <v>5.7142857142857143E-3</v>
      </c>
      <c r="Q39" s="894">
        <f ca="1">IF($C39=1,$AL39,SUM($AJ39:$AL39)*INDEX('Schedule Allocation'!Q:Q,MATCH($D39,'Schedule Allocation'!$A:$A,0)))</f>
        <v>5.7142857142857143E-3</v>
      </c>
      <c r="R39" s="894">
        <f ca="1">IF($C39=1,$AL39,SUM($AJ39:$AL39)*INDEX('Schedule Allocation'!R:R,MATCH($D39,'Schedule Allocation'!$A:$A,0)))</f>
        <v>5.7142857142857143E-3</v>
      </c>
      <c r="S39" s="894">
        <f ca="1">IF($C39=1,$AL39,SUM($AJ39:$AL39)*INDEX('Schedule Allocation'!S:S,MATCH($D39,'Schedule Allocation'!$A:$A,0)))</f>
        <v>5.7142857142857143E-3</v>
      </c>
      <c r="T39" s="894">
        <f ca="1">IF($C39=1,$AL39,SUM($AJ39:$AL39)*INDEX('Schedule Allocation'!T:T,MATCH($D39,'Schedule Allocation'!$A:$A,0)))</f>
        <v>5.7142857142857143E-3</v>
      </c>
      <c r="U39" s="894">
        <f ca="1">OFFSET(AT39,0,(MATCH('Model Report Formatized'!$E$1,$AN$1:$AN$6,0))*17-17)</f>
        <v>1.4999999999999999E-2</v>
      </c>
      <c r="V39" s="894">
        <f ca="1">OFFSET(AU39,0,(MATCH('Model Report Formatized'!$E$1,$AN$1:$AN$6,0))*17-17)</f>
        <v>1.4999999999999999E-2</v>
      </c>
      <c r="W39" s="894">
        <f ca="1">OFFSET(AV39,0,(MATCH('Model Report Formatized'!$E$1,$AN$1:$AN$6,0))*17-17)</f>
        <v>1.4999999999999999E-2</v>
      </c>
      <c r="X39" s="894">
        <f ca="1">OFFSET(AW39,0,(MATCH('Model Report Formatized'!$E$1,$AN$1:$AN$6,0))*17-17)</f>
        <v>1.4999999999999999E-2</v>
      </c>
      <c r="Y39" s="894">
        <f ca="1">OFFSET(AX39,0,(MATCH('Model Report Formatized'!$E$1,$AN$1:$AN$6,0))*17-17)</f>
        <v>4.9999999999999984E-3</v>
      </c>
      <c r="Z39" s="894">
        <f ca="1">OFFSET(AY39,0,(MATCH('Model Report Formatized'!$E$1,$AN$1:$AN$6,0))*17-17)</f>
        <v>4.9999999999999984E-3</v>
      </c>
      <c r="AA39" s="894">
        <f ca="1">OFFSET(AZ39,0,(MATCH('Model Report Formatized'!$E$1,$AN$1:$AN$6,0))*17-17)</f>
        <v>4.9999999999999984E-3</v>
      </c>
      <c r="AB39" s="894">
        <f ca="1">OFFSET(BA39,0,(MATCH('Model Report Formatized'!$E$1,$AN$1:$AN$6,0))*17-17)</f>
        <v>4.9999999999999984E-3</v>
      </c>
      <c r="AC39" s="894">
        <f ca="1">OFFSET(BB39,0,(MATCH('Model Report Formatized'!$E$1,$AN$1:$AN$6,0))*17-17)</f>
        <v>4.9999999999999984E-3</v>
      </c>
      <c r="AD39" s="894">
        <f ca="1">OFFSET(BC39,0,(MATCH('Model Report Formatized'!$E$1,$AN$1:$AN$6,0))*17-17)</f>
        <v>4.9999999999999984E-3</v>
      </c>
      <c r="AE39" s="894">
        <f ca="1">OFFSET(BD39,0,(MATCH('Model Report Formatized'!$E$1,$AN$1:$AN$6,0))*17-17)</f>
        <v>4.9999999999999984E-3</v>
      </c>
      <c r="AF39" s="894">
        <f ca="1">OFFSET(BE39,0,(MATCH('Model Report Formatized'!$E$1,$AN$1:$AN$6,0))*17-17)</f>
        <v>4.9999999999999984E-3</v>
      </c>
      <c r="AG39" s="894">
        <f ca="1">OFFSET(BF39,0,(MATCH('Model Report Formatized'!$E$1,$AN$1:$AN$6,0))*17-17)</f>
        <v>4.9999999999999984E-3</v>
      </c>
      <c r="AH39" s="891">
        <f t="shared" ca="1" si="5"/>
        <v>0</v>
      </c>
      <c r="AJ39" s="895">
        <f ca="1">OFFSET(AQ39,0,(MATCH('Model Report Formatized'!$E$1,$AN$1:$AN$6,0))*17-17)</f>
        <v>1.4999999999999999E-2</v>
      </c>
      <c r="AK39" s="895">
        <f ca="1">OFFSET(AR39,0,(MATCH('Model Report Formatized'!$E$1,$AN$1:$AN$6,0))*17-17)</f>
        <v>5.2499999999999998E-2</v>
      </c>
      <c r="AL39" s="895">
        <f ca="1">OFFSET(AS39,0,(MATCH('Model Report Formatized'!$E$1,$AN$1:$AN$6,0))*17-17)</f>
        <v>5.2499999999999998E-2</v>
      </c>
      <c r="AQ39" s="893">
        <v>0</v>
      </c>
      <c r="AR39" s="893">
        <v>0</v>
      </c>
      <c r="AS39" s="893">
        <v>0</v>
      </c>
      <c r="AT39" s="893">
        <v>0</v>
      </c>
      <c r="AU39" s="893">
        <v>0</v>
      </c>
      <c r="AV39" s="893">
        <v>0</v>
      </c>
      <c r="AW39" s="893">
        <v>0</v>
      </c>
      <c r="AX39" s="893">
        <v>0</v>
      </c>
      <c r="AY39" s="893">
        <v>0</v>
      </c>
      <c r="AZ39" s="893">
        <v>0</v>
      </c>
      <c r="BA39" s="893">
        <v>0</v>
      </c>
      <c r="BB39" s="893">
        <v>0</v>
      </c>
      <c r="BC39" s="893">
        <v>0</v>
      </c>
      <c r="BD39" s="893">
        <v>0</v>
      </c>
      <c r="BE39" s="893">
        <v>0</v>
      </c>
      <c r="BF39" s="893">
        <v>0</v>
      </c>
      <c r="BH39" s="816">
        <v>0</v>
      </c>
      <c r="BI39" s="816">
        <v>0</v>
      </c>
      <c r="BJ39" s="816">
        <v>0</v>
      </c>
      <c r="BK39" s="816">
        <v>0</v>
      </c>
      <c r="BL39" s="816">
        <v>0</v>
      </c>
      <c r="BM39" s="816">
        <v>0</v>
      </c>
      <c r="BN39" s="816">
        <v>0</v>
      </c>
      <c r="BO39" s="816">
        <v>0</v>
      </c>
      <c r="BP39" s="816">
        <v>0</v>
      </c>
      <c r="BQ39" s="816">
        <v>0</v>
      </c>
      <c r="BR39" s="816">
        <v>0</v>
      </c>
      <c r="BS39" s="816">
        <v>0</v>
      </c>
      <c r="BT39" s="816">
        <v>0</v>
      </c>
      <c r="BU39" s="816">
        <v>0</v>
      </c>
      <c r="BV39" s="816">
        <v>0</v>
      </c>
      <c r="BW39" s="816">
        <v>0</v>
      </c>
      <c r="BY39" s="816">
        <v>0</v>
      </c>
      <c r="BZ39" s="816">
        <v>0</v>
      </c>
      <c r="CA39" s="816">
        <v>0</v>
      </c>
      <c r="CB39" s="816">
        <v>0</v>
      </c>
      <c r="CC39" s="816">
        <v>0</v>
      </c>
      <c r="CD39" s="816">
        <v>0</v>
      </c>
      <c r="CE39" s="816">
        <v>0</v>
      </c>
      <c r="CF39" s="816">
        <v>0</v>
      </c>
      <c r="CG39" s="816">
        <v>0</v>
      </c>
      <c r="CH39" s="816">
        <v>0</v>
      </c>
      <c r="CI39" s="816">
        <v>0</v>
      </c>
      <c r="CJ39" s="816">
        <v>0</v>
      </c>
      <c r="CK39" s="816">
        <v>0</v>
      </c>
      <c r="CL39" s="816">
        <v>0</v>
      </c>
      <c r="CM39" s="816">
        <v>0</v>
      </c>
      <c r="CN39" s="816">
        <v>0</v>
      </c>
      <c r="CO39" s="816" t="s">
        <v>1340</v>
      </c>
      <c r="CP39" s="818">
        <f>INDEX('Monthly Run-off Change'!I:I,MATCH($B39,'Monthly Run-off Change'!$E:$E,0))</f>
        <v>1.4999999999999999E-2</v>
      </c>
      <c r="CQ39" s="818">
        <f>INDEX('Monthly Run-off Change'!J:J,MATCH($B39,'Monthly Run-off Change'!$E:$E,0))</f>
        <v>5.2499999999999998E-2</v>
      </c>
      <c r="CR39" s="818">
        <f>INDEX('Monthly Run-off Change'!K:K,MATCH($B39,'Monthly Run-off Change'!$E:$E,0))</f>
        <v>5.2499999999999998E-2</v>
      </c>
      <c r="CS39" s="818">
        <f>INDEX('Monthly Run-off Change'!L:L,MATCH($B39,'Monthly Run-off Change'!$E:$E,0))</f>
        <v>1.4999999999999999E-2</v>
      </c>
      <c r="CT39" s="818">
        <f>INDEX('Monthly Run-off Change'!M:M,MATCH($B39,'Monthly Run-off Change'!$E:$E,0))</f>
        <v>1.4999999999999999E-2</v>
      </c>
      <c r="CU39" s="818">
        <f>INDEX('Monthly Run-off Change'!N:N,MATCH($B39,'Monthly Run-off Change'!$E:$E,0))</f>
        <v>1.4999999999999999E-2</v>
      </c>
      <c r="CV39" s="818">
        <f>INDEX('Monthly Run-off Change'!O:O,MATCH($B39,'Monthly Run-off Change'!$E:$E,0))</f>
        <v>1.4999999999999999E-2</v>
      </c>
      <c r="CW39" s="818">
        <f>INDEX('Monthly Run-off Change'!P:P,MATCH($B39,'Monthly Run-off Change'!$E:$E,0))</f>
        <v>4.9999999999999984E-3</v>
      </c>
      <c r="CX39" s="818">
        <f>INDEX('Monthly Run-off Change'!Q:Q,MATCH($B39,'Monthly Run-off Change'!$E:$E,0))</f>
        <v>4.9999999999999984E-3</v>
      </c>
      <c r="CY39" s="818">
        <f>INDEX('Monthly Run-off Change'!R:R,MATCH($B39,'Monthly Run-off Change'!$E:$E,0))</f>
        <v>4.9999999999999984E-3</v>
      </c>
      <c r="CZ39" s="818">
        <f>INDEX('Monthly Run-off Change'!S:S,MATCH($B39,'Monthly Run-off Change'!$E:$E,0))</f>
        <v>4.9999999999999984E-3</v>
      </c>
      <c r="DA39" s="818">
        <f>INDEX('Monthly Run-off Change'!T:T,MATCH($B39,'Monthly Run-off Change'!$E:$E,0))</f>
        <v>4.9999999999999984E-3</v>
      </c>
      <c r="DB39" s="818">
        <f>INDEX('Monthly Run-off Change'!U:U,MATCH($B39,'Monthly Run-off Change'!$E:$E,0))</f>
        <v>4.9999999999999984E-3</v>
      </c>
      <c r="DC39" s="818">
        <f>INDEX('Monthly Run-off Change'!V:V,MATCH($B39,'Monthly Run-off Change'!$E:$E,0))</f>
        <v>4.9999999999999984E-3</v>
      </c>
      <c r="DD39" s="818">
        <f>INDEX('Monthly Run-off Change'!W:W,MATCH($B39,'Monthly Run-off Change'!$E:$E,0))</f>
        <v>4.9999999999999984E-3</v>
      </c>
      <c r="DE39" s="818">
        <f>INDEX('Monthly Run-off Change'!X:X,MATCH($B39,'Monthly Run-off Change'!$E:$E,0))</f>
        <v>4.9999999999999984E-3</v>
      </c>
      <c r="DF39" s="899">
        <f>INDEX('Monthly Run-off Change'!Y:Y,MATCH($B39,'Monthly Run-off Change'!$E:$E,0))</f>
        <v>0</v>
      </c>
      <c r="DG39" s="899">
        <f>INDEX('Monthly Run-off Change'!Z:Z,MATCH($B39,'Monthly Run-off Change'!$E:$E,0))</f>
        <v>1.2E-2</v>
      </c>
      <c r="DH39" s="899">
        <f>INDEX('Monthly Run-off Change'!AA:AA,MATCH($B39,'Monthly Run-off Change'!$E:$E,0))</f>
        <v>4.2000000000000003E-2</v>
      </c>
      <c r="DI39" s="899">
        <f>INDEX('Monthly Run-off Change'!AB:AB,MATCH($B39,'Monthly Run-off Change'!$E:$E,0))</f>
        <v>4.2000000000000003E-2</v>
      </c>
      <c r="DJ39" s="899">
        <f>INDEX('Monthly Run-off Change'!AC:AC,MATCH($B39,'Monthly Run-off Change'!$E:$E,0))</f>
        <v>1.1999999999999997E-2</v>
      </c>
      <c r="DK39" s="899">
        <f>INDEX('Monthly Run-off Change'!AD:AD,MATCH($B39,'Monthly Run-off Change'!$E:$E,0))</f>
        <v>1.1999999999999997E-2</v>
      </c>
      <c r="DL39" s="899">
        <f>INDEX('Monthly Run-off Change'!AE:AE,MATCH($B39,'Monthly Run-off Change'!$E:$E,0))</f>
        <v>1.1999999999999997E-2</v>
      </c>
      <c r="DM39" s="899">
        <f>INDEX('Monthly Run-off Change'!AF:AF,MATCH($B39,'Monthly Run-off Change'!$E:$E,0))</f>
        <v>1.1999999999999997E-2</v>
      </c>
      <c r="DN39" s="899">
        <f>INDEX('Monthly Run-off Change'!AG:AG,MATCH($B39,'Monthly Run-off Change'!$E:$E,0))</f>
        <v>4.0000000000000001E-3</v>
      </c>
      <c r="DO39" s="899">
        <f>INDEX('Monthly Run-off Change'!AH:AH,MATCH($B39,'Monthly Run-off Change'!$E:$E,0))</f>
        <v>4.0000000000000001E-3</v>
      </c>
      <c r="DP39" s="899">
        <f>INDEX('Monthly Run-off Change'!AI:AI,MATCH($B39,'Monthly Run-off Change'!$E:$E,0))</f>
        <v>4.0000000000000001E-3</v>
      </c>
      <c r="DQ39" s="899">
        <f>INDEX('Monthly Run-off Change'!AJ:AJ,MATCH($B39,'Monthly Run-off Change'!$E:$E,0))</f>
        <v>4.0000000000000001E-3</v>
      </c>
      <c r="DR39" s="899">
        <f>INDEX('Monthly Run-off Change'!AK:AK,MATCH($B39,'Monthly Run-off Change'!$E:$E,0))</f>
        <v>4.0000000000000001E-3</v>
      </c>
      <c r="DS39" s="899">
        <f>INDEX('Monthly Run-off Change'!AL:AL,MATCH($B39,'Monthly Run-off Change'!$E:$E,0))</f>
        <v>4.0000000000000001E-3</v>
      </c>
      <c r="DT39" s="899">
        <f>INDEX('Monthly Run-off Change'!AM:AM,MATCH($B39,'Monthly Run-off Change'!$E:$E,0))</f>
        <v>4.0000000000000001E-3</v>
      </c>
      <c r="DU39" s="899">
        <f>INDEX('Monthly Run-off Change'!AN:AN,MATCH($B39,'Monthly Run-off Change'!$E:$E,0))</f>
        <v>4.0000000000000001E-3</v>
      </c>
      <c r="DV39" s="899">
        <f>INDEX('Monthly Run-off Change'!AO:AO,MATCH($B39,'Monthly Run-off Change'!$E:$E,0))</f>
        <v>4.0000000000000001E-3</v>
      </c>
      <c r="DW39" s="899">
        <f>INDEX('Monthly Run-off Change'!AP:AP,MATCH($B39,'Monthly Run-off Change'!$E:$E,0))</f>
        <v>0</v>
      </c>
      <c r="DX39" s="899">
        <f>INDEX('Monthly Run-off Change'!AQ:AQ,MATCH($B39,'Monthly Run-off Change'!$E:$E,0))</f>
        <v>5.000000000000001E-3</v>
      </c>
      <c r="DY39" s="899">
        <f>INDEX('Monthly Run-off Change'!AR:AR,MATCH($B39,'Monthly Run-off Change'!$E:$E,0))</f>
        <v>1.7500000000000002E-2</v>
      </c>
      <c r="DZ39" s="899">
        <f>INDEX('Monthly Run-off Change'!AS:AS,MATCH($B39,'Monthly Run-off Change'!$E:$E,0))</f>
        <v>1.7500000000000002E-2</v>
      </c>
      <c r="EA39" s="899">
        <f>INDEX('Monthly Run-off Change'!AT:AT,MATCH($B39,'Monthly Run-off Change'!$E:$E,0))</f>
        <v>4.9999999999999975E-3</v>
      </c>
      <c r="EB39" s="899">
        <f>INDEX('Monthly Run-off Change'!AU:AU,MATCH($B39,'Monthly Run-off Change'!$E:$E,0))</f>
        <v>4.9999999999999975E-3</v>
      </c>
      <c r="EC39" s="899">
        <f>INDEX('Monthly Run-off Change'!AV:AV,MATCH($B39,'Monthly Run-off Change'!$E:$E,0))</f>
        <v>4.9999999999999975E-3</v>
      </c>
      <c r="ED39" s="899">
        <f>INDEX('Monthly Run-off Change'!AW:AW,MATCH($B39,'Monthly Run-off Change'!$E:$E,0))</f>
        <v>4.9999999999999975E-3</v>
      </c>
      <c r="EE39" s="899">
        <f>INDEX('Monthly Run-off Change'!AX:AX,MATCH($B39,'Monthly Run-off Change'!$E:$E,0))</f>
        <v>1.6666666666666681E-3</v>
      </c>
      <c r="EF39" s="899">
        <f>INDEX('Monthly Run-off Change'!AY:AY,MATCH($B39,'Monthly Run-off Change'!$E:$E,0))</f>
        <v>1.6666666666666681E-3</v>
      </c>
      <c r="EG39" s="899">
        <f>INDEX('Monthly Run-off Change'!AZ:AZ,MATCH($B39,'Monthly Run-off Change'!$E:$E,0))</f>
        <v>1.6666666666666681E-3</v>
      </c>
      <c r="EH39" s="899">
        <f>INDEX('Monthly Run-off Change'!BA:BA,MATCH($B39,'Monthly Run-off Change'!$E:$E,0))</f>
        <v>1.6666666666666681E-3</v>
      </c>
      <c r="EI39" s="899">
        <f>INDEX('Monthly Run-off Change'!BB:BB,MATCH($B39,'Monthly Run-off Change'!$E:$E,0))</f>
        <v>1.6666666666666681E-3</v>
      </c>
      <c r="EJ39" s="899">
        <f>INDEX('Monthly Run-off Change'!BC:BC,MATCH($B39,'Monthly Run-off Change'!$E:$E,0))</f>
        <v>1.6666666666666681E-3</v>
      </c>
      <c r="EK39" s="899">
        <f>INDEX('Monthly Run-off Change'!BD:BD,MATCH($B39,'Monthly Run-off Change'!$E:$E,0))</f>
        <v>1.6666666666666681E-3</v>
      </c>
      <c r="EL39" s="899">
        <f>INDEX('Monthly Run-off Change'!BE:BE,MATCH($B39,'Monthly Run-off Change'!$E:$E,0))</f>
        <v>1.6666666666666681E-3</v>
      </c>
      <c r="EM39" s="899">
        <f>INDEX('Monthly Run-off Change'!BF:BF,MATCH($B39,'Monthly Run-off Change'!$E:$E,0))</f>
        <v>1.6666666666666681E-3</v>
      </c>
      <c r="FQ39" s="898"/>
      <c r="FS39" s="898"/>
      <c r="FT39" s="898"/>
      <c r="FU39" s="898"/>
      <c r="FV39" s="898"/>
      <c r="FW39" s="898"/>
      <c r="FX39" s="898"/>
      <c r="FY39" s="898"/>
      <c r="FZ39" s="898"/>
      <c r="GA39" s="898"/>
      <c r="GB39" s="898"/>
      <c r="GC39" s="898"/>
      <c r="GD39" s="898"/>
      <c r="GE39" s="898"/>
      <c r="GF39" s="898"/>
      <c r="GG39" s="898"/>
      <c r="GH39" s="898"/>
      <c r="GJ39" s="898"/>
      <c r="GK39" s="898"/>
      <c r="GL39" s="898"/>
      <c r="GM39" s="898"/>
      <c r="GN39" s="898"/>
      <c r="GO39" s="898"/>
      <c r="GP39" s="898"/>
      <c r="GQ39" s="898"/>
      <c r="GR39" s="898"/>
      <c r="GS39" s="898"/>
      <c r="GT39" s="898"/>
      <c r="GU39" s="898"/>
      <c r="GV39" s="898"/>
      <c r="GW39" s="898"/>
      <c r="GX39" s="898"/>
      <c r="GY39" s="898"/>
      <c r="HA39" s="898"/>
      <c r="HB39" s="898"/>
      <c r="HC39" s="898"/>
      <c r="HD39" s="898"/>
      <c r="HE39" s="898"/>
      <c r="HF39" s="898"/>
      <c r="HG39" s="898"/>
      <c r="HH39" s="898"/>
      <c r="HI39" s="898"/>
      <c r="HJ39" s="898"/>
      <c r="HK39" s="898"/>
      <c r="HL39" s="898"/>
      <c r="HM39" s="898"/>
      <c r="HN39" s="898"/>
      <c r="HO39" s="898"/>
      <c r="HP39" s="898"/>
    </row>
    <row r="40" spans="1:224">
      <c r="B40" s="816" t="s">
        <v>1163</v>
      </c>
      <c r="C40" s="816">
        <v>0</v>
      </c>
      <c r="D40" s="816">
        <f t="shared" si="4"/>
        <v>1</v>
      </c>
      <c r="E40" s="816">
        <v>0</v>
      </c>
      <c r="F40" s="816" t="str">
        <f>INDEX('Data Interface'!$C:$C,MATCH(B40,'Data Interface'!$B:$B,0))</f>
        <v>Due to Affiliate - Investment - US</v>
      </c>
      <c r="G40" s="894">
        <f ca="1">IF($C40=1,$AJ40,SUM($AJ40:$AL40)*INDEX('Schedule Allocation'!G:G,MATCH($D40,'Schedule Allocation'!$A:$A,0)))</f>
        <v>3.9999999999999994E-2</v>
      </c>
      <c r="H40" s="894">
        <f ca="1">IF($C40=1,$AK40,SUM($AJ40:$AL40)*INDEX('Schedule Allocation'!H:H,MATCH($D40,'Schedule Allocation'!$A:$A,0)))</f>
        <v>6.6666666666666662E-3</v>
      </c>
      <c r="I40" s="894">
        <f ca="1">IF($C40=1,$AK40,SUM($AJ40:$AL40)*INDEX('Schedule Allocation'!I:I,MATCH($D40,'Schedule Allocation'!$A:$A,0)))</f>
        <v>6.6666666666666662E-3</v>
      </c>
      <c r="J40" s="894">
        <f ca="1">IF($C40=1,$AK40,SUM($AJ40:$AL40)*INDEX('Schedule Allocation'!J:J,MATCH($D40,'Schedule Allocation'!$A:$A,0)))</f>
        <v>6.6666666666666662E-3</v>
      </c>
      <c r="K40" s="894">
        <f ca="1">IF($C40=1,$AK40,SUM($AJ40:$AL40)*INDEX('Schedule Allocation'!K:K,MATCH($D40,'Schedule Allocation'!$A:$A,0)))</f>
        <v>6.6666666666666662E-3</v>
      </c>
      <c r="L40" s="894">
        <f ca="1">IF($C40=1,$AK40,SUM($AJ40:$AL40)*INDEX('Schedule Allocation'!L:L,MATCH($D40,'Schedule Allocation'!$A:$A,0)))</f>
        <v>6.6666666666666662E-3</v>
      </c>
      <c r="M40" s="894">
        <f ca="1">IF($C40=1,$AK40,SUM($AJ40:$AL40)*INDEX('Schedule Allocation'!M:M,MATCH($D40,'Schedule Allocation'!$A:$A,0)))</f>
        <v>6.6666666666666662E-3</v>
      </c>
      <c r="N40" s="894">
        <f ca="1">IF($C40=1,$AL40,SUM($AJ40:$AL40)*INDEX('Schedule Allocation'!N:N,MATCH($D40,'Schedule Allocation'!$A:$A,0)))</f>
        <v>5.7142857142857143E-3</v>
      </c>
      <c r="O40" s="894">
        <f ca="1">IF($C40=1,$AL40,SUM($AJ40:$AL40)*INDEX('Schedule Allocation'!O:O,MATCH($D40,'Schedule Allocation'!$A:$A,0)))</f>
        <v>5.7142857142857143E-3</v>
      </c>
      <c r="P40" s="894">
        <f ca="1">IF($C40=1,$AL40,SUM($AJ40:$AL40)*INDEX('Schedule Allocation'!P:P,MATCH($D40,'Schedule Allocation'!$A:$A,0)))</f>
        <v>5.7142857142857143E-3</v>
      </c>
      <c r="Q40" s="894">
        <f ca="1">IF($C40=1,$AL40,SUM($AJ40:$AL40)*INDEX('Schedule Allocation'!Q:Q,MATCH($D40,'Schedule Allocation'!$A:$A,0)))</f>
        <v>5.7142857142857143E-3</v>
      </c>
      <c r="R40" s="894">
        <f ca="1">IF($C40=1,$AL40,SUM($AJ40:$AL40)*INDEX('Schedule Allocation'!R:R,MATCH($D40,'Schedule Allocation'!$A:$A,0)))</f>
        <v>5.7142857142857143E-3</v>
      </c>
      <c r="S40" s="894">
        <f ca="1">IF($C40=1,$AL40,SUM($AJ40:$AL40)*INDEX('Schedule Allocation'!S:S,MATCH($D40,'Schedule Allocation'!$A:$A,0)))</f>
        <v>5.7142857142857143E-3</v>
      </c>
      <c r="T40" s="894">
        <f ca="1">IF($C40=1,$AL40,SUM($AJ40:$AL40)*INDEX('Schedule Allocation'!T:T,MATCH($D40,'Schedule Allocation'!$A:$A,0)))</f>
        <v>5.7142857142857143E-3</v>
      </c>
      <c r="U40" s="894">
        <f ca="1">OFFSET(AT40,0,(MATCH('Model Report Formatized'!$E$1,$AN$1:$AN$6,0))*17-17)</f>
        <v>1.4999999999999999E-2</v>
      </c>
      <c r="V40" s="894">
        <f ca="1">OFFSET(AU40,0,(MATCH('Model Report Formatized'!$E$1,$AN$1:$AN$6,0))*17-17)</f>
        <v>1.4999999999999999E-2</v>
      </c>
      <c r="W40" s="894">
        <f ca="1">OFFSET(AV40,0,(MATCH('Model Report Formatized'!$E$1,$AN$1:$AN$6,0))*17-17)</f>
        <v>1.4999999999999999E-2</v>
      </c>
      <c r="X40" s="894">
        <f ca="1">OFFSET(AW40,0,(MATCH('Model Report Formatized'!$E$1,$AN$1:$AN$6,0))*17-17)</f>
        <v>1.4999999999999999E-2</v>
      </c>
      <c r="Y40" s="894">
        <f ca="1">OFFSET(AX40,0,(MATCH('Model Report Formatized'!$E$1,$AN$1:$AN$6,0))*17-17)</f>
        <v>4.9999999999999984E-3</v>
      </c>
      <c r="Z40" s="894">
        <f ca="1">OFFSET(AY40,0,(MATCH('Model Report Formatized'!$E$1,$AN$1:$AN$6,0))*17-17)</f>
        <v>4.9999999999999984E-3</v>
      </c>
      <c r="AA40" s="894">
        <f ca="1">OFFSET(AZ40,0,(MATCH('Model Report Formatized'!$E$1,$AN$1:$AN$6,0))*17-17)</f>
        <v>4.9999999999999984E-3</v>
      </c>
      <c r="AB40" s="894">
        <f ca="1">OFFSET(BA40,0,(MATCH('Model Report Formatized'!$E$1,$AN$1:$AN$6,0))*17-17)</f>
        <v>4.9999999999999984E-3</v>
      </c>
      <c r="AC40" s="894">
        <f ca="1">OFFSET(BB40,0,(MATCH('Model Report Formatized'!$E$1,$AN$1:$AN$6,0))*17-17)</f>
        <v>4.9999999999999984E-3</v>
      </c>
      <c r="AD40" s="894">
        <f ca="1">OFFSET(BC40,0,(MATCH('Model Report Formatized'!$E$1,$AN$1:$AN$6,0))*17-17)</f>
        <v>4.9999999999999984E-3</v>
      </c>
      <c r="AE40" s="894">
        <f ca="1">OFFSET(BD40,0,(MATCH('Model Report Formatized'!$E$1,$AN$1:$AN$6,0))*17-17)</f>
        <v>4.9999999999999984E-3</v>
      </c>
      <c r="AF40" s="894">
        <f ca="1">OFFSET(BE40,0,(MATCH('Model Report Formatized'!$E$1,$AN$1:$AN$6,0))*17-17)</f>
        <v>4.9999999999999984E-3</v>
      </c>
      <c r="AG40" s="894">
        <f ca="1">OFFSET(BF40,0,(MATCH('Model Report Formatized'!$E$1,$AN$1:$AN$6,0))*17-17)</f>
        <v>4.9999999999999984E-3</v>
      </c>
      <c r="AH40" s="891">
        <f t="shared" ca="1" si="5"/>
        <v>0</v>
      </c>
      <c r="AJ40" s="895">
        <f ca="1">OFFSET(AQ40,0,(MATCH('Model Report Formatized'!$E$1,$AN$1:$AN$6,0))*17-17)</f>
        <v>1.4999999999999999E-2</v>
      </c>
      <c r="AK40" s="895">
        <f ca="1">OFFSET(AR40,0,(MATCH('Model Report Formatized'!$E$1,$AN$1:$AN$6,0))*17-17)</f>
        <v>5.2499999999999998E-2</v>
      </c>
      <c r="AL40" s="895">
        <f ca="1">OFFSET(AS40,0,(MATCH('Model Report Formatized'!$E$1,$AN$1:$AN$6,0))*17-17)</f>
        <v>5.2499999999999998E-2</v>
      </c>
      <c r="AQ40" s="893">
        <v>0</v>
      </c>
      <c r="AR40" s="893">
        <v>0</v>
      </c>
      <c r="AS40" s="893">
        <v>0</v>
      </c>
      <c r="AT40" s="893">
        <v>0</v>
      </c>
      <c r="AU40" s="893">
        <v>0</v>
      </c>
      <c r="AV40" s="893">
        <v>0</v>
      </c>
      <c r="AW40" s="893">
        <v>0</v>
      </c>
      <c r="AX40" s="893">
        <v>0</v>
      </c>
      <c r="AY40" s="893">
        <v>0</v>
      </c>
      <c r="AZ40" s="893">
        <v>0</v>
      </c>
      <c r="BA40" s="893">
        <v>0</v>
      </c>
      <c r="BB40" s="893">
        <v>0</v>
      </c>
      <c r="BC40" s="893">
        <v>0</v>
      </c>
      <c r="BD40" s="893">
        <v>0</v>
      </c>
      <c r="BE40" s="893">
        <v>0</v>
      </c>
      <c r="BF40" s="893">
        <v>0</v>
      </c>
      <c r="BH40" s="816">
        <v>0</v>
      </c>
      <c r="BI40" s="816">
        <v>0</v>
      </c>
      <c r="BJ40" s="816">
        <v>0</v>
      </c>
      <c r="BK40" s="816">
        <v>0</v>
      </c>
      <c r="BL40" s="816">
        <v>0</v>
      </c>
      <c r="BM40" s="816">
        <v>0</v>
      </c>
      <c r="BN40" s="816">
        <v>0</v>
      </c>
      <c r="BO40" s="816">
        <v>0</v>
      </c>
      <c r="BP40" s="816">
        <v>0</v>
      </c>
      <c r="BQ40" s="816">
        <v>0</v>
      </c>
      <c r="BR40" s="816">
        <v>0</v>
      </c>
      <c r="BS40" s="816">
        <v>0</v>
      </c>
      <c r="BT40" s="816">
        <v>0</v>
      </c>
      <c r="BU40" s="816">
        <v>0</v>
      </c>
      <c r="BV40" s="816">
        <v>0</v>
      </c>
      <c r="BW40" s="816">
        <v>0</v>
      </c>
      <c r="BY40" s="816">
        <v>0</v>
      </c>
      <c r="BZ40" s="816">
        <v>0</v>
      </c>
      <c r="CA40" s="816">
        <v>0</v>
      </c>
      <c r="CB40" s="816">
        <v>0</v>
      </c>
      <c r="CC40" s="816">
        <v>0</v>
      </c>
      <c r="CD40" s="816">
        <v>0</v>
      </c>
      <c r="CE40" s="816">
        <v>0</v>
      </c>
      <c r="CF40" s="816">
        <v>0</v>
      </c>
      <c r="CG40" s="816">
        <v>0</v>
      </c>
      <c r="CH40" s="816">
        <v>0</v>
      </c>
      <c r="CI40" s="816">
        <v>0</v>
      </c>
      <c r="CJ40" s="816">
        <v>0</v>
      </c>
      <c r="CK40" s="816">
        <v>0</v>
      </c>
      <c r="CL40" s="816">
        <v>0</v>
      </c>
      <c r="CM40" s="816">
        <v>0</v>
      </c>
      <c r="CN40" s="816">
        <v>0</v>
      </c>
      <c r="CO40" s="816" t="s">
        <v>1340</v>
      </c>
      <c r="CP40" s="818">
        <f>INDEX('Monthly Run-off Change'!I:I,MATCH($B40,'Monthly Run-off Change'!$E:$E,0))</f>
        <v>1.4999999999999999E-2</v>
      </c>
      <c r="CQ40" s="818">
        <f>INDEX('Monthly Run-off Change'!J:J,MATCH($B40,'Monthly Run-off Change'!$E:$E,0))</f>
        <v>5.2499999999999998E-2</v>
      </c>
      <c r="CR40" s="818">
        <f>INDEX('Monthly Run-off Change'!K:K,MATCH($B40,'Monthly Run-off Change'!$E:$E,0))</f>
        <v>5.2499999999999998E-2</v>
      </c>
      <c r="CS40" s="818">
        <f>INDEX('Monthly Run-off Change'!L:L,MATCH($B40,'Monthly Run-off Change'!$E:$E,0))</f>
        <v>1.4999999999999999E-2</v>
      </c>
      <c r="CT40" s="818">
        <f>INDEX('Monthly Run-off Change'!M:M,MATCH($B40,'Monthly Run-off Change'!$E:$E,0))</f>
        <v>1.4999999999999999E-2</v>
      </c>
      <c r="CU40" s="818">
        <f>INDEX('Monthly Run-off Change'!N:N,MATCH($B40,'Monthly Run-off Change'!$E:$E,0))</f>
        <v>1.4999999999999999E-2</v>
      </c>
      <c r="CV40" s="818">
        <f>INDEX('Monthly Run-off Change'!O:O,MATCH($B40,'Monthly Run-off Change'!$E:$E,0))</f>
        <v>1.4999999999999999E-2</v>
      </c>
      <c r="CW40" s="818">
        <f>INDEX('Monthly Run-off Change'!P:P,MATCH($B40,'Monthly Run-off Change'!$E:$E,0))</f>
        <v>4.9999999999999984E-3</v>
      </c>
      <c r="CX40" s="818">
        <f>INDEX('Monthly Run-off Change'!Q:Q,MATCH($B40,'Monthly Run-off Change'!$E:$E,0))</f>
        <v>4.9999999999999984E-3</v>
      </c>
      <c r="CY40" s="818">
        <f>INDEX('Monthly Run-off Change'!R:R,MATCH($B40,'Monthly Run-off Change'!$E:$E,0))</f>
        <v>4.9999999999999984E-3</v>
      </c>
      <c r="CZ40" s="818">
        <f>INDEX('Monthly Run-off Change'!S:S,MATCH($B40,'Monthly Run-off Change'!$E:$E,0))</f>
        <v>4.9999999999999984E-3</v>
      </c>
      <c r="DA40" s="818">
        <f>INDEX('Monthly Run-off Change'!T:T,MATCH($B40,'Monthly Run-off Change'!$E:$E,0))</f>
        <v>4.9999999999999984E-3</v>
      </c>
      <c r="DB40" s="818">
        <f>INDEX('Monthly Run-off Change'!U:U,MATCH($B40,'Monthly Run-off Change'!$E:$E,0))</f>
        <v>4.9999999999999984E-3</v>
      </c>
      <c r="DC40" s="818">
        <f>INDEX('Monthly Run-off Change'!V:V,MATCH($B40,'Monthly Run-off Change'!$E:$E,0))</f>
        <v>4.9999999999999984E-3</v>
      </c>
      <c r="DD40" s="818">
        <f>INDEX('Monthly Run-off Change'!W:W,MATCH($B40,'Monthly Run-off Change'!$E:$E,0))</f>
        <v>4.9999999999999984E-3</v>
      </c>
      <c r="DE40" s="818">
        <f>INDEX('Monthly Run-off Change'!X:X,MATCH($B40,'Monthly Run-off Change'!$E:$E,0))</f>
        <v>4.9999999999999984E-3</v>
      </c>
      <c r="DF40" s="899">
        <f>INDEX('Monthly Run-off Change'!Y:Y,MATCH($B40,'Monthly Run-off Change'!$E:$E,0))</f>
        <v>0</v>
      </c>
      <c r="DG40" s="899">
        <f>INDEX('Monthly Run-off Change'!Z:Z,MATCH($B40,'Monthly Run-off Change'!$E:$E,0))</f>
        <v>1.2E-2</v>
      </c>
      <c r="DH40" s="899">
        <f>INDEX('Monthly Run-off Change'!AA:AA,MATCH($B40,'Monthly Run-off Change'!$E:$E,0))</f>
        <v>4.2000000000000003E-2</v>
      </c>
      <c r="DI40" s="899">
        <f>INDEX('Monthly Run-off Change'!AB:AB,MATCH($B40,'Monthly Run-off Change'!$E:$E,0))</f>
        <v>4.2000000000000003E-2</v>
      </c>
      <c r="DJ40" s="899">
        <f>INDEX('Monthly Run-off Change'!AC:AC,MATCH($B40,'Monthly Run-off Change'!$E:$E,0))</f>
        <v>1.1999999999999997E-2</v>
      </c>
      <c r="DK40" s="899">
        <f>INDEX('Monthly Run-off Change'!AD:AD,MATCH($B40,'Monthly Run-off Change'!$E:$E,0))</f>
        <v>1.1999999999999997E-2</v>
      </c>
      <c r="DL40" s="899">
        <f>INDEX('Monthly Run-off Change'!AE:AE,MATCH($B40,'Monthly Run-off Change'!$E:$E,0))</f>
        <v>1.1999999999999997E-2</v>
      </c>
      <c r="DM40" s="899">
        <f>INDEX('Monthly Run-off Change'!AF:AF,MATCH($B40,'Monthly Run-off Change'!$E:$E,0))</f>
        <v>1.1999999999999997E-2</v>
      </c>
      <c r="DN40" s="899">
        <f>INDEX('Monthly Run-off Change'!AG:AG,MATCH($B40,'Monthly Run-off Change'!$E:$E,0))</f>
        <v>4.0000000000000001E-3</v>
      </c>
      <c r="DO40" s="899">
        <f>INDEX('Monthly Run-off Change'!AH:AH,MATCH($B40,'Monthly Run-off Change'!$E:$E,0))</f>
        <v>4.0000000000000001E-3</v>
      </c>
      <c r="DP40" s="899">
        <f>INDEX('Monthly Run-off Change'!AI:AI,MATCH($B40,'Monthly Run-off Change'!$E:$E,0))</f>
        <v>4.0000000000000001E-3</v>
      </c>
      <c r="DQ40" s="899">
        <f>INDEX('Monthly Run-off Change'!AJ:AJ,MATCH($B40,'Monthly Run-off Change'!$E:$E,0))</f>
        <v>4.0000000000000001E-3</v>
      </c>
      <c r="DR40" s="899">
        <f>INDEX('Monthly Run-off Change'!AK:AK,MATCH($B40,'Monthly Run-off Change'!$E:$E,0))</f>
        <v>4.0000000000000001E-3</v>
      </c>
      <c r="DS40" s="899">
        <f>INDEX('Monthly Run-off Change'!AL:AL,MATCH($B40,'Monthly Run-off Change'!$E:$E,0))</f>
        <v>4.0000000000000001E-3</v>
      </c>
      <c r="DT40" s="899">
        <f>INDEX('Monthly Run-off Change'!AM:AM,MATCH($B40,'Monthly Run-off Change'!$E:$E,0))</f>
        <v>4.0000000000000001E-3</v>
      </c>
      <c r="DU40" s="899">
        <f>INDEX('Monthly Run-off Change'!AN:AN,MATCH($B40,'Monthly Run-off Change'!$E:$E,0))</f>
        <v>4.0000000000000001E-3</v>
      </c>
      <c r="DV40" s="899">
        <f>INDEX('Monthly Run-off Change'!AO:AO,MATCH($B40,'Monthly Run-off Change'!$E:$E,0))</f>
        <v>4.0000000000000001E-3</v>
      </c>
      <c r="DW40" s="899">
        <f>INDEX('Monthly Run-off Change'!AP:AP,MATCH($B40,'Monthly Run-off Change'!$E:$E,0))</f>
        <v>0</v>
      </c>
      <c r="DX40" s="899">
        <f>INDEX('Monthly Run-off Change'!AQ:AQ,MATCH($B40,'Monthly Run-off Change'!$E:$E,0))</f>
        <v>5.000000000000001E-3</v>
      </c>
      <c r="DY40" s="899">
        <f>INDEX('Monthly Run-off Change'!AR:AR,MATCH($B40,'Monthly Run-off Change'!$E:$E,0))</f>
        <v>1.7500000000000002E-2</v>
      </c>
      <c r="DZ40" s="899">
        <f>INDEX('Monthly Run-off Change'!AS:AS,MATCH($B40,'Monthly Run-off Change'!$E:$E,0))</f>
        <v>1.7500000000000002E-2</v>
      </c>
      <c r="EA40" s="899">
        <f>INDEX('Monthly Run-off Change'!AT:AT,MATCH($B40,'Monthly Run-off Change'!$E:$E,0))</f>
        <v>4.9999999999999975E-3</v>
      </c>
      <c r="EB40" s="899">
        <f>INDEX('Monthly Run-off Change'!AU:AU,MATCH($B40,'Monthly Run-off Change'!$E:$E,0))</f>
        <v>4.9999999999999975E-3</v>
      </c>
      <c r="EC40" s="899">
        <f>INDEX('Monthly Run-off Change'!AV:AV,MATCH($B40,'Monthly Run-off Change'!$E:$E,0))</f>
        <v>4.9999999999999975E-3</v>
      </c>
      <c r="ED40" s="899">
        <f>INDEX('Monthly Run-off Change'!AW:AW,MATCH($B40,'Monthly Run-off Change'!$E:$E,0))</f>
        <v>4.9999999999999975E-3</v>
      </c>
      <c r="EE40" s="899">
        <f>INDEX('Monthly Run-off Change'!AX:AX,MATCH($B40,'Monthly Run-off Change'!$E:$E,0))</f>
        <v>1.6666666666666681E-3</v>
      </c>
      <c r="EF40" s="899">
        <f>INDEX('Monthly Run-off Change'!AY:AY,MATCH($B40,'Monthly Run-off Change'!$E:$E,0))</f>
        <v>1.6666666666666681E-3</v>
      </c>
      <c r="EG40" s="899">
        <f>INDEX('Monthly Run-off Change'!AZ:AZ,MATCH($B40,'Monthly Run-off Change'!$E:$E,0))</f>
        <v>1.6666666666666681E-3</v>
      </c>
      <c r="EH40" s="899">
        <f>INDEX('Monthly Run-off Change'!BA:BA,MATCH($B40,'Monthly Run-off Change'!$E:$E,0))</f>
        <v>1.6666666666666681E-3</v>
      </c>
      <c r="EI40" s="899">
        <f>INDEX('Monthly Run-off Change'!BB:BB,MATCH($B40,'Monthly Run-off Change'!$E:$E,0))</f>
        <v>1.6666666666666681E-3</v>
      </c>
      <c r="EJ40" s="899">
        <f>INDEX('Monthly Run-off Change'!BC:BC,MATCH($B40,'Monthly Run-off Change'!$E:$E,0))</f>
        <v>1.6666666666666681E-3</v>
      </c>
      <c r="EK40" s="899">
        <f>INDEX('Monthly Run-off Change'!BD:BD,MATCH($B40,'Monthly Run-off Change'!$E:$E,0))</f>
        <v>1.6666666666666681E-3</v>
      </c>
      <c r="EL40" s="899">
        <f>INDEX('Monthly Run-off Change'!BE:BE,MATCH($B40,'Monthly Run-off Change'!$E:$E,0))</f>
        <v>1.6666666666666681E-3</v>
      </c>
      <c r="EM40" s="899">
        <f>INDEX('Monthly Run-off Change'!BF:BF,MATCH($B40,'Monthly Run-off Change'!$E:$E,0))</f>
        <v>1.6666666666666681E-3</v>
      </c>
      <c r="FQ40" s="898"/>
      <c r="FS40" s="898"/>
      <c r="FT40" s="898"/>
      <c r="FU40" s="898"/>
      <c r="FV40" s="898"/>
      <c r="FW40" s="898"/>
      <c r="FX40" s="898"/>
      <c r="FY40" s="898"/>
      <c r="FZ40" s="898"/>
      <c r="GA40" s="898"/>
      <c r="GB40" s="898"/>
      <c r="GC40" s="898"/>
      <c r="GD40" s="898"/>
      <c r="GE40" s="898"/>
      <c r="GF40" s="898"/>
      <c r="GG40" s="898"/>
      <c r="GH40" s="898"/>
      <c r="GJ40" s="898"/>
      <c r="GK40" s="898"/>
      <c r="GL40" s="898"/>
      <c r="GM40" s="898"/>
      <c r="GN40" s="898"/>
      <c r="GO40" s="898"/>
      <c r="GP40" s="898"/>
      <c r="GQ40" s="898"/>
      <c r="GR40" s="898"/>
      <c r="GS40" s="898"/>
      <c r="GT40" s="898"/>
      <c r="GU40" s="898"/>
      <c r="GV40" s="898"/>
      <c r="GW40" s="898"/>
      <c r="GX40" s="898"/>
      <c r="GY40" s="898"/>
      <c r="HA40" s="898"/>
      <c r="HB40" s="898"/>
      <c r="HC40" s="898"/>
      <c r="HD40" s="898"/>
      <c r="HE40" s="898"/>
      <c r="HF40" s="898"/>
      <c r="HG40" s="898"/>
      <c r="HH40" s="898"/>
      <c r="HI40" s="898"/>
      <c r="HJ40" s="898"/>
      <c r="HK40" s="898"/>
      <c r="HL40" s="898"/>
      <c r="HM40" s="898"/>
      <c r="HN40" s="898"/>
      <c r="HO40" s="898"/>
      <c r="HP40" s="898"/>
    </row>
    <row r="41" spans="1:224">
      <c r="B41" s="816" t="s">
        <v>1164</v>
      </c>
      <c r="C41" s="816">
        <v>0</v>
      </c>
      <c r="D41" s="816">
        <f t="shared" si="4"/>
        <v>1</v>
      </c>
      <c r="E41" s="816">
        <v>0</v>
      </c>
      <c r="F41" s="816" t="str">
        <f>INDEX('Data Interface'!$C:$C,MATCH(B41,'Data Interface'!$B:$B,0))</f>
        <v>Due to Affiliate - Draft</v>
      </c>
      <c r="G41" s="894">
        <f ca="1">IF($C41=1,$AJ41,SUM($AJ41:$AL41)*INDEX('Schedule Allocation'!G:G,MATCH($D41,'Schedule Allocation'!$A:$A,0)))</f>
        <v>3.9999999999999994E-2</v>
      </c>
      <c r="H41" s="894">
        <f ca="1">IF($C41=1,$AK41,SUM($AJ41:$AL41)*INDEX('Schedule Allocation'!H:H,MATCH($D41,'Schedule Allocation'!$A:$A,0)))</f>
        <v>6.6666666666666662E-3</v>
      </c>
      <c r="I41" s="894">
        <f ca="1">IF($C41=1,$AK41,SUM($AJ41:$AL41)*INDEX('Schedule Allocation'!I:I,MATCH($D41,'Schedule Allocation'!$A:$A,0)))</f>
        <v>6.6666666666666662E-3</v>
      </c>
      <c r="J41" s="894">
        <f ca="1">IF($C41=1,$AK41,SUM($AJ41:$AL41)*INDEX('Schedule Allocation'!J:J,MATCH($D41,'Schedule Allocation'!$A:$A,0)))</f>
        <v>6.6666666666666662E-3</v>
      </c>
      <c r="K41" s="894">
        <f ca="1">IF($C41=1,$AK41,SUM($AJ41:$AL41)*INDEX('Schedule Allocation'!K:K,MATCH($D41,'Schedule Allocation'!$A:$A,0)))</f>
        <v>6.6666666666666662E-3</v>
      </c>
      <c r="L41" s="894">
        <f ca="1">IF($C41=1,$AK41,SUM($AJ41:$AL41)*INDEX('Schedule Allocation'!L:L,MATCH($D41,'Schedule Allocation'!$A:$A,0)))</f>
        <v>6.6666666666666662E-3</v>
      </c>
      <c r="M41" s="894">
        <f ca="1">IF($C41=1,$AK41,SUM($AJ41:$AL41)*INDEX('Schedule Allocation'!M:M,MATCH($D41,'Schedule Allocation'!$A:$A,0)))</f>
        <v>6.6666666666666662E-3</v>
      </c>
      <c r="N41" s="894">
        <f ca="1">IF($C41=1,$AL41,SUM($AJ41:$AL41)*INDEX('Schedule Allocation'!N:N,MATCH($D41,'Schedule Allocation'!$A:$A,0)))</f>
        <v>5.7142857142857143E-3</v>
      </c>
      <c r="O41" s="894">
        <f ca="1">IF($C41=1,$AL41,SUM($AJ41:$AL41)*INDEX('Schedule Allocation'!O:O,MATCH($D41,'Schedule Allocation'!$A:$A,0)))</f>
        <v>5.7142857142857143E-3</v>
      </c>
      <c r="P41" s="894">
        <f ca="1">IF($C41=1,$AL41,SUM($AJ41:$AL41)*INDEX('Schedule Allocation'!P:P,MATCH($D41,'Schedule Allocation'!$A:$A,0)))</f>
        <v>5.7142857142857143E-3</v>
      </c>
      <c r="Q41" s="894">
        <f ca="1">IF($C41=1,$AL41,SUM($AJ41:$AL41)*INDEX('Schedule Allocation'!Q:Q,MATCH($D41,'Schedule Allocation'!$A:$A,0)))</f>
        <v>5.7142857142857143E-3</v>
      </c>
      <c r="R41" s="894">
        <f ca="1">IF($C41=1,$AL41,SUM($AJ41:$AL41)*INDEX('Schedule Allocation'!R:R,MATCH($D41,'Schedule Allocation'!$A:$A,0)))</f>
        <v>5.7142857142857143E-3</v>
      </c>
      <c r="S41" s="894">
        <f ca="1">IF($C41=1,$AL41,SUM($AJ41:$AL41)*INDEX('Schedule Allocation'!S:S,MATCH($D41,'Schedule Allocation'!$A:$A,0)))</f>
        <v>5.7142857142857143E-3</v>
      </c>
      <c r="T41" s="894">
        <f ca="1">IF($C41=1,$AL41,SUM($AJ41:$AL41)*INDEX('Schedule Allocation'!T:T,MATCH($D41,'Schedule Allocation'!$A:$A,0)))</f>
        <v>5.7142857142857143E-3</v>
      </c>
      <c r="U41" s="894">
        <f ca="1">OFFSET(AT41,0,(MATCH('Model Report Formatized'!$E$1,$AN$1:$AN$6,0))*17-17)</f>
        <v>1.4999999999999999E-2</v>
      </c>
      <c r="V41" s="894">
        <f ca="1">OFFSET(AU41,0,(MATCH('Model Report Formatized'!$E$1,$AN$1:$AN$6,0))*17-17)</f>
        <v>1.4999999999999999E-2</v>
      </c>
      <c r="W41" s="894">
        <f ca="1">OFFSET(AV41,0,(MATCH('Model Report Formatized'!$E$1,$AN$1:$AN$6,0))*17-17)</f>
        <v>1.4999999999999999E-2</v>
      </c>
      <c r="X41" s="894">
        <f ca="1">OFFSET(AW41,0,(MATCH('Model Report Formatized'!$E$1,$AN$1:$AN$6,0))*17-17)</f>
        <v>1.4999999999999999E-2</v>
      </c>
      <c r="Y41" s="894">
        <f ca="1">OFFSET(AX41,0,(MATCH('Model Report Formatized'!$E$1,$AN$1:$AN$6,0))*17-17)</f>
        <v>4.9999999999999984E-3</v>
      </c>
      <c r="Z41" s="894">
        <f ca="1">OFFSET(AY41,0,(MATCH('Model Report Formatized'!$E$1,$AN$1:$AN$6,0))*17-17)</f>
        <v>4.9999999999999984E-3</v>
      </c>
      <c r="AA41" s="894">
        <f ca="1">OFFSET(AZ41,0,(MATCH('Model Report Formatized'!$E$1,$AN$1:$AN$6,0))*17-17)</f>
        <v>4.9999999999999984E-3</v>
      </c>
      <c r="AB41" s="894">
        <f ca="1">OFFSET(BA41,0,(MATCH('Model Report Formatized'!$E$1,$AN$1:$AN$6,0))*17-17)</f>
        <v>4.9999999999999984E-3</v>
      </c>
      <c r="AC41" s="894">
        <f ca="1">OFFSET(BB41,0,(MATCH('Model Report Formatized'!$E$1,$AN$1:$AN$6,0))*17-17)</f>
        <v>4.9999999999999984E-3</v>
      </c>
      <c r="AD41" s="894">
        <f ca="1">OFFSET(BC41,0,(MATCH('Model Report Formatized'!$E$1,$AN$1:$AN$6,0))*17-17)</f>
        <v>4.9999999999999984E-3</v>
      </c>
      <c r="AE41" s="894">
        <f ca="1">OFFSET(BD41,0,(MATCH('Model Report Formatized'!$E$1,$AN$1:$AN$6,0))*17-17)</f>
        <v>4.9999999999999984E-3</v>
      </c>
      <c r="AF41" s="894">
        <f ca="1">OFFSET(BE41,0,(MATCH('Model Report Formatized'!$E$1,$AN$1:$AN$6,0))*17-17)</f>
        <v>4.9999999999999984E-3</v>
      </c>
      <c r="AG41" s="894">
        <f ca="1">OFFSET(BF41,0,(MATCH('Model Report Formatized'!$E$1,$AN$1:$AN$6,0))*17-17)</f>
        <v>4.9999999999999984E-3</v>
      </c>
      <c r="AH41" s="891">
        <f t="shared" ca="1" si="5"/>
        <v>0</v>
      </c>
      <c r="AJ41" s="895">
        <f ca="1">OFFSET(AQ41,0,(MATCH('Model Report Formatized'!$E$1,$AN$1:$AN$6,0))*17-17)</f>
        <v>1.4999999999999999E-2</v>
      </c>
      <c r="AK41" s="895">
        <f ca="1">OFFSET(AR41,0,(MATCH('Model Report Formatized'!$E$1,$AN$1:$AN$6,0))*17-17)</f>
        <v>5.2499999999999998E-2</v>
      </c>
      <c r="AL41" s="895">
        <f ca="1">OFFSET(AS41,0,(MATCH('Model Report Formatized'!$E$1,$AN$1:$AN$6,0))*17-17)</f>
        <v>5.2499999999999998E-2</v>
      </c>
      <c r="AQ41" s="893">
        <v>0</v>
      </c>
      <c r="AR41" s="893">
        <v>0</v>
      </c>
      <c r="AS41" s="893">
        <v>0</v>
      </c>
      <c r="AT41" s="893">
        <v>0</v>
      </c>
      <c r="AU41" s="893">
        <v>0</v>
      </c>
      <c r="AV41" s="893">
        <v>0</v>
      </c>
      <c r="AW41" s="893">
        <v>0</v>
      </c>
      <c r="AX41" s="893">
        <v>0</v>
      </c>
      <c r="AY41" s="893">
        <v>0</v>
      </c>
      <c r="AZ41" s="893">
        <v>0</v>
      </c>
      <c r="BA41" s="893">
        <v>0</v>
      </c>
      <c r="BB41" s="893">
        <v>0</v>
      </c>
      <c r="BC41" s="893">
        <v>0</v>
      </c>
      <c r="BD41" s="893">
        <v>0</v>
      </c>
      <c r="BE41" s="893">
        <v>0</v>
      </c>
      <c r="BF41" s="893">
        <v>0</v>
      </c>
      <c r="BH41" s="816">
        <v>0</v>
      </c>
      <c r="BI41" s="816">
        <v>0</v>
      </c>
      <c r="BJ41" s="816">
        <v>0</v>
      </c>
      <c r="BK41" s="816">
        <v>0</v>
      </c>
      <c r="BL41" s="816">
        <v>0</v>
      </c>
      <c r="BM41" s="816">
        <v>0</v>
      </c>
      <c r="BN41" s="816">
        <v>0</v>
      </c>
      <c r="BO41" s="816">
        <v>0</v>
      </c>
      <c r="BP41" s="816">
        <v>0</v>
      </c>
      <c r="BQ41" s="816">
        <v>0</v>
      </c>
      <c r="BR41" s="816">
        <v>0</v>
      </c>
      <c r="BS41" s="816">
        <v>0</v>
      </c>
      <c r="BT41" s="816">
        <v>0</v>
      </c>
      <c r="BU41" s="816">
        <v>0</v>
      </c>
      <c r="BV41" s="816">
        <v>0</v>
      </c>
      <c r="BW41" s="816">
        <v>0</v>
      </c>
      <c r="BY41" s="816">
        <v>0</v>
      </c>
      <c r="BZ41" s="816">
        <v>0</v>
      </c>
      <c r="CA41" s="816">
        <v>0</v>
      </c>
      <c r="CB41" s="816">
        <v>0</v>
      </c>
      <c r="CC41" s="816">
        <v>0</v>
      </c>
      <c r="CD41" s="816">
        <v>0</v>
      </c>
      <c r="CE41" s="816">
        <v>0</v>
      </c>
      <c r="CF41" s="816">
        <v>0</v>
      </c>
      <c r="CG41" s="816">
        <v>0</v>
      </c>
      <c r="CH41" s="816">
        <v>0</v>
      </c>
      <c r="CI41" s="816">
        <v>0</v>
      </c>
      <c r="CJ41" s="816">
        <v>0</v>
      </c>
      <c r="CK41" s="816">
        <v>0</v>
      </c>
      <c r="CL41" s="816">
        <v>0</v>
      </c>
      <c r="CM41" s="816">
        <v>0</v>
      </c>
      <c r="CN41" s="816">
        <v>0</v>
      </c>
      <c r="CO41" s="816" t="s">
        <v>1340</v>
      </c>
      <c r="CP41" s="818">
        <f>INDEX('Monthly Run-off Change'!I:I,MATCH($B41,'Monthly Run-off Change'!$E:$E,0))</f>
        <v>1.4999999999999999E-2</v>
      </c>
      <c r="CQ41" s="818">
        <f>INDEX('Monthly Run-off Change'!J:J,MATCH($B41,'Monthly Run-off Change'!$E:$E,0))</f>
        <v>5.2499999999999998E-2</v>
      </c>
      <c r="CR41" s="818">
        <f>INDEX('Monthly Run-off Change'!K:K,MATCH($B41,'Monthly Run-off Change'!$E:$E,0))</f>
        <v>5.2499999999999998E-2</v>
      </c>
      <c r="CS41" s="818">
        <f>INDEX('Monthly Run-off Change'!L:L,MATCH($B41,'Monthly Run-off Change'!$E:$E,0))</f>
        <v>1.4999999999999999E-2</v>
      </c>
      <c r="CT41" s="818">
        <f>INDEX('Monthly Run-off Change'!M:M,MATCH($B41,'Monthly Run-off Change'!$E:$E,0))</f>
        <v>1.4999999999999999E-2</v>
      </c>
      <c r="CU41" s="818">
        <f>INDEX('Monthly Run-off Change'!N:N,MATCH($B41,'Monthly Run-off Change'!$E:$E,0))</f>
        <v>1.4999999999999999E-2</v>
      </c>
      <c r="CV41" s="818">
        <f>INDEX('Monthly Run-off Change'!O:O,MATCH($B41,'Monthly Run-off Change'!$E:$E,0))</f>
        <v>1.4999999999999999E-2</v>
      </c>
      <c r="CW41" s="818">
        <f>INDEX('Monthly Run-off Change'!P:P,MATCH($B41,'Monthly Run-off Change'!$E:$E,0))</f>
        <v>4.9999999999999984E-3</v>
      </c>
      <c r="CX41" s="818">
        <f>INDEX('Monthly Run-off Change'!Q:Q,MATCH($B41,'Monthly Run-off Change'!$E:$E,0))</f>
        <v>4.9999999999999984E-3</v>
      </c>
      <c r="CY41" s="818">
        <f>INDEX('Monthly Run-off Change'!R:R,MATCH($B41,'Monthly Run-off Change'!$E:$E,0))</f>
        <v>4.9999999999999984E-3</v>
      </c>
      <c r="CZ41" s="818">
        <f>INDEX('Monthly Run-off Change'!S:S,MATCH($B41,'Monthly Run-off Change'!$E:$E,0))</f>
        <v>4.9999999999999984E-3</v>
      </c>
      <c r="DA41" s="818">
        <f>INDEX('Monthly Run-off Change'!T:T,MATCH($B41,'Monthly Run-off Change'!$E:$E,0))</f>
        <v>4.9999999999999984E-3</v>
      </c>
      <c r="DB41" s="818">
        <f>INDEX('Monthly Run-off Change'!U:U,MATCH($B41,'Monthly Run-off Change'!$E:$E,0))</f>
        <v>4.9999999999999984E-3</v>
      </c>
      <c r="DC41" s="818">
        <f>INDEX('Monthly Run-off Change'!V:V,MATCH($B41,'Monthly Run-off Change'!$E:$E,0))</f>
        <v>4.9999999999999984E-3</v>
      </c>
      <c r="DD41" s="818">
        <f>INDEX('Monthly Run-off Change'!W:W,MATCH($B41,'Monthly Run-off Change'!$E:$E,0))</f>
        <v>4.9999999999999984E-3</v>
      </c>
      <c r="DE41" s="818">
        <f>INDEX('Monthly Run-off Change'!X:X,MATCH($B41,'Monthly Run-off Change'!$E:$E,0))</f>
        <v>4.9999999999999984E-3</v>
      </c>
      <c r="DF41" s="899">
        <f>INDEX('Monthly Run-off Change'!Y:Y,MATCH($B41,'Monthly Run-off Change'!$E:$E,0))</f>
        <v>0</v>
      </c>
      <c r="DG41" s="899">
        <f>INDEX('Monthly Run-off Change'!Z:Z,MATCH($B41,'Monthly Run-off Change'!$E:$E,0))</f>
        <v>1.2E-2</v>
      </c>
      <c r="DH41" s="899">
        <f>INDEX('Monthly Run-off Change'!AA:AA,MATCH($B41,'Monthly Run-off Change'!$E:$E,0))</f>
        <v>4.2000000000000003E-2</v>
      </c>
      <c r="DI41" s="899">
        <f>INDEX('Monthly Run-off Change'!AB:AB,MATCH($B41,'Monthly Run-off Change'!$E:$E,0))</f>
        <v>4.2000000000000003E-2</v>
      </c>
      <c r="DJ41" s="899">
        <f>INDEX('Monthly Run-off Change'!AC:AC,MATCH($B41,'Monthly Run-off Change'!$E:$E,0))</f>
        <v>1.1999999999999997E-2</v>
      </c>
      <c r="DK41" s="899">
        <f>INDEX('Monthly Run-off Change'!AD:AD,MATCH($B41,'Monthly Run-off Change'!$E:$E,0))</f>
        <v>1.1999999999999997E-2</v>
      </c>
      <c r="DL41" s="899">
        <f>INDEX('Monthly Run-off Change'!AE:AE,MATCH($B41,'Monthly Run-off Change'!$E:$E,0))</f>
        <v>1.1999999999999997E-2</v>
      </c>
      <c r="DM41" s="899">
        <f>INDEX('Monthly Run-off Change'!AF:AF,MATCH($B41,'Monthly Run-off Change'!$E:$E,0))</f>
        <v>1.1999999999999997E-2</v>
      </c>
      <c r="DN41" s="899">
        <f>INDEX('Monthly Run-off Change'!AG:AG,MATCH($B41,'Monthly Run-off Change'!$E:$E,0))</f>
        <v>4.0000000000000001E-3</v>
      </c>
      <c r="DO41" s="899">
        <f>INDEX('Monthly Run-off Change'!AH:AH,MATCH($B41,'Monthly Run-off Change'!$E:$E,0))</f>
        <v>4.0000000000000001E-3</v>
      </c>
      <c r="DP41" s="899">
        <f>INDEX('Monthly Run-off Change'!AI:AI,MATCH($B41,'Monthly Run-off Change'!$E:$E,0))</f>
        <v>4.0000000000000001E-3</v>
      </c>
      <c r="DQ41" s="899">
        <f>INDEX('Monthly Run-off Change'!AJ:AJ,MATCH($B41,'Monthly Run-off Change'!$E:$E,0))</f>
        <v>4.0000000000000001E-3</v>
      </c>
      <c r="DR41" s="899">
        <f>INDEX('Monthly Run-off Change'!AK:AK,MATCH($B41,'Monthly Run-off Change'!$E:$E,0))</f>
        <v>4.0000000000000001E-3</v>
      </c>
      <c r="DS41" s="899">
        <f>INDEX('Monthly Run-off Change'!AL:AL,MATCH($B41,'Monthly Run-off Change'!$E:$E,0))</f>
        <v>4.0000000000000001E-3</v>
      </c>
      <c r="DT41" s="899">
        <f>INDEX('Monthly Run-off Change'!AM:AM,MATCH($B41,'Monthly Run-off Change'!$E:$E,0))</f>
        <v>4.0000000000000001E-3</v>
      </c>
      <c r="DU41" s="899">
        <f>INDEX('Monthly Run-off Change'!AN:AN,MATCH($B41,'Monthly Run-off Change'!$E:$E,0))</f>
        <v>4.0000000000000001E-3</v>
      </c>
      <c r="DV41" s="899">
        <f>INDEX('Monthly Run-off Change'!AO:AO,MATCH($B41,'Monthly Run-off Change'!$E:$E,0))</f>
        <v>4.0000000000000001E-3</v>
      </c>
      <c r="DW41" s="899">
        <f>INDEX('Monthly Run-off Change'!AP:AP,MATCH($B41,'Monthly Run-off Change'!$E:$E,0))</f>
        <v>0</v>
      </c>
      <c r="DX41" s="899">
        <f>INDEX('Monthly Run-off Change'!AQ:AQ,MATCH($B41,'Monthly Run-off Change'!$E:$E,0))</f>
        <v>5.000000000000001E-3</v>
      </c>
      <c r="DY41" s="899">
        <f>INDEX('Monthly Run-off Change'!AR:AR,MATCH($B41,'Monthly Run-off Change'!$E:$E,0))</f>
        <v>1.7500000000000002E-2</v>
      </c>
      <c r="DZ41" s="899">
        <f>INDEX('Monthly Run-off Change'!AS:AS,MATCH($B41,'Monthly Run-off Change'!$E:$E,0))</f>
        <v>1.7500000000000002E-2</v>
      </c>
      <c r="EA41" s="899">
        <f>INDEX('Monthly Run-off Change'!AT:AT,MATCH($B41,'Monthly Run-off Change'!$E:$E,0))</f>
        <v>4.9999999999999975E-3</v>
      </c>
      <c r="EB41" s="899">
        <f>INDEX('Monthly Run-off Change'!AU:AU,MATCH($B41,'Monthly Run-off Change'!$E:$E,0))</f>
        <v>4.9999999999999975E-3</v>
      </c>
      <c r="EC41" s="899">
        <f>INDEX('Monthly Run-off Change'!AV:AV,MATCH($B41,'Monthly Run-off Change'!$E:$E,0))</f>
        <v>4.9999999999999975E-3</v>
      </c>
      <c r="ED41" s="899">
        <f>INDEX('Monthly Run-off Change'!AW:AW,MATCH($B41,'Monthly Run-off Change'!$E:$E,0))</f>
        <v>4.9999999999999975E-3</v>
      </c>
      <c r="EE41" s="899">
        <f>INDEX('Monthly Run-off Change'!AX:AX,MATCH($B41,'Monthly Run-off Change'!$E:$E,0))</f>
        <v>1.6666666666666681E-3</v>
      </c>
      <c r="EF41" s="899">
        <f>INDEX('Monthly Run-off Change'!AY:AY,MATCH($B41,'Monthly Run-off Change'!$E:$E,0))</f>
        <v>1.6666666666666681E-3</v>
      </c>
      <c r="EG41" s="899">
        <f>INDEX('Monthly Run-off Change'!AZ:AZ,MATCH($B41,'Monthly Run-off Change'!$E:$E,0))</f>
        <v>1.6666666666666681E-3</v>
      </c>
      <c r="EH41" s="899">
        <f>INDEX('Monthly Run-off Change'!BA:BA,MATCH($B41,'Monthly Run-off Change'!$E:$E,0))</f>
        <v>1.6666666666666681E-3</v>
      </c>
      <c r="EI41" s="899">
        <f>INDEX('Monthly Run-off Change'!BB:BB,MATCH($B41,'Monthly Run-off Change'!$E:$E,0))</f>
        <v>1.6666666666666681E-3</v>
      </c>
      <c r="EJ41" s="899">
        <f>INDEX('Monthly Run-off Change'!BC:BC,MATCH($B41,'Monthly Run-off Change'!$E:$E,0))</f>
        <v>1.6666666666666681E-3</v>
      </c>
      <c r="EK41" s="899">
        <f>INDEX('Monthly Run-off Change'!BD:BD,MATCH($B41,'Monthly Run-off Change'!$E:$E,0))</f>
        <v>1.6666666666666681E-3</v>
      </c>
      <c r="EL41" s="899">
        <f>INDEX('Monthly Run-off Change'!BE:BE,MATCH($B41,'Monthly Run-off Change'!$E:$E,0))</f>
        <v>1.6666666666666681E-3</v>
      </c>
      <c r="EM41" s="899">
        <f>INDEX('Monthly Run-off Change'!BF:BF,MATCH($B41,'Monthly Run-off Change'!$E:$E,0))</f>
        <v>1.6666666666666681E-3</v>
      </c>
      <c r="FQ41" s="898"/>
      <c r="FS41" s="898"/>
      <c r="FT41" s="898"/>
      <c r="FU41" s="898"/>
      <c r="FV41" s="898"/>
      <c r="FW41" s="898"/>
      <c r="FX41" s="898"/>
      <c r="FY41" s="898"/>
      <c r="FZ41" s="898"/>
      <c r="GA41" s="898"/>
      <c r="GB41" s="898"/>
      <c r="GC41" s="898"/>
      <c r="GD41" s="898"/>
      <c r="GE41" s="898"/>
      <c r="GF41" s="898"/>
      <c r="GG41" s="898"/>
      <c r="GH41" s="898"/>
      <c r="GJ41" s="898"/>
      <c r="GK41" s="898"/>
      <c r="GL41" s="898"/>
      <c r="GM41" s="898"/>
      <c r="GN41" s="898"/>
      <c r="GO41" s="898"/>
      <c r="GP41" s="898"/>
      <c r="GQ41" s="898"/>
      <c r="GR41" s="898"/>
      <c r="GS41" s="898"/>
      <c r="GT41" s="898"/>
      <c r="GU41" s="898"/>
      <c r="GV41" s="898"/>
      <c r="GW41" s="898"/>
      <c r="GX41" s="898"/>
      <c r="GY41" s="898"/>
      <c r="HA41" s="898"/>
      <c r="HB41" s="898"/>
      <c r="HC41" s="898"/>
      <c r="HD41" s="898"/>
      <c r="HE41" s="898"/>
      <c r="HF41" s="898"/>
      <c r="HG41" s="898"/>
      <c r="HH41" s="898"/>
      <c r="HI41" s="898"/>
      <c r="HJ41" s="898"/>
      <c r="HK41" s="898"/>
      <c r="HL41" s="898"/>
      <c r="HM41" s="898"/>
      <c r="HN41" s="898"/>
      <c r="HO41" s="898"/>
      <c r="HP41" s="898"/>
    </row>
    <row r="42" spans="1:224">
      <c r="B42" s="816" t="s">
        <v>994</v>
      </c>
      <c r="C42" s="816">
        <v>0</v>
      </c>
      <c r="D42" s="816">
        <f t="shared" si="4"/>
        <v>1</v>
      </c>
      <c r="E42" s="816">
        <v>0</v>
      </c>
      <c r="F42" s="816" t="str">
        <f>INDEX('Data Interface'!$C:$C,MATCH(B42,'Data Interface'!$B:$B,0))</f>
        <v>Due to Interbranch - Demand</v>
      </c>
      <c r="G42" s="894">
        <f ca="1">IF($C42=1,$AJ42,SUM($AJ42:$AL42)*INDEX('Schedule Allocation'!G:G,MATCH($D42,'Schedule Allocation'!$A:$A,0)))</f>
        <v>3.2000000000000001E-2</v>
      </c>
      <c r="H42" s="894">
        <f ca="1">IF($C42=1,$AK42,SUM($AJ42:$AL42)*INDEX('Schedule Allocation'!H:H,MATCH($D42,'Schedule Allocation'!$A:$A,0)))</f>
        <v>5.3333333333333332E-3</v>
      </c>
      <c r="I42" s="894">
        <f ca="1">IF($C42=1,$AK42,SUM($AJ42:$AL42)*INDEX('Schedule Allocation'!I:I,MATCH($D42,'Schedule Allocation'!$A:$A,0)))</f>
        <v>5.3333333333333332E-3</v>
      </c>
      <c r="J42" s="894">
        <f ca="1">IF($C42=1,$AK42,SUM($AJ42:$AL42)*INDEX('Schedule Allocation'!J:J,MATCH($D42,'Schedule Allocation'!$A:$A,0)))</f>
        <v>5.3333333333333332E-3</v>
      </c>
      <c r="K42" s="894">
        <f ca="1">IF($C42=1,$AK42,SUM($AJ42:$AL42)*INDEX('Schedule Allocation'!K:K,MATCH($D42,'Schedule Allocation'!$A:$A,0)))</f>
        <v>5.3333333333333332E-3</v>
      </c>
      <c r="L42" s="894">
        <f ca="1">IF($C42=1,$AK42,SUM($AJ42:$AL42)*INDEX('Schedule Allocation'!L:L,MATCH($D42,'Schedule Allocation'!$A:$A,0)))</f>
        <v>5.3333333333333332E-3</v>
      </c>
      <c r="M42" s="894">
        <f ca="1">IF($C42=1,$AK42,SUM($AJ42:$AL42)*INDEX('Schedule Allocation'!M:M,MATCH($D42,'Schedule Allocation'!$A:$A,0)))</f>
        <v>5.3333333333333332E-3</v>
      </c>
      <c r="N42" s="894">
        <f ca="1">IF($C42=1,$AL42,SUM($AJ42:$AL42)*INDEX('Schedule Allocation'!N:N,MATCH($D42,'Schedule Allocation'!$A:$A,0)))</f>
        <v>4.5714285714285718E-3</v>
      </c>
      <c r="O42" s="894">
        <f ca="1">IF($C42=1,$AL42,SUM($AJ42:$AL42)*INDEX('Schedule Allocation'!O:O,MATCH($D42,'Schedule Allocation'!$A:$A,0)))</f>
        <v>4.5714285714285718E-3</v>
      </c>
      <c r="P42" s="894">
        <f ca="1">IF($C42=1,$AL42,SUM($AJ42:$AL42)*INDEX('Schedule Allocation'!P:P,MATCH($D42,'Schedule Allocation'!$A:$A,0)))</f>
        <v>4.5714285714285718E-3</v>
      </c>
      <c r="Q42" s="894">
        <f ca="1">IF($C42=1,$AL42,SUM($AJ42:$AL42)*INDEX('Schedule Allocation'!Q:Q,MATCH($D42,'Schedule Allocation'!$A:$A,0)))</f>
        <v>4.5714285714285718E-3</v>
      </c>
      <c r="R42" s="894">
        <f ca="1">IF($C42=1,$AL42,SUM($AJ42:$AL42)*INDEX('Schedule Allocation'!R:R,MATCH($D42,'Schedule Allocation'!$A:$A,0)))</f>
        <v>4.5714285714285718E-3</v>
      </c>
      <c r="S42" s="894">
        <f ca="1">IF($C42=1,$AL42,SUM($AJ42:$AL42)*INDEX('Schedule Allocation'!S:S,MATCH($D42,'Schedule Allocation'!$A:$A,0)))</f>
        <v>4.5714285714285718E-3</v>
      </c>
      <c r="T42" s="894">
        <f ca="1">IF($C42=1,$AL42,SUM($AJ42:$AL42)*INDEX('Schedule Allocation'!T:T,MATCH($D42,'Schedule Allocation'!$A:$A,0)))</f>
        <v>4.5714285714285718E-3</v>
      </c>
      <c r="U42" s="894">
        <f ca="1">OFFSET(AT42,0,(MATCH('Model Report Formatized'!$E$1,$AN$1:$AN$6,0))*17-17)</f>
        <v>1.1999999999999997E-2</v>
      </c>
      <c r="V42" s="894">
        <f ca="1">OFFSET(AU42,0,(MATCH('Model Report Formatized'!$E$1,$AN$1:$AN$6,0))*17-17)</f>
        <v>1.1999999999999997E-2</v>
      </c>
      <c r="W42" s="894">
        <f ca="1">OFFSET(AV42,0,(MATCH('Model Report Formatized'!$E$1,$AN$1:$AN$6,0))*17-17)</f>
        <v>1.1999999999999997E-2</v>
      </c>
      <c r="X42" s="894">
        <f ca="1">OFFSET(AW42,0,(MATCH('Model Report Formatized'!$E$1,$AN$1:$AN$6,0))*17-17)</f>
        <v>1.1999999999999997E-2</v>
      </c>
      <c r="Y42" s="894">
        <f ca="1">OFFSET(AX42,0,(MATCH('Model Report Formatized'!$E$1,$AN$1:$AN$6,0))*17-17)</f>
        <v>4.0000000000000001E-3</v>
      </c>
      <c r="Z42" s="894">
        <f ca="1">OFFSET(AY42,0,(MATCH('Model Report Formatized'!$E$1,$AN$1:$AN$6,0))*17-17)</f>
        <v>4.0000000000000001E-3</v>
      </c>
      <c r="AA42" s="894">
        <f ca="1">OFFSET(AZ42,0,(MATCH('Model Report Formatized'!$E$1,$AN$1:$AN$6,0))*17-17)</f>
        <v>4.0000000000000001E-3</v>
      </c>
      <c r="AB42" s="894">
        <f ca="1">OFFSET(BA42,0,(MATCH('Model Report Formatized'!$E$1,$AN$1:$AN$6,0))*17-17)</f>
        <v>4.0000000000000001E-3</v>
      </c>
      <c r="AC42" s="894">
        <f ca="1">OFFSET(BB42,0,(MATCH('Model Report Formatized'!$E$1,$AN$1:$AN$6,0))*17-17)</f>
        <v>4.0000000000000001E-3</v>
      </c>
      <c r="AD42" s="894">
        <f ca="1">OFFSET(BC42,0,(MATCH('Model Report Formatized'!$E$1,$AN$1:$AN$6,0))*17-17)</f>
        <v>4.0000000000000001E-3</v>
      </c>
      <c r="AE42" s="894">
        <f ca="1">OFFSET(BD42,0,(MATCH('Model Report Formatized'!$E$1,$AN$1:$AN$6,0))*17-17)</f>
        <v>4.0000000000000001E-3</v>
      </c>
      <c r="AF42" s="894">
        <f ca="1">OFFSET(BE42,0,(MATCH('Model Report Formatized'!$E$1,$AN$1:$AN$6,0))*17-17)</f>
        <v>4.0000000000000001E-3</v>
      </c>
      <c r="AG42" s="894">
        <f ca="1">OFFSET(BF42,0,(MATCH('Model Report Formatized'!$E$1,$AN$1:$AN$6,0))*17-17)</f>
        <v>4.0000000000000001E-3</v>
      </c>
      <c r="AH42" s="891">
        <f t="shared" ca="1" si="5"/>
        <v>0</v>
      </c>
      <c r="AJ42" s="895">
        <f ca="1">OFFSET(AQ42,0,(MATCH('Model Report Formatized'!$E$1,$AN$1:$AN$6,0))*17-17)</f>
        <v>1.2E-2</v>
      </c>
      <c r="AK42" s="895">
        <f ca="1">OFFSET(AR42,0,(MATCH('Model Report Formatized'!$E$1,$AN$1:$AN$6,0))*17-17)</f>
        <v>4.2000000000000003E-2</v>
      </c>
      <c r="AL42" s="895">
        <f ca="1">OFFSET(AS42,0,(MATCH('Model Report Formatized'!$E$1,$AN$1:$AN$6,0))*17-17)</f>
        <v>4.2000000000000003E-2</v>
      </c>
      <c r="AQ42" s="893">
        <v>0.05</v>
      </c>
      <c r="AR42" s="893">
        <v>0.05</v>
      </c>
      <c r="AS42" s="893">
        <v>0.05</v>
      </c>
      <c r="AT42" s="893">
        <v>0.05</v>
      </c>
      <c r="AU42" s="893">
        <v>0.05</v>
      </c>
      <c r="AV42" s="893">
        <v>0</v>
      </c>
      <c r="AW42" s="893">
        <v>0</v>
      </c>
      <c r="AX42" s="893">
        <v>0</v>
      </c>
      <c r="AY42" s="893">
        <v>0</v>
      </c>
      <c r="AZ42" s="893">
        <v>0</v>
      </c>
      <c r="BA42" s="893">
        <v>0</v>
      </c>
      <c r="BB42" s="893">
        <v>0</v>
      </c>
      <c r="BC42" s="893">
        <v>0</v>
      </c>
      <c r="BD42" s="893">
        <v>0</v>
      </c>
      <c r="BE42" s="893">
        <v>0</v>
      </c>
      <c r="BF42" s="893">
        <v>0</v>
      </c>
      <c r="BH42" s="816">
        <v>4.5999999999999999E-2</v>
      </c>
      <c r="BI42" s="816">
        <v>4.5999999999999999E-2</v>
      </c>
      <c r="BJ42" s="816">
        <v>4.5999999999999999E-2</v>
      </c>
      <c r="BK42" s="816">
        <v>4.5999999999999999E-2</v>
      </c>
      <c r="BL42" s="816">
        <v>4.5999999999999999E-2</v>
      </c>
      <c r="BM42" s="816">
        <v>0</v>
      </c>
      <c r="BN42" s="816">
        <v>0</v>
      </c>
      <c r="BO42" s="816">
        <v>0</v>
      </c>
      <c r="BP42" s="816">
        <v>0</v>
      </c>
      <c r="BQ42" s="816">
        <v>0</v>
      </c>
      <c r="BR42" s="816">
        <v>0</v>
      </c>
      <c r="BS42" s="816">
        <v>0</v>
      </c>
      <c r="BT42" s="816">
        <v>0</v>
      </c>
      <c r="BU42" s="816">
        <v>0</v>
      </c>
      <c r="BV42" s="816">
        <v>0</v>
      </c>
      <c r="BW42" s="816">
        <v>0</v>
      </c>
      <c r="BY42" s="817">
        <v>2.6000000000000002E-2</v>
      </c>
      <c r="BZ42" s="817">
        <v>2.6000000000000002E-2</v>
      </c>
      <c r="CA42" s="817">
        <v>2.6000000000000002E-2</v>
      </c>
      <c r="CB42" s="817">
        <v>2.6000000000000002E-2</v>
      </c>
      <c r="CC42" s="817">
        <v>2.6000000000000002E-2</v>
      </c>
      <c r="CD42" s="817">
        <v>0</v>
      </c>
      <c r="CE42" s="817">
        <v>0</v>
      </c>
      <c r="CF42" s="817">
        <v>0</v>
      </c>
      <c r="CG42" s="817">
        <v>0</v>
      </c>
      <c r="CH42" s="817">
        <v>0</v>
      </c>
      <c r="CI42" s="817">
        <v>0</v>
      </c>
      <c r="CJ42" s="817">
        <v>0</v>
      </c>
      <c r="CK42" s="817">
        <v>0</v>
      </c>
      <c r="CL42" s="817">
        <v>0</v>
      </c>
      <c r="CM42" s="817">
        <v>0</v>
      </c>
      <c r="CN42" s="817">
        <v>0</v>
      </c>
      <c r="CO42" s="816" t="s">
        <v>1340</v>
      </c>
      <c r="CP42" s="818">
        <f>INDEX('Monthly Run-off Change'!I:I,MATCH($B42,'Monthly Run-off Change'!$E:$E,0))</f>
        <v>1.2E-2</v>
      </c>
      <c r="CQ42" s="818">
        <f>INDEX('Monthly Run-off Change'!J:J,MATCH($B42,'Monthly Run-off Change'!$E:$E,0))</f>
        <v>4.2000000000000003E-2</v>
      </c>
      <c r="CR42" s="818">
        <f>INDEX('Monthly Run-off Change'!K:K,MATCH($B42,'Monthly Run-off Change'!$E:$E,0))</f>
        <v>4.2000000000000003E-2</v>
      </c>
      <c r="CS42" s="818">
        <f>INDEX('Monthly Run-off Change'!L:L,MATCH($B42,'Monthly Run-off Change'!$E:$E,0))</f>
        <v>1.1999999999999997E-2</v>
      </c>
      <c r="CT42" s="818">
        <f>INDEX('Monthly Run-off Change'!M:M,MATCH($B42,'Monthly Run-off Change'!$E:$E,0))</f>
        <v>1.1999999999999997E-2</v>
      </c>
      <c r="CU42" s="818">
        <f>INDEX('Monthly Run-off Change'!N:N,MATCH($B42,'Monthly Run-off Change'!$E:$E,0))</f>
        <v>1.1999999999999997E-2</v>
      </c>
      <c r="CV42" s="818">
        <f>INDEX('Monthly Run-off Change'!O:O,MATCH($B42,'Monthly Run-off Change'!$E:$E,0))</f>
        <v>1.1999999999999997E-2</v>
      </c>
      <c r="CW42" s="818">
        <f>INDEX('Monthly Run-off Change'!P:P,MATCH($B42,'Monthly Run-off Change'!$E:$E,0))</f>
        <v>4.0000000000000001E-3</v>
      </c>
      <c r="CX42" s="818">
        <f>INDEX('Monthly Run-off Change'!Q:Q,MATCH($B42,'Monthly Run-off Change'!$E:$E,0))</f>
        <v>4.0000000000000001E-3</v>
      </c>
      <c r="CY42" s="818">
        <f>INDEX('Monthly Run-off Change'!R:R,MATCH($B42,'Monthly Run-off Change'!$E:$E,0))</f>
        <v>4.0000000000000001E-3</v>
      </c>
      <c r="CZ42" s="818">
        <f>INDEX('Monthly Run-off Change'!S:S,MATCH($B42,'Monthly Run-off Change'!$E:$E,0))</f>
        <v>4.0000000000000001E-3</v>
      </c>
      <c r="DA42" s="818">
        <f>INDEX('Monthly Run-off Change'!T:T,MATCH($B42,'Monthly Run-off Change'!$E:$E,0))</f>
        <v>4.0000000000000001E-3</v>
      </c>
      <c r="DB42" s="818">
        <f>INDEX('Monthly Run-off Change'!U:U,MATCH($B42,'Monthly Run-off Change'!$E:$E,0))</f>
        <v>4.0000000000000001E-3</v>
      </c>
      <c r="DC42" s="818">
        <f>INDEX('Monthly Run-off Change'!V:V,MATCH($B42,'Monthly Run-off Change'!$E:$E,0))</f>
        <v>4.0000000000000001E-3</v>
      </c>
      <c r="DD42" s="818">
        <f>INDEX('Monthly Run-off Change'!W:W,MATCH($B42,'Monthly Run-off Change'!$E:$E,0))</f>
        <v>4.0000000000000001E-3</v>
      </c>
      <c r="DE42" s="818">
        <f>INDEX('Monthly Run-off Change'!X:X,MATCH($B42,'Monthly Run-off Change'!$E:$E,0))</f>
        <v>4.0000000000000001E-3</v>
      </c>
      <c r="DF42" s="899">
        <f>INDEX('Monthly Run-off Change'!Y:Y,MATCH($B42,'Monthly Run-off Change'!$E:$E,0))</f>
        <v>0</v>
      </c>
      <c r="DG42" s="899">
        <f>INDEX('Monthly Run-off Change'!Z:Z,MATCH($B42,'Monthly Run-off Change'!$E:$E,0))</f>
        <v>3.0000000000000001E-3</v>
      </c>
      <c r="DH42" s="899">
        <f>INDEX('Monthly Run-off Change'!AA:AA,MATCH($B42,'Monthly Run-off Change'!$E:$E,0))</f>
        <v>1.0500000000000001E-2</v>
      </c>
      <c r="DI42" s="899">
        <f>INDEX('Monthly Run-off Change'!AB:AB,MATCH($B42,'Monthly Run-off Change'!$E:$E,0))</f>
        <v>1.0500000000000001E-2</v>
      </c>
      <c r="DJ42" s="899">
        <f>INDEX('Monthly Run-off Change'!AC:AC,MATCH($B42,'Monthly Run-off Change'!$E:$E,0))</f>
        <v>2.9999999999999992E-3</v>
      </c>
      <c r="DK42" s="899">
        <f>INDEX('Monthly Run-off Change'!AD:AD,MATCH($B42,'Monthly Run-off Change'!$E:$E,0))</f>
        <v>2.9999999999999992E-3</v>
      </c>
      <c r="DL42" s="899">
        <f>INDEX('Monthly Run-off Change'!AE:AE,MATCH($B42,'Monthly Run-off Change'!$E:$E,0))</f>
        <v>2.9999999999999992E-3</v>
      </c>
      <c r="DM42" s="899">
        <f>INDEX('Monthly Run-off Change'!AF:AF,MATCH($B42,'Monthly Run-off Change'!$E:$E,0))</f>
        <v>2.9999999999999992E-3</v>
      </c>
      <c r="DN42" s="899">
        <f>INDEX('Monthly Run-off Change'!AG:AG,MATCH($B42,'Monthly Run-off Change'!$E:$E,0))</f>
        <v>1E-3</v>
      </c>
      <c r="DO42" s="899">
        <f>INDEX('Monthly Run-off Change'!AH:AH,MATCH($B42,'Monthly Run-off Change'!$E:$E,0))</f>
        <v>1E-3</v>
      </c>
      <c r="DP42" s="899">
        <f>INDEX('Monthly Run-off Change'!AI:AI,MATCH($B42,'Monthly Run-off Change'!$E:$E,0))</f>
        <v>1E-3</v>
      </c>
      <c r="DQ42" s="899">
        <f>INDEX('Monthly Run-off Change'!AJ:AJ,MATCH($B42,'Monthly Run-off Change'!$E:$E,0))</f>
        <v>1E-3</v>
      </c>
      <c r="DR42" s="899">
        <f>INDEX('Monthly Run-off Change'!AK:AK,MATCH($B42,'Monthly Run-off Change'!$E:$E,0))</f>
        <v>1E-3</v>
      </c>
      <c r="DS42" s="899">
        <f>INDEX('Monthly Run-off Change'!AL:AL,MATCH($B42,'Monthly Run-off Change'!$E:$E,0))</f>
        <v>1E-3</v>
      </c>
      <c r="DT42" s="899">
        <f>INDEX('Monthly Run-off Change'!AM:AM,MATCH($B42,'Monthly Run-off Change'!$E:$E,0))</f>
        <v>1E-3</v>
      </c>
      <c r="DU42" s="899">
        <f>INDEX('Monthly Run-off Change'!AN:AN,MATCH($B42,'Monthly Run-off Change'!$E:$E,0))</f>
        <v>1E-3</v>
      </c>
      <c r="DV42" s="899">
        <f>INDEX('Monthly Run-off Change'!AO:AO,MATCH($B42,'Monthly Run-off Change'!$E:$E,0))</f>
        <v>1E-3</v>
      </c>
      <c r="DW42" s="899">
        <f>INDEX('Monthly Run-off Change'!AP:AP,MATCH($B42,'Monthly Run-off Change'!$E:$E,0))</f>
        <v>0</v>
      </c>
      <c r="DX42" s="899">
        <f>INDEX('Monthly Run-off Change'!AQ:AQ,MATCH($B42,'Monthly Run-off Change'!$E:$E,0))</f>
        <v>1.0000000000000002E-2</v>
      </c>
      <c r="DY42" s="899">
        <f>INDEX('Monthly Run-off Change'!AR:AR,MATCH($B42,'Monthly Run-off Change'!$E:$E,0))</f>
        <v>3.5000000000000003E-2</v>
      </c>
      <c r="DZ42" s="899">
        <f>INDEX('Monthly Run-off Change'!AS:AS,MATCH($B42,'Monthly Run-off Change'!$E:$E,0))</f>
        <v>3.5000000000000003E-2</v>
      </c>
      <c r="EA42" s="899">
        <f>INDEX('Monthly Run-off Change'!AT:AT,MATCH($B42,'Monthly Run-off Change'!$E:$E,0))</f>
        <v>9.999999999999995E-3</v>
      </c>
      <c r="EB42" s="899">
        <f>INDEX('Monthly Run-off Change'!AU:AU,MATCH($B42,'Monthly Run-off Change'!$E:$E,0))</f>
        <v>9.999999999999995E-3</v>
      </c>
      <c r="EC42" s="899">
        <f>INDEX('Monthly Run-off Change'!AV:AV,MATCH($B42,'Monthly Run-off Change'!$E:$E,0))</f>
        <v>9.999999999999995E-3</v>
      </c>
      <c r="ED42" s="899">
        <f>INDEX('Monthly Run-off Change'!AW:AW,MATCH($B42,'Monthly Run-off Change'!$E:$E,0))</f>
        <v>9.999999999999995E-3</v>
      </c>
      <c r="EE42" s="899">
        <f>INDEX('Monthly Run-off Change'!AX:AX,MATCH($B42,'Monthly Run-off Change'!$E:$E,0))</f>
        <v>3.3333333333333361E-3</v>
      </c>
      <c r="EF42" s="899">
        <f>INDEX('Monthly Run-off Change'!AY:AY,MATCH($B42,'Monthly Run-off Change'!$E:$E,0))</f>
        <v>3.3333333333333361E-3</v>
      </c>
      <c r="EG42" s="899">
        <f>INDEX('Monthly Run-off Change'!AZ:AZ,MATCH($B42,'Monthly Run-off Change'!$E:$E,0))</f>
        <v>3.3333333333333361E-3</v>
      </c>
      <c r="EH42" s="899">
        <f>INDEX('Monthly Run-off Change'!BA:BA,MATCH($B42,'Monthly Run-off Change'!$E:$E,0))</f>
        <v>3.3333333333333361E-3</v>
      </c>
      <c r="EI42" s="899">
        <f>INDEX('Monthly Run-off Change'!BB:BB,MATCH($B42,'Monthly Run-off Change'!$E:$E,0))</f>
        <v>3.3333333333333361E-3</v>
      </c>
      <c r="EJ42" s="899">
        <f>INDEX('Monthly Run-off Change'!BC:BC,MATCH($B42,'Monthly Run-off Change'!$E:$E,0))</f>
        <v>3.3333333333333361E-3</v>
      </c>
      <c r="EK42" s="899">
        <f>INDEX('Monthly Run-off Change'!BD:BD,MATCH($B42,'Monthly Run-off Change'!$E:$E,0))</f>
        <v>3.3333333333333361E-3</v>
      </c>
      <c r="EL42" s="899">
        <f>INDEX('Monthly Run-off Change'!BE:BE,MATCH($B42,'Monthly Run-off Change'!$E:$E,0))</f>
        <v>3.3333333333333361E-3</v>
      </c>
      <c r="EM42" s="899">
        <f>INDEX('Monthly Run-off Change'!BF:BF,MATCH($B42,'Monthly Run-off Change'!$E:$E,0))</f>
        <v>3.3333333333333361E-3</v>
      </c>
      <c r="FQ42" s="898"/>
      <c r="FS42" s="898"/>
      <c r="FT42" s="898"/>
      <c r="FU42" s="898"/>
      <c r="FV42" s="898"/>
      <c r="FW42" s="898"/>
      <c r="FX42" s="898"/>
      <c r="FY42" s="898"/>
      <c r="FZ42" s="898"/>
      <c r="GA42" s="898"/>
      <c r="GB42" s="898"/>
      <c r="GC42" s="898"/>
      <c r="GD42" s="898"/>
      <c r="GE42" s="898"/>
      <c r="GF42" s="898"/>
      <c r="GG42" s="898"/>
      <c r="GH42" s="898"/>
      <c r="GJ42" s="898"/>
      <c r="GK42" s="898"/>
      <c r="GL42" s="898"/>
      <c r="GM42" s="898"/>
      <c r="GN42" s="898"/>
      <c r="GO42" s="898"/>
      <c r="GP42" s="898"/>
      <c r="GQ42" s="898"/>
      <c r="GR42" s="898"/>
      <c r="GS42" s="898"/>
      <c r="GT42" s="898"/>
      <c r="GU42" s="898"/>
      <c r="GV42" s="898"/>
      <c r="GW42" s="898"/>
      <c r="GX42" s="898"/>
      <c r="GY42" s="898"/>
      <c r="HA42" s="898"/>
      <c r="HB42" s="898"/>
      <c r="HC42" s="898"/>
      <c r="HD42" s="898"/>
      <c r="HE42" s="898"/>
      <c r="HF42" s="898"/>
      <c r="HG42" s="898"/>
      <c r="HH42" s="898"/>
      <c r="HI42" s="898"/>
      <c r="HJ42" s="898"/>
      <c r="HK42" s="898"/>
      <c r="HL42" s="898"/>
      <c r="HM42" s="898"/>
      <c r="HN42" s="898"/>
      <c r="HO42" s="898"/>
      <c r="HP42" s="898"/>
    </row>
    <row r="43" spans="1:224">
      <c r="B43" s="816" t="s">
        <v>995</v>
      </c>
      <c r="C43" s="816">
        <v>0</v>
      </c>
      <c r="D43" s="816">
        <f t="shared" si="4"/>
        <v>1</v>
      </c>
      <c r="E43" s="816">
        <v>0</v>
      </c>
      <c r="F43" s="816" t="str">
        <f>INDEX('Data Interface'!$C:$C,MATCH(B43,'Data Interface'!$B:$B,0))</f>
        <v>Due to Interbranch - Investment (Exclude Large IB)</v>
      </c>
      <c r="G43" s="894">
        <f ca="1">IF($C43=1,$AJ43,SUM($AJ43:$AL43)*INDEX('Schedule Allocation'!G:G,MATCH($D43,'Schedule Allocation'!$A:$A,0)))</f>
        <v>3.2000000000000001E-2</v>
      </c>
      <c r="H43" s="894">
        <f ca="1">IF($C43=1,$AK43,SUM($AJ43:$AL43)*INDEX('Schedule Allocation'!H:H,MATCH($D43,'Schedule Allocation'!$A:$A,0)))</f>
        <v>5.3333333333333332E-3</v>
      </c>
      <c r="I43" s="894">
        <f ca="1">IF($C43=1,$AK43,SUM($AJ43:$AL43)*INDEX('Schedule Allocation'!I:I,MATCH($D43,'Schedule Allocation'!$A:$A,0)))</f>
        <v>5.3333333333333332E-3</v>
      </c>
      <c r="J43" s="894">
        <f ca="1">IF($C43=1,$AK43,SUM($AJ43:$AL43)*INDEX('Schedule Allocation'!J:J,MATCH($D43,'Schedule Allocation'!$A:$A,0)))</f>
        <v>5.3333333333333332E-3</v>
      </c>
      <c r="K43" s="894">
        <f ca="1">IF($C43=1,$AK43,SUM($AJ43:$AL43)*INDEX('Schedule Allocation'!K:K,MATCH($D43,'Schedule Allocation'!$A:$A,0)))</f>
        <v>5.3333333333333332E-3</v>
      </c>
      <c r="L43" s="894">
        <f ca="1">IF($C43=1,$AK43,SUM($AJ43:$AL43)*INDEX('Schedule Allocation'!L:L,MATCH($D43,'Schedule Allocation'!$A:$A,0)))</f>
        <v>5.3333333333333332E-3</v>
      </c>
      <c r="M43" s="894">
        <f ca="1">IF($C43=1,$AK43,SUM($AJ43:$AL43)*INDEX('Schedule Allocation'!M:M,MATCH($D43,'Schedule Allocation'!$A:$A,0)))</f>
        <v>5.3333333333333332E-3</v>
      </c>
      <c r="N43" s="894">
        <f ca="1">IF($C43=1,$AL43,SUM($AJ43:$AL43)*INDEX('Schedule Allocation'!N:N,MATCH($D43,'Schedule Allocation'!$A:$A,0)))</f>
        <v>4.5714285714285718E-3</v>
      </c>
      <c r="O43" s="894">
        <f ca="1">IF($C43=1,$AL43,SUM($AJ43:$AL43)*INDEX('Schedule Allocation'!O:O,MATCH($D43,'Schedule Allocation'!$A:$A,0)))</f>
        <v>4.5714285714285718E-3</v>
      </c>
      <c r="P43" s="894">
        <f ca="1">IF($C43=1,$AL43,SUM($AJ43:$AL43)*INDEX('Schedule Allocation'!P:P,MATCH($D43,'Schedule Allocation'!$A:$A,0)))</f>
        <v>4.5714285714285718E-3</v>
      </c>
      <c r="Q43" s="894">
        <f ca="1">IF($C43=1,$AL43,SUM($AJ43:$AL43)*INDEX('Schedule Allocation'!Q:Q,MATCH($D43,'Schedule Allocation'!$A:$A,0)))</f>
        <v>4.5714285714285718E-3</v>
      </c>
      <c r="R43" s="894">
        <f ca="1">IF($C43=1,$AL43,SUM($AJ43:$AL43)*INDEX('Schedule Allocation'!R:R,MATCH($D43,'Schedule Allocation'!$A:$A,0)))</f>
        <v>4.5714285714285718E-3</v>
      </c>
      <c r="S43" s="894">
        <f ca="1">IF($C43=1,$AL43,SUM($AJ43:$AL43)*INDEX('Schedule Allocation'!S:S,MATCH($D43,'Schedule Allocation'!$A:$A,0)))</f>
        <v>4.5714285714285718E-3</v>
      </c>
      <c r="T43" s="894">
        <f ca="1">IF($C43=1,$AL43,SUM($AJ43:$AL43)*INDEX('Schedule Allocation'!T:T,MATCH($D43,'Schedule Allocation'!$A:$A,0)))</f>
        <v>4.5714285714285718E-3</v>
      </c>
      <c r="U43" s="894">
        <f ca="1">OFFSET(AT43,0,(MATCH('Model Report Formatized'!$E$1,$AN$1:$AN$6,0))*17-17)</f>
        <v>1.1999999999999997E-2</v>
      </c>
      <c r="V43" s="894">
        <f ca="1">OFFSET(AU43,0,(MATCH('Model Report Formatized'!$E$1,$AN$1:$AN$6,0))*17-17)</f>
        <v>1.1999999999999997E-2</v>
      </c>
      <c r="W43" s="894">
        <f ca="1">OFFSET(AV43,0,(MATCH('Model Report Formatized'!$E$1,$AN$1:$AN$6,0))*17-17)</f>
        <v>1.1999999999999997E-2</v>
      </c>
      <c r="X43" s="894">
        <f ca="1">OFFSET(AW43,0,(MATCH('Model Report Formatized'!$E$1,$AN$1:$AN$6,0))*17-17)</f>
        <v>1.1999999999999997E-2</v>
      </c>
      <c r="Y43" s="894">
        <f ca="1">OFFSET(AX43,0,(MATCH('Model Report Formatized'!$E$1,$AN$1:$AN$6,0))*17-17)</f>
        <v>4.0000000000000001E-3</v>
      </c>
      <c r="Z43" s="894">
        <f ca="1">OFFSET(AY43,0,(MATCH('Model Report Formatized'!$E$1,$AN$1:$AN$6,0))*17-17)</f>
        <v>4.0000000000000001E-3</v>
      </c>
      <c r="AA43" s="894">
        <f ca="1">OFFSET(AZ43,0,(MATCH('Model Report Formatized'!$E$1,$AN$1:$AN$6,0))*17-17)</f>
        <v>4.0000000000000001E-3</v>
      </c>
      <c r="AB43" s="894">
        <f ca="1">OFFSET(BA43,0,(MATCH('Model Report Formatized'!$E$1,$AN$1:$AN$6,0))*17-17)</f>
        <v>4.0000000000000001E-3</v>
      </c>
      <c r="AC43" s="894">
        <f ca="1">OFFSET(BB43,0,(MATCH('Model Report Formatized'!$E$1,$AN$1:$AN$6,0))*17-17)</f>
        <v>4.0000000000000001E-3</v>
      </c>
      <c r="AD43" s="894">
        <f ca="1">OFFSET(BC43,0,(MATCH('Model Report Formatized'!$E$1,$AN$1:$AN$6,0))*17-17)</f>
        <v>4.0000000000000001E-3</v>
      </c>
      <c r="AE43" s="894">
        <f ca="1">OFFSET(BD43,0,(MATCH('Model Report Formatized'!$E$1,$AN$1:$AN$6,0))*17-17)</f>
        <v>4.0000000000000001E-3</v>
      </c>
      <c r="AF43" s="894">
        <f ca="1">OFFSET(BE43,0,(MATCH('Model Report Formatized'!$E$1,$AN$1:$AN$6,0))*17-17)</f>
        <v>4.0000000000000001E-3</v>
      </c>
      <c r="AG43" s="894">
        <f ca="1">OFFSET(BF43,0,(MATCH('Model Report Formatized'!$E$1,$AN$1:$AN$6,0))*17-17)</f>
        <v>4.0000000000000001E-3</v>
      </c>
      <c r="AH43" s="891">
        <f t="shared" ca="1" si="5"/>
        <v>0</v>
      </c>
      <c r="AJ43" s="895">
        <f ca="1">OFFSET(AQ43,0,(MATCH('Model Report Formatized'!$E$1,$AN$1:$AN$6,0))*17-17)</f>
        <v>1.2E-2</v>
      </c>
      <c r="AK43" s="895">
        <f ca="1">OFFSET(AR43,0,(MATCH('Model Report Formatized'!$E$1,$AN$1:$AN$6,0))*17-17)</f>
        <v>4.2000000000000003E-2</v>
      </c>
      <c r="AL43" s="895">
        <f ca="1">OFFSET(AS43,0,(MATCH('Model Report Formatized'!$E$1,$AN$1:$AN$6,0))*17-17)</f>
        <v>4.2000000000000003E-2</v>
      </c>
      <c r="AQ43" s="893">
        <v>0.05</v>
      </c>
      <c r="AR43" s="893">
        <v>0.05</v>
      </c>
      <c r="AS43" s="893">
        <v>0.05</v>
      </c>
      <c r="AT43" s="893">
        <v>0.05</v>
      </c>
      <c r="AU43" s="893">
        <v>0.05</v>
      </c>
      <c r="AV43" s="893">
        <v>0</v>
      </c>
      <c r="AW43" s="893">
        <v>0</v>
      </c>
      <c r="AX43" s="893">
        <v>0</v>
      </c>
      <c r="AY43" s="893">
        <v>0</v>
      </c>
      <c r="AZ43" s="893">
        <v>0</v>
      </c>
      <c r="BA43" s="893">
        <v>0</v>
      </c>
      <c r="BB43" s="893">
        <v>0</v>
      </c>
      <c r="BC43" s="893">
        <v>0</v>
      </c>
      <c r="BD43" s="893">
        <v>0</v>
      </c>
      <c r="BE43" s="893">
        <v>0</v>
      </c>
      <c r="BF43" s="893">
        <v>0</v>
      </c>
      <c r="BH43" s="816">
        <v>4.5999999999999999E-2</v>
      </c>
      <c r="BI43" s="816">
        <v>4.5999999999999999E-2</v>
      </c>
      <c r="BJ43" s="816">
        <v>4.5999999999999999E-2</v>
      </c>
      <c r="BK43" s="816">
        <v>4.5999999999999999E-2</v>
      </c>
      <c r="BL43" s="816">
        <v>4.5999999999999999E-2</v>
      </c>
      <c r="BM43" s="816">
        <v>0</v>
      </c>
      <c r="BN43" s="816">
        <v>0</v>
      </c>
      <c r="BO43" s="816">
        <v>0</v>
      </c>
      <c r="BP43" s="816">
        <v>0</v>
      </c>
      <c r="BQ43" s="816">
        <v>0</v>
      </c>
      <c r="BR43" s="816">
        <v>0</v>
      </c>
      <c r="BS43" s="816">
        <v>0</v>
      </c>
      <c r="BT43" s="816">
        <v>0</v>
      </c>
      <c r="BU43" s="816">
        <v>0</v>
      </c>
      <c r="BV43" s="816">
        <v>0</v>
      </c>
      <c r="BW43" s="816">
        <v>0</v>
      </c>
      <c r="BY43" s="817">
        <v>2.6000000000000002E-2</v>
      </c>
      <c r="BZ43" s="817">
        <v>2.6000000000000002E-2</v>
      </c>
      <c r="CA43" s="817">
        <v>2.6000000000000002E-2</v>
      </c>
      <c r="CB43" s="817">
        <v>2.6000000000000002E-2</v>
      </c>
      <c r="CC43" s="817">
        <v>2.6000000000000002E-2</v>
      </c>
      <c r="CD43" s="817">
        <v>0</v>
      </c>
      <c r="CE43" s="817">
        <v>0</v>
      </c>
      <c r="CF43" s="817">
        <v>0</v>
      </c>
      <c r="CG43" s="817">
        <v>0</v>
      </c>
      <c r="CH43" s="817">
        <v>0</v>
      </c>
      <c r="CI43" s="817">
        <v>0</v>
      </c>
      <c r="CJ43" s="817">
        <v>0</v>
      </c>
      <c r="CK43" s="817">
        <v>0</v>
      </c>
      <c r="CL43" s="817">
        <v>0</v>
      </c>
      <c r="CM43" s="817">
        <v>0</v>
      </c>
      <c r="CN43" s="817">
        <v>0</v>
      </c>
      <c r="CO43" s="816" t="s">
        <v>1340</v>
      </c>
      <c r="CP43" s="818">
        <f>INDEX('Monthly Run-off Change'!I:I,MATCH($B43,'Monthly Run-off Change'!$E:$E,0))</f>
        <v>1.2E-2</v>
      </c>
      <c r="CQ43" s="818">
        <f>INDEX('Monthly Run-off Change'!J:J,MATCH($B43,'Monthly Run-off Change'!$E:$E,0))</f>
        <v>4.2000000000000003E-2</v>
      </c>
      <c r="CR43" s="818">
        <f>INDEX('Monthly Run-off Change'!K:K,MATCH($B43,'Monthly Run-off Change'!$E:$E,0))</f>
        <v>4.2000000000000003E-2</v>
      </c>
      <c r="CS43" s="818">
        <f>INDEX('Monthly Run-off Change'!L:L,MATCH($B43,'Monthly Run-off Change'!$E:$E,0))</f>
        <v>1.1999999999999997E-2</v>
      </c>
      <c r="CT43" s="818">
        <f>INDEX('Monthly Run-off Change'!M:M,MATCH($B43,'Monthly Run-off Change'!$E:$E,0))</f>
        <v>1.1999999999999997E-2</v>
      </c>
      <c r="CU43" s="818">
        <f>INDEX('Monthly Run-off Change'!N:N,MATCH($B43,'Monthly Run-off Change'!$E:$E,0))</f>
        <v>1.1999999999999997E-2</v>
      </c>
      <c r="CV43" s="818">
        <f>INDEX('Monthly Run-off Change'!O:O,MATCH($B43,'Monthly Run-off Change'!$E:$E,0))</f>
        <v>1.1999999999999997E-2</v>
      </c>
      <c r="CW43" s="818">
        <f>INDEX('Monthly Run-off Change'!P:P,MATCH($B43,'Monthly Run-off Change'!$E:$E,0))</f>
        <v>4.0000000000000001E-3</v>
      </c>
      <c r="CX43" s="818">
        <f>INDEX('Monthly Run-off Change'!Q:Q,MATCH($B43,'Monthly Run-off Change'!$E:$E,0))</f>
        <v>4.0000000000000001E-3</v>
      </c>
      <c r="CY43" s="818">
        <f>INDEX('Monthly Run-off Change'!R:R,MATCH($B43,'Monthly Run-off Change'!$E:$E,0))</f>
        <v>4.0000000000000001E-3</v>
      </c>
      <c r="CZ43" s="818">
        <f>INDEX('Monthly Run-off Change'!S:S,MATCH($B43,'Monthly Run-off Change'!$E:$E,0))</f>
        <v>4.0000000000000001E-3</v>
      </c>
      <c r="DA43" s="818">
        <f>INDEX('Monthly Run-off Change'!T:T,MATCH($B43,'Monthly Run-off Change'!$E:$E,0))</f>
        <v>4.0000000000000001E-3</v>
      </c>
      <c r="DB43" s="818">
        <f>INDEX('Monthly Run-off Change'!U:U,MATCH($B43,'Monthly Run-off Change'!$E:$E,0))</f>
        <v>4.0000000000000001E-3</v>
      </c>
      <c r="DC43" s="818">
        <f>INDEX('Monthly Run-off Change'!V:V,MATCH($B43,'Monthly Run-off Change'!$E:$E,0))</f>
        <v>4.0000000000000001E-3</v>
      </c>
      <c r="DD43" s="818">
        <f>INDEX('Monthly Run-off Change'!W:W,MATCH($B43,'Monthly Run-off Change'!$E:$E,0))</f>
        <v>4.0000000000000001E-3</v>
      </c>
      <c r="DE43" s="818">
        <f>INDEX('Monthly Run-off Change'!X:X,MATCH($B43,'Monthly Run-off Change'!$E:$E,0))</f>
        <v>4.0000000000000001E-3</v>
      </c>
      <c r="DF43" s="899">
        <f>INDEX('Monthly Run-off Change'!Y:Y,MATCH($B43,'Monthly Run-off Change'!$E:$E,0))</f>
        <v>0</v>
      </c>
      <c r="DG43" s="899">
        <f>INDEX('Monthly Run-off Change'!Z:Z,MATCH($B43,'Monthly Run-off Change'!$E:$E,0))</f>
        <v>3.0000000000000001E-3</v>
      </c>
      <c r="DH43" s="899">
        <f>INDEX('Monthly Run-off Change'!AA:AA,MATCH($B43,'Monthly Run-off Change'!$E:$E,0))</f>
        <v>1.0500000000000001E-2</v>
      </c>
      <c r="DI43" s="899">
        <f>INDEX('Monthly Run-off Change'!AB:AB,MATCH($B43,'Monthly Run-off Change'!$E:$E,0))</f>
        <v>1.0500000000000001E-2</v>
      </c>
      <c r="DJ43" s="899">
        <f>INDEX('Monthly Run-off Change'!AC:AC,MATCH($B43,'Monthly Run-off Change'!$E:$E,0))</f>
        <v>2.9999999999999992E-3</v>
      </c>
      <c r="DK43" s="899">
        <f>INDEX('Monthly Run-off Change'!AD:AD,MATCH($B43,'Monthly Run-off Change'!$E:$E,0))</f>
        <v>2.9999999999999992E-3</v>
      </c>
      <c r="DL43" s="899">
        <f>INDEX('Monthly Run-off Change'!AE:AE,MATCH($B43,'Monthly Run-off Change'!$E:$E,0))</f>
        <v>2.9999999999999992E-3</v>
      </c>
      <c r="DM43" s="899">
        <f>INDEX('Monthly Run-off Change'!AF:AF,MATCH($B43,'Monthly Run-off Change'!$E:$E,0))</f>
        <v>2.9999999999999992E-3</v>
      </c>
      <c r="DN43" s="899">
        <f>INDEX('Monthly Run-off Change'!AG:AG,MATCH($B43,'Monthly Run-off Change'!$E:$E,0))</f>
        <v>1E-3</v>
      </c>
      <c r="DO43" s="899">
        <f>INDEX('Monthly Run-off Change'!AH:AH,MATCH($B43,'Monthly Run-off Change'!$E:$E,0))</f>
        <v>1E-3</v>
      </c>
      <c r="DP43" s="899">
        <f>INDEX('Monthly Run-off Change'!AI:AI,MATCH($B43,'Monthly Run-off Change'!$E:$E,0))</f>
        <v>1E-3</v>
      </c>
      <c r="DQ43" s="899">
        <f>INDEX('Monthly Run-off Change'!AJ:AJ,MATCH($B43,'Monthly Run-off Change'!$E:$E,0))</f>
        <v>1E-3</v>
      </c>
      <c r="DR43" s="899">
        <f>INDEX('Monthly Run-off Change'!AK:AK,MATCH($B43,'Monthly Run-off Change'!$E:$E,0))</f>
        <v>1E-3</v>
      </c>
      <c r="DS43" s="899">
        <f>INDEX('Monthly Run-off Change'!AL:AL,MATCH($B43,'Monthly Run-off Change'!$E:$E,0))</f>
        <v>1E-3</v>
      </c>
      <c r="DT43" s="899">
        <f>INDEX('Monthly Run-off Change'!AM:AM,MATCH($B43,'Monthly Run-off Change'!$E:$E,0))</f>
        <v>1E-3</v>
      </c>
      <c r="DU43" s="899">
        <f>INDEX('Monthly Run-off Change'!AN:AN,MATCH($B43,'Monthly Run-off Change'!$E:$E,0))</f>
        <v>1E-3</v>
      </c>
      <c r="DV43" s="899">
        <f>INDEX('Monthly Run-off Change'!AO:AO,MATCH($B43,'Monthly Run-off Change'!$E:$E,0))</f>
        <v>1E-3</v>
      </c>
      <c r="DW43" s="899">
        <f>INDEX('Monthly Run-off Change'!AP:AP,MATCH($B43,'Monthly Run-off Change'!$E:$E,0))</f>
        <v>0</v>
      </c>
      <c r="DX43" s="899">
        <f>INDEX('Monthly Run-off Change'!AQ:AQ,MATCH($B43,'Monthly Run-off Change'!$E:$E,0))</f>
        <v>1.0000000000000002E-2</v>
      </c>
      <c r="DY43" s="899">
        <f>INDEX('Monthly Run-off Change'!AR:AR,MATCH($B43,'Monthly Run-off Change'!$E:$E,0))</f>
        <v>3.5000000000000003E-2</v>
      </c>
      <c r="DZ43" s="899">
        <f>INDEX('Monthly Run-off Change'!AS:AS,MATCH($B43,'Monthly Run-off Change'!$E:$E,0))</f>
        <v>3.5000000000000003E-2</v>
      </c>
      <c r="EA43" s="899">
        <f>INDEX('Monthly Run-off Change'!AT:AT,MATCH($B43,'Monthly Run-off Change'!$E:$E,0))</f>
        <v>9.999999999999995E-3</v>
      </c>
      <c r="EB43" s="899">
        <f>INDEX('Monthly Run-off Change'!AU:AU,MATCH($B43,'Monthly Run-off Change'!$E:$E,0))</f>
        <v>9.999999999999995E-3</v>
      </c>
      <c r="EC43" s="899">
        <f>INDEX('Monthly Run-off Change'!AV:AV,MATCH($B43,'Monthly Run-off Change'!$E:$E,0))</f>
        <v>9.999999999999995E-3</v>
      </c>
      <c r="ED43" s="899">
        <f>INDEX('Monthly Run-off Change'!AW:AW,MATCH($B43,'Monthly Run-off Change'!$E:$E,0))</f>
        <v>9.999999999999995E-3</v>
      </c>
      <c r="EE43" s="899">
        <f>INDEX('Monthly Run-off Change'!AX:AX,MATCH($B43,'Monthly Run-off Change'!$E:$E,0))</f>
        <v>3.3333333333333361E-3</v>
      </c>
      <c r="EF43" s="899">
        <f>INDEX('Monthly Run-off Change'!AY:AY,MATCH($B43,'Monthly Run-off Change'!$E:$E,0))</f>
        <v>3.3333333333333361E-3</v>
      </c>
      <c r="EG43" s="899">
        <f>INDEX('Monthly Run-off Change'!AZ:AZ,MATCH($B43,'Monthly Run-off Change'!$E:$E,0))</f>
        <v>3.3333333333333361E-3</v>
      </c>
      <c r="EH43" s="899">
        <f>INDEX('Monthly Run-off Change'!BA:BA,MATCH($B43,'Monthly Run-off Change'!$E:$E,0))</f>
        <v>3.3333333333333361E-3</v>
      </c>
      <c r="EI43" s="899">
        <f>INDEX('Monthly Run-off Change'!BB:BB,MATCH($B43,'Monthly Run-off Change'!$E:$E,0))</f>
        <v>3.3333333333333361E-3</v>
      </c>
      <c r="EJ43" s="899">
        <f>INDEX('Monthly Run-off Change'!BC:BC,MATCH($B43,'Monthly Run-off Change'!$E:$E,0))</f>
        <v>3.3333333333333361E-3</v>
      </c>
      <c r="EK43" s="899">
        <f>INDEX('Monthly Run-off Change'!BD:BD,MATCH($B43,'Monthly Run-off Change'!$E:$E,0))</f>
        <v>3.3333333333333361E-3</v>
      </c>
      <c r="EL43" s="899">
        <f>INDEX('Monthly Run-off Change'!BE:BE,MATCH($B43,'Monthly Run-off Change'!$E:$E,0))</f>
        <v>3.3333333333333361E-3</v>
      </c>
      <c r="EM43" s="899">
        <f>INDEX('Monthly Run-off Change'!BF:BF,MATCH($B43,'Monthly Run-off Change'!$E:$E,0))</f>
        <v>3.3333333333333361E-3</v>
      </c>
      <c r="FQ43" s="898"/>
      <c r="FS43" s="898"/>
      <c r="FT43" s="898"/>
      <c r="FU43" s="898"/>
      <c r="FV43" s="898"/>
      <c r="FW43" s="898"/>
      <c r="FX43" s="898"/>
      <c r="FY43" s="898"/>
      <c r="FZ43" s="898"/>
      <c r="GA43" s="898"/>
      <c r="GB43" s="898"/>
      <c r="GC43" s="898"/>
      <c r="GD43" s="898"/>
      <c r="GE43" s="898"/>
      <c r="GF43" s="898"/>
      <c r="GG43" s="898"/>
      <c r="GH43" s="898"/>
      <c r="GJ43" s="898"/>
      <c r="GK43" s="898"/>
      <c r="GL43" s="898"/>
      <c r="GM43" s="898"/>
      <c r="GN43" s="898"/>
      <c r="GO43" s="898"/>
      <c r="GP43" s="898"/>
      <c r="GQ43" s="898"/>
      <c r="GR43" s="898"/>
      <c r="GS43" s="898"/>
      <c r="GT43" s="898"/>
      <c r="GU43" s="898"/>
      <c r="GV43" s="898"/>
      <c r="GW43" s="898"/>
      <c r="GX43" s="898"/>
      <c r="GY43" s="898"/>
      <c r="HA43" s="898"/>
      <c r="HB43" s="898"/>
      <c r="HC43" s="898"/>
      <c r="HD43" s="898"/>
      <c r="HE43" s="898"/>
      <c r="HF43" s="898"/>
      <c r="HG43" s="898"/>
      <c r="HH43" s="898"/>
      <c r="HI43" s="898"/>
      <c r="HJ43" s="898"/>
      <c r="HK43" s="898"/>
      <c r="HL43" s="898"/>
      <c r="HM43" s="898"/>
      <c r="HN43" s="898"/>
      <c r="HO43" s="898"/>
      <c r="HP43" s="898"/>
    </row>
    <row r="44" spans="1:224">
      <c r="A44" s="816" t="s">
        <v>1289</v>
      </c>
      <c r="B44" s="816" t="s">
        <v>1288</v>
      </c>
      <c r="C44" s="816">
        <v>0</v>
      </c>
      <c r="D44" s="816">
        <f t="shared" si="4"/>
        <v>1</v>
      </c>
      <c r="E44" s="816">
        <v>0</v>
      </c>
      <c r="F44" s="816" t="str">
        <f>INDEX('Data Interface'!$C:$C,MATCH(B44,'Data Interface'!$B:$B,0))</f>
        <v>Due to Interbranch - Investment (H.O.)</v>
      </c>
      <c r="G44" s="894">
        <f ca="1">IF($C44=1,$AJ44,SUM($AJ44:$AL44)*INDEX('Schedule Allocation'!G:G,MATCH($D44,'Schedule Allocation'!$A:$A,0)))</f>
        <v>5.2179715790649651E-2</v>
      </c>
      <c r="H44" s="894">
        <f ca="1">IF($C44=1,$AK44,SUM($AJ44:$AL44)*INDEX('Schedule Allocation'!H:H,MATCH($D44,'Schedule Allocation'!$A:$A,0)))</f>
        <v>8.6966192984416091E-3</v>
      </c>
      <c r="I44" s="894">
        <f ca="1">IF($C44=1,$AK44,SUM($AJ44:$AL44)*INDEX('Schedule Allocation'!I:I,MATCH($D44,'Schedule Allocation'!$A:$A,0)))</f>
        <v>8.6966192984416091E-3</v>
      </c>
      <c r="J44" s="894">
        <f ca="1">IF($C44=1,$AK44,SUM($AJ44:$AL44)*INDEX('Schedule Allocation'!J:J,MATCH($D44,'Schedule Allocation'!$A:$A,0)))</f>
        <v>8.6966192984416091E-3</v>
      </c>
      <c r="K44" s="894">
        <f ca="1">IF($C44=1,$AK44,SUM($AJ44:$AL44)*INDEX('Schedule Allocation'!K:K,MATCH($D44,'Schedule Allocation'!$A:$A,0)))</f>
        <v>8.6966192984416091E-3</v>
      </c>
      <c r="L44" s="894">
        <f ca="1">IF($C44=1,$AK44,SUM($AJ44:$AL44)*INDEX('Schedule Allocation'!L:L,MATCH($D44,'Schedule Allocation'!$A:$A,0)))</f>
        <v>8.6966192984416091E-3</v>
      </c>
      <c r="M44" s="894">
        <f ca="1">IF($C44=1,$AK44,SUM($AJ44:$AL44)*INDEX('Schedule Allocation'!M:M,MATCH($D44,'Schedule Allocation'!$A:$A,0)))</f>
        <v>8.6966192984416091E-3</v>
      </c>
      <c r="N44" s="894">
        <f ca="1">IF($C44=1,$AL44,SUM($AJ44:$AL44)*INDEX('Schedule Allocation'!N:N,MATCH($D44,'Schedule Allocation'!$A:$A,0)))</f>
        <v>7.4542451129499514E-3</v>
      </c>
      <c r="O44" s="894">
        <f ca="1">IF($C44=1,$AL44,SUM($AJ44:$AL44)*INDEX('Schedule Allocation'!O:O,MATCH($D44,'Schedule Allocation'!$A:$A,0)))</f>
        <v>7.4542451129499514E-3</v>
      </c>
      <c r="P44" s="894">
        <f ca="1">IF($C44=1,$AL44,SUM($AJ44:$AL44)*INDEX('Schedule Allocation'!P:P,MATCH($D44,'Schedule Allocation'!$A:$A,0)))</f>
        <v>7.4542451129499514E-3</v>
      </c>
      <c r="Q44" s="894">
        <f ca="1">IF($C44=1,$AL44,SUM($AJ44:$AL44)*INDEX('Schedule Allocation'!Q:Q,MATCH($D44,'Schedule Allocation'!$A:$A,0)))</f>
        <v>7.4542451129499514E-3</v>
      </c>
      <c r="R44" s="894">
        <f ca="1">IF($C44=1,$AL44,SUM($AJ44:$AL44)*INDEX('Schedule Allocation'!R:R,MATCH($D44,'Schedule Allocation'!$A:$A,0)))</f>
        <v>7.4542451129499514E-3</v>
      </c>
      <c r="S44" s="894">
        <f ca="1">IF($C44=1,$AL44,SUM($AJ44:$AL44)*INDEX('Schedule Allocation'!S:S,MATCH($D44,'Schedule Allocation'!$A:$A,0)))</f>
        <v>7.4542451129499514E-3</v>
      </c>
      <c r="T44" s="894">
        <f ca="1">IF($C44=1,$AL44,SUM($AJ44:$AL44)*INDEX('Schedule Allocation'!T:T,MATCH($D44,'Schedule Allocation'!$A:$A,0)))</f>
        <v>7.4542451129499514E-3</v>
      </c>
      <c r="U44" s="894">
        <f ca="1">OFFSET(AT44,0,(MATCH('Model Report Formatized'!$E$1,$AN$1:$AN$6,0))*17-17)</f>
        <v>1.9567393421493606E-2</v>
      </c>
      <c r="V44" s="894">
        <f ca="1">OFFSET(AU44,0,(MATCH('Model Report Formatized'!$E$1,$AN$1:$AN$6,0))*17-17)</f>
        <v>1.9567393421493606E-2</v>
      </c>
      <c r="W44" s="894">
        <f ca="1">OFFSET(AV44,0,(MATCH('Model Report Formatized'!$E$1,$AN$1:$AN$6,0))*17-17)</f>
        <v>1.9567393421493606E-2</v>
      </c>
      <c r="X44" s="894">
        <f ca="1">OFFSET(AW44,0,(MATCH('Model Report Formatized'!$E$1,$AN$1:$AN$6,0))*17-17)</f>
        <v>1.9567393421493606E-2</v>
      </c>
      <c r="Y44" s="894">
        <f ca="1">OFFSET(AX44,0,(MATCH('Model Report Formatized'!$E$1,$AN$1:$AN$6,0))*17-17)</f>
        <v>6.5224644738312056E-3</v>
      </c>
      <c r="Z44" s="894">
        <f ca="1">OFFSET(AY44,0,(MATCH('Model Report Formatized'!$E$1,$AN$1:$AN$6,0))*17-17)</f>
        <v>6.5224644738312056E-3</v>
      </c>
      <c r="AA44" s="894">
        <f ca="1">OFFSET(AZ44,0,(MATCH('Model Report Formatized'!$E$1,$AN$1:$AN$6,0))*17-17)</f>
        <v>6.5224644738312056E-3</v>
      </c>
      <c r="AB44" s="894">
        <f ca="1">OFFSET(BA44,0,(MATCH('Model Report Formatized'!$E$1,$AN$1:$AN$6,0))*17-17)</f>
        <v>6.5224644738312056E-3</v>
      </c>
      <c r="AC44" s="894">
        <f ca="1">OFFSET(BB44,0,(MATCH('Model Report Formatized'!$E$1,$AN$1:$AN$6,0))*17-17)</f>
        <v>6.5224644738312056E-3</v>
      </c>
      <c r="AD44" s="894">
        <f ca="1">OFFSET(BC44,0,(MATCH('Model Report Formatized'!$E$1,$AN$1:$AN$6,0))*17-17)</f>
        <v>6.5224644738312056E-3</v>
      </c>
      <c r="AE44" s="894">
        <f ca="1">OFFSET(BD44,0,(MATCH('Model Report Formatized'!$E$1,$AN$1:$AN$6,0))*17-17)</f>
        <v>6.5224644738312056E-3</v>
      </c>
      <c r="AF44" s="894">
        <f ca="1">OFFSET(BE44,0,(MATCH('Model Report Formatized'!$E$1,$AN$1:$AN$6,0))*17-17)</f>
        <v>6.5224644738312056E-3</v>
      </c>
      <c r="AG44" s="894">
        <f ca="1">OFFSET(BF44,0,(MATCH('Model Report Formatized'!$E$1,$AN$1:$AN$6,0))*17-17)</f>
        <v>6.5224644738312056E-3</v>
      </c>
      <c r="AH44" s="891">
        <f t="shared" ca="1" si="5"/>
        <v>0</v>
      </c>
      <c r="AJ44" s="895">
        <f ca="1">OFFSET(AQ44,0,(MATCH('Model Report Formatized'!$E$1,$AN$1:$AN$6,0))*17-17)</f>
        <v>1.9567393421493617E-2</v>
      </c>
      <c r="AK44" s="895">
        <f ca="1">OFFSET(AR44,0,(MATCH('Model Report Formatized'!$E$1,$AN$1:$AN$6,0))*17-17)</f>
        <v>6.8485876975227664E-2</v>
      </c>
      <c r="AL44" s="895">
        <f ca="1">OFFSET(AS44,0,(MATCH('Model Report Formatized'!$E$1,$AN$1:$AN$6,0))*17-17)</f>
        <v>6.8485876975227664E-2</v>
      </c>
      <c r="AQ44" s="893">
        <v>0.05</v>
      </c>
      <c r="AR44" s="893">
        <v>0.05</v>
      </c>
      <c r="AS44" s="893">
        <v>0.05</v>
      </c>
      <c r="AT44" s="893">
        <v>0.05</v>
      </c>
      <c r="AU44" s="893">
        <v>0.05</v>
      </c>
      <c r="AV44" s="893">
        <v>0</v>
      </c>
      <c r="AW44" s="893">
        <v>0</v>
      </c>
      <c r="AX44" s="893">
        <v>0</v>
      </c>
      <c r="AY44" s="893">
        <v>0</v>
      </c>
      <c r="AZ44" s="893">
        <v>0</v>
      </c>
      <c r="BA44" s="893">
        <v>0</v>
      </c>
      <c r="BB44" s="893">
        <v>0</v>
      </c>
      <c r="BC44" s="893">
        <v>0</v>
      </c>
      <c r="BD44" s="893">
        <v>0</v>
      </c>
      <c r="BE44" s="893">
        <v>0</v>
      </c>
      <c r="BF44" s="893">
        <v>0</v>
      </c>
      <c r="BH44" s="816">
        <v>4.5999999999999999E-2</v>
      </c>
      <c r="BI44" s="816">
        <v>4.5999999999999999E-2</v>
      </c>
      <c r="BJ44" s="816">
        <v>4.5999999999999999E-2</v>
      </c>
      <c r="BK44" s="816">
        <v>4.5999999999999999E-2</v>
      </c>
      <c r="BL44" s="816">
        <v>4.5999999999999999E-2</v>
      </c>
      <c r="BM44" s="816">
        <v>0</v>
      </c>
      <c r="BN44" s="816">
        <v>0</v>
      </c>
      <c r="BO44" s="816">
        <v>0</v>
      </c>
      <c r="BP44" s="816">
        <v>0</v>
      </c>
      <c r="BQ44" s="816">
        <v>0</v>
      </c>
      <c r="BR44" s="816">
        <v>0</v>
      </c>
      <c r="BS44" s="816">
        <v>0</v>
      </c>
      <c r="BT44" s="816">
        <v>0</v>
      </c>
      <c r="BU44" s="816">
        <v>0</v>
      </c>
      <c r="BV44" s="816">
        <v>0</v>
      </c>
      <c r="BW44" s="816">
        <v>0</v>
      </c>
      <c r="BY44" s="817">
        <v>2.6000000000000002E-2</v>
      </c>
      <c r="BZ44" s="817">
        <v>2.6000000000000002E-2</v>
      </c>
      <c r="CA44" s="817">
        <v>2.6000000000000002E-2</v>
      </c>
      <c r="CB44" s="817">
        <v>2.6000000000000002E-2</v>
      </c>
      <c r="CC44" s="817">
        <v>2.6000000000000002E-2</v>
      </c>
      <c r="CD44" s="817">
        <v>0</v>
      </c>
      <c r="CE44" s="817">
        <v>0</v>
      </c>
      <c r="CF44" s="817">
        <v>0</v>
      </c>
      <c r="CG44" s="817">
        <v>0</v>
      </c>
      <c r="CH44" s="817">
        <v>0</v>
      </c>
      <c r="CI44" s="817">
        <v>0</v>
      </c>
      <c r="CJ44" s="817">
        <v>0</v>
      </c>
      <c r="CK44" s="817">
        <v>0</v>
      </c>
      <c r="CL44" s="817">
        <v>0</v>
      </c>
      <c r="CM44" s="817">
        <v>0</v>
      </c>
      <c r="CN44" s="817">
        <v>0</v>
      </c>
      <c r="CO44" s="816" t="s">
        <v>1340</v>
      </c>
      <c r="CP44" s="818">
        <f>INDEX('Monthly Run-off Change'!I:I,MATCH($B44,'Monthly Run-off Change'!$E:$E,0))</f>
        <v>1.9567393421493617E-2</v>
      </c>
      <c r="CQ44" s="818">
        <f>INDEX('Monthly Run-off Change'!J:J,MATCH($B44,'Monthly Run-off Change'!$E:$E,0))</f>
        <v>6.8485876975227664E-2</v>
      </c>
      <c r="CR44" s="818">
        <f>INDEX('Monthly Run-off Change'!K:K,MATCH($B44,'Monthly Run-off Change'!$E:$E,0))</f>
        <v>6.8485876975227664E-2</v>
      </c>
      <c r="CS44" s="818">
        <f>INDEX('Monthly Run-off Change'!L:L,MATCH($B44,'Monthly Run-off Change'!$E:$E,0))</f>
        <v>1.9567393421493606E-2</v>
      </c>
      <c r="CT44" s="818">
        <f>INDEX('Monthly Run-off Change'!M:M,MATCH($B44,'Monthly Run-off Change'!$E:$E,0))</f>
        <v>1.9567393421493606E-2</v>
      </c>
      <c r="CU44" s="818">
        <f>INDEX('Monthly Run-off Change'!N:N,MATCH($B44,'Monthly Run-off Change'!$E:$E,0))</f>
        <v>1.9567393421493606E-2</v>
      </c>
      <c r="CV44" s="818">
        <f>INDEX('Monthly Run-off Change'!O:O,MATCH($B44,'Monthly Run-off Change'!$E:$E,0))</f>
        <v>1.9567393421493606E-2</v>
      </c>
      <c r="CW44" s="818">
        <f>INDEX('Monthly Run-off Change'!P:P,MATCH($B44,'Monthly Run-off Change'!$E:$E,0))</f>
        <v>6.5224644738312056E-3</v>
      </c>
      <c r="CX44" s="818">
        <f>INDEX('Monthly Run-off Change'!Q:Q,MATCH($B44,'Monthly Run-off Change'!$E:$E,0))</f>
        <v>6.5224644738312056E-3</v>
      </c>
      <c r="CY44" s="818">
        <f>INDEX('Monthly Run-off Change'!R:R,MATCH($B44,'Monthly Run-off Change'!$E:$E,0))</f>
        <v>6.5224644738312056E-3</v>
      </c>
      <c r="CZ44" s="818">
        <f>INDEX('Monthly Run-off Change'!S:S,MATCH($B44,'Monthly Run-off Change'!$E:$E,0))</f>
        <v>6.5224644738312056E-3</v>
      </c>
      <c r="DA44" s="818">
        <f>INDEX('Monthly Run-off Change'!T:T,MATCH($B44,'Monthly Run-off Change'!$E:$E,0))</f>
        <v>6.5224644738312056E-3</v>
      </c>
      <c r="DB44" s="818">
        <f>INDEX('Monthly Run-off Change'!U:U,MATCH($B44,'Monthly Run-off Change'!$E:$E,0))</f>
        <v>6.5224644738312056E-3</v>
      </c>
      <c r="DC44" s="818">
        <f>INDEX('Monthly Run-off Change'!V:V,MATCH($B44,'Monthly Run-off Change'!$E:$E,0))</f>
        <v>6.5224644738312056E-3</v>
      </c>
      <c r="DD44" s="818">
        <f>INDEX('Monthly Run-off Change'!W:W,MATCH($B44,'Monthly Run-off Change'!$E:$E,0))</f>
        <v>6.5224644738312056E-3</v>
      </c>
      <c r="DE44" s="818">
        <f>INDEX('Monthly Run-off Change'!X:X,MATCH($B44,'Monthly Run-off Change'!$E:$E,0))</f>
        <v>6.5224644738312056E-3</v>
      </c>
      <c r="DF44" s="899">
        <f>INDEX('Monthly Run-off Change'!Y:Y,MATCH($B44,'Monthly Run-off Change'!$E:$E,0))</f>
        <v>0</v>
      </c>
      <c r="DG44" s="899">
        <f>INDEX('Monthly Run-off Change'!Z:Z,MATCH($B44,'Monthly Run-off Change'!$E:$E,0))</f>
        <v>4.8918483553734042E-3</v>
      </c>
      <c r="DH44" s="899">
        <f>INDEX('Monthly Run-off Change'!AA:AA,MATCH($B44,'Monthly Run-off Change'!$E:$E,0))</f>
        <v>1.7121469243806916E-2</v>
      </c>
      <c r="DI44" s="899">
        <f>INDEX('Monthly Run-off Change'!AB:AB,MATCH($B44,'Monthly Run-off Change'!$E:$E,0))</f>
        <v>1.7121469243806916E-2</v>
      </c>
      <c r="DJ44" s="899">
        <f>INDEX('Monthly Run-off Change'!AC:AC,MATCH($B44,'Monthly Run-off Change'!$E:$E,0))</f>
        <v>4.8918483553734016E-3</v>
      </c>
      <c r="DK44" s="899">
        <f>INDEX('Monthly Run-off Change'!AD:AD,MATCH($B44,'Monthly Run-off Change'!$E:$E,0))</f>
        <v>4.8918483553734016E-3</v>
      </c>
      <c r="DL44" s="899">
        <f>INDEX('Monthly Run-off Change'!AE:AE,MATCH($B44,'Monthly Run-off Change'!$E:$E,0))</f>
        <v>4.8918483553734016E-3</v>
      </c>
      <c r="DM44" s="899">
        <f>INDEX('Monthly Run-off Change'!AF:AF,MATCH($B44,'Monthly Run-off Change'!$E:$E,0))</f>
        <v>4.8918483553734016E-3</v>
      </c>
      <c r="DN44" s="899">
        <f>INDEX('Monthly Run-off Change'!AG:AG,MATCH($B44,'Monthly Run-off Change'!$E:$E,0))</f>
        <v>1.6306161184578014E-3</v>
      </c>
      <c r="DO44" s="899">
        <f>INDEX('Monthly Run-off Change'!AH:AH,MATCH($B44,'Monthly Run-off Change'!$E:$E,0))</f>
        <v>1.6306161184578014E-3</v>
      </c>
      <c r="DP44" s="899">
        <f>INDEX('Monthly Run-off Change'!AI:AI,MATCH($B44,'Monthly Run-off Change'!$E:$E,0))</f>
        <v>1.6306161184578014E-3</v>
      </c>
      <c r="DQ44" s="899">
        <f>INDEX('Monthly Run-off Change'!AJ:AJ,MATCH($B44,'Monthly Run-off Change'!$E:$E,0))</f>
        <v>1.6306161184578014E-3</v>
      </c>
      <c r="DR44" s="899">
        <f>INDEX('Monthly Run-off Change'!AK:AK,MATCH($B44,'Monthly Run-off Change'!$E:$E,0))</f>
        <v>1.6306161184578014E-3</v>
      </c>
      <c r="DS44" s="899">
        <f>INDEX('Monthly Run-off Change'!AL:AL,MATCH($B44,'Monthly Run-off Change'!$E:$E,0))</f>
        <v>1.6306161184578014E-3</v>
      </c>
      <c r="DT44" s="899">
        <f>INDEX('Monthly Run-off Change'!AM:AM,MATCH($B44,'Monthly Run-off Change'!$E:$E,0))</f>
        <v>1.6306161184578014E-3</v>
      </c>
      <c r="DU44" s="899">
        <f>INDEX('Monthly Run-off Change'!AN:AN,MATCH($B44,'Monthly Run-off Change'!$E:$E,0))</f>
        <v>1.6306161184578014E-3</v>
      </c>
      <c r="DV44" s="899">
        <f>INDEX('Monthly Run-off Change'!AO:AO,MATCH($B44,'Monthly Run-off Change'!$E:$E,0))</f>
        <v>1.6306161184578014E-3</v>
      </c>
      <c r="DW44" s="899">
        <f>INDEX('Monthly Run-off Change'!AP:AP,MATCH($B44,'Monthly Run-off Change'!$E:$E,0))</f>
        <v>0</v>
      </c>
      <c r="DX44" s="899">
        <f>INDEX('Monthly Run-off Change'!AQ:AQ,MATCH($B44,'Monthly Run-off Change'!$E:$E,0))</f>
        <v>1.6306161184578016E-2</v>
      </c>
      <c r="DY44" s="899">
        <f>INDEX('Monthly Run-off Change'!AR:AR,MATCH($B44,'Monthly Run-off Change'!$E:$E,0))</f>
        <v>5.7071564146023053E-2</v>
      </c>
      <c r="DZ44" s="899">
        <f>INDEX('Monthly Run-off Change'!AS:AS,MATCH($B44,'Monthly Run-off Change'!$E:$E,0))</f>
        <v>5.7071564146023053E-2</v>
      </c>
      <c r="EA44" s="899">
        <f>INDEX('Monthly Run-off Change'!AT:AT,MATCH($B44,'Monthly Run-off Change'!$E:$E,0))</f>
        <v>1.6306161184578005E-2</v>
      </c>
      <c r="EB44" s="899">
        <f>INDEX('Monthly Run-off Change'!AU:AU,MATCH($B44,'Monthly Run-off Change'!$E:$E,0))</f>
        <v>1.6306161184578005E-2</v>
      </c>
      <c r="EC44" s="899">
        <f>INDEX('Monthly Run-off Change'!AV:AV,MATCH($B44,'Monthly Run-off Change'!$E:$E,0))</f>
        <v>1.6306161184578005E-2</v>
      </c>
      <c r="ED44" s="899">
        <f>INDEX('Monthly Run-off Change'!AW:AW,MATCH($B44,'Monthly Run-off Change'!$E:$E,0))</f>
        <v>1.6306161184578005E-2</v>
      </c>
      <c r="EE44" s="899">
        <f>INDEX('Monthly Run-off Change'!AX:AX,MATCH($B44,'Monthly Run-off Change'!$E:$E,0))</f>
        <v>5.4353870615260046E-3</v>
      </c>
      <c r="EF44" s="899">
        <f>INDEX('Monthly Run-off Change'!AY:AY,MATCH($B44,'Monthly Run-off Change'!$E:$E,0))</f>
        <v>5.4353870615260046E-3</v>
      </c>
      <c r="EG44" s="899">
        <f>INDEX('Monthly Run-off Change'!AZ:AZ,MATCH($B44,'Monthly Run-off Change'!$E:$E,0))</f>
        <v>5.4353870615260046E-3</v>
      </c>
      <c r="EH44" s="899">
        <f>INDEX('Monthly Run-off Change'!BA:BA,MATCH($B44,'Monthly Run-off Change'!$E:$E,0))</f>
        <v>5.4353870615260046E-3</v>
      </c>
      <c r="EI44" s="899">
        <f>INDEX('Monthly Run-off Change'!BB:BB,MATCH($B44,'Monthly Run-off Change'!$E:$E,0))</f>
        <v>5.4353870615260046E-3</v>
      </c>
      <c r="EJ44" s="899">
        <f>INDEX('Monthly Run-off Change'!BC:BC,MATCH($B44,'Monthly Run-off Change'!$E:$E,0))</f>
        <v>5.4353870615260046E-3</v>
      </c>
      <c r="EK44" s="899">
        <f>INDEX('Monthly Run-off Change'!BD:BD,MATCH($B44,'Monthly Run-off Change'!$E:$E,0))</f>
        <v>5.4353870615260046E-3</v>
      </c>
      <c r="EL44" s="899">
        <f>INDEX('Monthly Run-off Change'!BE:BE,MATCH($B44,'Monthly Run-off Change'!$E:$E,0))</f>
        <v>5.4353870615260046E-3</v>
      </c>
      <c r="EM44" s="899">
        <f>INDEX('Monthly Run-off Change'!BF:BF,MATCH($B44,'Monthly Run-off Change'!$E:$E,0))</f>
        <v>5.4353870615260046E-3</v>
      </c>
      <c r="FQ44" s="898"/>
      <c r="FS44" s="898"/>
      <c r="FT44" s="898"/>
      <c r="FU44" s="898"/>
      <c r="FV44" s="898"/>
      <c r="FW44" s="898"/>
      <c r="FX44" s="898"/>
      <c r="FY44" s="898"/>
      <c r="FZ44" s="898"/>
      <c r="GA44" s="898"/>
      <c r="GB44" s="898"/>
      <c r="GC44" s="898"/>
      <c r="GD44" s="898"/>
      <c r="GE44" s="898"/>
      <c r="GF44" s="898"/>
      <c r="GG44" s="898"/>
      <c r="GH44" s="898"/>
      <c r="GJ44" s="898"/>
      <c r="GK44" s="898"/>
      <c r="GL44" s="898"/>
      <c r="GM44" s="898"/>
      <c r="GN44" s="898"/>
      <c r="GO44" s="898"/>
      <c r="GP44" s="898"/>
      <c r="GQ44" s="898"/>
      <c r="GR44" s="898"/>
      <c r="GS44" s="898"/>
      <c r="GT44" s="898"/>
      <c r="GU44" s="898"/>
      <c r="GV44" s="898"/>
      <c r="GW44" s="898"/>
      <c r="GX44" s="898"/>
      <c r="GY44" s="898"/>
      <c r="HA44" s="898"/>
      <c r="HB44" s="898"/>
      <c r="HC44" s="898"/>
      <c r="HD44" s="898"/>
      <c r="HE44" s="898"/>
      <c r="HF44" s="898"/>
      <c r="HG44" s="898"/>
      <c r="HH44" s="898"/>
      <c r="HI44" s="898"/>
      <c r="HJ44" s="898"/>
      <c r="HK44" s="898"/>
      <c r="HL44" s="898"/>
      <c r="HM44" s="898"/>
      <c r="HN44" s="898"/>
      <c r="HO44" s="898"/>
      <c r="HP44" s="898"/>
    </row>
    <row r="45" spans="1:224">
      <c r="A45" s="816" t="s">
        <v>1289</v>
      </c>
      <c r="B45" s="816" t="s">
        <v>1409</v>
      </c>
      <c r="C45" s="816">
        <v>0</v>
      </c>
      <c r="D45" s="816">
        <f t="shared" si="4"/>
        <v>1</v>
      </c>
      <c r="E45" s="816">
        <v>0</v>
      </c>
      <c r="F45" s="816" t="str">
        <f>INDEX('Data Interface'!$C:$C,MATCH(B45,'Data Interface'!$B:$B,0))</f>
        <v>Due to Interbranch - Investment (MACAU)</v>
      </c>
      <c r="G45" s="894">
        <f ca="1">IF($C45=1,$AJ45,SUM($AJ45:$AL45)*INDEX('Schedule Allocation'!G:G,MATCH($D45,'Schedule Allocation'!$A:$A,0)))</f>
        <v>3.2000000000000001E-2</v>
      </c>
      <c r="H45" s="894">
        <f ca="1">IF($C45=1,$AK45,SUM($AJ45:$AL45)*INDEX('Schedule Allocation'!H:H,MATCH($D45,'Schedule Allocation'!$A:$A,0)))</f>
        <v>5.3333333333333332E-3</v>
      </c>
      <c r="I45" s="894">
        <f ca="1">IF($C45=1,$AK45,SUM($AJ45:$AL45)*INDEX('Schedule Allocation'!I:I,MATCH($D45,'Schedule Allocation'!$A:$A,0)))</f>
        <v>5.3333333333333332E-3</v>
      </c>
      <c r="J45" s="894">
        <f ca="1">IF($C45=1,$AK45,SUM($AJ45:$AL45)*INDEX('Schedule Allocation'!J:J,MATCH($D45,'Schedule Allocation'!$A:$A,0)))</f>
        <v>5.3333333333333332E-3</v>
      </c>
      <c r="K45" s="894">
        <f ca="1">IF($C45=1,$AK45,SUM($AJ45:$AL45)*INDEX('Schedule Allocation'!K:K,MATCH($D45,'Schedule Allocation'!$A:$A,0)))</f>
        <v>5.3333333333333332E-3</v>
      </c>
      <c r="L45" s="894">
        <f ca="1">IF($C45=1,$AK45,SUM($AJ45:$AL45)*INDEX('Schedule Allocation'!L:L,MATCH($D45,'Schedule Allocation'!$A:$A,0)))</f>
        <v>5.3333333333333332E-3</v>
      </c>
      <c r="M45" s="894">
        <f ca="1">IF($C45=1,$AK45,SUM($AJ45:$AL45)*INDEX('Schedule Allocation'!M:M,MATCH($D45,'Schedule Allocation'!$A:$A,0)))</f>
        <v>5.3333333333333332E-3</v>
      </c>
      <c r="N45" s="894">
        <f ca="1">IF($C45=1,$AL45,SUM($AJ45:$AL45)*INDEX('Schedule Allocation'!N:N,MATCH($D45,'Schedule Allocation'!$A:$A,0)))</f>
        <v>4.5714285714285718E-3</v>
      </c>
      <c r="O45" s="894">
        <f ca="1">IF($C45=1,$AL45,SUM($AJ45:$AL45)*INDEX('Schedule Allocation'!O:O,MATCH($D45,'Schedule Allocation'!$A:$A,0)))</f>
        <v>4.5714285714285718E-3</v>
      </c>
      <c r="P45" s="894">
        <f ca="1">IF($C45=1,$AL45,SUM($AJ45:$AL45)*INDEX('Schedule Allocation'!P:P,MATCH($D45,'Schedule Allocation'!$A:$A,0)))</f>
        <v>4.5714285714285718E-3</v>
      </c>
      <c r="Q45" s="894">
        <f ca="1">IF($C45=1,$AL45,SUM($AJ45:$AL45)*INDEX('Schedule Allocation'!Q:Q,MATCH($D45,'Schedule Allocation'!$A:$A,0)))</f>
        <v>4.5714285714285718E-3</v>
      </c>
      <c r="R45" s="894">
        <f ca="1">IF($C45=1,$AL45,SUM($AJ45:$AL45)*INDEX('Schedule Allocation'!R:R,MATCH($D45,'Schedule Allocation'!$A:$A,0)))</f>
        <v>4.5714285714285718E-3</v>
      </c>
      <c r="S45" s="894">
        <f ca="1">IF($C45=1,$AL45,SUM($AJ45:$AL45)*INDEX('Schedule Allocation'!S:S,MATCH($D45,'Schedule Allocation'!$A:$A,0)))</f>
        <v>4.5714285714285718E-3</v>
      </c>
      <c r="T45" s="894">
        <f ca="1">IF($C45=1,$AL45,SUM($AJ45:$AL45)*INDEX('Schedule Allocation'!T:T,MATCH($D45,'Schedule Allocation'!$A:$A,0)))</f>
        <v>4.5714285714285718E-3</v>
      </c>
      <c r="U45" s="894">
        <f ca="1">OFFSET(AT45,0,(MATCH('Model Report Formatized'!$E$1,$AN$1:$AN$6,0))*17-17)</f>
        <v>1.1999999999999997E-2</v>
      </c>
      <c r="V45" s="894">
        <f ca="1">OFFSET(AU45,0,(MATCH('Model Report Formatized'!$E$1,$AN$1:$AN$6,0))*17-17)</f>
        <v>1.1999999999999997E-2</v>
      </c>
      <c r="W45" s="894">
        <f ca="1">OFFSET(AV45,0,(MATCH('Model Report Formatized'!$E$1,$AN$1:$AN$6,0))*17-17)</f>
        <v>1.1999999999999997E-2</v>
      </c>
      <c r="X45" s="894">
        <f ca="1">OFFSET(AW45,0,(MATCH('Model Report Formatized'!$E$1,$AN$1:$AN$6,0))*17-17)</f>
        <v>1.1999999999999997E-2</v>
      </c>
      <c r="Y45" s="894">
        <f ca="1">OFFSET(AX45,0,(MATCH('Model Report Formatized'!$E$1,$AN$1:$AN$6,0))*17-17)</f>
        <v>4.0000000000000001E-3</v>
      </c>
      <c r="Z45" s="894">
        <f ca="1">OFFSET(AY45,0,(MATCH('Model Report Formatized'!$E$1,$AN$1:$AN$6,0))*17-17)</f>
        <v>4.0000000000000001E-3</v>
      </c>
      <c r="AA45" s="894">
        <f ca="1">OFFSET(AZ45,0,(MATCH('Model Report Formatized'!$E$1,$AN$1:$AN$6,0))*17-17)</f>
        <v>4.0000000000000001E-3</v>
      </c>
      <c r="AB45" s="894">
        <f ca="1">OFFSET(BA45,0,(MATCH('Model Report Formatized'!$E$1,$AN$1:$AN$6,0))*17-17)</f>
        <v>4.0000000000000001E-3</v>
      </c>
      <c r="AC45" s="894">
        <f ca="1">OFFSET(BB45,0,(MATCH('Model Report Formatized'!$E$1,$AN$1:$AN$6,0))*17-17)</f>
        <v>4.0000000000000001E-3</v>
      </c>
      <c r="AD45" s="894">
        <f ca="1">OFFSET(BC45,0,(MATCH('Model Report Formatized'!$E$1,$AN$1:$AN$6,0))*17-17)</f>
        <v>4.0000000000000001E-3</v>
      </c>
      <c r="AE45" s="894">
        <f ca="1">OFFSET(BD45,0,(MATCH('Model Report Formatized'!$E$1,$AN$1:$AN$6,0))*17-17)</f>
        <v>4.0000000000000001E-3</v>
      </c>
      <c r="AF45" s="894">
        <f ca="1">OFFSET(BE45,0,(MATCH('Model Report Formatized'!$E$1,$AN$1:$AN$6,0))*17-17)</f>
        <v>4.0000000000000001E-3</v>
      </c>
      <c r="AG45" s="894">
        <f ca="1">OFFSET(BF45,0,(MATCH('Model Report Formatized'!$E$1,$AN$1:$AN$6,0))*17-17)</f>
        <v>4.0000000000000001E-3</v>
      </c>
      <c r="AH45" s="891">
        <f t="shared" ca="1" si="5"/>
        <v>0</v>
      </c>
      <c r="AJ45" s="895">
        <f ca="1">OFFSET(AQ45,0,(MATCH('Model Report Formatized'!$E$1,$AN$1:$AN$6,0))*17-17)</f>
        <v>1.2E-2</v>
      </c>
      <c r="AK45" s="895">
        <f ca="1">OFFSET(AR45,0,(MATCH('Model Report Formatized'!$E$1,$AN$1:$AN$6,0))*17-17)</f>
        <v>4.2000000000000003E-2</v>
      </c>
      <c r="AL45" s="895">
        <f ca="1">OFFSET(AS45,0,(MATCH('Model Report Formatized'!$E$1,$AN$1:$AN$6,0))*17-17)</f>
        <v>4.2000000000000003E-2</v>
      </c>
      <c r="AQ45" s="893">
        <v>0.05</v>
      </c>
      <c r="AR45" s="893">
        <v>0.05</v>
      </c>
      <c r="AS45" s="893">
        <v>0.05</v>
      </c>
      <c r="AT45" s="893">
        <v>0.05</v>
      </c>
      <c r="AU45" s="893">
        <v>0.05</v>
      </c>
      <c r="AV45" s="893">
        <v>0</v>
      </c>
      <c r="AW45" s="893">
        <v>0</v>
      </c>
      <c r="AX45" s="893">
        <v>0</v>
      </c>
      <c r="AY45" s="893">
        <v>0</v>
      </c>
      <c r="AZ45" s="893">
        <v>0</v>
      </c>
      <c r="BA45" s="893">
        <v>0</v>
      </c>
      <c r="BB45" s="893">
        <v>0</v>
      </c>
      <c r="BC45" s="893">
        <v>0</v>
      </c>
      <c r="BD45" s="893">
        <v>0</v>
      </c>
      <c r="BE45" s="893">
        <v>0</v>
      </c>
      <c r="BF45" s="893">
        <v>0</v>
      </c>
      <c r="BH45" s="816">
        <v>4.5999999999999999E-2</v>
      </c>
      <c r="BI45" s="816">
        <v>4.5999999999999999E-2</v>
      </c>
      <c r="BJ45" s="816">
        <v>4.5999999999999999E-2</v>
      </c>
      <c r="BK45" s="816">
        <v>4.5999999999999999E-2</v>
      </c>
      <c r="BL45" s="816">
        <v>4.5999999999999999E-2</v>
      </c>
      <c r="BM45" s="816">
        <v>0</v>
      </c>
      <c r="BN45" s="816">
        <v>0</v>
      </c>
      <c r="BO45" s="816">
        <v>0</v>
      </c>
      <c r="BP45" s="816">
        <v>0</v>
      </c>
      <c r="BQ45" s="816">
        <v>0</v>
      </c>
      <c r="BR45" s="816">
        <v>0</v>
      </c>
      <c r="BS45" s="816">
        <v>0</v>
      </c>
      <c r="BT45" s="816">
        <v>0</v>
      </c>
      <c r="BU45" s="816">
        <v>0</v>
      </c>
      <c r="BV45" s="816">
        <v>0</v>
      </c>
      <c r="BW45" s="816">
        <v>0</v>
      </c>
      <c r="BY45" s="817">
        <v>2.6000000000000002E-2</v>
      </c>
      <c r="BZ45" s="817">
        <v>2.6000000000000002E-2</v>
      </c>
      <c r="CA45" s="817">
        <v>2.6000000000000002E-2</v>
      </c>
      <c r="CB45" s="817">
        <v>2.6000000000000002E-2</v>
      </c>
      <c r="CC45" s="817">
        <v>2.6000000000000002E-2</v>
      </c>
      <c r="CD45" s="817">
        <v>0</v>
      </c>
      <c r="CE45" s="817">
        <v>0</v>
      </c>
      <c r="CF45" s="817">
        <v>0</v>
      </c>
      <c r="CG45" s="817">
        <v>0</v>
      </c>
      <c r="CH45" s="817">
        <v>0</v>
      </c>
      <c r="CI45" s="817">
        <v>0</v>
      </c>
      <c r="CJ45" s="817">
        <v>0</v>
      </c>
      <c r="CK45" s="817">
        <v>0</v>
      </c>
      <c r="CL45" s="817">
        <v>0</v>
      </c>
      <c r="CM45" s="817">
        <v>0</v>
      </c>
      <c r="CN45" s="817">
        <v>0</v>
      </c>
      <c r="CO45" s="816" t="s">
        <v>1340</v>
      </c>
      <c r="CP45" s="818">
        <f>INDEX('Monthly Run-off Change'!I:I,MATCH($B45,'Monthly Run-off Change'!$E:$E,0))</f>
        <v>1.2E-2</v>
      </c>
      <c r="CQ45" s="818">
        <f>INDEX('Monthly Run-off Change'!J:J,MATCH($B45,'Monthly Run-off Change'!$E:$E,0))</f>
        <v>4.2000000000000003E-2</v>
      </c>
      <c r="CR45" s="818">
        <f>INDEX('Monthly Run-off Change'!K:K,MATCH($B45,'Monthly Run-off Change'!$E:$E,0))</f>
        <v>4.2000000000000003E-2</v>
      </c>
      <c r="CS45" s="818">
        <f>INDEX('Monthly Run-off Change'!L:L,MATCH($B45,'Monthly Run-off Change'!$E:$E,0))</f>
        <v>1.1999999999999997E-2</v>
      </c>
      <c r="CT45" s="818">
        <f>INDEX('Monthly Run-off Change'!M:M,MATCH($B45,'Monthly Run-off Change'!$E:$E,0))</f>
        <v>1.1999999999999997E-2</v>
      </c>
      <c r="CU45" s="818">
        <f>INDEX('Monthly Run-off Change'!N:N,MATCH($B45,'Monthly Run-off Change'!$E:$E,0))</f>
        <v>1.1999999999999997E-2</v>
      </c>
      <c r="CV45" s="818">
        <f>INDEX('Monthly Run-off Change'!O:O,MATCH($B45,'Monthly Run-off Change'!$E:$E,0))</f>
        <v>1.1999999999999997E-2</v>
      </c>
      <c r="CW45" s="818">
        <f>INDEX('Monthly Run-off Change'!P:P,MATCH($B45,'Monthly Run-off Change'!$E:$E,0))</f>
        <v>4.0000000000000001E-3</v>
      </c>
      <c r="CX45" s="818">
        <f>INDEX('Monthly Run-off Change'!Q:Q,MATCH($B45,'Monthly Run-off Change'!$E:$E,0))</f>
        <v>4.0000000000000001E-3</v>
      </c>
      <c r="CY45" s="818">
        <f>INDEX('Monthly Run-off Change'!R:R,MATCH($B45,'Monthly Run-off Change'!$E:$E,0))</f>
        <v>4.0000000000000001E-3</v>
      </c>
      <c r="CZ45" s="818">
        <f>INDEX('Monthly Run-off Change'!S:S,MATCH($B45,'Monthly Run-off Change'!$E:$E,0))</f>
        <v>4.0000000000000001E-3</v>
      </c>
      <c r="DA45" s="818">
        <f>INDEX('Monthly Run-off Change'!T:T,MATCH($B45,'Monthly Run-off Change'!$E:$E,0))</f>
        <v>4.0000000000000001E-3</v>
      </c>
      <c r="DB45" s="818">
        <f>INDEX('Monthly Run-off Change'!U:U,MATCH($B45,'Monthly Run-off Change'!$E:$E,0))</f>
        <v>4.0000000000000001E-3</v>
      </c>
      <c r="DC45" s="818">
        <f>INDEX('Monthly Run-off Change'!V:V,MATCH($B45,'Monthly Run-off Change'!$E:$E,0))</f>
        <v>4.0000000000000001E-3</v>
      </c>
      <c r="DD45" s="818">
        <f>INDEX('Monthly Run-off Change'!W:W,MATCH($B45,'Monthly Run-off Change'!$E:$E,0))</f>
        <v>4.0000000000000001E-3</v>
      </c>
      <c r="DE45" s="818">
        <f>INDEX('Monthly Run-off Change'!X:X,MATCH($B45,'Monthly Run-off Change'!$E:$E,0))</f>
        <v>4.0000000000000001E-3</v>
      </c>
      <c r="DF45" s="899">
        <f>INDEX('Monthly Run-off Change'!Y:Y,MATCH($B45,'Monthly Run-off Change'!$E:$E,0))</f>
        <v>0</v>
      </c>
      <c r="DG45" s="899">
        <f>INDEX('Monthly Run-off Change'!Z:Z,MATCH($B45,'Monthly Run-off Change'!$E:$E,0))</f>
        <v>3.0000000000000001E-3</v>
      </c>
      <c r="DH45" s="899">
        <f>INDEX('Monthly Run-off Change'!AA:AA,MATCH($B45,'Monthly Run-off Change'!$E:$E,0))</f>
        <v>1.0500000000000001E-2</v>
      </c>
      <c r="DI45" s="899">
        <f>INDEX('Monthly Run-off Change'!AB:AB,MATCH($B45,'Monthly Run-off Change'!$E:$E,0))</f>
        <v>1.0500000000000001E-2</v>
      </c>
      <c r="DJ45" s="899">
        <f>INDEX('Monthly Run-off Change'!AC:AC,MATCH($B45,'Monthly Run-off Change'!$E:$E,0))</f>
        <v>2.9999999999999992E-3</v>
      </c>
      <c r="DK45" s="899">
        <f>INDEX('Monthly Run-off Change'!AD:AD,MATCH($B45,'Monthly Run-off Change'!$E:$E,0))</f>
        <v>2.9999999999999992E-3</v>
      </c>
      <c r="DL45" s="899">
        <f>INDEX('Monthly Run-off Change'!AE:AE,MATCH($B45,'Monthly Run-off Change'!$E:$E,0))</f>
        <v>2.9999999999999992E-3</v>
      </c>
      <c r="DM45" s="899">
        <f>INDEX('Monthly Run-off Change'!AF:AF,MATCH($B45,'Monthly Run-off Change'!$E:$E,0))</f>
        <v>2.9999999999999992E-3</v>
      </c>
      <c r="DN45" s="899">
        <f>INDEX('Monthly Run-off Change'!AG:AG,MATCH($B45,'Monthly Run-off Change'!$E:$E,0))</f>
        <v>1E-3</v>
      </c>
      <c r="DO45" s="899">
        <f>INDEX('Monthly Run-off Change'!AH:AH,MATCH($B45,'Monthly Run-off Change'!$E:$E,0))</f>
        <v>1E-3</v>
      </c>
      <c r="DP45" s="899">
        <f>INDEX('Monthly Run-off Change'!AI:AI,MATCH($B45,'Monthly Run-off Change'!$E:$E,0))</f>
        <v>1E-3</v>
      </c>
      <c r="DQ45" s="899">
        <f>INDEX('Monthly Run-off Change'!AJ:AJ,MATCH($B45,'Monthly Run-off Change'!$E:$E,0))</f>
        <v>1E-3</v>
      </c>
      <c r="DR45" s="899">
        <f>INDEX('Monthly Run-off Change'!AK:AK,MATCH($B45,'Monthly Run-off Change'!$E:$E,0))</f>
        <v>1E-3</v>
      </c>
      <c r="DS45" s="899">
        <f>INDEX('Monthly Run-off Change'!AL:AL,MATCH($B45,'Monthly Run-off Change'!$E:$E,0))</f>
        <v>1E-3</v>
      </c>
      <c r="DT45" s="899">
        <f>INDEX('Monthly Run-off Change'!AM:AM,MATCH($B45,'Monthly Run-off Change'!$E:$E,0))</f>
        <v>1E-3</v>
      </c>
      <c r="DU45" s="899">
        <f>INDEX('Monthly Run-off Change'!AN:AN,MATCH($B45,'Monthly Run-off Change'!$E:$E,0))</f>
        <v>1E-3</v>
      </c>
      <c r="DV45" s="899">
        <f>INDEX('Monthly Run-off Change'!AO:AO,MATCH($B45,'Monthly Run-off Change'!$E:$E,0))</f>
        <v>1E-3</v>
      </c>
      <c r="DW45" s="899">
        <f>INDEX('Monthly Run-off Change'!AP:AP,MATCH($B45,'Monthly Run-off Change'!$E:$E,0))</f>
        <v>0</v>
      </c>
      <c r="DX45" s="899">
        <f>INDEX('Monthly Run-off Change'!AQ:AQ,MATCH($B45,'Monthly Run-off Change'!$E:$E,0))</f>
        <v>1.0000000000000002E-2</v>
      </c>
      <c r="DY45" s="899">
        <f>INDEX('Monthly Run-off Change'!AR:AR,MATCH($B45,'Monthly Run-off Change'!$E:$E,0))</f>
        <v>3.5000000000000003E-2</v>
      </c>
      <c r="DZ45" s="899">
        <f>INDEX('Monthly Run-off Change'!AS:AS,MATCH($B45,'Monthly Run-off Change'!$E:$E,0))</f>
        <v>3.5000000000000003E-2</v>
      </c>
      <c r="EA45" s="899">
        <f>INDEX('Monthly Run-off Change'!AT:AT,MATCH($B45,'Monthly Run-off Change'!$E:$E,0))</f>
        <v>9.999999999999995E-3</v>
      </c>
      <c r="EB45" s="899">
        <f>INDEX('Monthly Run-off Change'!AU:AU,MATCH($B45,'Monthly Run-off Change'!$E:$E,0))</f>
        <v>9.999999999999995E-3</v>
      </c>
      <c r="EC45" s="899">
        <f>INDEX('Monthly Run-off Change'!AV:AV,MATCH($B45,'Monthly Run-off Change'!$E:$E,0))</f>
        <v>9.999999999999995E-3</v>
      </c>
      <c r="ED45" s="899">
        <f>INDEX('Monthly Run-off Change'!AW:AW,MATCH($B45,'Monthly Run-off Change'!$E:$E,0))</f>
        <v>9.999999999999995E-3</v>
      </c>
      <c r="EE45" s="899">
        <f>INDEX('Monthly Run-off Change'!AX:AX,MATCH($B45,'Monthly Run-off Change'!$E:$E,0))</f>
        <v>3.3333333333333361E-3</v>
      </c>
      <c r="EF45" s="899">
        <f>INDEX('Monthly Run-off Change'!AY:AY,MATCH($B45,'Monthly Run-off Change'!$E:$E,0))</f>
        <v>3.3333333333333361E-3</v>
      </c>
      <c r="EG45" s="899">
        <f>INDEX('Monthly Run-off Change'!AZ:AZ,MATCH($B45,'Monthly Run-off Change'!$E:$E,0))</f>
        <v>3.3333333333333361E-3</v>
      </c>
      <c r="EH45" s="899">
        <f>INDEX('Monthly Run-off Change'!BA:BA,MATCH($B45,'Monthly Run-off Change'!$E:$E,0))</f>
        <v>3.3333333333333361E-3</v>
      </c>
      <c r="EI45" s="899">
        <f>INDEX('Monthly Run-off Change'!BB:BB,MATCH($B45,'Monthly Run-off Change'!$E:$E,0))</f>
        <v>3.3333333333333361E-3</v>
      </c>
      <c r="EJ45" s="899">
        <f>INDEX('Monthly Run-off Change'!BC:BC,MATCH($B45,'Monthly Run-off Change'!$E:$E,0))</f>
        <v>3.3333333333333361E-3</v>
      </c>
      <c r="EK45" s="899">
        <f>INDEX('Monthly Run-off Change'!BD:BD,MATCH($B45,'Monthly Run-off Change'!$E:$E,0))</f>
        <v>3.3333333333333361E-3</v>
      </c>
      <c r="EL45" s="899">
        <f>INDEX('Monthly Run-off Change'!BE:BE,MATCH($B45,'Monthly Run-off Change'!$E:$E,0))</f>
        <v>3.3333333333333361E-3</v>
      </c>
      <c r="EM45" s="899">
        <f>INDEX('Monthly Run-off Change'!BF:BF,MATCH($B45,'Monthly Run-off Change'!$E:$E,0))</f>
        <v>3.3333333333333361E-3</v>
      </c>
      <c r="FQ45" s="898"/>
      <c r="FS45" s="898"/>
      <c r="FT45" s="898"/>
      <c r="FU45" s="898"/>
      <c r="FV45" s="898"/>
      <c r="FW45" s="898"/>
      <c r="FX45" s="898"/>
      <c r="FY45" s="898"/>
      <c r="FZ45" s="898"/>
      <c r="GA45" s="898"/>
      <c r="GB45" s="898"/>
      <c r="GC45" s="898"/>
      <c r="GD45" s="898"/>
      <c r="GE45" s="898"/>
      <c r="GF45" s="898"/>
      <c r="GG45" s="898"/>
      <c r="GH45" s="898"/>
      <c r="GJ45" s="898"/>
      <c r="GK45" s="898"/>
      <c r="GL45" s="898"/>
      <c r="GM45" s="898"/>
      <c r="GN45" s="898"/>
      <c r="GO45" s="898"/>
      <c r="GP45" s="898"/>
      <c r="GQ45" s="898"/>
      <c r="GR45" s="898"/>
      <c r="GS45" s="898"/>
      <c r="GT45" s="898"/>
      <c r="GU45" s="898"/>
      <c r="GV45" s="898"/>
      <c r="GW45" s="898"/>
      <c r="GX45" s="898"/>
      <c r="GY45" s="898"/>
      <c r="HA45" s="898"/>
      <c r="HB45" s="898"/>
      <c r="HC45" s="898"/>
      <c r="HD45" s="898"/>
      <c r="HE45" s="898"/>
      <c r="HF45" s="898"/>
      <c r="HG45" s="898"/>
      <c r="HH45" s="898"/>
      <c r="HI45" s="898"/>
      <c r="HJ45" s="898"/>
      <c r="HK45" s="898"/>
      <c r="HL45" s="898"/>
      <c r="HM45" s="898"/>
      <c r="HN45" s="898"/>
      <c r="HO45" s="898"/>
      <c r="HP45" s="898"/>
    </row>
    <row r="46" spans="1:224">
      <c r="A46" s="816" t="s">
        <v>1289</v>
      </c>
      <c r="B46" s="816" t="s">
        <v>1419</v>
      </c>
      <c r="C46" s="816">
        <v>0</v>
      </c>
      <c r="D46" s="816">
        <f t="shared" si="4"/>
        <v>1</v>
      </c>
      <c r="E46" s="816">
        <v>0</v>
      </c>
      <c r="F46" s="816" t="str">
        <f>INDEX('Data Interface'!$C:$C,MATCH(B46,'Data Interface'!$B:$B,0))</f>
        <v>Due to Interbranch - Investment (LUXEMBOURG)</v>
      </c>
      <c r="G46" s="894">
        <f ca="1">IF($C46=1,$AJ46,SUM($AJ46:$AL46)*INDEX('Schedule Allocation'!G:G,MATCH($D46,'Schedule Allocation'!$A:$A,0)))</f>
        <v>3.2000000000000001E-2</v>
      </c>
      <c r="H46" s="894">
        <f ca="1">IF($C46=1,$AK46,SUM($AJ46:$AL46)*INDEX('Schedule Allocation'!H:H,MATCH($D46,'Schedule Allocation'!$A:$A,0)))</f>
        <v>5.3333333333333332E-3</v>
      </c>
      <c r="I46" s="894">
        <f ca="1">IF($C46=1,$AK46,SUM($AJ46:$AL46)*INDEX('Schedule Allocation'!I:I,MATCH($D46,'Schedule Allocation'!$A:$A,0)))</f>
        <v>5.3333333333333332E-3</v>
      </c>
      <c r="J46" s="894">
        <f ca="1">IF($C46=1,$AK46,SUM($AJ46:$AL46)*INDEX('Schedule Allocation'!J:J,MATCH($D46,'Schedule Allocation'!$A:$A,0)))</f>
        <v>5.3333333333333332E-3</v>
      </c>
      <c r="K46" s="894">
        <f ca="1">IF($C46=1,$AK46,SUM($AJ46:$AL46)*INDEX('Schedule Allocation'!K:K,MATCH($D46,'Schedule Allocation'!$A:$A,0)))</f>
        <v>5.3333333333333332E-3</v>
      </c>
      <c r="L46" s="894">
        <f ca="1">IF($C46=1,$AK46,SUM($AJ46:$AL46)*INDEX('Schedule Allocation'!L:L,MATCH($D46,'Schedule Allocation'!$A:$A,0)))</f>
        <v>5.3333333333333332E-3</v>
      </c>
      <c r="M46" s="894">
        <f ca="1">IF($C46=1,$AK46,SUM($AJ46:$AL46)*INDEX('Schedule Allocation'!M:M,MATCH($D46,'Schedule Allocation'!$A:$A,0)))</f>
        <v>5.3333333333333332E-3</v>
      </c>
      <c r="N46" s="894">
        <f ca="1">IF($C46=1,$AL46,SUM($AJ46:$AL46)*INDEX('Schedule Allocation'!N:N,MATCH($D46,'Schedule Allocation'!$A:$A,0)))</f>
        <v>4.5714285714285718E-3</v>
      </c>
      <c r="O46" s="894">
        <f ca="1">IF($C46=1,$AL46,SUM($AJ46:$AL46)*INDEX('Schedule Allocation'!O:O,MATCH($D46,'Schedule Allocation'!$A:$A,0)))</f>
        <v>4.5714285714285718E-3</v>
      </c>
      <c r="P46" s="894">
        <f ca="1">IF($C46=1,$AL46,SUM($AJ46:$AL46)*INDEX('Schedule Allocation'!P:P,MATCH($D46,'Schedule Allocation'!$A:$A,0)))</f>
        <v>4.5714285714285718E-3</v>
      </c>
      <c r="Q46" s="894">
        <f ca="1">IF($C46=1,$AL46,SUM($AJ46:$AL46)*INDEX('Schedule Allocation'!Q:Q,MATCH($D46,'Schedule Allocation'!$A:$A,0)))</f>
        <v>4.5714285714285718E-3</v>
      </c>
      <c r="R46" s="894">
        <f ca="1">IF($C46=1,$AL46,SUM($AJ46:$AL46)*INDEX('Schedule Allocation'!R:R,MATCH($D46,'Schedule Allocation'!$A:$A,0)))</f>
        <v>4.5714285714285718E-3</v>
      </c>
      <c r="S46" s="894">
        <f ca="1">IF($C46=1,$AL46,SUM($AJ46:$AL46)*INDEX('Schedule Allocation'!S:S,MATCH($D46,'Schedule Allocation'!$A:$A,0)))</f>
        <v>4.5714285714285718E-3</v>
      </c>
      <c r="T46" s="894">
        <f ca="1">IF($C46=1,$AL46,SUM($AJ46:$AL46)*INDEX('Schedule Allocation'!T:T,MATCH($D46,'Schedule Allocation'!$A:$A,0)))</f>
        <v>4.5714285714285718E-3</v>
      </c>
      <c r="U46" s="894">
        <f ca="1">OFFSET(AT46,0,(MATCH('Model Report Formatized'!$E$1,$AN$1:$AN$6,0))*17-17)</f>
        <v>1.1999999999999997E-2</v>
      </c>
      <c r="V46" s="894">
        <f ca="1">OFFSET(AU46,0,(MATCH('Model Report Formatized'!$E$1,$AN$1:$AN$6,0))*17-17)</f>
        <v>1.1999999999999997E-2</v>
      </c>
      <c r="W46" s="894">
        <f ca="1">OFFSET(AV46,0,(MATCH('Model Report Formatized'!$E$1,$AN$1:$AN$6,0))*17-17)</f>
        <v>1.1999999999999997E-2</v>
      </c>
      <c r="X46" s="894">
        <f ca="1">OFFSET(AW46,0,(MATCH('Model Report Formatized'!$E$1,$AN$1:$AN$6,0))*17-17)</f>
        <v>1.1999999999999997E-2</v>
      </c>
      <c r="Y46" s="894">
        <f ca="1">OFFSET(AX46,0,(MATCH('Model Report Formatized'!$E$1,$AN$1:$AN$6,0))*17-17)</f>
        <v>4.0000000000000001E-3</v>
      </c>
      <c r="Z46" s="894">
        <f ca="1">OFFSET(AY46,0,(MATCH('Model Report Formatized'!$E$1,$AN$1:$AN$6,0))*17-17)</f>
        <v>4.0000000000000001E-3</v>
      </c>
      <c r="AA46" s="894">
        <f ca="1">OFFSET(AZ46,0,(MATCH('Model Report Formatized'!$E$1,$AN$1:$AN$6,0))*17-17)</f>
        <v>4.0000000000000001E-3</v>
      </c>
      <c r="AB46" s="894">
        <f ca="1">OFFSET(BA46,0,(MATCH('Model Report Formatized'!$E$1,$AN$1:$AN$6,0))*17-17)</f>
        <v>4.0000000000000001E-3</v>
      </c>
      <c r="AC46" s="894">
        <f ca="1">OFFSET(BB46,0,(MATCH('Model Report Formatized'!$E$1,$AN$1:$AN$6,0))*17-17)</f>
        <v>4.0000000000000001E-3</v>
      </c>
      <c r="AD46" s="894">
        <f ca="1">OFFSET(BC46,0,(MATCH('Model Report Formatized'!$E$1,$AN$1:$AN$6,0))*17-17)</f>
        <v>4.0000000000000001E-3</v>
      </c>
      <c r="AE46" s="894">
        <f ca="1">OFFSET(BD46,0,(MATCH('Model Report Formatized'!$E$1,$AN$1:$AN$6,0))*17-17)</f>
        <v>4.0000000000000001E-3</v>
      </c>
      <c r="AF46" s="894">
        <f ca="1">OFFSET(BE46,0,(MATCH('Model Report Formatized'!$E$1,$AN$1:$AN$6,0))*17-17)</f>
        <v>4.0000000000000001E-3</v>
      </c>
      <c r="AG46" s="894">
        <f ca="1">OFFSET(BF46,0,(MATCH('Model Report Formatized'!$E$1,$AN$1:$AN$6,0))*17-17)</f>
        <v>4.0000000000000001E-3</v>
      </c>
      <c r="AH46" s="891">
        <f t="shared" ca="1" si="5"/>
        <v>0</v>
      </c>
      <c r="AJ46" s="895">
        <f ca="1">OFFSET(AQ46,0,(MATCH('Model Report Formatized'!$E$1,$AN$1:$AN$6,0))*17-17)</f>
        <v>1.2E-2</v>
      </c>
      <c r="AK46" s="895">
        <f ca="1">OFFSET(AR46,0,(MATCH('Model Report Formatized'!$E$1,$AN$1:$AN$6,0))*17-17)</f>
        <v>4.2000000000000003E-2</v>
      </c>
      <c r="AL46" s="895">
        <f ca="1">OFFSET(AS46,0,(MATCH('Model Report Formatized'!$E$1,$AN$1:$AN$6,0))*17-17)</f>
        <v>4.2000000000000003E-2</v>
      </c>
      <c r="AQ46" s="893">
        <v>0.05</v>
      </c>
      <c r="AR46" s="893">
        <v>0.05</v>
      </c>
      <c r="AS46" s="893">
        <v>0.05</v>
      </c>
      <c r="AT46" s="893">
        <v>0.05</v>
      </c>
      <c r="AU46" s="893">
        <v>0.05</v>
      </c>
      <c r="AV46" s="893">
        <v>0</v>
      </c>
      <c r="AW46" s="893">
        <v>0</v>
      </c>
      <c r="AX46" s="893">
        <v>0</v>
      </c>
      <c r="AY46" s="893">
        <v>0</v>
      </c>
      <c r="AZ46" s="893">
        <v>0</v>
      </c>
      <c r="BA46" s="893">
        <v>0</v>
      </c>
      <c r="BB46" s="893">
        <v>0</v>
      </c>
      <c r="BC46" s="893">
        <v>0</v>
      </c>
      <c r="BD46" s="893">
        <v>0</v>
      </c>
      <c r="BE46" s="893">
        <v>0</v>
      </c>
      <c r="BF46" s="893">
        <v>0</v>
      </c>
      <c r="BH46" s="816">
        <v>4.5999999999999999E-2</v>
      </c>
      <c r="BI46" s="816">
        <v>4.5999999999999999E-2</v>
      </c>
      <c r="BJ46" s="816">
        <v>4.5999999999999999E-2</v>
      </c>
      <c r="BK46" s="816">
        <v>4.5999999999999999E-2</v>
      </c>
      <c r="BL46" s="816">
        <v>4.5999999999999999E-2</v>
      </c>
      <c r="BM46" s="816">
        <v>0</v>
      </c>
      <c r="BN46" s="816">
        <v>0</v>
      </c>
      <c r="BO46" s="816">
        <v>0</v>
      </c>
      <c r="BP46" s="816">
        <v>0</v>
      </c>
      <c r="BQ46" s="816">
        <v>0</v>
      </c>
      <c r="BR46" s="816">
        <v>0</v>
      </c>
      <c r="BS46" s="816">
        <v>0</v>
      </c>
      <c r="BT46" s="816">
        <v>0</v>
      </c>
      <c r="BU46" s="816">
        <v>0</v>
      </c>
      <c r="BV46" s="816">
        <v>0</v>
      </c>
      <c r="BW46" s="816">
        <v>0</v>
      </c>
      <c r="BY46" s="817">
        <v>2.6000000000000002E-2</v>
      </c>
      <c r="BZ46" s="817">
        <v>2.6000000000000002E-2</v>
      </c>
      <c r="CA46" s="817">
        <v>2.6000000000000002E-2</v>
      </c>
      <c r="CB46" s="817">
        <v>2.6000000000000002E-2</v>
      </c>
      <c r="CC46" s="817">
        <v>2.6000000000000002E-2</v>
      </c>
      <c r="CD46" s="817">
        <v>0</v>
      </c>
      <c r="CE46" s="817">
        <v>0</v>
      </c>
      <c r="CF46" s="817">
        <v>0</v>
      </c>
      <c r="CG46" s="817">
        <v>0</v>
      </c>
      <c r="CH46" s="817">
        <v>0</v>
      </c>
      <c r="CI46" s="817">
        <v>0</v>
      </c>
      <c r="CJ46" s="817">
        <v>0</v>
      </c>
      <c r="CK46" s="817">
        <v>0</v>
      </c>
      <c r="CL46" s="817">
        <v>0</v>
      </c>
      <c r="CM46" s="817">
        <v>0</v>
      </c>
      <c r="CN46" s="817">
        <v>0</v>
      </c>
      <c r="CO46" s="816" t="s">
        <v>1340</v>
      </c>
      <c r="CP46" s="818">
        <f>INDEX('Monthly Run-off Change'!I:I,MATCH($B46,'Monthly Run-off Change'!$E:$E,0))</f>
        <v>1.2E-2</v>
      </c>
      <c r="CQ46" s="818">
        <f>INDEX('Monthly Run-off Change'!J:J,MATCH($B46,'Monthly Run-off Change'!$E:$E,0))</f>
        <v>4.2000000000000003E-2</v>
      </c>
      <c r="CR46" s="818">
        <f>INDEX('Monthly Run-off Change'!K:K,MATCH($B46,'Monthly Run-off Change'!$E:$E,0))</f>
        <v>4.2000000000000003E-2</v>
      </c>
      <c r="CS46" s="818">
        <f>INDEX('Monthly Run-off Change'!L:L,MATCH($B46,'Monthly Run-off Change'!$E:$E,0))</f>
        <v>1.1999999999999997E-2</v>
      </c>
      <c r="CT46" s="818">
        <f>INDEX('Monthly Run-off Change'!M:M,MATCH($B46,'Monthly Run-off Change'!$E:$E,0))</f>
        <v>1.1999999999999997E-2</v>
      </c>
      <c r="CU46" s="818">
        <f>INDEX('Monthly Run-off Change'!N:N,MATCH($B46,'Monthly Run-off Change'!$E:$E,0))</f>
        <v>1.1999999999999997E-2</v>
      </c>
      <c r="CV46" s="818">
        <f>INDEX('Monthly Run-off Change'!O:O,MATCH($B46,'Monthly Run-off Change'!$E:$E,0))</f>
        <v>1.1999999999999997E-2</v>
      </c>
      <c r="CW46" s="818">
        <f>INDEX('Monthly Run-off Change'!P:P,MATCH($B46,'Monthly Run-off Change'!$E:$E,0))</f>
        <v>4.0000000000000001E-3</v>
      </c>
      <c r="CX46" s="818">
        <f>INDEX('Monthly Run-off Change'!Q:Q,MATCH($B46,'Monthly Run-off Change'!$E:$E,0))</f>
        <v>4.0000000000000001E-3</v>
      </c>
      <c r="CY46" s="818">
        <f>INDEX('Monthly Run-off Change'!R:R,MATCH($B46,'Monthly Run-off Change'!$E:$E,0))</f>
        <v>4.0000000000000001E-3</v>
      </c>
      <c r="CZ46" s="818">
        <f>INDEX('Monthly Run-off Change'!S:S,MATCH($B46,'Monthly Run-off Change'!$E:$E,0))</f>
        <v>4.0000000000000001E-3</v>
      </c>
      <c r="DA46" s="818">
        <f>INDEX('Monthly Run-off Change'!T:T,MATCH($B46,'Monthly Run-off Change'!$E:$E,0))</f>
        <v>4.0000000000000001E-3</v>
      </c>
      <c r="DB46" s="818">
        <f>INDEX('Monthly Run-off Change'!U:U,MATCH($B46,'Monthly Run-off Change'!$E:$E,0))</f>
        <v>4.0000000000000001E-3</v>
      </c>
      <c r="DC46" s="818">
        <f>INDEX('Monthly Run-off Change'!V:V,MATCH($B46,'Monthly Run-off Change'!$E:$E,0))</f>
        <v>4.0000000000000001E-3</v>
      </c>
      <c r="DD46" s="818">
        <f>INDEX('Monthly Run-off Change'!W:W,MATCH($B46,'Monthly Run-off Change'!$E:$E,0))</f>
        <v>4.0000000000000001E-3</v>
      </c>
      <c r="DE46" s="818">
        <f>INDEX('Monthly Run-off Change'!X:X,MATCH($B46,'Monthly Run-off Change'!$E:$E,0))</f>
        <v>4.0000000000000001E-3</v>
      </c>
      <c r="DF46" s="899">
        <f>INDEX('Monthly Run-off Change'!Y:Y,MATCH($B46,'Monthly Run-off Change'!$E:$E,0))</f>
        <v>0</v>
      </c>
      <c r="DG46" s="899">
        <f>INDEX('Monthly Run-off Change'!Z:Z,MATCH($B46,'Monthly Run-off Change'!$E:$E,0))</f>
        <v>3.0000000000000001E-3</v>
      </c>
      <c r="DH46" s="899">
        <f>INDEX('Monthly Run-off Change'!AA:AA,MATCH($B46,'Monthly Run-off Change'!$E:$E,0))</f>
        <v>1.0500000000000001E-2</v>
      </c>
      <c r="DI46" s="899">
        <f>INDEX('Monthly Run-off Change'!AB:AB,MATCH($B46,'Monthly Run-off Change'!$E:$E,0))</f>
        <v>1.0500000000000001E-2</v>
      </c>
      <c r="DJ46" s="899">
        <f>INDEX('Monthly Run-off Change'!AC:AC,MATCH($B46,'Monthly Run-off Change'!$E:$E,0))</f>
        <v>2.9999999999999992E-3</v>
      </c>
      <c r="DK46" s="899">
        <f>INDEX('Monthly Run-off Change'!AD:AD,MATCH($B46,'Monthly Run-off Change'!$E:$E,0))</f>
        <v>2.9999999999999992E-3</v>
      </c>
      <c r="DL46" s="899">
        <f>INDEX('Monthly Run-off Change'!AE:AE,MATCH($B46,'Monthly Run-off Change'!$E:$E,0))</f>
        <v>2.9999999999999992E-3</v>
      </c>
      <c r="DM46" s="899">
        <f>INDEX('Monthly Run-off Change'!AF:AF,MATCH($B46,'Monthly Run-off Change'!$E:$E,0))</f>
        <v>2.9999999999999992E-3</v>
      </c>
      <c r="DN46" s="899">
        <f>INDEX('Monthly Run-off Change'!AG:AG,MATCH($B46,'Monthly Run-off Change'!$E:$E,0))</f>
        <v>1E-3</v>
      </c>
      <c r="DO46" s="899">
        <f>INDEX('Monthly Run-off Change'!AH:AH,MATCH($B46,'Monthly Run-off Change'!$E:$E,0))</f>
        <v>1E-3</v>
      </c>
      <c r="DP46" s="899">
        <f>INDEX('Monthly Run-off Change'!AI:AI,MATCH($B46,'Monthly Run-off Change'!$E:$E,0))</f>
        <v>1E-3</v>
      </c>
      <c r="DQ46" s="899">
        <f>INDEX('Monthly Run-off Change'!AJ:AJ,MATCH($B46,'Monthly Run-off Change'!$E:$E,0))</f>
        <v>1E-3</v>
      </c>
      <c r="DR46" s="899">
        <f>INDEX('Monthly Run-off Change'!AK:AK,MATCH($B46,'Monthly Run-off Change'!$E:$E,0))</f>
        <v>1E-3</v>
      </c>
      <c r="DS46" s="899">
        <f>INDEX('Monthly Run-off Change'!AL:AL,MATCH($B46,'Monthly Run-off Change'!$E:$E,0))</f>
        <v>1E-3</v>
      </c>
      <c r="DT46" s="899">
        <f>INDEX('Monthly Run-off Change'!AM:AM,MATCH($B46,'Monthly Run-off Change'!$E:$E,0))</f>
        <v>1E-3</v>
      </c>
      <c r="DU46" s="899">
        <f>INDEX('Monthly Run-off Change'!AN:AN,MATCH($B46,'Monthly Run-off Change'!$E:$E,0))</f>
        <v>1E-3</v>
      </c>
      <c r="DV46" s="899">
        <f>INDEX('Monthly Run-off Change'!AO:AO,MATCH($B46,'Monthly Run-off Change'!$E:$E,0))</f>
        <v>1E-3</v>
      </c>
      <c r="DW46" s="899">
        <f>INDEX('Monthly Run-off Change'!AP:AP,MATCH($B46,'Monthly Run-off Change'!$E:$E,0))</f>
        <v>0</v>
      </c>
      <c r="DX46" s="899">
        <f>INDEX('Monthly Run-off Change'!AQ:AQ,MATCH($B46,'Monthly Run-off Change'!$E:$E,0))</f>
        <v>1.0000000000000002E-2</v>
      </c>
      <c r="DY46" s="899">
        <f>INDEX('Monthly Run-off Change'!AR:AR,MATCH($B46,'Monthly Run-off Change'!$E:$E,0))</f>
        <v>3.5000000000000003E-2</v>
      </c>
      <c r="DZ46" s="899">
        <f>INDEX('Monthly Run-off Change'!AS:AS,MATCH($B46,'Monthly Run-off Change'!$E:$E,0))</f>
        <v>3.5000000000000003E-2</v>
      </c>
      <c r="EA46" s="899">
        <f>INDEX('Monthly Run-off Change'!AT:AT,MATCH($B46,'Monthly Run-off Change'!$E:$E,0))</f>
        <v>9.999999999999995E-3</v>
      </c>
      <c r="EB46" s="899">
        <f>INDEX('Monthly Run-off Change'!AU:AU,MATCH($B46,'Monthly Run-off Change'!$E:$E,0))</f>
        <v>9.999999999999995E-3</v>
      </c>
      <c r="EC46" s="899">
        <f>INDEX('Monthly Run-off Change'!AV:AV,MATCH($B46,'Monthly Run-off Change'!$E:$E,0))</f>
        <v>9.999999999999995E-3</v>
      </c>
      <c r="ED46" s="899">
        <f>INDEX('Monthly Run-off Change'!AW:AW,MATCH($B46,'Monthly Run-off Change'!$E:$E,0))</f>
        <v>9.999999999999995E-3</v>
      </c>
      <c r="EE46" s="899">
        <f>INDEX('Monthly Run-off Change'!AX:AX,MATCH($B46,'Monthly Run-off Change'!$E:$E,0))</f>
        <v>3.3333333333333361E-3</v>
      </c>
      <c r="EF46" s="899">
        <f>INDEX('Monthly Run-off Change'!AY:AY,MATCH($B46,'Monthly Run-off Change'!$E:$E,0))</f>
        <v>3.3333333333333361E-3</v>
      </c>
      <c r="EG46" s="899">
        <f>INDEX('Monthly Run-off Change'!AZ:AZ,MATCH($B46,'Monthly Run-off Change'!$E:$E,0))</f>
        <v>3.3333333333333361E-3</v>
      </c>
      <c r="EH46" s="899">
        <f>INDEX('Monthly Run-off Change'!BA:BA,MATCH($B46,'Monthly Run-off Change'!$E:$E,0))</f>
        <v>3.3333333333333361E-3</v>
      </c>
      <c r="EI46" s="899">
        <f>INDEX('Monthly Run-off Change'!BB:BB,MATCH($B46,'Monthly Run-off Change'!$E:$E,0))</f>
        <v>3.3333333333333361E-3</v>
      </c>
      <c r="EJ46" s="899">
        <f>INDEX('Monthly Run-off Change'!BC:BC,MATCH($B46,'Monthly Run-off Change'!$E:$E,0))</f>
        <v>3.3333333333333361E-3</v>
      </c>
      <c r="EK46" s="899">
        <f>INDEX('Monthly Run-off Change'!BD:BD,MATCH($B46,'Monthly Run-off Change'!$E:$E,0))</f>
        <v>3.3333333333333361E-3</v>
      </c>
      <c r="EL46" s="899">
        <f>INDEX('Monthly Run-off Change'!BE:BE,MATCH($B46,'Monthly Run-off Change'!$E:$E,0))</f>
        <v>3.3333333333333361E-3</v>
      </c>
      <c r="EM46" s="899">
        <f>INDEX('Monthly Run-off Change'!BF:BF,MATCH($B46,'Monthly Run-off Change'!$E:$E,0))</f>
        <v>3.3333333333333361E-3</v>
      </c>
      <c r="FQ46" s="898"/>
      <c r="FS46" s="898"/>
      <c r="FT46" s="898"/>
      <c r="FU46" s="898"/>
      <c r="FV46" s="898"/>
      <c r="FW46" s="898"/>
      <c r="FX46" s="898"/>
      <c r="FY46" s="898"/>
      <c r="FZ46" s="898"/>
      <c r="GA46" s="898"/>
      <c r="GB46" s="898"/>
      <c r="GC46" s="898"/>
      <c r="GD46" s="898"/>
      <c r="GE46" s="898"/>
      <c r="GF46" s="898"/>
      <c r="GG46" s="898"/>
      <c r="GH46" s="898"/>
      <c r="GJ46" s="898"/>
      <c r="GK46" s="898"/>
      <c r="GL46" s="898"/>
      <c r="GM46" s="898"/>
      <c r="GN46" s="898"/>
      <c r="GO46" s="898"/>
      <c r="GP46" s="898"/>
      <c r="GQ46" s="898"/>
      <c r="GR46" s="898"/>
      <c r="GS46" s="898"/>
      <c r="GT46" s="898"/>
      <c r="GU46" s="898"/>
      <c r="GV46" s="898"/>
      <c r="GW46" s="898"/>
      <c r="GX46" s="898"/>
      <c r="GY46" s="898"/>
      <c r="HA46" s="898"/>
      <c r="HB46" s="898"/>
      <c r="HC46" s="898"/>
      <c r="HD46" s="898"/>
      <c r="HE46" s="898"/>
      <c r="HF46" s="898"/>
      <c r="HG46" s="898"/>
      <c r="HH46" s="898"/>
      <c r="HI46" s="898"/>
      <c r="HJ46" s="898"/>
      <c r="HK46" s="898"/>
      <c r="HL46" s="898"/>
      <c r="HM46" s="898"/>
      <c r="HN46" s="898"/>
      <c r="HO46" s="898"/>
      <c r="HP46" s="898"/>
    </row>
    <row r="47" spans="1:224">
      <c r="B47" s="816" t="s">
        <v>997</v>
      </c>
      <c r="C47" s="816">
        <v>0</v>
      </c>
      <c r="D47" s="816">
        <f t="shared" si="4"/>
        <v>1</v>
      </c>
      <c r="E47" s="816">
        <v>0</v>
      </c>
      <c r="F47" s="816" t="str">
        <f>INDEX('Data Interface'!$C:$C,MATCH(B47,'Data Interface'!$B:$B,0))</f>
        <v>Due to Affiliate - Investment - Non-US</v>
      </c>
      <c r="G47" s="894">
        <f ca="1">IF($C47=1,$AJ47,SUM($AJ47:$AL47)*INDEX('Schedule Allocation'!G:G,MATCH($D47,'Schedule Allocation'!$A:$A,0)))</f>
        <v>3.9999999999999994E-2</v>
      </c>
      <c r="H47" s="894">
        <f ca="1">IF($C47=1,$AK47,SUM($AJ47:$AL47)*INDEX('Schedule Allocation'!H:H,MATCH($D47,'Schedule Allocation'!$A:$A,0)))</f>
        <v>6.6666666666666662E-3</v>
      </c>
      <c r="I47" s="894">
        <f ca="1">IF($C47=1,$AK47,SUM($AJ47:$AL47)*INDEX('Schedule Allocation'!I:I,MATCH($D47,'Schedule Allocation'!$A:$A,0)))</f>
        <v>6.6666666666666662E-3</v>
      </c>
      <c r="J47" s="894">
        <f ca="1">IF($C47=1,$AK47,SUM($AJ47:$AL47)*INDEX('Schedule Allocation'!J:J,MATCH($D47,'Schedule Allocation'!$A:$A,0)))</f>
        <v>6.6666666666666662E-3</v>
      </c>
      <c r="K47" s="894">
        <f ca="1">IF($C47=1,$AK47,SUM($AJ47:$AL47)*INDEX('Schedule Allocation'!K:K,MATCH($D47,'Schedule Allocation'!$A:$A,0)))</f>
        <v>6.6666666666666662E-3</v>
      </c>
      <c r="L47" s="894">
        <f ca="1">IF($C47=1,$AK47,SUM($AJ47:$AL47)*INDEX('Schedule Allocation'!L:L,MATCH($D47,'Schedule Allocation'!$A:$A,0)))</f>
        <v>6.6666666666666662E-3</v>
      </c>
      <c r="M47" s="894">
        <f ca="1">IF($C47=1,$AK47,SUM($AJ47:$AL47)*INDEX('Schedule Allocation'!M:M,MATCH($D47,'Schedule Allocation'!$A:$A,0)))</f>
        <v>6.6666666666666662E-3</v>
      </c>
      <c r="N47" s="894">
        <f ca="1">IF($C47=1,$AL47,SUM($AJ47:$AL47)*INDEX('Schedule Allocation'!N:N,MATCH($D47,'Schedule Allocation'!$A:$A,0)))</f>
        <v>5.7142857142857143E-3</v>
      </c>
      <c r="O47" s="894">
        <f ca="1">IF($C47=1,$AL47,SUM($AJ47:$AL47)*INDEX('Schedule Allocation'!O:O,MATCH($D47,'Schedule Allocation'!$A:$A,0)))</f>
        <v>5.7142857142857143E-3</v>
      </c>
      <c r="P47" s="894">
        <f ca="1">IF($C47=1,$AL47,SUM($AJ47:$AL47)*INDEX('Schedule Allocation'!P:P,MATCH($D47,'Schedule Allocation'!$A:$A,0)))</f>
        <v>5.7142857142857143E-3</v>
      </c>
      <c r="Q47" s="894">
        <f ca="1">IF($C47=1,$AL47,SUM($AJ47:$AL47)*INDEX('Schedule Allocation'!Q:Q,MATCH($D47,'Schedule Allocation'!$A:$A,0)))</f>
        <v>5.7142857142857143E-3</v>
      </c>
      <c r="R47" s="894">
        <f ca="1">IF($C47=1,$AL47,SUM($AJ47:$AL47)*INDEX('Schedule Allocation'!R:R,MATCH($D47,'Schedule Allocation'!$A:$A,0)))</f>
        <v>5.7142857142857143E-3</v>
      </c>
      <c r="S47" s="894">
        <f ca="1">IF($C47=1,$AL47,SUM($AJ47:$AL47)*INDEX('Schedule Allocation'!S:S,MATCH($D47,'Schedule Allocation'!$A:$A,0)))</f>
        <v>5.7142857142857143E-3</v>
      </c>
      <c r="T47" s="894">
        <f ca="1">IF($C47=1,$AL47,SUM($AJ47:$AL47)*INDEX('Schedule Allocation'!T:T,MATCH($D47,'Schedule Allocation'!$A:$A,0)))</f>
        <v>5.7142857142857143E-3</v>
      </c>
      <c r="U47" s="894">
        <f ca="1">OFFSET(AT47,0,(MATCH('Model Report Formatized'!$E$1,$AN$1:$AN$6,0))*17-17)</f>
        <v>1.4999999999999999E-2</v>
      </c>
      <c r="V47" s="894">
        <f ca="1">OFFSET(AU47,0,(MATCH('Model Report Formatized'!$E$1,$AN$1:$AN$6,0))*17-17)</f>
        <v>1.4999999999999999E-2</v>
      </c>
      <c r="W47" s="894">
        <f ca="1">OFFSET(AV47,0,(MATCH('Model Report Formatized'!$E$1,$AN$1:$AN$6,0))*17-17)</f>
        <v>1.4999999999999999E-2</v>
      </c>
      <c r="X47" s="894">
        <f ca="1">OFFSET(AW47,0,(MATCH('Model Report Formatized'!$E$1,$AN$1:$AN$6,0))*17-17)</f>
        <v>1.4999999999999999E-2</v>
      </c>
      <c r="Y47" s="894">
        <f ca="1">OFFSET(AX47,0,(MATCH('Model Report Formatized'!$E$1,$AN$1:$AN$6,0))*17-17)</f>
        <v>4.9999999999999984E-3</v>
      </c>
      <c r="Z47" s="894">
        <f ca="1">OFFSET(AY47,0,(MATCH('Model Report Formatized'!$E$1,$AN$1:$AN$6,0))*17-17)</f>
        <v>4.9999999999999984E-3</v>
      </c>
      <c r="AA47" s="894">
        <f ca="1">OFFSET(AZ47,0,(MATCH('Model Report Formatized'!$E$1,$AN$1:$AN$6,0))*17-17)</f>
        <v>4.9999999999999984E-3</v>
      </c>
      <c r="AB47" s="894">
        <f ca="1">OFFSET(BA47,0,(MATCH('Model Report Formatized'!$E$1,$AN$1:$AN$6,0))*17-17)</f>
        <v>4.9999999999999984E-3</v>
      </c>
      <c r="AC47" s="894">
        <f ca="1">OFFSET(BB47,0,(MATCH('Model Report Formatized'!$E$1,$AN$1:$AN$6,0))*17-17)</f>
        <v>4.9999999999999984E-3</v>
      </c>
      <c r="AD47" s="894">
        <f ca="1">OFFSET(BC47,0,(MATCH('Model Report Formatized'!$E$1,$AN$1:$AN$6,0))*17-17)</f>
        <v>4.9999999999999984E-3</v>
      </c>
      <c r="AE47" s="894">
        <f ca="1">OFFSET(BD47,0,(MATCH('Model Report Formatized'!$E$1,$AN$1:$AN$6,0))*17-17)</f>
        <v>4.9999999999999984E-3</v>
      </c>
      <c r="AF47" s="894">
        <f ca="1">OFFSET(BE47,0,(MATCH('Model Report Formatized'!$E$1,$AN$1:$AN$6,0))*17-17)</f>
        <v>4.9999999999999984E-3</v>
      </c>
      <c r="AG47" s="894">
        <f ca="1">OFFSET(BF47,0,(MATCH('Model Report Formatized'!$E$1,$AN$1:$AN$6,0))*17-17)</f>
        <v>4.9999999999999984E-3</v>
      </c>
      <c r="AH47" s="891">
        <f t="shared" ca="1" si="5"/>
        <v>0</v>
      </c>
      <c r="AJ47" s="895">
        <f ca="1">OFFSET(AQ47,0,(MATCH('Model Report Formatized'!$E$1,$AN$1:$AN$6,0))*17-17)</f>
        <v>1.4999999999999999E-2</v>
      </c>
      <c r="AK47" s="895">
        <f ca="1">OFFSET(AR47,0,(MATCH('Model Report Formatized'!$E$1,$AN$1:$AN$6,0))*17-17)</f>
        <v>5.2499999999999998E-2</v>
      </c>
      <c r="AL47" s="895">
        <f ca="1">OFFSET(AS47,0,(MATCH('Model Report Formatized'!$E$1,$AN$1:$AN$6,0))*17-17)</f>
        <v>5.2499999999999998E-2</v>
      </c>
      <c r="AQ47" s="893">
        <v>0.05</v>
      </c>
      <c r="AR47" s="893">
        <v>0.05</v>
      </c>
      <c r="AS47" s="893">
        <v>0.05</v>
      </c>
      <c r="AT47" s="893">
        <v>0.05</v>
      </c>
      <c r="AU47" s="893">
        <v>0.05</v>
      </c>
      <c r="AV47" s="893">
        <v>0</v>
      </c>
      <c r="AW47" s="893">
        <v>0</v>
      </c>
      <c r="AX47" s="893">
        <v>0</v>
      </c>
      <c r="AY47" s="893">
        <v>0</v>
      </c>
      <c r="AZ47" s="893">
        <v>0</v>
      </c>
      <c r="BA47" s="893">
        <v>0</v>
      </c>
      <c r="BB47" s="893">
        <v>0</v>
      </c>
      <c r="BC47" s="893">
        <v>0</v>
      </c>
      <c r="BD47" s="893">
        <v>0</v>
      </c>
      <c r="BE47" s="893">
        <v>0</v>
      </c>
      <c r="BF47" s="893">
        <v>0</v>
      </c>
      <c r="BH47" s="816">
        <v>4.5999999999999999E-2</v>
      </c>
      <c r="BI47" s="816">
        <v>4.5999999999999999E-2</v>
      </c>
      <c r="BJ47" s="816">
        <v>4.5999999999999999E-2</v>
      </c>
      <c r="BK47" s="816">
        <v>4.5999999999999999E-2</v>
      </c>
      <c r="BL47" s="816">
        <v>4.5999999999999999E-2</v>
      </c>
      <c r="BM47" s="816">
        <v>0</v>
      </c>
      <c r="BN47" s="816">
        <v>0</v>
      </c>
      <c r="BO47" s="816">
        <v>0</v>
      </c>
      <c r="BP47" s="816">
        <v>0</v>
      </c>
      <c r="BQ47" s="816">
        <v>0</v>
      </c>
      <c r="BR47" s="816">
        <v>0</v>
      </c>
      <c r="BS47" s="816">
        <v>0</v>
      </c>
      <c r="BT47" s="816">
        <v>0</v>
      </c>
      <c r="BU47" s="816">
        <v>0</v>
      </c>
      <c r="BV47" s="816">
        <v>0</v>
      </c>
      <c r="BW47" s="816">
        <v>0</v>
      </c>
      <c r="BY47" s="817">
        <v>2.6000000000000002E-2</v>
      </c>
      <c r="BZ47" s="817">
        <v>2.6000000000000002E-2</v>
      </c>
      <c r="CA47" s="817">
        <v>2.6000000000000002E-2</v>
      </c>
      <c r="CB47" s="817">
        <v>2.6000000000000002E-2</v>
      </c>
      <c r="CC47" s="817">
        <v>2.6000000000000002E-2</v>
      </c>
      <c r="CD47" s="817">
        <v>0</v>
      </c>
      <c r="CE47" s="817">
        <v>0</v>
      </c>
      <c r="CF47" s="817">
        <v>0</v>
      </c>
      <c r="CG47" s="817">
        <v>0</v>
      </c>
      <c r="CH47" s="817">
        <v>0</v>
      </c>
      <c r="CI47" s="817">
        <v>0</v>
      </c>
      <c r="CJ47" s="817">
        <v>0</v>
      </c>
      <c r="CK47" s="817">
        <v>0</v>
      </c>
      <c r="CL47" s="817">
        <v>0</v>
      </c>
      <c r="CM47" s="817">
        <v>0</v>
      </c>
      <c r="CN47" s="817">
        <v>0</v>
      </c>
      <c r="CO47" s="816" t="s">
        <v>1340</v>
      </c>
      <c r="CP47" s="818">
        <f>INDEX('Monthly Run-off Change'!I:I,MATCH($B47,'Monthly Run-off Change'!$E:$E,0))</f>
        <v>1.4999999999999999E-2</v>
      </c>
      <c r="CQ47" s="818">
        <f>INDEX('Monthly Run-off Change'!J:J,MATCH($B47,'Monthly Run-off Change'!$E:$E,0))</f>
        <v>5.2499999999999998E-2</v>
      </c>
      <c r="CR47" s="818">
        <f>INDEX('Monthly Run-off Change'!K:K,MATCH($B47,'Monthly Run-off Change'!$E:$E,0))</f>
        <v>5.2499999999999998E-2</v>
      </c>
      <c r="CS47" s="818">
        <f>INDEX('Monthly Run-off Change'!L:L,MATCH($B47,'Monthly Run-off Change'!$E:$E,0))</f>
        <v>1.4999999999999999E-2</v>
      </c>
      <c r="CT47" s="818">
        <f>INDEX('Monthly Run-off Change'!M:M,MATCH($B47,'Monthly Run-off Change'!$E:$E,0))</f>
        <v>1.4999999999999999E-2</v>
      </c>
      <c r="CU47" s="818">
        <f>INDEX('Monthly Run-off Change'!N:N,MATCH($B47,'Monthly Run-off Change'!$E:$E,0))</f>
        <v>1.4999999999999999E-2</v>
      </c>
      <c r="CV47" s="818">
        <f>INDEX('Monthly Run-off Change'!O:O,MATCH($B47,'Monthly Run-off Change'!$E:$E,0))</f>
        <v>1.4999999999999999E-2</v>
      </c>
      <c r="CW47" s="818">
        <f>INDEX('Monthly Run-off Change'!P:P,MATCH($B47,'Monthly Run-off Change'!$E:$E,0))</f>
        <v>4.9999999999999984E-3</v>
      </c>
      <c r="CX47" s="818">
        <f>INDEX('Monthly Run-off Change'!Q:Q,MATCH($B47,'Monthly Run-off Change'!$E:$E,0))</f>
        <v>4.9999999999999984E-3</v>
      </c>
      <c r="CY47" s="818">
        <f>INDEX('Monthly Run-off Change'!R:R,MATCH($B47,'Monthly Run-off Change'!$E:$E,0))</f>
        <v>4.9999999999999984E-3</v>
      </c>
      <c r="CZ47" s="818">
        <f>INDEX('Monthly Run-off Change'!S:S,MATCH($B47,'Monthly Run-off Change'!$E:$E,0))</f>
        <v>4.9999999999999984E-3</v>
      </c>
      <c r="DA47" s="818">
        <f>INDEX('Monthly Run-off Change'!T:T,MATCH($B47,'Monthly Run-off Change'!$E:$E,0))</f>
        <v>4.9999999999999984E-3</v>
      </c>
      <c r="DB47" s="818">
        <f>INDEX('Monthly Run-off Change'!U:U,MATCH($B47,'Monthly Run-off Change'!$E:$E,0))</f>
        <v>4.9999999999999984E-3</v>
      </c>
      <c r="DC47" s="818">
        <f>INDEX('Monthly Run-off Change'!V:V,MATCH($B47,'Monthly Run-off Change'!$E:$E,0))</f>
        <v>4.9999999999999984E-3</v>
      </c>
      <c r="DD47" s="818">
        <f>INDEX('Monthly Run-off Change'!W:W,MATCH($B47,'Monthly Run-off Change'!$E:$E,0))</f>
        <v>4.9999999999999984E-3</v>
      </c>
      <c r="DE47" s="818">
        <f>INDEX('Monthly Run-off Change'!X:X,MATCH($B47,'Monthly Run-off Change'!$E:$E,0))</f>
        <v>4.9999999999999984E-3</v>
      </c>
      <c r="DF47" s="899">
        <f>INDEX('Monthly Run-off Change'!Y:Y,MATCH($B47,'Monthly Run-off Change'!$E:$E,0))</f>
        <v>0</v>
      </c>
      <c r="DG47" s="899">
        <f>INDEX('Monthly Run-off Change'!Z:Z,MATCH($B47,'Monthly Run-off Change'!$E:$E,0))</f>
        <v>1.2E-2</v>
      </c>
      <c r="DH47" s="899">
        <f>INDEX('Monthly Run-off Change'!AA:AA,MATCH($B47,'Monthly Run-off Change'!$E:$E,0))</f>
        <v>4.2000000000000003E-2</v>
      </c>
      <c r="DI47" s="899">
        <f>INDEX('Monthly Run-off Change'!AB:AB,MATCH($B47,'Monthly Run-off Change'!$E:$E,0))</f>
        <v>4.2000000000000003E-2</v>
      </c>
      <c r="DJ47" s="899">
        <f>INDEX('Monthly Run-off Change'!AC:AC,MATCH($B47,'Monthly Run-off Change'!$E:$E,0))</f>
        <v>1.1999999999999997E-2</v>
      </c>
      <c r="DK47" s="899">
        <f>INDEX('Monthly Run-off Change'!AD:AD,MATCH($B47,'Monthly Run-off Change'!$E:$E,0))</f>
        <v>1.1999999999999997E-2</v>
      </c>
      <c r="DL47" s="899">
        <f>INDEX('Monthly Run-off Change'!AE:AE,MATCH($B47,'Monthly Run-off Change'!$E:$E,0))</f>
        <v>1.1999999999999997E-2</v>
      </c>
      <c r="DM47" s="899">
        <f>INDEX('Monthly Run-off Change'!AF:AF,MATCH($B47,'Monthly Run-off Change'!$E:$E,0))</f>
        <v>1.1999999999999997E-2</v>
      </c>
      <c r="DN47" s="899">
        <f>INDEX('Monthly Run-off Change'!AG:AG,MATCH($B47,'Monthly Run-off Change'!$E:$E,0))</f>
        <v>4.0000000000000001E-3</v>
      </c>
      <c r="DO47" s="899">
        <f>INDEX('Monthly Run-off Change'!AH:AH,MATCH($B47,'Monthly Run-off Change'!$E:$E,0))</f>
        <v>4.0000000000000001E-3</v>
      </c>
      <c r="DP47" s="899">
        <f>INDEX('Monthly Run-off Change'!AI:AI,MATCH($B47,'Monthly Run-off Change'!$E:$E,0))</f>
        <v>4.0000000000000001E-3</v>
      </c>
      <c r="DQ47" s="899">
        <f>INDEX('Monthly Run-off Change'!AJ:AJ,MATCH($B47,'Monthly Run-off Change'!$E:$E,0))</f>
        <v>4.0000000000000001E-3</v>
      </c>
      <c r="DR47" s="899">
        <f>INDEX('Monthly Run-off Change'!AK:AK,MATCH($B47,'Monthly Run-off Change'!$E:$E,0))</f>
        <v>4.0000000000000001E-3</v>
      </c>
      <c r="DS47" s="899">
        <f>INDEX('Monthly Run-off Change'!AL:AL,MATCH($B47,'Monthly Run-off Change'!$E:$E,0))</f>
        <v>4.0000000000000001E-3</v>
      </c>
      <c r="DT47" s="899">
        <f>INDEX('Monthly Run-off Change'!AM:AM,MATCH($B47,'Monthly Run-off Change'!$E:$E,0))</f>
        <v>4.0000000000000001E-3</v>
      </c>
      <c r="DU47" s="899">
        <f>INDEX('Monthly Run-off Change'!AN:AN,MATCH($B47,'Monthly Run-off Change'!$E:$E,0))</f>
        <v>4.0000000000000001E-3</v>
      </c>
      <c r="DV47" s="899">
        <f>INDEX('Monthly Run-off Change'!AO:AO,MATCH($B47,'Monthly Run-off Change'!$E:$E,0))</f>
        <v>4.0000000000000001E-3</v>
      </c>
      <c r="DW47" s="899">
        <f>INDEX('Monthly Run-off Change'!AP:AP,MATCH($B47,'Monthly Run-off Change'!$E:$E,0))</f>
        <v>0</v>
      </c>
      <c r="DX47" s="899">
        <f>INDEX('Monthly Run-off Change'!AQ:AQ,MATCH($B47,'Monthly Run-off Change'!$E:$E,0))</f>
        <v>5.000000000000001E-3</v>
      </c>
      <c r="DY47" s="899">
        <f>INDEX('Monthly Run-off Change'!AR:AR,MATCH($B47,'Monthly Run-off Change'!$E:$E,0))</f>
        <v>1.7500000000000002E-2</v>
      </c>
      <c r="DZ47" s="899">
        <f>INDEX('Monthly Run-off Change'!AS:AS,MATCH($B47,'Monthly Run-off Change'!$E:$E,0))</f>
        <v>1.7500000000000002E-2</v>
      </c>
      <c r="EA47" s="899">
        <f>INDEX('Monthly Run-off Change'!AT:AT,MATCH($B47,'Monthly Run-off Change'!$E:$E,0))</f>
        <v>4.9999999999999975E-3</v>
      </c>
      <c r="EB47" s="899">
        <f>INDEX('Monthly Run-off Change'!AU:AU,MATCH($B47,'Monthly Run-off Change'!$E:$E,0))</f>
        <v>4.9999999999999975E-3</v>
      </c>
      <c r="EC47" s="899">
        <f>INDEX('Monthly Run-off Change'!AV:AV,MATCH($B47,'Monthly Run-off Change'!$E:$E,0))</f>
        <v>4.9999999999999975E-3</v>
      </c>
      <c r="ED47" s="899">
        <f>INDEX('Monthly Run-off Change'!AW:AW,MATCH($B47,'Monthly Run-off Change'!$E:$E,0))</f>
        <v>4.9999999999999975E-3</v>
      </c>
      <c r="EE47" s="899">
        <f>INDEX('Monthly Run-off Change'!AX:AX,MATCH($B47,'Monthly Run-off Change'!$E:$E,0))</f>
        <v>1.6666666666666681E-3</v>
      </c>
      <c r="EF47" s="899">
        <f>INDEX('Monthly Run-off Change'!AY:AY,MATCH($B47,'Monthly Run-off Change'!$E:$E,0))</f>
        <v>1.6666666666666681E-3</v>
      </c>
      <c r="EG47" s="899">
        <f>INDEX('Monthly Run-off Change'!AZ:AZ,MATCH($B47,'Monthly Run-off Change'!$E:$E,0))</f>
        <v>1.6666666666666681E-3</v>
      </c>
      <c r="EH47" s="899">
        <f>INDEX('Monthly Run-off Change'!BA:BA,MATCH($B47,'Monthly Run-off Change'!$E:$E,0))</f>
        <v>1.6666666666666681E-3</v>
      </c>
      <c r="EI47" s="899">
        <f>INDEX('Monthly Run-off Change'!BB:BB,MATCH($B47,'Monthly Run-off Change'!$E:$E,0))</f>
        <v>1.6666666666666681E-3</v>
      </c>
      <c r="EJ47" s="899">
        <f>INDEX('Monthly Run-off Change'!BC:BC,MATCH($B47,'Monthly Run-off Change'!$E:$E,0))</f>
        <v>1.6666666666666681E-3</v>
      </c>
      <c r="EK47" s="899">
        <f>INDEX('Monthly Run-off Change'!BD:BD,MATCH($B47,'Monthly Run-off Change'!$E:$E,0))</f>
        <v>1.6666666666666681E-3</v>
      </c>
      <c r="EL47" s="899">
        <f>INDEX('Monthly Run-off Change'!BE:BE,MATCH($B47,'Monthly Run-off Change'!$E:$E,0))</f>
        <v>1.6666666666666681E-3</v>
      </c>
      <c r="EM47" s="899">
        <f>INDEX('Monthly Run-off Change'!BF:BF,MATCH($B47,'Monthly Run-off Change'!$E:$E,0))</f>
        <v>1.6666666666666681E-3</v>
      </c>
      <c r="FQ47" s="898"/>
      <c r="FS47" s="898"/>
      <c r="FT47" s="898"/>
      <c r="FU47" s="898"/>
      <c r="FV47" s="898"/>
      <c r="FW47" s="898"/>
      <c r="FX47" s="898"/>
      <c r="FY47" s="898"/>
      <c r="FZ47" s="898"/>
      <c r="GA47" s="898"/>
      <c r="GB47" s="898"/>
      <c r="GC47" s="898"/>
      <c r="GD47" s="898"/>
      <c r="GE47" s="898"/>
      <c r="GF47" s="898"/>
      <c r="GG47" s="898"/>
      <c r="GH47" s="898"/>
      <c r="GJ47" s="898"/>
      <c r="GK47" s="898"/>
      <c r="GL47" s="898"/>
      <c r="GM47" s="898"/>
      <c r="GN47" s="898"/>
      <c r="GO47" s="898"/>
      <c r="GP47" s="898"/>
      <c r="GQ47" s="898"/>
      <c r="GR47" s="898"/>
      <c r="GS47" s="898"/>
      <c r="GT47" s="898"/>
      <c r="GU47" s="898"/>
      <c r="GV47" s="898"/>
      <c r="GW47" s="898"/>
      <c r="GX47" s="898"/>
      <c r="GY47" s="898"/>
      <c r="HA47" s="898"/>
      <c r="HB47" s="898"/>
      <c r="HC47" s="898"/>
      <c r="HD47" s="898"/>
      <c r="HE47" s="898"/>
      <c r="HF47" s="898"/>
      <c r="HG47" s="898"/>
      <c r="HH47" s="898"/>
      <c r="HI47" s="898"/>
      <c r="HJ47" s="898"/>
      <c r="HK47" s="898"/>
      <c r="HL47" s="898"/>
      <c r="HM47" s="898"/>
      <c r="HN47" s="898"/>
      <c r="HO47" s="898"/>
      <c r="HP47" s="898"/>
    </row>
    <row r="48" spans="1:224">
      <c r="B48" s="816" t="s">
        <v>1351</v>
      </c>
      <c r="C48" s="816">
        <v>0</v>
      </c>
      <c r="D48" s="816">
        <f t="shared" si="4"/>
        <v>1</v>
      </c>
      <c r="E48" s="816">
        <v>0</v>
      </c>
      <c r="F48" s="816" t="str">
        <f>INDEX('Data Interface'!$C:$C,MATCH(B48,'Data Interface'!$B:$B,0))</f>
        <v>Due to Affiliate - Investment - BOC HK LTD</v>
      </c>
      <c r="G48" s="894">
        <f ca="1">IF($C48=1,$AJ48,SUM($AJ48:$AL48)*INDEX('Schedule Allocation'!G:G,MATCH($D48,'Schedule Allocation'!$A:$A,0)))</f>
        <v>3.9999999999999994E-2</v>
      </c>
      <c r="H48" s="894">
        <f ca="1">IF($C48=1,$AK48,SUM($AJ48:$AL48)*INDEX('Schedule Allocation'!H:H,MATCH($D48,'Schedule Allocation'!$A:$A,0)))</f>
        <v>6.6666666666666662E-3</v>
      </c>
      <c r="I48" s="894">
        <f ca="1">IF($C48=1,$AK48,SUM($AJ48:$AL48)*INDEX('Schedule Allocation'!I:I,MATCH($D48,'Schedule Allocation'!$A:$A,0)))</f>
        <v>6.6666666666666662E-3</v>
      </c>
      <c r="J48" s="894">
        <f ca="1">IF($C48=1,$AK48,SUM($AJ48:$AL48)*INDEX('Schedule Allocation'!J:J,MATCH($D48,'Schedule Allocation'!$A:$A,0)))</f>
        <v>6.6666666666666662E-3</v>
      </c>
      <c r="K48" s="894">
        <f ca="1">IF($C48=1,$AK48,SUM($AJ48:$AL48)*INDEX('Schedule Allocation'!K:K,MATCH($D48,'Schedule Allocation'!$A:$A,0)))</f>
        <v>6.6666666666666662E-3</v>
      </c>
      <c r="L48" s="894">
        <f ca="1">IF($C48=1,$AK48,SUM($AJ48:$AL48)*INDEX('Schedule Allocation'!L:L,MATCH($D48,'Schedule Allocation'!$A:$A,0)))</f>
        <v>6.6666666666666662E-3</v>
      </c>
      <c r="M48" s="894">
        <f ca="1">IF($C48=1,$AK48,SUM($AJ48:$AL48)*INDEX('Schedule Allocation'!M:M,MATCH($D48,'Schedule Allocation'!$A:$A,0)))</f>
        <v>6.6666666666666662E-3</v>
      </c>
      <c r="N48" s="894">
        <f ca="1">IF($C48=1,$AL48,SUM($AJ48:$AL48)*INDEX('Schedule Allocation'!N:N,MATCH($D48,'Schedule Allocation'!$A:$A,0)))</f>
        <v>5.7142857142857143E-3</v>
      </c>
      <c r="O48" s="894">
        <f ca="1">IF($C48=1,$AL48,SUM($AJ48:$AL48)*INDEX('Schedule Allocation'!O:O,MATCH($D48,'Schedule Allocation'!$A:$A,0)))</f>
        <v>5.7142857142857143E-3</v>
      </c>
      <c r="P48" s="894">
        <f ca="1">IF($C48=1,$AL48,SUM($AJ48:$AL48)*INDEX('Schedule Allocation'!P:P,MATCH($D48,'Schedule Allocation'!$A:$A,0)))</f>
        <v>5.7142857142857143E-3</v>
      </c>
      <c r="Q48" s="894">
        <f ca="1">IF($C48=1,$AL48,SUM($AJ48:$AL48)*INDEX('Schedule Allocation'!Q:Q,MATCH($D48,'Schedule Allocation'!$A:$A,0)))</f>
        <v>5.7142857142857143E-3</v>
      </c>
      <c r="R48" s="894">
        <f ca="1">IF($C48=1,$AL48,SUM($AJ48:$AL48)*INDEX('Schedule Allocation'!R:R,MATCH($D48,'Schedule Allocation'!$A:$A,0)))</f>
        <v>5.7142857142857143E-3</v>
      </c>
      <c r="S48" s="894">
        <f ca="1">IF($C48=1,$AL48,SUM($AJ48:$AL48)*INDEX('Schedule Allocation'!S:S,MATCH($D48,'Schedule Allocation'!$A:$A,0)))</f>
        <v>5.7142857142857143E-3</v>
      </c>
      <c r="T48" s="894">
        <f ca="1">IF($C48=1,$AL48,SUM($AJ48:$AL48)*INDEX('Schedule Allocation'!T:T,MATCH($D48,'Schedule Allocation'!$A:$A,0)))</f>
        <v>5.7142857142857143E-3</v>
      </c>
      <c r="U48" s="894">
        <f ca="1">OFFSET(AT48,0,(MATCH('Model Report Formatized'!$E$1,$AN$1:$AN$6,0))*17-17)</f>
        <v>1.4999999999999999E-2</v>
      </c>
      <c r="V48" s="894">
        <f ca="1">OFFSET(AU48,0,(MATCH('Model Report Formatized'!$E$1,$AN$1:$AN$6,0))*17-17)</f>
        <v>1.4999999999999999E-2</v>
      </c>
      <c r="W48" s="894">
        <f ca="1">OFFSET(AV48,0,(MATCH('Model Report Formatized'!$E$1,$AN$1:$AN$6,0))*17-17)</f>
        <v>1.4999999999999999E-2</v>
      </c>
      <c r="X48" s="894">
        <f ca="1">OFFSET(AW48,0,(MATCH('Model Report Formatized'!$E$1,$AN$1:$AN$6,0))*17-17)</f>
        <v>1.4999999999999999E-2</v>
      </c>
      <c r="Y48" s="894">
        <f ca="1">OFFSET(AX48,0,(MATCH('Model Report Formatized'!$E$1,$AN$1:$AN$6,0))*17-17)</f>
        <v>4.9999999999999984E-3</v>
      </c>
      <c r="Z48" s="894">
        <f ca="1">OFFSET(AY48,0,(MATCH('Model Report Formatized'!$E$1,$AN$1:$AN$6,0))*17-17)</f>
        <v>4.9999999999999984E-3</v>
      </c>
      <c r="AA48" s="894">
        <f ca="1">OFFSET(AZ48,0,(MATCH('Model Report Formatized'!$E$1,$AN$1:$AN$6,0))*17-17)</f>
        <v>4.9999999999999984E-3</v>
      </c>
      <c r="AB48" s="894">
        <f ca="1">OFFSET(BA48,0,(MATCH('Model Report Formatized'!$E$1,$AN$1:$AN$6,0))*17-17)</f>
        <v>4.9999999999999984E-3</v>
      </c>
      <c r="AC48" s="894">
        <f ca="1">OFFSET(BB48,0,(MATCH('Model Report Formatized'!$E$1,$AN$1:$AN$6,0))*17-17)</f>
        <v>4.9999999999999984E-3</v>
      </c>
      <c r="AD48" s="894">
        <f ca="1">OFFSET(BC48,0,(MATCH('Model Report Formatized'!$E$1,$AN$1:$AN$6,0))*17-17)</f>
        <v>4.9999999999999984E-3</v>
      </c>
      <c r="AE48" s="894">
        <f ca="1">OFFSET(BD48,0,(MATCH('Model Report Formatized'!$E$1,$AN$1:$AN$6,0))*17-17)</f>
        <v>4.9999999999999984E-3</v>
      </c>
      <c r="AF48" s="894">
        <f ca="1">OFFSET(BE48,0,(MATCH('Model Report Formatized'!$E$1,$AN$1:$AN$6,0))*17-17)</f>
        <v>4.9999999999999984E-3</v>
      </c>
      <c r="AG48" s="894">
        <f ca="1">OFFSET(BF48,0,(MATCH('Model Report Formatized'!$E$1,$AN$1:$AN$6,0))*17-17)</f>
        <v>4.9999999999999984E-3</v>
      </c>
      <c r="AH48" s="891">
        <f t="shared" ca="1" si="5"/>
        <v>0</v>
      </c>
      <c r="AJ48" s="895">
        <f ca="1">OFFSET(AQ48,0,(MATCH('Model Report Formatized'!$E$1,$AN$1:$AN$6,0))*17-17)</f>
        <v>1.4999999999999999E-2</v>
      </c>
      <c r="AK48" s="895">
        <f ca="1">OFFSET(AR48,0,(MATCH('Model Report Formatized'!$E$1,$AN$1:$AN$6,0))*17-17)</f>
        <v>5.2499999999999998E-2</v>
      </c>
      <c r="AL48" s="895">
        <f ca="1">OFFSET(AS48,0,(MATCH('Model Report Formatized'!$E$1,$AN$1:$AN$6,0))*17-17)</f>
        <v>5.2499999999999998E-2</v>
      </c>
      <c r="AQ48" s="893">
        <v>0.05</v>
      </c>
      <c r="AR48" s="893">
        <v>0.05</v>
      </c>
      <c r="AS48" s="893">
        <v>0.05</v>
      </c>
      <c r="AT48" s="893">
        <v>0.05</v>
      </c>
      <c r="AU48" s="893">
        <v>0.05</v>
      </c>
      <c r="AV48" s="893">
        <v>0</v>
      </c>
      <c r="AW48" s="893">
        <v>0</v>
      </c>
      <c r="AX48" s="893">
        <v>0</v>
      </c>
      <c r="AY48" s="893">
        <v>0</v>
      </c>
      <c r="AZ48" s="893">
        <v>0</v>
      </c>
      <c r="BA48" s="893">
        <v>0</v>
      </c>
      <c r="BB48" s="893">
        <v>0</v>
      </c>
      <c r="BC48" s="893">
        <v>0</v>
      </c>
      <c r="BD48" s="893">
        <v>0</v>
      </c>
      <c r="BE48" s="893">
        <v>0</v>
      </c>
      <c r="BF48" s="893">
        <v>0</v>
      </c>
      <c r="BH48" s="816">
        <v>4.5999999999999999E-2</v>
      </c>
      <c r="BI48" s="816">
        <v>4.5999999999999999E-2</v>
      </c>
      <c r="BJ48" s="816">
        <v>4.5999999999999999E-2</v>
      </c>
      <c r="BK48" s="816">
        <v>4.5999999999999999E-2</v>
      </c>
      <c r="BL48" s="816">
        <v>4.5999999999999999E-2</v>
      </c>
      <c r="BM48" s="816">
        <v>0</v>
      </c>
      <c r="BN48" s="816">
        <v>0</v>
      </c>
      <c r="BO48" s="816">
        <v>0</v>
      </c>
      <c r="BP48" s="816">
        <v>0</v>
      </c>
      <c r="BQ48" s="816">
        <v>0</v>
      </c>
      <c r="BR48" s="816">
        <v>0</v>
      </c>
      <c r="BS48" s="816">
        <v>0</v>
      </c>
      <c r="BT48" s="816">
        <v>0</v>
      </c>
      <c r="BU48" s="816">
        <v>0</v>
      </c>
      <c r="BV48" s="816">
        <v>0</v>
      </c>
      <c r="BW48" s="816">
        <v>0</v>
      </c>
      <c r="BY48" s="817">
        <v>2.6000000000000002E-2</v>
      </c>
      <c r="BZ48" s="817">
        <v>2.6000000000000002E-2</v>
      </c>
      <c r="CA48" s="817">
        <v>2.6000000000000002E-2</v>
      </c>
      <c r="CB48" s="817">
        <v>2.6000000000000002E-2</v>
      </c>
      <c r="CC48" s="817">
        <v>2.6000000000000002E-2</v>
      </c>
      <c r="CD48" s="817">
        <v>0</v>
      </c>
      <c r="CE48" s="817">
        <v>0</v>
      </c>
      <c r="CF48" s="817">
        <v>0</v>
      </c>
      <c r="CG48" s="817">
        <v>0</v>
      </c>
      <c r="CH48" s="817">
        <v>0</v>
      </c>
      <c r="CI48" s="817">
        <v>0</v>
      </c>
      <c r="CJ48" s="817">
        <v>0</v>
      </c>
      <c r="CK48" s="817">
        <v>0</v>
      </c>
      <c r="CL48" s="817">
        <v>0</v>
      </c>
      <c r="CM48" s="817">
        <v>0</v>
      </c>
      <c r="CN48" s="817">
        <v>0</v>
      </c>
      <c r="CO48" s="816" t="s">
        <v>1340</v>
      </c>
      <c r="CP48" s="818">
        <f>INDEX('Monthly Run-off Change'!I:I,MATCH($B48,'Monthly Run-off Change'!$E:$E,0))</f>
        <v>1.4999999999999999E-2</v>
      </c>
      <c r="CQ48" s="818">
        <f>INDEX('Monthly Run-off Change'!J:J,MATCH($B48,'Monthly Run-off Change'!$E:$E,0))</f>
        <v>5.2499999999999998E-2</v>
      </c>
      <c r="CR48" s="818">
        <f>INDEX('Monthly Run-off Change'!K:K,MATCH($B48,'Monthly Run-off Change'!$E:$E,0))</f>
        <v>5.2499999999999998E-2</v>
      </c>
      <c r="CS48" s="818">
        <f>INDEX('Monthly Run-off Change'!L:L,MATCH($B48,'Monthly Run-off Change'!$E:$E,0))</f>
        <v>1.4999999999999999E-2</v>
      </c>
      <c r="CT48" s="818">
        <f>INDEX('Monthly Run-off Change'!M:M,MATCH($B48,'Monthly Run-off Change'!$E:$E,0))</f>
        <v>1.4999999999999999E-2</v>
      </c>
      <c r="CU48" s="818">
        <f>INDEX('Monthly Run-off Change'!N:N,MATCH($B48,'Monthly Run-off Change'!$E:$E,0))</f>
        <v>1.4999999999999999E-2</v>
      </c>
      <c r="CV48" s="818">
        <f>INDEX('Monthly Run-off Change'!O:O,MATCH($B48,'Monthly Run-off Change'!$E:$E,0))</f>
        <v>1.4999999999999999E-2</v>
      </c>
      <c r="CW48" s="818">
        <f>INDEX('Monthly Run-off Change'!P:P,MATCH($B48,'Monthly Run-off Change'!$E:$E,0))</f>
        <v>4.9999999999999984E-3</v>
      </c>
      <c r="CX48" s="818">
        <f>INDEX('Monthly Run-off Change'!Q:Q,MATCH($B48,'Monthly Run-off Change'!$E:$E,0))</f>
        <v>4.9999999999999984E-3</v>
      </c>
      <c r="CY48" s="818">
        <f>INDEX('Monthly Run-off Change'!R:R,MATCH($B48,'Monthly Run-off Change'!$E:$E,0))</f>
        <v>4.9999999999999984E-3</v>
      </c>
      <c r="CZ48" s="818">
        <f>INDEX('Monthly Run-off Change'!S:S,MATCH($B48,'Monthly Run-off Change'!$E:$E,0))</f>
        <v>4.9999999999999984E-3</v>
      </c>
      <c r="DA48" s="818">
        <f>INDEX('Monthly Run-off Change'!T:T,MATCH($B48,'Monthly Run-off Change'!$E:$E,0))</f>
        <v>4.9999999999999984E-3</v>
      </c>
      <c r="DB48" s="818">
        <f>INDEX('Monthly Run-off Change'!U:U,MATCH($B48,'Monthly Run-off Change'!$E:$E,0))</f>
        <v>4.9999999999999984E-3</v>
      </c>
      <c r="DC48" s="818">
        <f>INDEX('Monthly Run-off Change'!V:V,MATCH($B48,'Monthly Run-off Change'!$E:$E,0))</f>
        <v>4.9999999999999984E-3</v>
      </c>
      <c r="DD48" s="818">
        <f>INDEX('Monthly Run-off Change'!W:W,MATCH($B48,'Monthly Run-off Change'!$E:$E,0))</f>
        <v>4.9999999999999984E-3</v>
      </c>
      <c r="DE48" s="818">
        <f>INDEX('Monthly Run-off Change'!X:X,MATCH($B48,'Monthly Run-off Change'!$E:$E,0))</f>
        <v>4.9999999999999984E-3</v>
      </c>
      <c r="DF48" s="899">
        <f>INDEX('Monthly Run-off Change'!Y:Y,MATCH($B48,'Monthly Run-off Change'!$E:$E,0))</f>
        <v>0</v>
      </c>
      <c r="DG48" s="899">
        <f>INDEX('Monthly Run-off Change'!Z:Z,MATCH($B48,'Monthly Run-off Change'!$E:$E,0))</f>
        <v>1.2E-2</v>
      </c>
      <c r="DH48" s="899">
        <f>INDEX('Monthly Run-off Change'!AA:AA,MATCH($B48,'Monthly Run-off Change'!$E:$E,0))</f>
        <v>4.2000000000000003E-2</v>
      </c>
      <c r="DI48" s="899">
        <f>INDEX('Monthly Run-off Change'!AB:AB,MATCH($B48,'Monthly Run-off Change'!$E:$E,0))</f>
        <v>4.2000000000000003E-2</v>
      </c>
      <c r="DJ48" s="899">
        <f>INDEX('Monthly Run-off Change'!AC:AC,MATCH($B48,'Monthly Run-off Change'!$E:$E,0))</f>
        <v>1.1999999999999997E-2</v>
      </c>
      <c r="DK48" s="899">
        <f>INDEX('Monthly Run-off Change'!AD:AD,MATCH($B48,'Monthly Run-off Change'!$E:$E,0))</f>
        <v>1.1999999999999997E-2</v>
      </c>
      <c r="DL48" s="899">
        <f>INDEX('Monthly Run-off Change'!AE:AE,MATCH($B48,'Monthly Run-off Change'!$E:$E,0))</f>
        <v>1.1999999999999997E-2</v>
      </c>
      <c r="DM48" s="899">
        <f>INDEX('Monthly Run-off Change'!AF:AF,MATCH($B48,'Monthly Run-off Change'!$E:$E,0))</f>
        <v>1.1999999999999997E-2</v>
      </c>
      <c r="DN48" s="899">
        <f>INDEX('Monthly Run-off Change'!AG:AG,MATCH($B48,'Monthly Run-off Change'!$E:$E,0))</f>
        <v>4.0000000000000001E-3</v>
      </c>
      <c r="DO48" s="899">
        <f>INDEX('Monthly Run-off Change'!AH:AH,MATCH($B48,'Monthly Run-off Change'!$E:$E,0))</f>
        <v>4.0000000000000001E-3</v>
      </c>
      <c r="DP48" s="899">
        <f>INDEX('Monthly Run-off Change'!AI:AI,MATCH($B48,'Monthly Run-off Change'!$E:$E,0))</f>
        <v>4.0000000000000001E-3</v>
      </c>
      <c r="DQ48" s="899">
        <f>INDEX('Monthly Run-off Change'!AJ:AJ,MATCH($B48,'Monthly Run-off Change'!$E:$E,0))</f>
        <v>4.0000000000000001E-3</v>
      </c>
      <c r="DR48" s="899">
        <f>INDEX('Monthly Run-off Change'!AK:AK,MATCH($B48,'Monthly Run-off Change'!$E:$E,0))</f>
        <v>4.0000000000000001E-3</v>
      </c>
      <c r="DS48" s="899">
        <f>INDEX('Monthly Run-off Change'!AL:AL,MATCH($B48,'Monthly Run-off Change'!$E:$E,0))</f>
        <v>4.0000000000000001E-3</v>
      </c>
      <c r="DT48" s="899">
        <f>INDEX('Monthly Run-off Change'!AM:AM,MATCH($B48,'Monthly Run-off Change'!$E:$E,0))</f>
        <v>4.0000000000000001E-3</v>
      </c>
      <c r="DU48" s="899">
        <f>INDEX('Monthly Run-off Change'!AN:AN,MATCH($B48,'Monthly Run-off Change'!$E:$E,0))</f>
        <v>4.0000000000000001E-3</v>
      </c>
      <c r="DV48" s="899">
        <f>INDEX('Monthly Run-off Change'!AO:AO,MATCH($B48,'Monthly Run-off Change'!$E:$E,0))</f>
        <v>4.0000000000000001E-3</v>
      </c>
      <c r="DW48" s="899">
        <f>INDEX('Monthly Run-off Change'!AP:AP,MATCH($B48,'Monthly Run-off Change'!$E:$E,0))</f>
        <v>0</v>
      </c>
      <c r="DX48" s="899">
        <f>INDEX('Monthly Run-off Change'!AQ:AQ,MATCH($B48,'Monthly Run-off Change'!$E:$E,0))</f>
        <v>5.000000000000001E-3</v>
      </c>
      <c r="DY48" s="899">
        <f>INDEX('Monthly Run-off Change'!AR:AR,MATCH($B48,'Monthly Run-off Change'!$E:$E,0))</f>
        <v>1.7500000000000002E-2</v>
      </c>
      <c r="DZ48" s="899">
        <f>INDEX('Monthly Run-off Change'!AS:AS,MATCH($B48,'Monthly Run-off Change'!$E:$E,0))</f>
        <v>1.7500000000000002E-2</v>
      </c>
      <c r="EA48" s="899">
        <f>INDEX('Monthly Run-off Change'!AT:AT,MATCH($B48,'Monthly Run-off Change'!$E:$E,0))</f>
        <v>4.9999999999999975E-3</v>
      </c>
      <c r="EB48" s="899">
        <f>INDEX('Monthly Run-off Change'!AU:AU,MATCH($B48,'Monthly Run-off Change'!$E:$E,0))</f>
        <v>4.9999999999999975E-3</v>
      </c>
      <c r="EC48" s="899">
        <f>INDEX('Monthly Run-off Change'!AV:AV,MATCH($B48,'Monthly Run-off Change'!$E:$E,0))</f>
        <v>4.9999999999999975E-3</v>
      </c>
      <c r="ED48" s="899">
        <f>INDEX('Monthly Run-off Change'!AW:AW,MATCH($B48,'Monthly Run-off Change'!$E:$E,0))</f>
        <v>4.9999999999999975E-3</v>
      </c>
      <c r="EE48" s="899">
        <f>INDEX('Monthly Run-off Change'!AX:AX,MATCH($B48,'Monthly Run-off Change'!$E:$E,0))</f>
        <v>1.6666666666666681E-3</v>
      </c>
      <c r="EF48" s="899">
        <f>INDEX('Monthly Run-off Change'!AY:AY,MATCH($B48,'Monthly Run-off Change'!$E:$E,0))</f>
        <v>1.6666666666666681E-3</v>
      </c>
      <c r="EG48" s="899">
        <f>INDEX('Monthly Run-off Change'!AZ:AZ,MATCH($B48,'Monthly Run-off Change'!$E:$E,0))</f>
        <v>1.6666666666666681E-3</v>
      </c>
      <c r="EH48" s="899">
        <f>INDEX('Monthly Run-off Change'!BA:BA,MATCH($B48,'Monthly Run-off Change'!$E:$E,0))</f>
        <v>1.6666666666666681E-3</v>
      </c>
      <c r="EI48" s="899">
        <f>INDEX('Monthly Run-off Change'!BB:BB,MATCH($B48,'Monthly Run-off Change'!$E:$E,0))</f>
        <v>1.6666666666666681E-3</v>
      </c>
      <c r="EJ48" s="899">
        <f>INDEX('Monthly Run-off Change'!BC:BC,MATCH($B48,'Monthly Run-off Change'!$E:$E,0))</f>
        <v>1.6666666666666681E-3</v>
      </c>
      <c r="EK48" s="899">
        <f>INDEX('Monthly Run-off Change'!BD:BD,MATCH($B48,'Monthly Run-off Change'!$E:$E,0))</f>
        <v>1.6666666666666681E-3</v>
      </c>
      <c r="EL48" s="899">
        <f>INDEX('Monthly Run-off Change'!BE:BE,MATCH($B48,'Monthly Run-off Change'!$E:$E,0))</f>
        <v>1.6666666666666681E-3</v>
      </c>
      <c r="EM48" s="899">
        <f>INDEX('Monthly Run-off Change'!BF:BF,MATCH($B48,'Monthly Run-off Change'!$E:$E,0))</f>
        <v>1.6666666666666681E-3</v>
      </c>
      <c r="FQ48" s="898"/>
      <c r="FS48" s="898"/>
      <c r="FT48" s="898"/>
      <c r="FU48" s="898"/>
      <c r="FV48" s="898"/>
      <c r="FW48" s="898"/>
      <c r="FX48" s="898"/>
      <c r="FY48" s="898"/>
      <c r="FZ48" s="898"/>
      <c r="GA48" s="898"/>
      <c r="GB48" s="898"/>
      <c r="GC48" s="898"/>
      <c r="GD48" s="898"/>
      <c r="GE48" s="898"/>
      <c r="GF48" s="898"/>
      <c r="GG48" s="898"/>
      <c r="GH48" s="898"/>
      <c r="GJ48" s="898"/>
      <c r="GK48" s="898"/>
      <c r="GL48" s="898"/>
      <c r="GM48" s="898"/>
      <c r="GN48" s="898"/>
      <c r="GO48" s="898"/>
      <c r="GP48" s="898"/>
      <c r="GQ48" s="898"/>
      <c r="GR48" s="898"/>
      <c r="GS48" s="898"/>
      <c r="GT48" s="898"/>
      <c r="GU48" s="898"/>
      <c r="GV48" s="898"/>
      <c r="GW48" s="898"/>
      <c r="GX48" s="898"/>
      <c r="GY48" s="898"/>
      <c r="HA48" s="898"/>
      <c r="HB48" s="898"/>
      <c r="HC48" s="898"/>
      <c r="HD48" s="898"/>
      <c r="HE48" s="898"/>
      <c r="HF48" s="898"/>
      <c r="HG48" s="898"/>
      <c r="HH48" s="898"/>
      <c r="HI48" s="898"/>
      <c r="HJ48" s="898"/>
      <c r="HK48" s="898"/>
      <c r="HL48" s="898"/>
      <c r="HM48" s="898"/>
      <c r="HN48" s="898"/>
      <c r="HO48" s="898"/>
      <c r="HP48" s="898"/>
    </row>
    <row r="49" spans="1:224">
      <c r="A49" s="816" t="s">
        <v>1303</v>
      </c>
      <c r="B49" s="816" t="s">
        <v>1299</v>
      </c>
      <c r="C49" s="816">
        <v>0</v>
      </c>
      <c r="D49" s="816">
        <f t="shared" si="4"/>
        <v>1</v>
      </c>
      <c r="E49" s="816">
        <v>0</v>
      </c>
      <c r="F49" s="816" t="str">
        <f>INDEX('Data Interface'!$C:$C,MATCH(B49,'Data Interface'!$B:$B,0))</f>
        <v>Due to Banks - Demand</v>
      </c>
      <c r="G49" s="894">
        <f ca="1">IF($C49=1,$AJ49,SUM($AJ49:$AL49)*INDEX('Schedule Allocation'!G:G,MATCH($D49,'Schedule Allocation'!$A:$A,0)))</f>
        <v>6.1333333333333351E-2</v>
      </c>
      <c r="H49" s="894">
        <f ca="1">IF($C49=1,$AK49,SUM($AJ49:$AL49)*INDEX('Schedule Allocation'!H:H,MATCH($D49,'Schedule Allocation'!$A:$A,0)))</f>
        <v>1.0222222222222225E-2</v>
      </c>
      <c r="I49" s="894">
        <f ca="1">IF($C49=1,$AK49,SUM($AJ49:$AL49)*INDEX('Schedule Allocation'!I:I,MATCH($D49,'Schedule Allocation'!$A:$A,0)))</f>
        <v>1.0222222222222225E-2</v>
      </c>
      <c r="J49" s="894">
        <f ca="1">IF($C49=1,$AK49,SUM($AJ49:$AL49)*INDEX('Schedule Allocation'!J:J,MATCH($D49,'Schedule Allocation'!$A:$A,0)))</f>
        <v>1.0222222222222225E-2</v>
      </c>
      <c r="K49" s="894">
        <f ca="1">IF($C49=1,$AK49,SUM($AJ49:$AL49)*INDEX('Schedule Allocation'!K:K,MATCH($D49,'Schedule Allocation'!$A:$A,0)))</f>
        <v>1.0222222222222225E-2</v>
      </c>
      <c r="L49" s="894">
        <f ca="1">IF($C49=1,$AK49,SUM($AJ49:$AL49)*INDEX('Schedule Allocation'!L:L,MATCH($D49,'Schedule Allocation'!$A:$A,0)))</f>
        <v>1.0222222222222225E-2</v>
      </c>
      <c r="M49" s="894">
        <f ca="1">IF($C49=1,$AK49,SUM($AJ49:$AL49)*INDEX('Schedule Allocation'!M:M,MATCH($D49,'Schedule Allocation'!$A:$A,0)))</f>
        <v>1.0222222222222225E-2</v>
      </c>
      <c r="N49" s="894">
        <f ca="1">IF($C49=1,$AL49,SUM($AJ49:$AL49)*INDEX('Schedule Allocation'!N:N,MATCH($D49,'Schedule Allocation'!$A:$A,0)))</f>
        <v>8.7619047619047659E-3</v>
      </c>
      <c r="O49" s="894">
        <f ca="1">IF($C49=1,$AL49,SUM($AJ49:$AL49)*INDEX('Schedule Allocation'!O:O,MATCH($D49,'Schedule Allocation'!$A:$A,0)))</f>
        <v>8.7619047619047659E-3</v>
      </c>
      <c r="P49" s="894">
        <f ca="1">IF($C49=1,$AL49,SUM($AJ49:$AL49)*INDEX('Schedule Allocation'!P:P,MATCH($D49,'Schedule Allocation'!$A:$A,0)))</f>
        <v>8.7619047619047659E-3</v>
      </c>
      <c r="Q49" s="894">
        <f ca="1">IF($C49=1,$AL49,SUM($AJ49:$AL49)*INDEX('Schedule Allocation'!Q:Q,MATCH($D49,'Schedule Allocation'!$A:$A,0)))</f>
        <v>8.7619047619047659E-3</v>
      </c>
      <c r="R49" s="894">
        <f ca="1">IF($C49=1,$AL49,SUM($AJ49:$AL49)*INDEX('Schedule Allocation'!R:R,MATCH($D49,'Schedule Allocation'!$A:$A,0)))</f>
        <v>8.7619047619047659E-3</v>
      </c>
      <c r="S49" s="894">
        <f ca="1">IF($C49=1,$AL49,SUM($AJ49:$AL49)*INDEX('Schedule Allocation'!S:S,MATCH($D49,'Schedule Allocation'!$A:$A,0)))</f>
        <v>8.7619047619047659E-3</v>
      </c>
      <c r="T49" s="894">
        <f ca="1">IF($C49=1,$AL49,SUM($AJ49:$AL49)*INDEX('Schedule Allocation'!T:T,MATCH($D49,'Schedule Allocation'!$A:$A,0)))</f>
        <v>8.7619047619047659E-3</v>
      </c>
      <c r="U49" s="894">
        <f ca="1">OFFSET(AT49,0,(MATCH('Model Report Formatized'!$E$1,$AN$1:$AN$6,0))*17-17)</f>
        <v>2.2999999999999993E-2</v>
      </c>
      <c r="V49" s="894">
        <f ca="1">OFFSET(AU49,0,(MATCH('Model Report Formatized'!$E$1,$AN$1:$AN$6,0))*17-17)</f>
        <v>2.2999999999999993E-2</v>
      </c>
      <c r="W49" s="894">
        <f ca="1">OFFSET(AV49,0,(MATCH('Model Report Formatized'!$E$1,$AN$1:$AN$6,0))*17-17)</f>
        <v>2.3000000000000007E-2</v>
      </c>
      <c r="X49" s="894">
        <f ca="1">OFFSET(AW49,0,(MATCH('Model Report Formatized'!$E$1,$AN$1:$AN$6,0))*17-17)</f>
        <v>2.3000000000000007E-2</v>
      </c>
      <c r="Y49" s="894">
        <f ca="1">OFFSET(AX49,0,(MATCH('Model Report Formatized'!$E$1,$AN$1:$AN$6,0))*17-17)</f>
        <v>7.6666666666666671E-3</v>
      </c>
      <c r="Z49" s="894">
        <f ca="1">OFFSET(AY49,0,(MATCH('Model Report Formatized'!$E$1,$AN$1:$AN$6,0))*17-17)</f>
        <v>7.6666666666666671E-3</v>
      </c>
      <c r="AA49" s="894">
        <f ca="1">OFFSET(AZ49,0,(MATCH('Model Report Formatized'!$E$1,$AN$1:$AN$6,0))*17-17)</f>
        <v>7.6666666666666671E-3</v>
      </c>
      <c r="AB49" s="894">
        <f ca="1">OFFSET(BA49,0,(MATCH('Model Report Formatized'!$E$1,$AN$1:$AN$6,0))*17-17)</f>
        <v>7.6666666666666671E-3</v>
      </c>
      <c r="AC49" s="894">
        <f ca="1">OFFSET(BB49,0,(MATCH('Model Report Formatized'!$E$1,$AN$1:$AN$6,0))*17-17)</f>
        <v>7.6666666666666671E-3</v>
      </c>
      <c r="AD49" s="894">
        <f ca="1">OFFSET(BC49,0,(MATCH('Model Report Formatized'!$E$1,$AN$1:$AN$6,0))*17-17)</f>
        <v>7.6666666666666671E-3</v>
      </c>
      <c r="AE49" s="894">
        <f ca="1">OFFSET(BD49,0,(MATCH('Model Report Formatized'!$E$1,$AN$1:$AN$6,0))*17-17)</f>
        <v>7.6666666666666671E-3</v>
      </c>
      <c r="AF49" s="894">
        <f ca="1">OFFSET(BE49,0,(MATCH('Model Report Formatized'!$E$1,$AN$1:$AN$6,0))*17-17)</f>
        <v>7.6666666666666671E-3</v>
      </c>
      <c r="AG49" s="894">
        <f ca="1">OFFSET(BF49,0,(MATCH('Model Report Formatized'!$E$1,$AN$1:$AN$6,0))*17-17)</f>
        <v>7.6666666666666671E-3</v>
      </c>
      <c r="AH49" s="891">
        <f t="shared" ca="1" si="5"/>
        <v>1.1102230246251565E-16</v>
      </c>
      <c r="AJ49" s="895">
        <f ca="1">OFFSET(AQ49,0,(MATCH('Model Report Formatized'!$E$1,$AN$1:$AN$6,0))*17-17)</f>
        <v>2.3000000000000003E-2</v>
      </c>
      <c r="AK49" s="895">
        <f ca="1">OFFSET(AR49,0,(MATCH('Model Report Formatized'!$E$1,$AN$1:$AN$6,0))*17-17)</f>
        <v>8.0500000000000016E-2</v>
      </c>
      <c r="AL49" s="895">
        <f ca="1">OFFSET(AS49,0,(MATCH('Model Report Formatized'!$E$1,$AN$1:$AN$6,0))*17-17)</f>
        <v>8.0500000000000016E-2</v>
      </c>
      <c r="AQ49" s="893">
        <v>0.05</v>
      </c>
      <c r="AR49" s="893">
        <v>0.05</v>
      </c>
      <c r="AS49" s="893">
        <v>0.05</v>
      </c>
      <c r="AT49" s="893">
        <v>0.05</v>
      </c>
      <c r="AU49" s="893">
        <v>0.05</v>
      </c>
      <c r="AV49" s="893">
        <v>0.375</v>
      </c>
      <c r="AW49" s="893">
        <v>0.375</v>
      </c>
      <c r="AX49" s="893">
        <v>0</v>
      </c>
      <c r="AY49" s="893">
        <v>0</v>
      </c>
      <c r="AZ49" s="893">
        <v>0</v>
      </c>
      <c r="BA49" s="893">
        <v>0</v>
      </c>
      <c r="BB49" s="893">
        <v>0</v>
      </c>
      <c r="BC49" s="893">
        <v>0</v>
      </c>
      <c r="BD49" s="893">
        <v>0</v>
      </c>
      <c r="BE49" s="893">
        <v>0</v>
      </c>
      <c r="BF49" s="893">
        <v>0</v>
      </c>
      <c r="BH49" s="816">
        <v>4.5999999999999999E-2</v>
      </c>
      <c r="BI49" s="816">
        <v>4.5999999999999999E-2</v>
      </c>
      <c r="BJ49" s="816">
        <v>4.5999999999999999E-2</v>
      </c>
      <c r="BK49" s="816">
        <v>4.5999999999999999E-2</v>
      </c>
      <c r="BL49" s="816">
        <v>4.5999999999999999E-2</v>
      </c>
      <c r="BM49" s="816">
        <v>0.38500000000000001</v>
      </c>
      <c r="BN49" s="816">
        <v>0.38500000000000001</v>
      </c>
      <c r="BO49" s="816">
        <v>0</v>
      </c>
      <c r="BP49" s="816">
        <v>0</v>
      </c>
      <c r="BQ49" s="816">
        <v>0</v>
      </c>
      <c r="BR49" s="816">
        <v>0</v>
      </c>
      <c r="BS49" s="816">
        <v>0</v>
      </c>
      <c r="BT49" s="816">
        <v>0</v>
      </c>
      <c r="BU49" s="816">
        <v>0</v>
      </c>
      <c r="BV49" s="816">
        <v>0</v>
      </c>
      <c r="BW49" s="816">
        <v>0</v>
      </c>
      <c r="BY49" s="816">
        <v>2.6000000000000002E-2</v>
      </c>
      <c r="BZ49" s="816">
        <v>2.6000000000000002E-2</v>
      </c>
      <c r="CA49" s="816">
        <v>2.6000000000000002E-2</v>
      </c>
      <c r="CB49" s="816">
        <v>2.6000000000000002E-2</v>
      </c>
      <c r="CC49" s="816">
        <v>2.6000000000000002E-2</v>
      </c>
      <c r="CD49" s="816">
        <v>0</v>
      </c>
      <c r="CE49" s="816">
        <v>0</v>
      </c>
      <c r="CF49" s="816">
        <v>0</v>
      </c>
      <c r="CG49" s="816">
        <v>0</v>
      </c>
      <c r="CH49" s="816">
        <v>0</v>
      </c>
      <c r="CI49" s="816">
        <v>0</v>
      </c>
      <c r="CJ49" s="816">
        <v>0</v>
      </c>
      <c r="CK49" s="816">
        <v>0</v>
      </c>
      <c r="CL49" s="816">
        <v>0</v>
      </c>
      <c r="CM49" s="816">
        <v>0</v>
      </c>
      <c r="CN49" s="816">
        <v>0</v>
      </c>
      <c r="CO49" s="816" t="s">
        <v>1340</v>
      </c>
      <c r="CP49" s="818">
        <f>INDEX('Monthly Run-off Change'!I:I,MATCH($B49,'Monthly Run-off Change'!$E:$E,0))</f>
        <v>2.3000000000000003E-2</v>
      </c>
      <c r="CQ49" s="818">
        <f>INDEX('Monthly Run-off Change'!J:J,MATCH($B49,'Monthly Run-off Change'!$E:$E,0))</f>
        <v>8.0500000000000016E-2</v>
      </c>
      <c r="CR49" s="818">
        <f>INDEX('Monthly Run-off Change'!K:K,MATCH($B49,'Monthly Run-off Change'!$E:$E,0))</f>
        <v>8.0500000000000016E-2</v>
      </c>
      <c r="CS49" s="818">
        <f>INDEX('Monthly Run-off Change'!L:L,MATCH($B49,'Monthly Run-off Change'!$E:$E,0))</f>
        <v>2.2999999999999993E-2</v>
      </c>
      <c r="CT49" s="818">
        <f>INDEX('Monthly Run-off Change'!M:M,MATCH($B49,'Monthly Run-off Change'!$E:$E,0))</f>
        <v>2.2999999999999993E-2</v>
      </c>
      <c r="CU49" s="818">
        <f>INDEX('Monthly Run-off Change'!N:N,MATCH($B49,'Monthly Run-off Change'!$E:$E,0))</f>
        <v>2.3000000000000007E-2</v>
      </c>
      <c r="CV49" s="818">
        <f>INDEX('Monthly Run-off Change'!O:O,MATCH($B49,'Monthly Run-off Change'!$E:$E,0))</f>
        <v>2.3000000000000007E-2</v>
      </c>
      <c r="CW49" s="818">
        <f>INDEX('Monthly Run-off Change'!P:P,MATCH($B49,'Monthly Run-off Change'!$E:$E,0))</f>
        <v>7.6666666666666671E-3</v>
      </c>
      <c r="CX49" s="818">
        <f>INDEX('Monthly Run-off Change'!Q:Q,MATCH($B49,'Monthly Run-off Change'!$E:$E,0))</f>
        <v>7.6666666666666671E-3</v>
      </c>
      <c r="CY49" s="818">
        <f>INDEX('Monthly Run-off Change'!R:R,MATCH($B49,'Monthly Run-off Change'!$E:$E,0))</f>
        <v>7.6666666666666671E-3</v>
      </c>
      <c r="CZ49" s="818">
        <f>INDEX('Monthly Run-off Change'!S:S,MATCH($B49,'Monthly Run-off Change'!$E:$E,0))</f>
        <v>7.6666666666666671E-3</v>
      </c>
      <c r="DA49" s="818">
        <f>INDEX('Monthly Run-off Change'!T:T,MATCH($B49,'Monthly Run-off Change'!$E:$E,0))</f>
        <v>7.6666666666666671E-3</v>
      </c>
      <c r="DB49" s="818">
        <f>INDEX('Monthly Run-off Change'!U:U,MATCH($B49,'Monthly Run-off Change'!$E:$E,0))</f>
        <v>7.6666666666666671E-3</v>
      </c>
      <c r="DC49" s="818">
        <f>INDEX('Monthly Run-off Change'!V:V,MATCH($B49,'Monthly Run-off Change'!$E:$E,0))</f>
        <v>7.6666666666666671E-3</v>
      </c>
      <c r="DD49" s="818">
        <f>INDEX('Monthly Run-off Change'!W:W,MATCH($B49,'Monthly Run-off Change'!$E:$E,0))</f>
        <v>7.6666666666666671E-3</v>
      </c>
      <c r="DE49" s="818">
        <f>INDEX('Monthly Run-off Change'!X:X,MATCH($B49,'Monthly Run-off Change'!$E:$E,0))</f>
        <v>7.6666666666666671E-3</v>
      </c>
      <c r="DF49" s="899">
        <f>INDEX('Monthly Run-off Change'!Y:Y,MATCH($B49,'Monthly Run-off Change'!$E:$E,0))</f>
        <v>0</v>
      </c>
      <c r="DG49" s="899">
        <f>INDEX('Monthly Run-off Change'!Z:Z,MATCH($B49,'Monthly Run-off Change'!$E:$E,0))</f>
        <v>2.0000000000000004E-2</v>
      </c>
      <c r="DH49" s="899">
        <f>INDEX('Monthly Run-off Change'!AA:AA,MATCH($B49,'Monthly Run-off Change'!$E:$E,0))</f>
        <v>7.0000000000000007E-2</v>
      </c>
      <c r="DI49" s="899">
        <f>INDEX('Monthly Run-off Change'!AB:AB,MATCH($B49,'Monthly Run-off Change'!$E:$E,0))</f>
        <v>7.0000000000000007E-2</v>
      </c>
      <c r="DJ49" s="899">
        <f>INDEX('Monthly Run-off Change'!AC:AC,MATCH($B49,'Monthly Run-off Change'!$E:$E,0))</f>
        <v>1.999999999999999E-2</v>
      </c>
      <c r="DK49" s="899">
        <f>INDEX('Monthly Run-off Change'!AD:AD,MATCH($B49,'Monthly Run-off Change'!$E:$E,0))</f>
        <v>1.999999999999999E-2</v>
      </c>
      <c r="DL49" s="899">
        <f>INDEX('Monthly Run-off Change'!AE:AE,MATCH($B49,'Monthly Run-off Change'!$E:$E,0))</f>
        <v>1.999999999999999E-2</v>
      </c>
      <c r="DM49" s="899">
        <f>INDEX('Monthly Run-off Change'!AF:AF,MATCH($B49,'Monthly Run-off Change'!$E:$E,0))</f>
        <v>1.999999999999999E-2</v>
      </c>
      <c r="DN49" s="899">
        <f>INDEX('Monthly Run-off Change'!AG:AG,MATCH($B49,'Monthly Run-off Change'!$E:$E,0))</f>
        <v>6.6666666666666723E-3</v>
      </c>
      <c r="DO49" s="899">
        <f>INDEX('Monthly Run-off Change'!AH:AH,MATCH($B49,'Monthly Run-off Change'!$E:$E,0))</f>
        <v>6.6666666666666723E-3</v>
      </c>
      <c r="DP49" s="899">
        <f>INDEX('Monthly Run-off Change'!AI:AI,MATCH($B49,'Monthly Run-off Change'!$E:$E,0))</f>
        <v>6.6666666666666723E-3</v>
      </c>
      <c r="DQ49" s="899">
        <f>INDEX('Monthly Run-off Change'!AJ:AJ,MATCH($B49,'Monthly Run-off Change'!$E:$E,0))</f>
        <v>6.6666666666666723E-3</v>
      </c>
      <c r="DR49" s="899">
        <f>INDEX('Monthly Run-off Change'!AK:AK,MATCH($B49,'Monthly Run-off Change'!$E:$E,0))</f>
        <v>6.6666666666666723E-3</v>
      </c>
      <c r="DS49" s="899">
        <f>INDEX('Monthly Run-off Change'!AL:AL,MATCH($B49,'Monthly Run-off Change'!$E:$E,0))</f>
        <v>6.6666666666666723E-3</v>
      </c>
      <c r="DT49" s="899">
        <f>INDEX('Monthly Run-off Change'!AM:AM,MATCH($B49,'Monthly Run-off Change'!$E:$E,0))</f>
        <v>6.6666666666666723E-3</v>
      </c>
      <c r="DU49" s="899">
        <f>INDEX('Monthly Run-off Change'!AN:AN,MATCH($B49,'Monthly Run-off Change'!$E:$E,0))</f>
        <v>6.6666666666666723E-3</v>
      </c>
      <c r="DV49" s="899">
        <f>INDEX('Monthly Run-off Change'!AO:AO,MATCH($B49,'Monthly Run-off Change'!$E:$E,0))</f>
        <v>6.6666666666666723E-3</v>
      </c>
      <c r="DW49" s="899">
        <f>INDEX('Monthly Run-off Change'!AP:AP,MATCH($B49,'Monthly Run-off Change'!$E:$E,0))</f>
        <v>0</v>
      </c>
      <c r="DX49" s="899">
        <f>INDEX('Monthly Run-off Change'!AQ:AQ,MATCH($B49,'Monthly Run-off Change'!$E:$E,0))</f>
        <v>1.4999999999999999E-2</v>
      </c>
      <c r="DY49" s="899">
        <f>INDEX('Monthly Run-off Change'!AR:AR,MATCH($B49,'Monthly Run-off Change'!$E:$E,0))</f>
        <v>5.2499999999999998E-2</v>
      </c>
      <c r="DZ49" s="899">
        <f>INDEX('Monthly Run-off Change'!AS:AS,MATCH($B49,'Monthly Run-off Change'!$E:$E,0))</f>
        <v>5.2499999999999998E-2</v>
      </c>
      <c r="EA49" s="899">
        <f>INDEX('Monthly Run-off Change'!AT:AT,MATCH($B49,'Monthly Run-off Change'!$E:$E,0))</f>
        <v>1.4999999999999999E-2</v>
      </c>
      <c r="EB49" s="899">
        <f>INDEX('Monthly Run-off Change'!AU:AU,MATCH($B49,'Monthly Run-off Change'!$E:$E,0))</f>
        <v>1.4999999999999999E-2</v>
      </c>
      <c r="EC49" s="899">
        <f>INDEX('Monthly Run-off Change'!AV:AV,MATCH($B49,'Monthly Run-off Change'!$E:$E,0))</f>
        <v>1.4999999999999999E-2</v>
      </c>
      <c r="ED49" s="899">
        <f>INDEX('Monthly Run-off Change'!AW:AW,MATCH($B49,'Monthly Run-off Change'!$E:$E,0))</f>
        <v>1.4999999999999999E-2</v>
      </c>
      <c r="EE49" s="899">
        <f>INDEX('Monthly Run-off Change'!AX:AX,MATCH($B49,'Monthly Run-off Change'!$E:$E,0))</f>
        <v>4.9999999999999984E-3</v>
      </c>
      <c r="EF49" s="899">
        <f>INDEX('Monthly Run-off Change'!AY:AY,MATCH($B49,'Monthly Run-off Change'!$E:$E,0))</f>
        <v>4.9999999999999984E-3</v>
      </c>
      <c r="EG49" s="899">
        <f>INDEX('Monthly Run-off Change'!AZ:AZ,MATCH($B49,'Monthly Run-off Change'!$E:$E,0))</f>
        <v>4.9999999999999984E-3</v>
      </c>
      <c r="EH49" s="899">
        <f>INDEX('Monthly Run-off Change'!BA:BA,MATCH($B49,'Monthly Run-off Change'!$E:$E,0))</f>
        <v>4.9999999999999984E-3</v>
      </c>
      <c r="EI49" s="899">
        <f>INDEX('Monthly Run-off Change'!BB:BB,MATCH($B49,'Monthly Run-off Change'!$E:$E,0))</f>
        <v>4.9999999999999984E-3</v>
      </c>
      <c r="EJ49" s="899">
        <f>INDEX('Monthly Run-off Change'!BC:BC,MATCH($B49,'Monthly Run-off Change'!$E:$E,0))</f>
        <v>4.9999999999999984E-3</v>
      </c>
      <c r="EK49" s="899">
        <f>INDEX('Monthly Run-off Change'!BD:BD,MATCH($B49,'Monthly Run-off Change'!$E:$E,0))</f>
        <v>4.9999999999999984E-3</v>
      </c>
      <c r="EL49" s="899">
        <f>INDEX('Monthly Run-off Change'!BE:BE,MATCH($B49,'Monthly Run-off Change'!$E:$E,0))</f>
        <v>4.9999999999999984E-3</v>
      </c>
      <c r="EM49" s="899">
        <f>INDEX('Monthly Run-off Change'!BF:BF,MATCH($B49,'Monthly Run-off Change'!$E:$E,0))</f>
        <v>4.9999999999999984E-3</v>
      </c>
      <c r="FQ49" s="898"/>
      <c r="FS49" s="898"/>
      <c r="FT49" s="898"/>
      <c r="FU49" s="898"/>
      <c r="FV49" s="898"/>
      <c r="FW49" s="898"/>
      <c r="FX49" s="898"/>
      <c r="FY49" s="898"/>
      <c r="FZ49" s="898"/>
      <c r="GA49" s="898"/>
      <c r="GB49" s="898"/>
      <c r="GC49" s="898"/>
      <c r="GD49" s="898"/>
      <c r="GE49" s="898"/>
      <c r="GF49" s="898"/>
      <c r="GG49" s="898"/>
      <c r="GH49" s="898"/>
      <c r="GJ49" s="898"/>
      <c r="GK49" s="898"/>
      <c r="GL49" s="898"/>
      <c r="GM49" s="898"/>
      <c r="GN49" s="898"/>
      <c r="GO49" s="898"/>
      <c r="GP49" s="898"/>
      <c r="GQ49" s="898"/>
      <c r="GR49" s="898"/>
      <c r="GS49" s="898"/>
      <c r="GT49" s="898"/>
      <c r="GU49" s="898"/>
      <c r="GV49" s="898"/>
      <c r="GW49" s="898"/>
      <c r="GX49" s="898"/>
      <c r="GY49" s="898"/>
      <c r="HA49" s="898"/>
      <c r="HB49" s="898"/>
      <c r="HC49" s="898"/>
      <c r="HD49" s="898"/>
      <c r="HE49" s="898"/>
      <c r="HF49" s="898"/>
      <c r="HG49" s="898"/>
      <c r="HH49" s="898"/>
      <c r="HI49" s="898"/>
      <c r="HJ49" s="898"/>
      <c r="HK49" s="898"/>
      <c r="HL49" s="898"/>
      <c r="HM49" s="898"/>
      <c r="HN49" s="898"/>
      <c r="HO49" s="898"/>
      <c r="HP49" s="898"/>
    </row>
    <row r="50" spans="1:224">
      <c r="A50" s="816" t="s">
        <v>1303</v>
      </c>
      <c r="B50" s="816" t="s">
        <v>1301</v>
      </c>
      <c r="C50" s="816">
        <v>0</v>
      </c>
      <c r="D50" s="816">
        <f t="shared" si="4"/>
        <v>0</v>
      </c>
      <c r="E50" s="816">
        <v>0</v>
      </c>
      <c r="F50" s="816" t="str">
        <f>INDEX('Data Interface'!$C:$C,MATCH(B50,'Data Interface'!$B:$B,0))</f>
        <v>Blocked Account</v>
      </c>
      <c r="G50" s="894">
        <f ca="1">IF($C50=1,$AJ50,SUM($AJ50:$AL50)*INDEX('Schedule Allocation'!G:G,MATCH($D50,'Schedule Allocation'!$A:$A,0)))</f>
        <v>3.6800000000000013E-2</v>
      </c>
      <c r="H50" s="894">
        <f ca="1">IF($C50=1,$AK50,SUM($AJ50:$AL50)*INDEX('Schedule Allocation'!H:H,MATCH($D50,'Schedule Allocation'!$A:$A,0)))</f>
        <v>1.2266666666666671E-2</v>
      </c>
      <c r="I50" s="894">
        <f ca="1">IF($C50=1,$AK50,SUM($AJ50:$AL50)*INDEX('Schedule Allocation'!I:I,MATCH($D50,'Schedule Allocation'!$A:$A,0)))</f>
        <v>1.2266666666666671E-2</v>
      </c>
      <c r="J50" s="894">
        <f ca="1">IF($C50=1,$AK50,SUM($AJ50:$AL50)*INDEX('Schedule Allocation'!J:J,MATCH($D50,'Schedule Allocation'!$A:$A,0)))</f>
        <v>1.2266666666666671E-2</v>
      </c>
      <c r="K50" s="894">
        <f ca="1">IF($C50=1,$AK50,SUM($AJ50:$AL50)*INDEX('Schedule Allocation'!K:K,MATCH($D50,'Schedule Allocation'!$A:$A,0)))</f>
        <v>1.2266666666666671E-2</v>
      </c>
      <c r="L50" s="894">
        <f ca="1">IF($C50=1,$AK50,SUM($AJ50:$AL50)*INDEX('Schedule Allocation'!L:L,MATCH($D50,'Schedule Allocation'!$A:$A,0)))</f>
        <v>1.2266666666666671E-2</v>
      </c>
      <c r="M50" s="894">
        <f ca="1">IF($C50=1,$AK50,SUM($AJ50:$AL50)*INDEX('Schedule Allocation'!M:M,MATCH($D50,'Schedule Allocation'!$A:$A,0)))</f>
        <v>1.2266666666666671E-2</v>
      </c>
      <c r="N50" s="894">
        <f ca="1">IF($C50=1,$AL50,SUM($AJ50:$AL50)*INDEX('Schedule Allocation'!N:N,MATCH($D50,'Schedule Allocation'!$A:$A,0)))</f>
        <v>1.0514285714285719E-2</v>
      </c>
      <c r="O50" s="894">
        <f ca="1">IF($C50=1,$AL50,SUM($AJ50:$AL50)*INDEX('Schedule Allocation'!O:O,MATCH($D50,'Schedule Allocation'!$A:$A,0)))</f>
        <v>1.0514285714285719E-2</v>
      </c>
      <c r="P50" s="894">
        <f ca="1">IF($C50=1,$AL50,SUM($AJ50:$AL50)*INDEX('Schedule Allocation'!P:P,MATCH($D50,'Schedule Allocation'!$A:$A,0)))</f>
        <v>1.0514285714285719E-2</v>
      </c>
      <c r="Q50" s="894">
        <f ca="1">IF($C50=1,$AL50,SUM($AJ50:$AL50)*INDEX('Schedule Allocation'!Q:Q,MATCH($D50,'Schedule Allocation'!$A:$A,0)))</f>
        <v>1.0514285714285719E-2</v>
      </c>
      <c r="R50" s="894">
        <f ca="1">IF($C50=1,$AL50,SUM($AJ50:$AL50)*INDEX('Schedule Allocation'!R:R,MATCH($D50,'Schedule Allocation'!$A:$A,0)))</f>
        <v>1.0514285714285719E-2</v>
      </c>
      <c r="S50" s="894">
        <f ca="1">IF($C50=1,$AL50,SUM($AJ50:$AL50)*INDEX('Schedule Allocation'!S:S,MATCH($D50,'Schedule Allocation'!$A:$A,0)))</f>
        <v>1.0514285714285719E-2</v>
      </c>
      <c r="T50" s="894">
        <f ca="1">IF($C50=1,$AL50,SUM($AJ50:$AL50)*INDEX('Schedule Allocation'!T:T,MATCH($D50,'Schedule Allocation'!$A:$A,0)))</f>
        <v>1.0514285714285719E-2</v>
      </c>
      <c r="U50" s="894">
        <f ca="1">OFFSET(AT50,0,(MATCH('Model Report Formatized'!$E$1,$AN$1:$AN$6,0))*17-17)</f>
        <v>2.2999999999999993E-2</v>
      </c>
      <c r="V50" s="894">
        <f ca="1">OFFSET(AU50,0,(MATCH('Model Report Formatized'!$E$1,$AN$1:$AN$6,0))*17-17)</f>
        <v>2.2999999999999993E-2</v>
      </c>
      <c r="W50" s="894">
        <f ca="1">OFFSET(AV50,0,(MATCH('Model Report Formatized'!$E$1,$AN$1:$AN$6,0))*17-17)</f>
        <v>2.3000000000000007E-2</v>
      </c>
      <c r="X50" s="894">
        <f ca="1">OFFSET(AW50,0,(MATCH('Model Report Formatized'!$E$1,$AN$1:$AN$6,0))*17-17)</f>
        <v>2.3000000000000007E-2</v>
      </c>
      <c r="Y50" s="894">
        <f ca="1">OFFSET(AX50,0,(MATCH('Model Report Formatized'!$E$1,$AN$1:$AN$6,0))*17-17)</f>
        <v>7.6666666666666671E-3</v>
      </c>
      <c r="Z50" s="894">
        <f ca="1">OFFSET(AY50,0,(MATCH('Model Report Formatized'!$E$1,$AN$1:$AN$6,0))*17-17)</f>
        <v>7.6666666666666671E-3</v>
      </c>
      <c r="AA50" s="894">
        <f ca="1">OFFSET(AZ50,0,(MATCH('Model Report Formatized'!$E$1,$AN$1:$AN$6,0))*17-17)</f>
        <v>7.6666666666666671E-3</v>
      </c>
      <c r="AB50" s="894">
        <f ca="1">OFFSET(BA50,0,(MATCH('Model Report Formatized'!$E$1,$AN$1:$AN$6,0))*17-17)</f>
        <v>7.6666666666666671E-3</v>
      </c>
      <c r="AC50" s="894">
        <f ca="1">OFFSET(BB50,0,(MATCH('Model Report Formatized'!$E$1,$AN$1:$AN$6,0))*17-17)</f>
        <v>7.6666666666666671E-3</v>
      </c>
      <c r="AD50" s="894">
        <f ca="1">OFFSET(BC50,0,(MATCH('Model Report Formatized'!$E$1,$AN$1:$AN$6,0))*17-17)</f>
        <v>7.6666666666666671E-3</v>
      </c>
      <c r="AE50" s="894">
        <f ca="1">OFFSET(BD50,0,(MATCH('Model Report Formatized'!$E$1,$AN$1:$AN$6,0))*17-17)</f>
        <v>7.6666666666666671E-3</v>
      </c>
      <c r="AF50" s="894">
        <f ca="1">OFFSET(BE50,0,(MATCH('Model Report Formatized'!$E$1,$AN$1:$AN$6,0))*17-17)</f>
        <v>7.6666666666666671E-3</v>
      </c>
      <c r="AG50" s="894">
        <f ca="1">OFFSET(BF50,0,(MATCH('Model Report Formatized'!$E$1,$AN$1:$AN$6,0))*17-17)</f>
        <v>7.6666666666666671E-3</v>
      </c>
      <c r="AH50" s="891">
        <f t="shared" ca="1" si="5"/>
        <v>5.5511151231257827E-17</v>
      </c>
      <c r="AJ50" s="895">
        <f ca="1">OFFSET(AQ50,0,(MATCH('Model Report Formatized'!$E$1,$AN$1:$AN$6,0))*17-17)</f>
        <v>2.3000000000000003E-2</v>
      </c>
      <c r="AK50" s="895">
        <f ca="1">OFFSET(AR50,0,(MATCH('Model Report Formatized'!$E$1,$AN$1:$AN$6,0))*17-17)</f>
        <v>8.0500000000000016E-2</v>
      </c>
      <c r="AL50" s="895">
        <f ca="1">OFFSET(AS50,0,(MATCH('Model Report Formatized'!$E$1,$AN$1:$AN$6,0))*17-17)</f>
        <v>8.0500000000000016E-2</v>
      </c>
      <c r="AQ50" s="893">
        <v>0.05</v>
      </c>
      <c r="AR50" s="893">
        <v>0.05</v>
      </c>
      <c r="AS50" s="893">
        <v>0.05</v>
      </c>
      <c r="AT50" s="893">
        <v>0.05</v>
      </c>
      <c r="AU50" s="893">
        <v>0.05</v>
      </c>
      <c r="AV50" s="893">
        <v>0.375</v>
      </c>
      <c r="AW50" s="893">
        <v>0.375</v>
      </c>
      <c r="AX50" s="893">
        <v>0</v>
      </c>
      <c r="AY50" s="893">
        <v>0</v>
      </c>
      <c r="AZ50" s="893">
        <v>0</v>
      </c>
      <c r="BA50" s="893">
        <v>0</v>
      </c>
      <c r="BB50" s="893">
        <v>0</v>
      </c>
      <c r="BC50" s="893">
        <v>0</v>
      </c>
      <c r="BD50" s="893">
        <v>0</v>
      </c>
      <c r="BE50" s="893">
        <v>0</v>
      </c>
      <c r="BF50" s="893">
        <v>0</v>
      </c>
      <c r="BH50" s="816">
        <v>4.5999999999999999E-2</v>
      </c>
      <c r="BI50" s="816">
        <v>4.5999999999999999E-2</v>
      </c>
      <c r="BJ50" s="816">
        <v>4.5999999999999999E-2</v>
      </c>
      <c r="BK50" s="816">
        <v>4.5999999999999999E-2</v>
      </c>
      <c r="BL50" s="816">
        <v>4.5999999999999999E-2</v>
      </c>
      <c r="BM50" s="816">
        <v>0.38500000000000001</v>
      </c>
      <c r="BN50" s="816">
        <v>0.38500000000000001</v>
      </c>
      <c r="BO50" s="816">
        <v>0</v>
      </c>
      <c r="BP50" s="816">
        <v>0</v>
      </c>
      <c r="BQ50" s="816">
        <v>0</v>
      </c>
      <c r="BR50" s="816">
        <v>0</v>
      </c>
      <c r="BS50" s="816">
        <v>0</v>
      </c>
      <c r="BT50" s="816">
        <v>0</v>
      </c>
      <c r="BU50" s="816">
        <v>0</v>
      </c>
      <c r="BV50" s="816">
        <v>0</v>
      </c>
      <c r="BW50" s="816">
        <v>0</v>
      </c>
      <c r="BY50" s="816">
        <v>2.6000000000000002E-2</v>
      </c>
      <c r="BZ50" s="816">
        <v>2.6000000000000002E-2</v>
      </c>
      <c r="CA50" s="816">
        <v>2.6000000000000002E-2</v>
      </c>
      <c r="CB50" s="816">
        <v>2.6000000000000002E-2</v>
      </c>
      <c r="CC50" s="816">
        <v>2.6000000000000002E-2</v>
      </c>
      <c r="CD50" s="816">
        <v>0</v>
      </c>
      <c r="CE50" s="816">
        <v>0</v>
      </c>
      <c r="CF50" s="816">
        <v>0</v>
      </c>
      <c r="CG50" s="816">
        <v>0</v>
      </c>
      <c r="CH50" s="816">
        <v>0</v>
      </c>
      <c r="CI50" s="816">
        <v>0</v>
      </c>
      <c r="CJ50" s="816">
        <v>0</v>
      </c>
      <c r="CK50" s="816">
        <v>0</v>
      </c>
      <c r="CL50" s="816">
        <v>0</v>
      </c>
      <c r="CM50" s="816">
        <v>0</v>
      </c>
      <c r="CN50" s="816">
        <v>0</v>
      </c>
      <c r="CO50" s="816" t="s">
        <v>1340</v>
      </c>
      <c r="CP50" s="818">
        <f>INDEX('Monthly Run-off Change'!I:I,MATCH($B50,'Monthly Run-off Change'!$E:$E,0))</f>
        <v>2.3000000000000003E-2</v>
      </c>
      <c r="CQ50" s="818">
        <f>INDEX('Monthly Run-off Change'!J:J,MATCH($B50,'Monthly Run-off Change'!$E:$E,0))</f>
        <v>8.0500000000000016E-2</v>
      </c>
      <c r="CR50" s="818">
        <f>INDEX('Monthly Run-off Change'!K:K,MATCH($B50,'Monthly Run-off Change'!$E:$E,0))</f>
        <v>8.0500000000000016E-2</v>
      </c>
      <c r="CS50" s="818">
        <f>INDEX('Monthly Run-off Change'!L:L,MATCH($B50,'Monthly Run-off Change'!$E:$E,0))</f>
        <v>2.2999999999999993E-2</v>
      </c>
      <c r="CT50" s="818">
        <f>INDEX('Monthly Run-off Change'!M:M,MATCH($B50,'Monthly Run-off Change'!$E:$E,0))</f>
        <v>2.2999999999999993E-2</v>
      </c>
      <c r="CU50" s="818">
        <f>INDEX('Monthly Run-off Change'!N:N,MATCH($B50,'Monthly Run-off Change'!$E:$E,0))</f>
        <v>2.3000000000000007E-2</v>
      </c>
      <c r="CV50" s="818">
        <f>INDEX('Monthly Run-off Change'!O:O,MATCH($B50,'Monthly Run-off Change'!$E:$E,0))</f>
        <v>2.3000000000000007E-2</v>
      </c>
      <c r="CW50" s="818">
        <f>INDEX('Monthly Run-off Change'!P:P,MATCH($B50,'Monthly Run-off Change'!$E:$E,0))</f>
        <v>7.6666666666666671E-3</v>
      </c>
      <c r="CX50" s="818">
        <f>INDEX('Monthly Run-off Change'!Q:Q,MATCH($B50,'Monthly Run-off Change'!$E:$E,0))</f>
        <v>7.6666666666666671E-3</v>
      </c>
      <c r="CY50" s="818">
        <f>INDEX('Monthly Run-off Change'!R:R,MATCH($B50,'Monthly Run-off Change'!$E:$E,0))</f>
        <v>7.6666666666666671E-3</v>
      </c>
      <c r="CZ50" s="818">
        <f>INDEX('Monthly Run-off Change'!S:S,MATCH($B50,'Monthly Run-off Change'!$E:$E,0))</f>
        <v>7.6666666666666671E-3</v>
      </c>
      <c r="DA50" s="818">
        <f>INDEX('Monthly Run-off Change'!T:T,MATCH($B50,'Monthly Run-off Change'!$E:$E,0))</f>
        <v>7.6666666666666671E-3</v>
      </c>
      <c r="DB50" s="818">
        <f>INDEX('Monthly Run-off Change'!U:U,MATCH($B50,'Monthly Run-off Change'!$E:$E,0))</f>
        <v>7.6666666666666671E-3</v>
      </c>
      <c r="DC50" s="818">
        <f>INDEX('Monthly Run-off Change'!V:V,MATCH($B50,'Monthly Run-off Change'!$E:$E,0))</f>
        <v>7.6666666666666671E-3</v>
      </c>
      <c r="DD50" s="818">
        <f>INDEX('Monthly Run-off Change'!W:W,MATCH($B50,'Monthly Run-off Change'!$E:$E,0))</f>
        <v>7.6666666666666671E-3</v>
      </c>
      <c r="DE50" s="818">
        <f>INDEX('Monthly Run-off Change'!X:X,MATCH($B50,'Monthly Run-off Change'!$E:$E,0))</f>
        <v>7.6666666666666671E-3</v>
      </c>
      <c r="DF50" s="899">
        <f>INDEX('Monthly Run-off Change'!Y:Y,MATCH($B50,'Monthly Run-off Change'!$E:$E,0))</f>
        <v>0</v>
      </c>
      <c r="DG50" s="899">
        <f>INDEX('Monthly Run-off Change'!Z:Z,MATCH($B50,'Monthly Run-off Change'!$E:$E,0))</f>
        <v>2.0000000000000004E-2</v>
      </c>
      <c r="DH50" s="899">
        <f>INDEX('Monthly Run-off Change'!AA:AA,MATCH($B50,'Monthly Run-off Change'!$E:$E,0))</f>
        <v>7.0000000000000007E-2</v>
      </c>
      <c r="DI50" s="899">
        <f>INDEX('Monthly Run-off Change'!AB:AB,MATCH($B50,'Monthly Run-off Change'!$E:$E,0))</f>
        <v>7.0000000000000007E-2</v>
      </c>
      <c r="DJ50" s="899">
        <f>INDEX('Monthly Run-off Change'!AC:AC,MATCH($B50,'Monthly Run-off Change'!$E:$E,0))</f>
        <v>1.999999999999999E-2</v>
      </c>
      <c r="DK50" s="899">
        <f>INDEX('Monthly Run-off Change'!AD:AD,MATCH($B50,'Monthly Run-off Change'!$E:$E,0))</f>
        <v>1.999999999999999E-2</v>
      </c>
      <c r="DL50" s="899">
        <f>INDEX('Monthly Run-off Change'!AE:AE,MATCH($B50,'Monthly Run-off Change'!$E:$E,0))</f>
        <v>1.999999999999999E-2</v>
      </c>
      <c r="DM50" s="899">
        <f>INDEX('Monthly Run-off Change'!AF:AF,MATCH($B50,'Monthly Run-off Change'!$E:$E,0))</f>
        <v>1.999999999999999E-2</v>
      </c>
      <c r="DN50" s="899">
        <f>INDEX('Monthly Run-off Change'!AG:AG,MATCH($B50,'Monthly Run-off Change'!$E:$E,0))</f>
        <v>6.6666666666666723E-3</v>
      </c>
      <c r="DO50" s="899">
        <f>INDEX('Monthly Run-off Change'!AH:AH,MATCH($B50,'Monthly Run-off Change'!$E:$E,0))</f>
        <v>6.6666666666666723E-3</v>
      </c>
      <c r="DP50" s="899">
        <f>INDEX('Monthly Run-off Change'!AI:AI,MATCH($B50,'Monthly Run-off Change'!$E:$E,0))</f>
        <v>6.6666666666666723E-3</v>
      </c>
      <c r="DQ50" s="899">
        <f>INDEX('Monthly Run-off Change'!AJ:AJ,MATCH($B50,'Monthly Run-off Change'!$E:$E,0))</f>
        <v>6.6666666666666723E-3</v>
      </c>
      <c r="DR50" s="899">
        <f>INDEX('Monthly Run-off Change'!AK:AK,MATCH($B50,'Monthly Run-off Change'!$E:$E,0))</f>
        <v>6.6666666666666723E-3</v>
      </c>
      <c r="DS50" s="899">
        <f>INDEX('Monthly Run-off Change'!AL:AL,MATCH($B50,'Monthly Run-off Change'!$E:$E,0))</f>
        <v>6.6666666666666723E-3</v>
      </c>
      <c r="DT50" s="899">
        <f>INDEX('Monthly Run-off Change'!AM:AM,MATCH($B50,'Monthly Run-off Change'!$E:$E,0))</f>
        <v>6.6666666666666723E-3</v>
      </c>
      <c r="DU50" s="899">
        <f>INDEX('Monthly Run-off Change'!AN:AN,MATCH($B50,'Monthly Run-off Change'!$E:$E,0))</f>
        <v>6.6666666666666723E-3</v>
      </c>
      <c r="DV50" s="899">
        <f>INDEX('Monthly Run-off Change'!AO:AO,MATCH($B50,'Monthly Run-off Change'!$E:$E,0))</f>
        <v>6.6666666666666723E-3</v>
      </c>
      <c r="DW50" s="899">
        <f>INDEX('Monthly Run-off Change'!AP:AP,MATCH($B50,'Monthly Run-off Change'!$E:$E,0))</f>
        <v>0</v>
      </c>
      <c r="DX50" s="899">
        <f>INDEX('Monthly Run-off Change'!AQ:AQ,MATCH($B50,'Monthly Run-off Change'!$E:$E,0))</f>
        <v>1.4999999999999999E-2</v>
      </c>
      <c r="DY50" s="899">
        <f>INDEX('Monthly Run-off Change'!AR:AR,MATCH($B50,'Monthly Run-off Change'!$E:$E,0))</f>
        <v>5.2499999999999998E-2</v>
      </c>
      <c r="DZ50" s="899">
        <f>INDEX('Monthly Run-off Change'!AS:AS,MATCH($B50,'Monthly Run-off Change'!$E:$E,0))</f>
        <v>5.2499999999999998E-2</v>
      </c>
      <c r="EA50" s="899">
        <f>INDEX('Monthly Run-off Change'!AT:AT,MATCH($B50,'Monthly Run-off Change'!$E:$E,0))</f>
        <v>1.4999999999999999E-2</v>
      </c>
      <c r="EB50" s="899">
        <f>INDEX('Monthly Run-off Change'!AU:AU,MATCH($B50,'Monthly Run-off Change'!$E:$E,0))</f>
        <v>1.4999999999999999E-2</v>
      </c>
      <c r="EC50" s="899">
        <f>INDEX('Monthly Run-off Change'!AV:AV,MATCH($B50,'Monthly Run-off Change'!$E:$E,0))</f>
        <v>1.4999999999999999E-2</v>
      </c>
      <c r="ED50" s="899">
        <f>INDEX('Monthly Run-off Change'!AW:AW,MATCH($B50,'Monthly Run-off Change'!$E:$E,0))</f>
        <v>1.4999999999999999E-2</v>
      </c>
      <c r="EE50" s="899">
        <f>INDEX('Monthly Run-off Change'!AX:AX,MATCH($B50,'Monthly Run-off Change'!$E:$E,0))</f>
        <v>4.9999999999999984E-3</v>
      </c>
      <c r="EF50" s="899">
        <f>INDEX('Monthly Run-off Change'!AY:AY,MATCH($B50,'Monthly Run-off Change'!$E:$E,0))</f>
        <v>4.9999999999999984E-3</v>
      </c>
      <c r="EG50" s="899">
        <f>INDEX('Monthly Run-off Change'!AZ:AZ,MATCH($B50,'Monthly Run-off Change'!$E:$E,0))</f>
        <v>4.9999999999999984E-3</v>
      </c>
      <c r="EH50" s="899">
        <f>INDEX('Monthly Run-off Change'!BA:BA,MATCH($B50,'Monthly Run-off Change'!$E:$E,0))</f>
        <v>4.9999999999999984E-3</v>
      </c>
      <c r="EI50" s="899">
        <f>INDEX('Monthly Run-off Change'!BB:BB,MATCH($B50,'Monthly Run-off Change'!$E:$E,0))</f>
        <v>4.9999999999999984E-3</v>
      </c>
      <c r="EJ50" s="899">
        <f>INDEX('Monthly Run-off Change'!BC:BC,MATCH($B50,'Monthly Run-off Change'!$E:$E,0))</f>
        <v>4.9999999999999984E-3</v>
      </c>
      <c r="EK50" s="899">
        <f>INDEX('Monthly Run-off Change'!BD:BD,MATCH($B50,'Monthly Run-off Change'!$E:$E,0))</f>
        <v>4.9999999999999984E-3</v>
      </c>
      <c r="EL50" s="899">
        <f>INDEX('Monthly Run-off Change'!BE:BE,MATCH($B50,'Monthly Run-off Change'!$E:$E,0))</f>
        <v>4.9999999999999984E-3</v>
      </c>
      <c r="EM50" s="899">
        <f>INDEX('Monthly Run-off Change'!BF:BF,MATCH($B50,'Monthly Run-off Change'!$E:$E,0))</f>
        <v>4.9999999999999984E-3</v>
      </c>
      <c r="FQ50" s="898"/>
      <c r="FS50" s="898"/>
      <c r="FT50" s="898"/>
      <c r="FU50" s="898"/>
      <c r="FV50" s="898"/>
      <c r="FW50" s="898"/>
      <c r="FX50" s="898"/>
      <c r="FY50" s="898"/>
      <c r="FZ50" s="898"/>
      <c r="GA50" s="898"/>
      <c r="GB50" s="898"/>
      <c r="GC50" s="898"/>
      <c r="GD50" s="898"/>
      <c r="GE50" s="898"/>
      <c r="GF50" s="898"/>
      <c r="GG50" s="898"/>
      <c r="GH50" s="898"/>
      <c r="GJ50" s="898"/>
      <c r="GK50" s="898"/>
      <c r="GL50" s="898"/>
      <c r="GM50" s="898"/>
      <c r="GN50" s="898"/>
      <c r="GO50" s="898"/>
      <c r="GP50" s="898"/>
      <c r="GQ50" s="898"/>
      <c r="GR50" s="898"/>
      <c r="GS50" s="898"/>
      <c r="GT50" s="898"/>
      <c r="GU50" s="898"/>
      <c r="GV50" s="898"/>
      <c r="GW50" s="898"/>
      <c r="GX50" s="898"/>
      <c r="GY50" s="898"/>
      <c r="HA50" s="898"/>
      <c r="HB50" s="898"/>
      <c r="HC50" s="898"/>
      <c r="HD50" s="898"/>
      <c r="HE50" s="898"/>
      <c r="HF50" s="898"/>
      <c r="HG50" s="898"/>
      <c r="HH50" s="898"/>
      <c r="HI50" s="898"/>
      <c r="HJ50" s="898"/>
      <c r="HK50" s="898"/>
      <c r="HL50" s="898"/>
      <c r="HM50" s="898"/>
      <c r="HN50" s="898"/>
      <c r="HO50" s="898"/>
      <c r="HP50" s="898"/>
    </row>
    <row r="51" spans="1:224">
      <c r="A51" s="816" t="s">
        <v>1303</v>
      </c>
      <c r="B51" s="816" t="s">
        <v>1302</v>
      </c>
      <c r="C51" s="816">
        <v>0</v>
      </c>
      <c r="D51" s="816">
        <f t="shared" si="4"/>
        <v>1</v>
      </c>
      <c r="E51" s="816">
        <v>0</v>
      </c>
      <c r="F51" s="816" t="str">
        <f>INDEX('Data Interface'!$C:$C,MATCH(B51,'Data Interface'!$B:$B,0))</f>
        <v>Due to Non-Bank FI (Exclude Large FI)</v>
      </c>
      <c r="G51" s="894">
        <f ca="1">IF($C51=1,$AJ51,SUM($AJ51:$AL51)*INDEX('Schedule Allocation'!G:G,MATCH($D51,'Schedule Allocation'!$A:$A,0)))</f>
        <v>6.1333333333333351E-2</v>
      </c>
      <c r="H51" s="894">
        <f ca="1">IF($C51=1,$AK51,SUM($AJ51:$AL51)*INDEX('Schedule Allocation'!H:H,MATCH($D51,'Schedule Allocation'!$A:$A,0)))</f>
        <v>1.0222222222222225E-2</v>
      </c>
      <c r="I51" s="894">
        <f ca="1">IF($C51=1,$AK51,SUM($AJ51:$AL51)*INDEX('Schedule Allocation'!I:I,MATCH($D51,'Schedule Allocation'!$A:$A,0)))</f>
        <v>1.0222222222222225E-2</v>
      </c>
      <c r="J51" s="894">
        <f ca="1">IF($C51=1,$AK51,SUM($AJ51:$AL51)*INDEX('Schedule Allocation'!J:J,MATCH($D51,'Schedule Allocation'!$A:$A,0)))</f>
        <v>1.0222222222222225E-2</v>
      </c>
      <c r="K51" s="894">
        <f ca="1">IF($C51=1,$AK51,SUM($AJ51:$AL51)*INDEX('Schedule Allocation'!K:K,MATCH($D51,'Schedule Allocation'!$A:$A,0)))</f>
        <v>1.0222222222222225E-2</v>
      </c>
      <c r="L51" s="894">
        <f ca="1">IF($C51=1,$AK51,SUM($AJ51:$AL51)*INDEX('Schedule Allocation'!L:L,MATCH($D51,'Schedule Allocation'!$A:$A,0)))</f>
        <v>1.0222222222222225E-2</v>
      </c>
      <c r="M51" s="894">
        <f ca="1">IF($C51=1,$AK51,SUM($AJ51:$AL51)*INDEX('Schedule Allocation'!M:M,MATCH($D51,'Schedule Allocation'!$A:$A,0)))</f>
        <v>1.0222222222222225E-2</v>
      </c>
      <c r="N51" s="894">
        <f ca="1">IF($C51=1,$AL51,SUM($AJ51:$AL51)*INDEX('Schedule Allocation'!N:N,MATCH($D51,'Schedule Allocation'!$A:$A,0)))</f>
        <v>8.7619047619047659E-3</v>
      </c>
      <c r="O51" s="894">
        <f ca="1">IF($C51=1,$AL51,SUM($AJ51:$AL51)*INDEX('Schedule Allocation'!O:O,MATCH($D51,'Schedule Allocation'!$A:$A,0)))</f>
        <v>8.7619047619047659E-3</v>
      </c>
      <c r="P51" s="894">
        <f ca="1">IF($C51=1,$AL51,SUM($AJ51:$AL51)*INDEX('Schedule Allocation'!P:P,MATCH($D51,'Schedule Allocation'!$A:$A,0)))</f>
        <v>8.7619047619047659E-3</v>
      </c>
      <c r="Q51" s="894">
        <f ca="1">IF($C51=1,$AL51,SUM($AJ51:$AL51)*INDEX('Schedule Allocation'!Q:Q,MATCH($D51,'Schedule Allocation'!$A:$A,0)))</f>
        <v>8.7619047619047659E-3</v>
      </c>
      <c r="R51" s="894">
        <f ca="1">IF($C51=1,$AL51,SUM($AJ51:$AL51)*INDEX('Schedule Allocation'!R:R,MATCH($D51,'Schedule Allocation'!$A:$A,0)))</f>
        <v>8.7619047619047659E-3</v>
      </c>
      <c r="S51" s="894">
        <f ca="1">IF($C51=1,$AL51,SUM($AJ51:$AL51)*INDEX('Schedule Allocation'!S:S,MATCH($D51,'Schedule Allocation'!$A:$A,0)))</f>
        <v>8.7619047619047659E-3</v>
      </c>
      <c r="T51" s="894">
        <f ca="1">IF($C51=1,$AL51,SUM($AJ51:$AL51)*INDEX('Schedule Allocation'!T:T,MATCH($D51,'Schedule Allocation'!$A:$A,0)))</f>
        <v>8.7619047619047659E-3</v>
      </c>
      <c r="U51" s="894">
        <f ca="1">OFFSET(AT51,0,(MATCH('Model Report Formatized'!$E$1,$AN$1:$AN$6,0))*17-17)</f>
        <v>2.2999999999999993E-2</v>
      </c>
      <c r="V51" s="894">
        <f ca="1">OFFSET(AU51,0,(MATCH('Model Report Formatized'!$E$1,$AN$1:$AN$6,0))*17-17)</f>
        <v>2.2999999999999993E-2</v>
      </c>
      <c r="W51" s="894">
        <f ca="1">OFFSET(AV51,0,(MATCH('Model Report Formatized'!$E$1,$AN$1:$AN$6,0))*17-17)</f>
        <v>2.3000000000000007E-2</v>
      </c>
      <c r="X51" s="894">
        <f ca="1">OFFSET(AW51,0,(MATCH('Model Report Formatized'!$E$1,$AN$1:$AN$6,0))*17-17)</f>
        <v>2.3000000000000007E-2</v>
      </c>
      <c r="Y51" s="894">
        <f ca="1">OFFSET(AX51,0,(MATCH('Model Report Formatized'!$E$1,$AN$1:$AN$6,0))*17-17)</f>
        <v>7.6666666666666671E-3</v>
      </c>
      <c r="Z51" s="894">
        <f ca="1">OFFSET(AY51,0,(MATCH('Model Report Formatized'!$E$1,$AN$1:$AN$6,0))*17-17)</f>
        <v>7.6666666666666671E-3</v>
      </c>
      <c r="AA51" s="894">
        <f ca="1">OFFSET(AZ51,0,(MATCH('Model Report Formatized'!$E$1,$AN$1:$AN$6,0))*17-17)</f>
        <v>7.6666666666666671E-3</v>
      </c>
      <c r="AB51" s="894">
        <f ca="1">OFFSET(BA51,0,(MATCH('Model Report Formatized'!$E$1,$AN$1:$AN$6,0))*17-17)</f>
        <v>7.6666666666666671E-3</v>
      </c>
      <c r="AC51" s="894">
        <f ca="1">OFFSET(BB51,0,(MATCH('Model Report Formatized'!$E$1,$AN$1:$AN$6,0))*17-17)</f>
        <v>7.6666666666666671E-3</v>
      </c>
      <c r="AD51" s="894">
        <f ca="1">OFFSET(BC51,0,(MATCH('Model Report Formatized'!$E$1,$AN$1:$AN$6,0))*17-17)</f>
        <v>7.6666666666666671E-3</v>
      </c>
      <c r="AE51" s="894">
        <f ca="1">OFFSET(BD51,0,(MATCH('Model Report Formatized'!$E$1,$AN$1:$AN$6,0))*17-17)</f>
        <v>7.6666666666666671E-3</v>
      </c>
      <c r="AF51" s="894">
        <f ca="1">OFFSET(BE51,0,(MATCH('Model Report Formatized'!$E$1,$AN$1:$AN$6,0))*17-17)</f>
        <v>7.6666666666666671E-3</v>
      </c>
      <c r="AG51" s="894">
        <f ca="1">OFFSET(BF51,0,(MATCH('Model Report Formatized'!$E$1,$AN$1:$AN$6,0))*17-17)</f>
        <v>7.6666666666666671E-3</v>
      </c>
      <c r="AH51" s="891">
        <f t="shared" ca="1" si="5"/>
        <v>1.1102230246251565E-16</v>
      </c>
      <c r="AJ51" s="895">
        <f ca="1">OFFSET(AQ51,0,(MATCH('Model Report Formatized'!$E$1,$AN$1:$AN$6,0))*17-17)</f>
        <v>2.3000000000000003E-2</v>
      </c>
      <c r="AK51" s="895">
        <f ca="1">OFFSET(AR51,0,(MATCH('Model Report Formatized'!$E$1,$AN$1:$AN$6,0))*17-17)</f>
        <v>8.0500000000000016E-2</v>
      </c>
      <c r="AL51" s="895">
        <f ca="1">OFFSET(AS51,0,(MATCH('Model Report Formatized'!$E$1,$AN$1:$AN$6,0))*17-17)</f>
        <v>8.0500000000000016E-2</v>
      </c>
      <c r="AQ51" s="893">
        <v>0.05</v>
      </c>
      <c r="AR51" s="893">
        <v>0.05</v>
      </c>
      <c r="AS51" s="893">
        <v>0.05</v>
      </c>
      <c r="AT51" s="893">
        <v>0.05</v>
      </c>
      <c r="AU51" s="893">
        <v>0.05</v>
      </c>
      <c r="AV51" s="893">
        <v>0.375</v>
      </c>
      <c r="AW51" s="893">
        <v>0.375</v>
      </c>
      <c r="AX51" s="893">
        <v>0</v>
      </c>
      <c r="AY51" s="893">
        <v>0</v>
      </c>
      <c r="AZ51" s="893">
        <v>0</v>
      </c>
      <c r="BA51" s="893">
        <v>0</v>
      </c>
      <c r="BB51" s="893">
        <v>0</v>
      </c>
      <c r="BC51" s="893">
        <v>0</v>
      </c>
      <c r="BD51" s="893">
        <v>0</v>
      </c>
      <c r="BE51" s="893">
        <v>0</v>
      </c>
      <c r="BF51" s="893">
        <v>0</v>
      </c>
      <c r="BH51" s="816">
        <v>4.5999999999999999E-2</v>
      </c>
      <c r="BI51" s="816">
        <v>4.5999999999999999E-2</v>
      </c>
      <c r="BJ51" s="816">
        <v>4.5999999999999999E-2</v>
      </c>
      <c r="BK51" s="816">
        <v>4.5999999999999999E-2</v>
      </c>
      <c r="BL51" s="816">
        <v>4.5999999999999999E-2</v>
      </c>
      <c r="BM51" s="816">
        <v>0.38500000000000001</v>
      </c>
      <c r="BN51" s="816">
        <v>0.38500000000000001</v>
      </c>
      <c r="BO51" s="816">
        <v>0</v>
      </c>
      <c r="BP51" s="816">
        <v>0</v>
      </c>
      <c r="BQ51" s="816">
        <v>0</v>
      </c>
      <c r="BR51" s="816">
        <v>0</v>
      </c>
      <c r="BS51" s="816">
        <v>0</v>
      </c>
      <c r="BT51" s="816">
        <v>0</v>
      </c>
      <c r="BU51" s="816">
        <v>0</v>
      </c>
      <c r="BV51" s="816">
        <v>0</v>
      </c>
      <c r="BW51" s="816">
        <v>0</v>
      </c>
      <c r="BY51" s="816">
        <v>2.6000000000000002E-2</v>
      </c>
      <c r="BZ51" s="816">
        <v>2.6000000000000002E-2</v>
      </c>
      <c r="CA51" s="816">
        <v>2.6000000000000002E-2</v>
      </c>
      <c r="CB51" s="816">
        <v>2.6000000000000002E-2</v>
      </c>
      <c r="CC51" s="816">
        <v>2.6000000000000002E-2</v>
      </c>
      <c r="CD51" s="816">
        <v>0</v>
      </c>
      <c r="CE51" s="816">
        <v>0</v>
      </c>
      <c r="CF51" s="816">
        <v>0</v>
      </c>
      <c r="CG51" s="816">
        <v>0</v>
      </c>
      <c r="CH51" s="816">
        <v>0</v>
      </c>
      <c r="CI51" s="816">
        <v>0</v>
      </c>
      <c r="CJ51" s="816">
        <v>0</v>
      </c>
      <c r="CK51" s="816">
        <v>0</v>
      </c>
      <c r="CL51" s="816">
        <v>0</v>
      </c>
      <c r="CM51" s="816">
        <v>0</v>
      </c>
      <c r="CN51" s="816">
        <v>0</v>
      </c>
      <c r="CO51" s="816" t="s">
        <v>1340</v>
      </c>
      <c r="CP51" s="818">
        <f>INDEX('Monthly Run-off Change'!I:I,MATCH($B51,'Monthly Run-off Change'!$E:$E,0))</f>
        <v>2.3000000000000003E-2</v>
      </c>
      <c r="CQ51" s="818">
        <f>INDEX('Monthly Run-off Change'!J:J,MATCH($B51,'Monthly Run-off Change'!$E:$E,0))</f>
        <v>8.0500000000000016E-2</v>
      </c>
      <c r="CR51" s="818">
        <f>INDEX('Monthly Run-off Change'!K:K,MATCH($B51,'Monthly Run-off Change'!$E:$E,0))</f>
        <v>8.0500000000000016E-2</v>
      </c>
      <c r="CS51" s="818">
        <f>INDEX('Monthly Run-off Change'!L:L,MATCH($B51,'Monthly Run-off Change'!$E:$E,0))</f>
        <v>2.2999999999999993E-2</v>
      </c>
      <c r="CT51" s="818">
        <f>INDEX('Monthly Run-off Change'!M:M,MATCH($B51,'Monthly Run-off Change'!$E:$E,0))</f>
        <v>2.2999999999999993E-2</v>
      </c>
      <c r="CU51" s="818">
        <f>INDEX('Monthly Run-off Change'!N:N,MATCH($B51,'Monthly Run-off Change'!$E:$E,0))</f>
        <v>2.3000000000000007E-2</v>
      </c>
      <c r="CV51" s="818">
        <f>INDEX('Monthly Run-off Change'!O:O,MATCH($B51,'Monthly Run-off Change'!$E:$E,0))</f>
        <v>2.3000000000000007E-2</v>
      </c>
      <c r="CW51" s="818">
        <f>INDEX('Monthly Run-off Change'!P:P,MATCH($B51,'Monthly Run-off Change'!$E:$E,0))</f>
        <v>7.6666666666666671E-3</v>
      </c>
      <c r="CX51" s="818">
        <f>INDEX('Monthly Run-off Change'!Q:Q,MATCH($B51,'Monthly Run-off Change'!$E:$E,0))</f>
        <v>7.6666666666666671E-3</v>
      </c>
      <c r="CY51" s="818">
        <f>INDEX('Monthly Run-off Change'!R:R,MATCH($B51,'Monthly Run-off Change'!$E:$E,0))</f>
        <v>7.6666666666666671E-3</v>
      </c>
      <c r="CZ51" s="818">
        <f>INDEX('Monthly Run-off Change'!S:S,MATCH($B51,'Monthly Run-off Change'!$E:$E,0))</f>
        <v>7.6666666666666671E-3</v>
      </c>
      <c r="DA51" s="818">
        <f>INDEX('Monthly Run-off Change'!T:T,MATCH($B51,'Monthly Run-off Change'!$E:$E,0))</f>
        <v>7.6666666666666671E-3</v>
      </c>
      <c r="DB51" s="818">
        <f>INDEX('Monthly Run-off Change'!U:U,MATCH($B51,'Monthly Run-off Change'!$E:$E,0))</f>
        <v>7.6666666666666671E-3</v>
      </c>
      <c r="DC51" s="818">
        <f>INDEX('Monthly Run-off Change'!V:V,MATCH($B51,'Monthly Run-off Change'!$E:$E,0))</f>
        <v>7.6666666666666671E-3</v>
      </c>
      <c r="DD51" s="818">
        <f>INDEX('Monthly Run-off Change'!W:W,MATCH($B51,'Monthly Run-off Change'!$E:$E,0))</f>
        <v>7.6666666666666671E-3</v>
      </c>
      <c r="DE51" s="818">
        <f>INDEX('Monthly Run-off Change'!X:X,MATCH($B51,'Monthly Run-off Change'!$E:$E,0))</f>
        <v>7.6666666666666671E-3</v>
      </c>
      <c r="DF51" s="899">
        <f>INDEX('Monthly Run-off Change'!Y:Y,MATCH($B51,'Monthly Run-off Change'!$E:$E,0))</f>
        <v>0</v>
      </c>
      <c r="DG51" s="899">
        <f>INDEX('Monthly Run-off Change'!Z:Z,MATCH($B51,'Monthly Run-off Change'!$E:$E,0))</f>
        <v>2.0000000000000004E-2</v>
      </c>
      <c r="DH51" s="899">
        <f>INDEX('Monthly Run-off Change'!AA:AA,MATCH($B51,'Monthly Run-off Change'!$E:$E,0))</f>
        <v>7.0000000000000007E-2</v>
      </c>
      <c r="DI51" s="899">
        <f>INDEX('Monthly Run-off Change'!AB:AB,MATCH($B51,'Monthly Run-off Change'!$E:$E,0))</f>
        <v>7.0000000000000007E-2</v>
      </c>
      <c r="DJ51" s="899">
        <f>INDEX('Monthly Run-off Change'!AC:AC,MATCH($B51,'Monthly Run-off Change'!$E:$E,0))</f>
        <v>1.999999999999999E-2</v>
      </c>
      <c r="DK51" s="899">
        <f>INDEX('Monthly Run-off Change'!AD:AD,MATCH($B51,'Monthly Run-off Change'!$E:$E,0))</f>
        <v>1.999999999999999E-2</v>
      </c>
      <c r="DL51" s="899">
        <f>INDEX('Monthly Run-off Change'!AE:AE,MATCH($B51,'Monthly Run-off Change'!$E:$E,0))</f>
        <v>1.999999999999999E-2</v>
      </c>
      <c r="DM51" s="899">
        <f>INDEX('Monthly Run-off Change'!AF:AF,MATCH($B51,'Monthly Run-off Change'!$E:$E,0))</f>
        <v>1.999999999999999E-2</v>
      </c>
      <c r="DN51" s="899">
        <f>INDEX('Monthly Run-off Change'!AG:AG,MATCH($B51,'Monthly Run-off Change'!$E:$E,0))</f>
        <v>6.6666666666666723E-3</v>
      </c>
      <c r="DO51" s="899">
        <f>INDEX('Monthly Run-off Change'!AH:AH,MATCH($B51,'Monthly Run-off Change'!$E:$E,0))</f>
        <v>6.6666666666666723E-3</v>
      </c>
      <c r="DP51" s="899">
        <f>INDEX('Monthly Run-off Change'!AI:AI,MATCH($B51,'Monthly Run-off Change'!$E:$E,0))</f>
        <v>6.6666666666666723E-3</v>
      </c>
      <c r="DQ51" s="899">
        <f>INDEX('Monthly Run-off Change'!AJ:AJ,MATCH($B51,'Monthly Run-off Change'!$E:$E,0))</f>
        <v>6.6666666666666723E-3</v>
      </c>
      <c r="DR51" s="899">
        <f>INDEX('Monthly Run-off Change'!AK:AK,MATCH($B51,'Monthly Run-off Change'!$E:$E,0))</f>
        <v>6.6666666666666723E-3</v>
      </c>
      <c r="DS51" s="899">
        <f>INDEX('Monthly Run-off Change'!AL:AL,MATCH($B51,'Monthly Run-off Change'!$E:$E,0))</f>
        <v>6.6666666666666723E-3</v>
      </c>
      <c r="DT51" s="899">
        <f>INDEX('Monthly Run-off Change'!AM:AM,MATCH($B51,'Monthly Run-off Change'!$E:$E,0))</f>
        <v>6.6666666666666723E-3</v>
      </c>
      <c r="DU51" s="899">
        <f>INDEX('Monthly Run-off Change'!AN:AN,MATCH($B51,'Monthly Run-off Change'!$E:$E,0))</f>
        <v>6.6666666666666723E-3</v>
      </c>
      <c r="DV51" s="899">
        <f>INDEX('Monthly Run-off Change'!AO:AO,MATCH($B51,'Monthly Run-off Change'!$E:$E,0))</f>
        <v>6.6666666666666723E-3</v>
      </c>
      <c r="DW51" s="899">
        <f>INDEX('Monthly Run-off Change'!AP:AP,MATCH($B51,'Monthly Run-off Change'!$E:$E,0))</f>
        <v>0</v>
      </c>
      <c r="DX51" s="899">
        <f>INDEX('Monthly Run-off Change'!AQ:AQ,MATCH($B51,'Monthly Run-off Change'!$E:$E,0))</f>
        <v>1.4999999999999999E-2</v>
      </c>
      <c r="DY51" s="899">
        <f>INDEX('Monthly Run-off Change'!AR:AR,MATCH($B51,'Monthly Run-off Change'!$E:$E,0))</f>
        <v>5.2499999999999998E-2</v>
      </c>
      <c r="DZ51" s="899">
        <f>INDEX('Monthly Run-off Change'!AS:AS,MATCH($B51,'Monthly Run-off Change'!$E:$E,0))</f>
        <v>5.2499999999999998E-2</v>
      </c>
      <c r="EA51" s="899">
        <f>INDEX('Monthly Run-off Change'!AT:AT,MATCH($B51,'Monthly Run-off Change'!$E:$E,0))</f>
        <v>1.4999999999999999E-2</v>
      </c>
      <c r="EB51" s="899">
        <f>INDEX('Monthly Run-off Change'!AU:AU,MATCH($B51,'Monthly Run-off Change'!$E:$E,0))</f>
        <v>1.4999999999999999E-2</v>
      </c>
      <c r="EC51" s="899">
        <f>INDEX('Monthly Run-off Change'!AV:AV,MATCH($B51,'Monthly Run-off Change'!$E:$E,0))</f>
        <v>1.4999999999999999E-2</v>
      </c>
      <c r="ED51" s="899">
        <f>INDEX('Monthly Run-off Change'!AW:AW,MATCH($B51,'Monthly Run-off Change'!$E:$E,0))</f>
        <v>1.4999999999999999E-2</v>
      </c>
      <c r="EE51" s="899">
        <f>INDEX('Monthly Run-off Change'!AX:AX,MATCH($B51,'Monthly Run-off Change'!$E:$E,0))</f>
        <v>4.9999999999999984E-3</v>
      </c>
      <c r="EF51" s="899">
        <f>INDEX('Monthly Run-off Change'!AY:AY,MATCH($B51,'Monthly Run-off Change'!$E:$E,0))</f>
        <v>4.9999999999999984E-3</v>
      </c>
      <c r="EG51" s="899">
        <f>INDEX('Monthly Run-off Change'!AZ:AZ,MATCH($B51,'Monthly Run-off Change'!$E:$E,0))</f>
        <v>4.9999999999999984E-3</v>
      </c>
      <c r="EH51" s="899">
        <f>INDEX('Monthly Run-off Change'!BA:BA,MATCH($B51,'Monthly Run-off Change'!$E:$E,0))</f>
        <v>4.9999999999999984E-3</v>
      </c>
      <c r="EI51" s="899">
        <f>INDEX('Monthly Run-off Change'!BB:BB,MATCH($B51,'Monthly Run-off Change'!$E:$E,0))</f>
        <v>4.9999999999999984E-3</v>
      </c>
      <c r="EJ51" s="899">
        <f>INDEX('Monthly Run-off Change'!BC:BC,MATCH($B51,'Monthly Run-off Change'!$E:$E,0))</f>
        <v>4.9999999999999984E-3</v>
      </c>
      <c r="EK51" s="899">
        <f>INDEX('Monthly Run-off Change'!BD:BD,MATCH($B51,'Monthly Run-off Change'!$E:$E,0))</f>
        <v>4.9999999999999984E-3</v>
      </c>
      <c r="EL51" s="899">
        <f>INDEX('Monthly Run-off Change'!BE:BE,MATCH($B51,'Monthly Run-off Change'!$E:$E,0))</f>
        <v>4.9999999999999984E-3</v>
      </c>
      <c r="EM51" s="899">
        <f>INDEX('Monthly Run-off Change'!BF:BF,MATCH($B51,'Monthly Run-off Change'!$E:$E,0))</f>
        <v>4.9999999999999984E-3</v>
      </c>
      <c r="FQ51" s="898"/>
      <c r="FS51" s="898"/>
      <c r="FT51" s="898"/>
      <c r="FU51" s="898"/>
      <c r="FV51" s="898"/>
      <c r="FW51" s="898"/>
      <c r="FX51" s="898"/>
      <c r="FY51" s="898"/>
      <c r="FZ51" s="898"/>
      <c r="GA51" s="898"/>
      <c r="GB51" s="898"/>
      <c r="GC51" s="898"/>
      <c r="GD51" s="898"/>
      <c r="GE51" s="898"/>
      <c r="GF51" s="898"/>
      <c r="GG51" s="898"/>
      <c r="GH51" s="898"/>
      <c r="GJ51" s="898"/>
      <c r="GK51" s="898"/>
      <c r="GL51" s="898"/>
      <c r="GM51" s="898"/>
      <c r="GN51" s="898"/>
      <c r="GO51" s="898"/>
      <c r="GP51" s="898"/>
      <c r="GQ51" s="898"/>
      <c r="GR51" s="898"/>
      <c r="GS51" s="898"/>
      <c r="GT51" s="898"/>
      <c r="GU51" s="898"/>
      <c r="GV51" s="898"/>
      <c r="GW51" s="898"/>
      <c r="GX51" s="898"/>
      <c r="GY51" s="898"/>
      <c r="HA51" s="898"/>
      <c r="HB51" s="898"/>
      <c r="HC51" s="898"/>
      <c r="HD51" s="898"/>
      <c r="HE51" s="898"/>
      <c r="HF51" s="898"/>
      <c r="HG51" s="898"/>
      <c r="HH51" s="898"/>
      <c r="HI51" s="898"/>
      <c r="HJ51" s="898"/>
      <c r="HK51" s="898"/>
      <c r="HL51" s="898"/>
      <c r="HM51" s="898"/>
      <c r="HN51" s="898"/>
      <c r="HO51" s="898"/>
      <c r="HP51" s="898"/>
    </row>
    <row r="52" spans="1:224">
      <c r="A52" s="816" t="s">
        <v>1270</v>
      </c>
      <c r="B52" s="816" t="s">
        <v>1269</v>
      </c>
      <c r="C52" s="816">
        <v>0</v>
      </c>
      <c r="D52" s="816">
        <f t="shared" si="4"/>
        <v>1</v>
      </c>
      <c r="E52" s="816">
        <v>0</v>
      </c>
      <c r="F52" s="816" t="str">
        <f>INDEX('Data Interface'!$C:$C,MATCH(B52,'Data Interface'!$B:$B,0))</f>
        <v>Due to Non-Bank Large FI - Best Investment</v>
      </c>
      <c r="G52" s="894">
        <f ca="1">IF($C52=1,$AJ52,SUM($AJ52:$AL52)*INDEX('Schedule Allocation'!G:G,MATCH($D52,'Schedule Allocation'!$A:$A,0)))</f>
        <v>6.1333333333333351E-2</v>
      </c>
      <c r="H52" s="894">
        <f ca="1">IF($C52=1,$AK52,SUM($AJ52:$AL52)*INDEX('Schedule Allocation'!H:H,MATCH($D52,'Schedule Allocation'!$A:$A,0)))</f>
        <v>1.0222222222222225E-2</v>
      </c>
      <c r="I52" s="894">
        <f ca="1">IF($C52=1,$AK52,SUM($AJ52:$AL52)*INDEX('Schedule Allocation'!I:I,MATCH($D52,'Schedule Allocation'!$A:$A,0)))</f>
        <v>1.0222222222222225E-2</v>
      </c>
      <c r="J52" s="894">
        <f ca="1">IF($C52=1,$AK52,SUM($AJ52:$AL52)*INDEX('Schedule Allocation'!J:J,MATCH($D52,'Schedule Allocation'!$A:$A,0)))</f>
        <v>1.0222222222222225E-2</v>
      </c>
      <c r="K52" s="894">
        <f ca="1">IF($C52=1,$AK52,SUM($AJ52:$AL52)*INDEX('Schedule Allocation'!K:K,MATCH($D52,'Schedule Allocation'!$A:$A,0)))</f>
        <v>1.0222222222222225E-2</v>
      </c>
      <c r="L52" s="894">
        <f ca="1">IF($C52=1,$AK52,SUM($AJ52:$AL52)*INDEX('Schedule Allocation'!L:L,MATCH($D52,'Schedule Allocation'!$A:$A,0)))</f>
        <v>1.0222222222222225E-2</v>
      </c>
      <c r="M52" s="894">
        <f ca="1">IF($C52=1,$AK52,SUM($AJ52:$AL52)*INDEX('Schedule Allocation'!M:M,MATCH($D52,'Schedule Allocation'!$A:$A,0)))</f>
        <v>1.0222222222222225E-2</v>
      </c>
      <c r="N52" s="894">
        <f ca="1">IF($C52=1,$AL52,SUM($AJ52:$AL52)*INDEX('Schedule Allocation'!N:N,MATCH($D52,'Schedule Allocation'!$A:$A,0)))</f>
        <v>8.7619047619047659E-3</v>
      </c>
      <c r="O52" s="894">
        <f ca="1">IF($C52=1,$AL52,SUM($AJ52:$AL52)*INDEX('Schedule Allocation'!O:O,MATCH($D52,'Schedule Allocation'!$A:$A,0)))</f>
        <v>8.7619047619047659E-3</v>
      </c>
      <c r="P52" s="894">
        <f ca="1">IF($C52=1,$AL52,SUM($AJ52:$AL52)*INDEX('Schedule Allocation'!P:P,MATCH($D52,'Schedule Allocation'!$A:$A,0)))</f>
        <v>8.7619047619047659E-3</v>
      </c>
      <c r="Q52" s="894">
        <f ca="1">IF($C52=1,$AL52,SUM($AJ52:$AL52)*INDEX('Schedule Allocation'!Q:Q,MATCH($D52,'Schedule Allocation'!$A:$A,0)))</f>
        <v>8.7619047619047659E-3</v>
      </c>
      <c r="R52" s="894">
        <f ca="1">IF($C52=1,$AL52,SUM($AJ52:$AL52)*INDEX('Schedule Allocation'!R:R,MATCH($D52,'Schedule Allocation'!$A:$A,0)))</f>
        <v>8.7619047619047659E-3</v>
      </c>
      <c r="S52" s="894">
        <f ca="1">IF($C52=1,$AL52,SUM($AJ52:$AL52)*INDEX('Schedule Allocation'!S:S,MATCH($D52,'Schedule Allocation'!$A:$A,0)))</f>
        <v>8.7619047619047659E-3</v>
      </c>
      <c r="T52" s="894">
        <f ca="1">IF($C52=1,$AL52,SUM($AJ52:$AL52)*INDEX('Schedule Allocation'!T:T,MATCH($D52,'Schedule Allocation'!$A:$A,0)))</f>
        <v>8.7619047619047659E-3</v>
      </c>
      <c r="U52" s="894">
        <f ca="1">OFFSET(AT52,0,(MATCH('Model Report Formatized'!$E$1,$AN$1:$AN$6,0))*17-17)</f>
        <v>2.2999999999999993E-2</v>
      </c>
      <c r="V52" s="894">
        <f ca="1">OFFSET(AU52,0,(MATCH('Model Report Formatized'!$E$1,$AN$1:$AN$6,0))*17-17)</f>
        <v>2.2999999999999993E-2</v>
      </c>
      <c r="W52" s="894">
        <f ca="1">OFFSET(AV52,0,(MATCH('Model Report Formatized'!$E$1,$AN$1:$AN$6,0))*17-17)</f>
        <v>2.3000000000000007E-2</v>
      </c>
      <c r="X52" s="894">
        <f ca="1">OFFSET(AW52,0,(MATCH('Model Report Formatized'!$E$1,$AN$1:$AN$6,0))*17-17)</f>
        <v>2.3000000000000007E-2</v>
      </c>
      <c r="Y52" s="894">
        <f ca="1">OFFSET(AX52,0,(MATCH('Model Report Formatized'!$E$1,$AN$1:$AN$6,0))*17-17)</f>
        <v>7.6666666666666671E-3</v>
      </c>
      <c r="Z52" s="894">
        <f ca="1">OFFSET(AY52,0,(MATCH('Model Report Formatized'!$E$1,$AN$1:$AN$6,0))*17-17)</f>
        <v>7.6666666666666671E-3</v>
      </c>
      <c r="AA52" s="894">
        <f ca="1">OFFSET(AZ52,0,(MATCH('Model Report Formatized'!$E$1,$AN$1:$AN$6,0))*17-17)</f>
        <v>7.6666666666666671E-3</v>
      </c>
      <c r="AB52" s="894">
        <f ca="1">OFFSET(BA52,0,(MATCH('Model Report Formatized'!$E$1,$AN$1:$AN$6,0))*17-17)</f>
        <v>7.6666666666666671E-3</v>
      </c>
      <c r="AC52" s="894">
        <f ca="1">OFFSET(BB52,0,(MATCH('Model Report Formatized'!$E$1,$AN$1:$AN$6,0))*17-17)</f>
        <v>7.6666666666666671E-3</v>
      </c>
      <c r="AD52" s="894">
        <f ca="1">OFFSET(BC52,0,(MATCH('Model Report Formatized'!$E$1,$AN$1:$AN$6,0))*17-17)</f>
        <v>7.6666666666666671E-3</v>
      </c>
      <c r="AE52" s="894">
        <f ca="1">OFFSET(BD52,0,(MATCH('Model Report Formatized'!$E$1,$AN$1:$AN$6,0))*17-17)</f>
        <v>7.6666666666666671E-3</v>
      </c>
      <c r="AF52" s="894">
        <f ca="1">OFFSET(BE52,0,(MATCH('Model Report Formatized'!$E$1,$AN$1:$AN$6,0))*17-17)</f>
        <v>7.6666666666666671E-3</v>
      </c>
      <c r="AG52" s="894">
        <f ca="1">OFFSET(BF52,0,(MATCH('Model Report Formatized'!$E$1,$AN$1:$AN$6,0))*17-17)</f>
        <v>7.6666666666666671E-3</v>
      </c>
      <c r="AH52" s="891">
        <f t="shared" ca="1" si="5"/>
        <v>1.1102230246251565E-16</v>
      </c>
      <c r="AJ52" s="895">
        <f ca="1">OFFSET(AQ52,0,(MATCH('Model Report Formatized'!$E$1,$AN$1:$AN$6,0))*17-17)</f>
        <v>2.3000000000000003E-2</v>
      </c>
      <c r="AK52" s="895">
        <f ca="1">OFFSET(AR52,0,(MATCH('Model Report Formatized'!$E$1,$AN$1:$AN$6,0))*17-17)</f>
        <v>8.0500000000000016E-2</v>
      </c>
      <c r="AL52" s="895">
        <f ca="1">OFFSET(AS52,0,(MATCH('Model Report Formatized'!$E$1,$AN$1:$AN$6,0))*17-17)</f>
        <v>8.0500000000000016E-2</v>
      </c>
      <c r="AQ52" s="893">
        <v>1</v>
      </c>
      <c r="AR52" s="893">
        <v>0</v>
      </c>
      <c r="AS52" s="893">
        <v>0</v>
      </c>
      <c r="AT52" s="893">
        <v>0</v>
      </c>
      <c r="AU52" s="893">
        <v>0</v>
      </c>
      <c r="AV52" s="893">
        <v>0</v>
      </c>
      <c r="AW52" s="893">
        <v>0</v>
      </c>
      <c r="AX52" s="893">
        <v>0</v>
      </c>
      <c r="AY52" s="893">
        <v>0</v>
      </c>
      <c r="AZ52" s="893">
        <v>0</v>
      </c>
      <c r="BA52" s="893">
        <v>0</v>
      </c>
      <c r="BB52" s="893">
        <v>0</v>
      </c>
      <c r="BC52" s="893">
        <v>0</v>
      </c>
      <c r="BD52" s="893">
        <v>0</v>
      </c>
      <c r="BE52" s="893">
        <v>0</v>
      </c>
      <c r="BF52" s="893">
        <v>0</v>
      </c>
      <c r="BH52" s="816">
        <v>4.5999999999999999E-2</v>
      </c>
      <c r="BI52" s="816">
        <v>4.5999999999999999E-2</v>
      </c>
      <c r="BJ52" s="816">
        <v>4.5999999999999999E-2</v>
      </c>
      <c r="BK52" s="816">
        <v>4.5999999999999999E-2</v>
      </c>
      <c r="BL52" s="816">
        <v>4.5999999999999999E-2</v>
      </c>
      <c r="BM52" s="816">
        <v>0.38500000000000001</v>
      </c>
      <c r="BN52" s="816">
        <v>0.38500000000000001</v>
      </c>
      <c r="BO52" s="816">
        <v>0</v>
      </c>
      <c r="BP52" s="816">
        <v>0</v>
      </c>
      <c r="BQ52" s="816">
        <v>0</v>
      </c>
      <c r="BR52" s="816">
        <v>0</v>
      </c>
      <c r="BS52" s="816">
        <v>0</v>
      </c>
      <c r="BT52" s="816">
        <v>0</v>
      </c>
      <c r="BU52" s="816">
        <v>0</v>
      </c>
      <c r="BV52" s="816">
        <v>0</v>
      </c>
      <c r="BW52" s="816">
        <v>0</v>
      </c>
      <c r="BY52" s="816">
        <v>2.6000000000000002E-2</v>
      </c>
      <c r="BZ52" s="816">
        <v>2.6000000000000002E-2</v>
      </c>
      <c r="CA52" s="816">
        <v>2.6000000000000002E-2</v>
      </c>
      <c r="CB52" s="816">
        <v>2.6000000000000002E-2</v>
      </c>
      <c r="CC52" s="816">
        <v>2.6000000000000002E-2</v>
      </c>
      <c r="CD52" s="816">
        <v>0</v>
      </c>
      <c r="CE52" s="816">
        <v>0</v>
      </c>
      <c r="CF52" s="816">
        <v>0</v>
      </c>
      <c r="CG52" s="816">
        <v>0</v>
      </c>
      <c r="CH52" s="816">
        <v>0</v>
      </c>
      <c r="CI52" s="816">
        <v>0</v>
      </c>
      <c r="CJ52" s="816">
        <v>0</v>
      </c>
      <c r="CK52" s="816">
        <v>0</v>
      </c>
      <c r="CL52" s="816">
        <v>0</v>
      </c>
      <c r="CM52" s="816">
        <v>0</v>
      </c>
      <c r="CN52" s="816">
        <v>0</v>
      </c>
      <c r="CO52" s="816" t="s">
        <v>1340</v>
      </c>
      <c r="CP52" s="818">
        <f>INDEX('Monthly Run-off Change'!I:I,MATCH($B52,'Monthly Run-off Change'!$E:$E,0))</f>
        <v>2.3000000000000003E-2</v>
      </c>
      <c r="CQ52" s="818">
        <f>INDEX('Monthly Run-off Change'!J:J,MATCH($B52,'Monthly Run-off Change'!$E:$E,0))</f>
        <v>8.0500000000000016E-2</v>
      </c>
      <c r="CR52" s="818">
        <f>INDEX('Monthly Run-off Change'!K:K,MATCH($B52,'Monthly Run-off Change'!$E:$E,0))</f>
        <v>8.0500000000000016E-2</v>
      </c>
      <c r="CS52" s="818">
        <f>INDEX('Monthly Run-off Change'!L:L,MATCH($B52,'Monthly Run-off Change'!$E:$E,0))</f>
        <v>2.2999999999999993E-2</v>
      </c>
      <c r="CT52" s="818">
        <f>INDEX('Monthly Run-off Change'!M:M,MATCH($B52,'Monthly Run-off Change'!$E:$E,0))</f>
        <v>2.2999999999999993E-2</v>
      </c>
      <c r="CU52" s="818">
        <f>INDEX('Monthly Run-off Change'!N:N,MATCH($B52,'Monthly Run-off Change'!$E:$E,0))</f>
        <v>2.3000000000000007E-2</v>
      </c>
      <c r="CV52" s="818">
        <f>INDEX('Monthly Run-off Change'!O:O,MATCH($B52,'Monthly Run-off Change'!$E:$E,0))</f>
        <v>2.3000000000000007E-2</v>
      </c>
      <c r="CW52" s="818">
        <f>INDEX('Monthly Run-off Change'!P:P,MATCH($B52,'Monthly Run-off Change'!$E:$E,0))</f>
        <v>7.6666666666666671E-3</v>
      </c>
      <c r="CX52" s="818">
        <f>INDEX('Monthly Run-off Change'!Q:Q,MATCH($B52,'Monthly Run-off Change'!$E:$E,0))</f>
        <v>7.6666666666666671E-3</v>
      </c>
      <c r="CY52" s="818">
        <f>INDEX('Monthly Run-off Change'!R:R,MATCH($B52,'Monthly Run-off Change'!$E:$E,0))</f>
        <v>7.6666666666666671E-3</v>
      </c>
      <c r="CZ52" s="818">
        <f>INDEX('Monthly Run-off Change'!S:S,MATCH($B52,'Monthly Run-off Change'!$E:$E,0))</f>
        <v>7.6666666666666671E-3</v>
      </c>
      <c r="DA52" s="818">
        <f>INDEX('Monthly Run-off Change'!T:T,MATCH($B52,'Monthly Run-off Change'!$E:$E,0))</f>
        <v>7.6666666666666671E-3</v>
      </c>
      <c r="DB52" s="818">
        <f>INDEX('Monthly Run-off Change'!U:U,MATCH($B52,'Monthly Run-off Change'!$E:$E,0))</f>
        <v>7.6666666666666671E-3</v>
      </c>
      <c r="DC52" s="818">
        <f>INDEX('Monthly Run-off Change'!V:V,MATCH($B52,'Monthly Run-off Change'!$E:$E,0))</f>
        <v>7.6666666666666671E-3</v>
      </c>
      <c r="DD52" s="818">
        <f>INDEX('Monthly Run-off Change'!W:W,MATCH($B52,'Monthly Run-off Change'!$E:$E,0))</f>
        <v>7.6666666666666671E-3</v>
      </c>
      <c r="DE52" s="818">
        <f>INDEX('Monthly Run-off Change'!X:X,MATCH($B52,'Monthly Run-off Change'!$E:$E,0))</f>
        <v>7.6666666666666671E-3</v>
      </c>
      <c r="DF52" s="899">
        <f>INDEX('Monthly Run-off Change'!Y:Y,MATCH($B52,'Monthly Run-off Change'!$E:$E,0))</f>
        <v>0</v>
      </c>
      <c r="DG52" s="899">
        <f>INDEX('Monthly Run-off Change'!Z:Z,MATCH($B52,'Monthly Run-off Change'!$E:$E,0))</f>
        <v>2.0000000000000004E-2</v>
      </c>
      <c r="DH52" s="899">
        <f>INDEX('Monthly Run-off Change'!AA:AA,MATCH($B52,'Monthly Run-off Change'!$E:$E,0))</f>
        <v>7.0000000000000007E-2</v>
      </c>
      <c r="DI52" s="899">
        <f>INDEX('Monthly Run-off Change'!AB:AB,MATCH($B52,'Monthly Run-off Change'!$E:$E,0))</f>
        <v>7.0000000000000007E-2</v>
      </c>
      <c r="DJ52" s="899">
        <f>INDEX('Monthly Run-off Change'!AC:AC,MATCH($B52,'Monthly Run-off Change'!$E:$E,0))</f>
        <v>1.999999999999999E-2</v>
      </c>
      <c r="DK52" s="899">
        <f>INDEX('Monthly Run-off Change'!AD:AD,MATCH($B52,'Monthly Run-off Change'!$E:$E,0))</f>
        <v>1.999999999999999E-2</v>
      </c>
      <c r="DL52" s="899">
        <f>INDEX('Monthly Run-off Change'!AE:AE,MATCH($B52,'Monthly Run-off Change'!$E:$E,0))</f>
        <v>1.999999999999999E-2</v>
      </c>
      <c r="DM52" s="899">
        <f>INDEX('Monthly Run-off Change'!AF:AF,MATCH($B52,'Monthly Run-off Change'!$E:$E,0))</f>
        <v>1.999999999999999E-2</v>
      </c>
      <c r="DN52" s="899">
        <f>INDEX('Monthly Run-off Change'!AG:AG,MATCH($B52,'Monthly Run-off Change'!$E:$E,0))</f>
        <v>6.6666666666666723E-3</v>
      </c>
      <c r="DO52" s="899">
        <f>INDEX('Monthly Run-off Change'!AH:AH,MATCH($B52,'Monthly Run-off Change'!$E:$E,0))</f>
        <v>6.6666666666666723E-3</v>
      </c>
      <c r="DP52" s="899">
        <f>INDEX('Monthly Run-off Change'!AI:AI,MATCH($B52,'Monthly Run-off Change'!$E:$E,0))</f>
        <v>6.6666666666666723E-3</v>
      </c>
      <c r="DQ52" s="899">
        <f>INDEX('Monthly Run-off Change'!AJ:AJ,MATCH($B52,'Monthly Run-off Change'!$E:$E,0))</f>
        <v>6.6666666666666723E-3</v>
      </c>
      <c r="DR52" s="899">
        <f>INDEX('Monthly Run-off Change'!AK:AK,MATCH($B52,'Monthly Run-off Change'!$E:$E,0))</f>
        <v>6.6666666666666723E-3</v>
      </c>
      <c r="DS52" s="899">
        <f>INDEX('Monthly Run-off Change'!AL:AL,MATCH($B52,'Monthly Run-off Change'!$E:$E,0))</f>
        <v>6.6666666666666723E-3</v>
      </c>
      <c r="DT52" s="899">
        <f>INDEX('Monthly Run-off Change'!AM:AM,MATCH($B52,'Monthly Run-off Change'!$E:$E,0))</f>
        <v>6.6666666666666723E-3</v>
      </c>
      <c r="DU52" s="899">
        <f>INDEX('Monthly Run-off Change'!AN:AN,MATCH($B52,'Monthly Run-off Change'!$E:$E,0))</f>
        <v>6.6666666666666723E-3</v>
      </c>
      <c r="DV52" s="899">
        <f>INDEX('Monthly Run-off Change'!AO:AO,MATCH($B52,'Monthly Run-off Change'!$E:$E,0))</f>
        <v>6.6666666666666723E-3</v>
      </c>
      <c r="DW52" s="899">
        <f>INDEX('Monthly Run-off Change'!AP:AP,MATCH($B52,'Monthly Run-off Change'!$E:$E,0))</f>
        <v>0</v>
      </c>
      <c r="DX52" s="899">
        <f>INDEX('Monthly Run-off Change'!AQ:AQ,MATCH($B52,'Monthly Run-off Change'!$E:$E,0))</f>
        <v>1.4999999999999999E-2</v>
      </c>
      <c r="DY52" s="899">
        <f>INDEX('Monthly Run-off Change'!AR:AR,MATCH($B52,'Monthly Run-off Change'!$E:$E,0))</f>
        <v>5.2499999999999998E-2</v>
      </c>
      <c r="DZ52" s="899">
        <f>INDEX('Monthly Run-off Change'!AS:AS,MATCH($B52,'Monthly Run-off Change'!$E:$E,0))</f>
        <v>5.2499999999999998E-2</v>
      </c>
      <c r="EA52" s="899">
        <f>INDEX('Monthly Run-off Change'!AT:AT,MATCH($B52,'Monthly Run-off Change'!$E:$E,0))</f>
        <v>1.4999999999999999E-2</v>
      </c>
      <c r="EB52" s="899">
        <f>INDEX('Monthly Run-off Change'!AU:AU,MATCH($B52,'Monthly Run-off Change'!$E:$E,0))</f>
        <v>1.4999999999999999E-2</v>
      </c>
      <c r="EC52" s="899">
        <f>INDEX('Monthly Run-off Change'!AV:AV,MATCH($B52,'Monthly Run-off Change'!$E:$E,0))</f>
        <v>1.4999999999999999E-2</v>
      </c>
      <c r="ED52" s="899">
        <f>INDEX('Monthly Run-off Change'!AW:AW,MATCH($B52,'Monthly Run-off Change'!$E:$E,0))</f>
        <v>1.4999999999999999E-2</v>
      </c>
      <c r="EE52" s="899">
        <f>INDEX('Monthly Run-off Change'!AX:AX,MATCH($B52,'Monthly Run-off Change'!$E:$E,0))</f>
        <v>4.9999999999999984E-3</v>
      </c>
      <c r="EF52" s="899">
        <f>INDEX('Monthly Run-off Change'!AY:AY,MATCH($B52,'Monthly Run-off Change'!$E:$E,0))</f>
        <v>4.9999999999999984E-3</v>
      </c>
      <c r="EG52" s="899">
        <f>INDEX('Monthly Run-off Change'!AZ:AZ,MATCH($B52,'Monthly Run-off Change'!$E:$E,0))</f>
        <v>4.9999999999999984E-3</v>
      </c>
      <c r="EH52" s="899">
        <f>INDEX('Monthly Run-off Change'!BA:BA,MATCH($B52,'Monthly Run-off Change'!$E:$E,0))</f>
        <v>4.9999999999999984E-3</v>
      </c>
      <c r="EI52" s="899">
        <f>INDEX('Monthly Run-off Change'!BB:BB,MATCH($B52,'Monthly Run-off Change'!$E:$E,0))</f>
        <v>4.9999999999999984E-3</v>
      </c>
      <c r="EJ52" s="899">
        <f>INDEX('Monthly Run-off Change'!BC:BC,MATCH($B52,'Monthly Run-off Change'!$E:$E,0))</f>
        <v>4.9999999999999984E-3</v>
      </c>
      <c r="EK52" s="899">
        <f>INDEX('Monthly Run-off Change'!BD:BD,MATCH($B52,'Monthly Run-off Change'!$E:$E,0))</f>
        <v>4.9999999999999984E-3</v>
      </c>
      <c r="EL52" s="899">
        <f>INDEX('Monthly Run-off Change'!BE:BE,MATCH($B52,'Monthly Run-off Change'!$E:$E,0))</f>
        <v>4.9999999999999984E-3</v>
      </c>
      <c r="EM52" s="899">
        <f>INDEX('Monthly Run-off Change'!BF:BF,MATCH($B52,'Monthly Run-off Change'!$E:$E,0))</f>
        <v>4.9999999999999984E-3</v>
      </c>
      <c r="FQ52" s="898"/>
      <c r="FS52" s="898"/>
      <c r="FT52" s="898"/>
      <c r="FU52" s="898"/>
      <c r="FV52" s="898"/>
      <c r="FW52" s="898"/>
      <c r="FX52" s="898"/>
      <c r="FY52" s="898"/>
      <c r="FZ52" s="898"/>
      <c r="GA52" s="898"/>
      <c r="GB52" s="898"/>
      <c r="GC52" s="898"/>
      <c r="GD52" s="898"/>
      <c r="GE52" s="898"/>
      <c r="GF52" s="898"/>
      <c r="GG52" s="898"/>
      <c r="GH52" s="898"/>
      <c r="GJ52" s="898"/>
      <c r="GK52" s="898"/>
      <c r="GL52" s="898"/>
      <c r="GM52" s="898"/>
      <c r="GN52" s="898"/>
      <c r="GO52" s="898"/>
      <c r="GP52" s="898"/>
      <c r="GQ52" s="898"/>
      <c r="GR52" s="898"/>
      <c r="GS52" s="898"/>
      <c r="GT52" s="898"/>
      <c r="GU52" s="898"/>
      <c r="GV52" s="898"/>
      <c r="GW52" s="898"/>
      <c r="GX52" s="898"/>
      <c r="GY52" s="898"/>
      <c r="HA52" s="898"/>
      <c r="HB52" s="898"/>
      <c r="HC52" s="898"/>
      <c r="HD52" s="898"/>
      <c r="HE52" s="898"/>
      <c r="HF52" s="898"/>
      <c r="HG52" s="898"/>
      <c r="HH52" s="898"/>
      <c r="HI52" s="898"/>
      <c r="HJ52" s="898"/>
      <c r="HK52" s="898"/>
      <c r="HL52" s="898"/>
      <c r="HM52" s="898"/>
      <c r="HN52" s="898"/>
      <c r="HO52" s="898"/>
      <c r="HP52" s="898"/>
    </row>
    <row r="53" spans="1:224">
      <c r="A53" s="816" t="s">
        <v>1320</v>
      </c>
      <c r="B53" s="816" t="s">
        <v>1316</v>
      </c>
      <c r="C53" s="816">
        <v>0</v>
      </c>
      <c r="D53" s="816">
        <f t="shared" si="4"/>
        <v>1</v>
      </c>
      <c r="E53" s="816">
        <v>0</v>
      </c>
      <c r="F53" s="816" t="str">
        <f>INDEX('Data Interface'!$C:$C,MATCH(B53,'Data Interface'!$B:$B,0))</f>
        <v>Due to Non-Bank Large FI - GIFS Capital</v>
      </c>
      <c r="G53" s="894">
        <f ca="1">IF($C53=1,$AJ53,SUM($AJ53:$AL53)*INDEX('Schedule Allocation'!G:G,MATCH($D53,'Schedule Allocation'!$A:$A,0)))</f>
        <v>0.15017707192308488</v>
      </c>
      <c r="H53" s="894">
        <f ca="1">IF($C53=1,$AK53,SUM($AJ53:$AL53)*INDEX('Schedule Allocation'!H:H,MATCH($D53,'Schedule Allocation'!$A:$A,0)))</f>
        <v>2.5029511987180814E-2</v>
      </c>
      <c r="I53" s="894">
        <f ca="1">IF($C53=1,$AK53,SUM($AJ53:$AL53)*INDEX('Schedule Allocation'!I:I,MATCH($D53,'Schedule Allocation'!$A:$A,0)))</f>
        <v>2.5029511987180814E-2</v>
      </c>
      <c r="J53" s="894">
        <f ca="1">IF($C53=1,$AK53,SUM($AJ53:$AL53)*INDEX('Schedule Allocation'!J:J,MATCH($D53,'Schedule Allocation'!$A:$A,0)))</f>
        <v>2.5029511987180814E-2</v>
      </c>
      <c r="K53" s="894">
        <f ca="1">IF($C53=1,$AK53,SUM($AJ53:$AL53)*INDEX('Schedule Allocation'!K:K,MATCH($D53,'Schedule Allocation'!$A:$A,0)))</f>
        <v>2.5029511987180814E-2</v>
      </c>
      <c r="L53" s="894">
        <f ca="1">IF($C53=1,$AK53,SUM($AJ53:$AL53)*INDEX('Schedule Allocation'!L:L,MATCH($D53,'Schedule Allocation'!$A:$A,0)))</f>
        <v>2.5029511987180814E-2</v>
      </c>
      <c r="M53" s="894">
        <f ca="1">IF($C53=1,$AK53,SUM($AJ53:$AL53)*INDEX('Schedule Allocation'!M:M,MATCH($D53,'Schedule Allocation'!$A:$A,0)))</f>
        <v>2.5029511987180814E-2</v>
      </c>
      <c r="N53" s="894">
        <f ca="1">IF($C53=1,$AL53,SUM($AJ53:$AL53)*INDEX('Schedule Allocation'!N:N,MATCH($D53,'Schedule Allocation'!$A:$A,0)))</f>
        <v>2.1453867417583559E-2</v>
      </c>
      <c r="O53" s="894">
        <f ca="1">IF($C53=1,$AL53,SUM($AJ53:$AL53)*INDEX('Schedule Allocation'!O:O,MATCH($D53,'Schedule Allocation'!$A:$A,0)))</f>
        <v>2.1453867417583559E-2</v>
      </c>
      <c r="P53" s="894">
        <f ca="1">IF($C53=1,$AL53,SUM($AJ53:$AL53)*INDEX('Schedule Allocation'!P:P,MATCH($D53,'Schedule Allocation'!$A:$A,0)))</f>
        <v>2.1453867417583559E-2</v>
      </c>
      <c r="Q53" s="894">
        <f ca="1">IF($C53=1,$AL53,SUM($AJ53:$AL53)*INDEX('Schedule Allocation'!Q:Q,MATCH($D53,'Schedule Allocation'!$A:$A,0)))</f>
        <v>2.1453867417583559E-2</v>
      </c>
      <c r="R53" s="894">
        <f ca="1">IF($C53=1,$AL53,SUM($AJ53:$AL53)*INDEX('Schedule Allocation'!R:R,MATCH($D53,'Schedule Allocation'!$A:$A,0)))</f>
        <v>2.1453867417583559E-2</v>
      </c>
      <c r="S53" s="894">
        <f ca="1">IF($C53=1,$AL53,SUM($AJ53:$AL53)*INDEX('Schedule Allocation'!S:S,MATCH($D53,'Schedule Allocation'!$A:$A,0)))</f>
        <v>2.1453867417583559E-2</v>
      </c>
      <c r="T53" s="894">
        <f ca="1">IF($C53=1,$AL53,SUM($AJ53:$AL53)*INDEX('Schedule Allocation'!T:T,MATCH($D53,'Schedule Allocation'!$A:$A,0)))</f>
        <v>2.1453867417583559E-2</v>
      </c>
      <c r="U53" s="894">
        <f ca="1">OFFSET(AT53,0,(MATCH('Model Report Formatized'!$E$1,$AN$1:$AN$6,0))*17-17)</f>
        <v>1.281386428513695E-2</v>
      </c>
      <c r="V53" s="894">
        <f ca="1">OFFSET(AU53,0,(MATCH('Model Report Formatized'!$E$1,$AN$1:$AN$6,0))*17-17)</f>
        <v>1.281386428513695E-2</v>
      </c>
      <c r="W53" s="894">
        <f ca="1">OFFSET(AV53,0,(MATCH('Model Report Formatized'!$E$1,$AN$1:$AN$6,0))*17-17)</f>
        <v>4.761589443395281E-2</v>
      </c>
      <c r="X53" s="894">
        <f ca="1">OFFSET(AW53,0,(MATCH('Model Report Formatized'!$E$1,$AN$1:$AN$6,0))*17-17)</f>
        <v>4.761589443395281E-2</v>
      </c>
      <c r="Y53" s="894">
        <f ca="1">OFFSET(AX53,0,(MATCH('Model Report Formatized'!$E$1,$AN$1:$AN$6,0))*17-17)</f>
        <v>1.5484280471092392E-2</v>
      </c>
      <c r="Z53" s="894">
        <f ca="1">OFFSET(AY53,0,(MATCH('Model Report Formatized'!$E$1,$AN$1:$AN$6,0))*17-17)</f>
        <v>1.5484280471092392E-2</v>
      </c>
      <c r="AA53" s="894">
        <f ca="1">OFFSET(AZ53,0,(MATCH('Model Report Formatized'!$E$1,$AN$1:$AN$6,0))*17-17)</f>
        <v>1.5484280471092392E-2</v>
      </c>
      <c r="AB53" s="894">
        <f ca="1">OFFSET(BA53,0,(MATCH('Model Report Formatized'!$E$1,$AN$1:$AN$6,0))*17-17)</f>
        <v>1.5484280471092392E-2</v>
      </c>
      <c r="AC53" s="894">
        <f ca="1">OFFSET(BB53,0,(MATCH('Model Report Formatized'!$E$1,$AN$1:$AN$6,0))*17-17)</f>
        <v>1.5484280471092392E-2</v>
      </c>
      <c r="AD53" s="894">
        <f ca="1">OFFSET(BC53,0,(MATCH('Model Report Formatized'!$E$1,$AN$1:$AN$6,0))*17-17)</f>
        <v>1.5484280471092392E-2</v>
      </c>
      <c r="AE53" s="894">
        <f ca="1">OFFSET(BD53,0,(MATCH('Model Report Formatized'!$E$1,$AN$1:$AN$6,0))*17-17)</f>
        <v>1.5484280471092392E-2</v>
      </c>
      <c r="AF53" s="894">
        <f ca="1">OFFSET(BE53,0,(MATCH('Model Report Formatized'!$E$1,$AN$1:$AN$6,0))*17-17)</f>
        <v>1.5484280471092392E-2</v>
      </c>
      <c r="AG53" s="894">
        <f ca="1">OFFSET(BF53,0,(MATCH('Model Report Formatized'!$E$1,$AN$1:$AN$6,0))*17-17)</f>
        <v>1.5484280471092392E-2</v>
      </c>
      <c r="AH53" s="891">
        <f t="shared" ca="1" si="5"/>
        <v>-2.2204460492503131E-16</v>
      </c>
      <c r="AJ53" s="895">
        <f ca="1">OFFSET(AQ53,0,(MATCH('Model Report Formatized'!$E$1,$AN$1:$AN$6,0))*17-17)</f>
        <v>8.2417924582768781E-2</v>
      </c>
      <c r="AK53" s="895">
        <f ca="1">OFFSET(AR53,0,(MATCH('Model Report Formatized'!$E$1,$AN$1:$AN$6,0))*17-17)</f>
        <v>0.18405664559324297</v>
      </c>
      <c r="AL53" s="895">
        <f ca="1">OFFSET(AS53,0,(MATCH('Model Report Formatized'!$E$1,$AN$1:$AN$6,0))*17-17)</f>
        <v>0.18405664559324297</v>
      </c>
      <c r="AQ53" s="893">
        <v>1</v>
      </c>
      <c r="AR53" s="893">
        <v>0</v>
      </c>
      <c r="AS53" s="893">
        <v>0</v>
      </c>
      <c r="AT53" s="893">
        <v>0</v>
      </c>
      <c r="AU53" s="893">
        <v>0</v>
      </c>
      <c r="AV53" s="893">
        <v>0</v>
      </c>
      <c r="AW53" s="893">
        <v>0</v>
      </c>
      <c r="AX53" s="893">
        <v>0</v>
      </c>
      <c r="AY53" s="893">
        <v>0</v>
      </c>
      <c r="AZ53" s="893">
        <v>0</v>
      </c>
      <c r="BA53" s="893">
        <v>0</v>
      </c>
      <c r="BB53" s="893">
        <v>0</v>
      </c>
      <c r="BC53" s="893">
        <v>0</v>
      </c>
      <c r="BD53" s="893">
        <v>0</v>
      </c>
      <c r="BE53" s="893">
        <v>0</v>
      </c>
      <c r="BF53" s="893">
        <v>0</v>
      </c>
      <c r="BH53" s="816">
        <v>1</v>
      </c>
      <c r="BI53" s="816">
        <v>0</v>
      </c>
      <c r="BJ53" s="816">
        <v>0</v>
      </c>
      <c r="BK53" s="816">
        <v>0</v>
      </c>
      <c r="BL53" s="816">
        <v>0</v>
      </c>
      <c r="BM53" s="816">
        <v>0</v>
      </c>
      <c r="BN53" s="816">
        <v>0</v>
      </c>
      <c r="BO53" s="816">
        <v>0</v>
      </c>
      <c r="BP53" s="816">
        <v>0</v>
      </c>
      <c r="BQ53" s="816">
        <v>0</v>
      </c>
      <c r="BR53" s="816">
        <v>0</v>
      </c>
      <c r="BS53" s="816">
        <v>0</v>
      </c>
      <c r="BT53" s="816">
        <v>0</v>
      </c>
      <c r="BU53" s="816">
        <v>0</v>
      </c>
      <c r="BV53" s="816">
        <v>0</v>
      </c>
      <c r="BW53" s="816">
        <v>0</v>
      </c>
      <c r="BY53" s="817">
        <v>0.02</v>
      </c>
      <c r="BZ53" s="817">
        <v>0.02</v>
      </c>
      <c r="CA53" s="817">
        <v>0.02</v>
      </c>
      <c r="CB53" s="817">
        <v>0.02</v>
      </c>
      <c r="CC53" s="817">
        <v>0.02</v>
      </c>
      <c r="CD53" s="817">
        <v>0</v>
      </c>
      <c r="CE53" s="817">
        <v>0</v>
      </c>
      <c r="CF53" s="817">
        <v>0</v>
      </c>
      <c r="CG53" s="817">
        <v>0</v>
      </c>
      <c r="CH53" s="817">
        <v>0</v>
      </c>
      <c r="CI53" s="817">
        <v>0</v>
      </c>
      <c r="CJ53" s="817">
        <v>0</v>
      </c>
      <c r="CK53" s="817">
        <v>0</v>
      </c>
      <c r="CL53" s="817">
        <v>0</v>
      </c>
      <c r="CM53" s="817">
        <v>0</v>
      </c>
      <c r="CN53" s="817">
        <v>0</v>
      </c>
      <c r="CO53" s="816" t="s">
        <v>1340</v>
      </c>
      <c r="CP53" s="818">
        <f>INDEX('Monthly Run-off Change'!I:I,MATCH($B53,'Monthly Run-off Change'!$E:$E,0))</f>
        <v>8.2417924582768781E-2</v>
      </c>
      <c r="CQ53" s="818">
        <f>INDEX('Monthly Run-off Change'!J:J,MATCH($B53,'Monthly Run-off Change'!$E:$E,0))</f>
        <v>0.18405664559324297</v>
      </c>
      <c r="CR53" s="818">
        <f>INDEX('Monthly Run-off Change'!K:K,MATCH($B53,'Monthly Run-off Change'!$E:$E,0))</f>
        <v>0.18405664559324297</v>
      </c>
      <c r="CS53" s="818">
        <f>INDEX('Monthly Run-off Change'!L:L,MATCH($B53,'Monthly Run-off Change'!$E:$E,0))</f>
        <v>1.281386428513695E-2</v>
      </c>
      <c r="CT53" s="818">
        <f>INDEX('Monthly Run-off Change'!M:M,MATCH($B53,'Monthly Run-off Change'!$E:$E,0))</f>
        <v>1.281386428513695E-2</v>
      </c>
      <c r="CU53" s="818">
        <f>INDEX('Monthly Run-off Change'!N:N,MATCH($B53,'Monthly Run-off Change'!$E:$E,0))</f>
        <v>4.761589443395281E-2</v>
      </c>
      <c r="CV53" s="818">
        <f>INDEX('Monthly Run-off Change'!O:O,MATCH($B53,'Monthly Run-off Change'!$E:$E,0))</f>
        <v>4.761589443395281E-2</v>
      </c>
      <c r="CW53" s="818">
        <f>INDEX('Monthly Run-off Change'!P:P,MATCH($B53,'Monthly Run-off Change'!$E:$E,0))</f>
        <v>1.5484280471092392E-2</v>
      </c>
      <c r="CX53" s="818">
        <f>INDEX('Monthly Run-off Change'!Q:Q,MATCH($B53,'Monthly Run-off Change'!$E:$E,0))</f>
        <v>1.5484280471092392E-2</v>
      </c>
      <c r="CY53" s="818">
        <f>INDEX('Monthly Run-off Change'!R:R,MATCH($B53,'Monthly Run-off Change'!$E:$E,0))</f>
        <v>1.5484280471092392E-2</v>
      </c>
      <c r="CZ53" s="818">
        <f>INDEX('Monthly Run-off Change'!S:S,MATCH($B53,'Monthly Run-off Change'!$E:$E,0))</f>
        <v>1.5484280471092392E-2</v>
      </c>
      <c r="DA53" s="818">
        <f>INDEX('Monthly Run-off Change'!T:T,MATCH($B53,'Monthly Run-off Change'!$E:$E,0))</f>
        <v>1.5484280471092392E-2</v>
      </c>
      <c r="DB53" s="818">
        <f>INDEX('Monthly Run-off Change'!U:U,MATCH($B53,'Monthly Run-off Change'!$E:$E,0))</f>
        <v>1.5484280471092392E-2</v>
      </c>
      <c r="DC53" s="818">
        <f>INDEX('Monthly Run-off Change'!V:V,MATCH($B53,'Monthly Run-off Change'!$E:$E,0))</f>
        <v>1.5484280471092392E-2</v>
      </c>
      <c r="DD53" s="818">
        <f>INDEX('Monthly Run-off Change'!W:W,MATCH($B53,'Monthly Run-off Change'!$E:$E,0))</f>
        <v>1.5484280471092392E-2</v>
      </c>
      <c r="DE53" s="818">
        <f>INDEX('Monthly Run-off Change'!X:X,MATCH($B53,'Monthly Run-off Change'!$E:$E,0))</f>
        <v>1.5484280471092392E-2</v>
      </c>
      <c r="DF53" s="899">
        <f>INDEX('Monthly Run-off Change'!Y:Y,MATCH($B53,'Monthly Run-off Change'!$E:$E,0))</f>
        <v>0</v>
      </c>
      <c r="DG53" s="899">
        <f>INDEX('Monthly Run-off Change'!Z:Z,MATCH($B53,'Monthly Run-off Change'!$E:$E,0))</f>
        <v>7.7146340964964866E-2</v>
      </c>
      <c r="DH53" s="899">
        <f>INDEX('Monthly Run-off Change'!AA:AA,MATCH($B53,'Monthly Run-off Change'!$E:$E,0))</f>
        <v>0.17100641795402138</v>
      </c>
      <c r="DI53" s="899">
        <f>INDEX('Monthly Run-off Change'!AB:AB,MATCH($B53,'Monthly Run-off Change'!$E:$E,0))</f>
        <v>0.17100641795402138</v>
      </c>
      <c r="DJ53" s="899">
        <f>INDEX('Monthly Run-off Change'!AC:AC,MATCH($B53,'Monthly Run-off Change'!$E:$E,0))</f>
        <v>1.1142490682727768E-2</v>
      </c>
      <c r="DK53" s="899">
        <f>INDEX('Monthly Run-off Change'!AD:AD,MATCH($B53,'Monthly Run-off Change'!$E:$E,0))</f>
        <v>1.1142490682727768E-2</v>
      </c>
      <c r="DL53" s="899">
        <f>INDEX('Monthly Run-off Change'!AE:AE,MATCH($B53,'Monthly Run-off Change'!$E:$E,0))</f>
        <v>4.4144415823846317E-2</v>
      </c>
      <c r="DM53" s="899">
        <f>INDEX('Monthly Run-off Change'!AF:AF,MATCH($B53,'Monthly Run-off Change'!$E:$E,0))</f>
        <v>4.4144415823846317E-2</v>
      </c>
      <c r="DN53" s="899">
        <f>INDEX('Monthly Run-off Change'!AG:AG,MATCH($B53,'Monthly Run-off Change'!$E:$E,0))</f>
        <v>1.4714805274615451E-2</v>
      </c>
      <c r="DO53" s="899">
        <f>INDEX('Monthly Run-off Change'!AH:AH,MATCH($B53,'Monthly Run-off Change'!$E:$E,0))</f>
        <v>1.4714805274615451E-2</v>
      </c>
      <c r="DP53" s="899">
        <f>INDEX('Monthly Run-off Change'!AI:AI,MATCH($B53,'Monthly Run-off Change'!$E:$E,0))</f>
        <v>1.4714805274615451E-2</v>
      </c>
      <c r="DQ53" s="899">
        <f>INDEX('Monthly Run-off Change'!AJ:AJ,MATCH($B53,'Monthly Run-off Change'!$E:$E,0))</f>
        <v>1.4714805274615451E-2</v>
      </c>
      <c r="DR53" s="899">
        <f>INDEX('Monthly Run-off Change'!AK:AK,MATCH($B53,'Monthly Run-off Change'!$E:$E,0))</f>
        <v>1.4714805274615451E-2</v>
      </c>
      <c r="DS53" s="899">
        <f>INDEX('Monthly Run-off Change'!AL:AL,MATCH($B53,'Monthly Run-off Change'!$E:$E,0))</f>
        <v>1.4714805274615451E-2</v>
      </c>
      <c r="DT53" s="899">
        <f>INDEX('Monthly Run-off Change'!AM:AM,MATCH($B53,'Monthly Run-off Change'!$E:$E,0))</f>
        <v>1.4714805274615451E-2</v>
      </c>
      <c r="DU53" s="899">
        <f>INDEX('Monthly Run-off Change'!AN:AN,MATCH($B53,'Monthly Run-off Change'!$E:$E,0))</f>
        <v>1.4714805274615451E-2</v>
      </c>
      <c r="DV53" s="899">
        <f>INDEX('Monthly Run-off Change'!AO:AO,MATCH($B53,'Monthly Run-off Change'!$E:$E,0))</f>
        <v>1.4714805274615451E-2</v>
      </c>
      <c r="DW53" s="899">
        <f>INDEX('Monthly Run-off Change'!AP:AP,MATCH($B53,'Monthly Run-off Change'!$E:$E,0))</f>
        <v>0</v>
      </c>
      <c r="DX53" s="899">
        <f>INDEX('Monthly Run-off Change'!AQ:AQ,MATCH($B53,'Monthly Run-off Change'!$E:$E,0))</f>
        <v>3.8358618140335414E-2</v>
      </c>
      <c r="DY53" s="899">
        <f>INDEX('Monthly Run-off Change'!AR:AR,MATCH($B53,'Monthly Run-off Change'!$E:$E,0))</f>
        <v>8.9252538298739581E-2</v>
      </c>
      <c r="DZ53" s="899">
        <f>INDEX('Monthly Run-off Change'!AS:AS,MATCH($B53,'Monthly Run-off Change'!$E:$E,0))</f>
        <v>8.9252538298739581E-2</v>
      </c>
      <c r="EA53" s="899">
        <f>INDEX('Monthly Run-off Change'!AT:AT,MATCH($B53,'Monthly Run-off Change'!$E:$E,0))</f>
        <v>8.3568680120458261E-3</v>
      </c>
      <c r="EB53" s="899">
        <f>INDEX('Monthly Run-off Change'!AU:AU,MATCH($B53,'Monthly Run-off Change'!$E:$E,0))</f>
        <v>8.3568680120458261E-3</v>
      </c>
      <c r="EC53" s="899">
        <f>INDEX('Monthly Run-off Change'!AV:AV,MATCH($B53,'Monthly Run-off Change'!$E:$E,0))</f>
        <v>2.3357743076190624E-2</v>
      </c>
      <c r="ED53" s="899">
        <f>INDEX('Monthly Run-off Change'!AW:AW,MATCH($B53,'Monthly Run-off Change'!$E:$E,0))</f>
        <v>2.3357743076190624E-2</v>
      </c>
      <c r="EE53" s="899">
        <f>INDEX('Monthly Run-off Change'!AX:AX,MATCH($B53,'Monthly Run-off Change'!$E:$E,0))</f>
        <v>7.7859143587302049E-3</v>
      </c>
      <c r="EF53" s="899">
        <f>INDEX('Monthly Run-off Change'!AY:AY,MATCH($B53,'Monthly Run-off Change'!$E:$E,0))</f>
        <v>7.7859143587302049E-3</v>
      </c>
      <c r="EG53" s="899">
        <f>INDEX('Monthly Run-off Change'!AZ:AZ,MATCH($B53,'Monthly Run-off Change'!$E:$E,0))</f>
        <v>7.7859143587302049E-3</v>
      </c>
      <c r="EH53" s="899">
        <f>INDEX('Monthly Run-off Change'!BA:BA,MATCH($B53,'Monthly Run-off Change'!$E:$E,0))</f>
        <v>7.7859143587302049E-3</v>
      </c>
      <c r="EI53" s="899">
        <f>INDEX('Monthly Run-off Change'!BB:BB,MATCH($B53,'Monthly Run-off Change'!$E:$E,0))</f>
        <v>7.7859143587302049E-3</v>
      </c>
      <c r="EJ53" s="899">
        <f>INDEX('Monthly Run-off Change'!BC:BC,MATCH($B53,'Monthly Run-off Change'!$E:$E,0))</f>
        <v>7.7859143587302049E-3</v>
      </c>
      <c r="EK53" s="899">
        <f>INDEX('Monthly Run-off Change'!BD:BD,MATCH($B53,'Monthly Run-off Change'!$E:$E,0))</f>
        <v>7.7859143587302049E-3</v>
      </c>
      <c r="EL53" s="899">
        <f>INDEX('Monthly Run-off Change'!BE:BE,MATCH($B53,'Monthly Run-off Change'!$E:$E,0))</f>
        <v>7.7859143587302049E-3</v>
      </c>
      <c r="EM53" s="899">
        <f>INDEX('Monthly Run-off Change'!BF:BF,MATCH($B53,'Monthly Run-off Change'!$E:$E,0))</f>
        <v>7.7859143587302049E-3</v>
      </c>
      <c r="FQ53" s="898"/>
      <c r="FS53" s="898"/>
      <c r="FT53" s="898"/>
      <c r="FU53" s="898"/>
      <c r="FV53" s="898"/>
      <c r="FW53" s="898"/>
      <c r="FX53" s="898"/>
      <c r="FY53" s="898"/>
      <c r="FZ53" s="898"/>
      <c r="GA53" s="898"/>
      <c r="GB53" s="898"/>
      <c r="GC53" s="898"/>
      <c r="GD53" s="898"/>
      <c r="GE53" s="898"/>
      <c r="GF53" s="898"/>
      <c r="GG53" s="898"/>
      <c r="GH53" s="898"/>
      <c r="GJ53" s="898"/>
      <c r="GK53" s="898"/>
      <c r="GL53" s="898"/>
      <c r="GM53" s="898"/>
      <c r="GN53" s="898"/>
      <c r="GO53" s="898"/>
      <c r="GP53" s="898"/>
      <c r="GQ53" s="898"/>
      <c r="GR53" s="898"/>
      <c r="GS53" s="898"/>
      <c r="GT53" s="898"/>
      <c r="GU53" s="898"/>
      <c r="GV53" s="898"/>
      <c r="GW53" s="898"/>
      <c r="GX53" s="898"/>
      <c r="GY53" s="898"/>
      <c r="HA53" s="898"/>
      <c r="HB53" s="898"/>
      <c r="HC53" s="898"/>
      <c r="HD53" s="898"/>
      <c r="HE53" s="898"/>
      <c r="HF53" s="898"/>
      <c r="HG53" s="898"/>
      <c r="HH53" s="898"/>
      <c r="HI53" s="898"/>
      <c r="HJ53" s="898"/>
      <c r="HK53" s="898"/>
      <c r="HL53" s="898"/>
      <c r="HM53" s="898"/>
      <c r="HN53" s="898"/>
      <c r="HO53" s="898"/>
      <c r="HP53" s="898"/>
    </row>
    <row r="54" spans="1:224">
      <c r="A54" s="816" t="s">
        <v>1320</v>
      </c>
      <c r="B54" s="816" t="s">
        <v>1446</v>
      </c>
      <c r="C54" s="816">
        <v>0</v>
      </c>
      <c r="D54" s="816">
        <f t="shared" si="4"/>
        <v>1</v>
      </c>
      <c r="E54" s="816">
        <v>0</v>
      </c>
      <c r="F54" s="816" t="str">
        <f>INDEX('Data Interface'!$C:$C,MATCH(B54,'Data Interface'!$B:$B,0))</f>
        <v>Due to Non-Bank Large FI - CIC INTERNATIONAL CO., LIMITED</v>
      </c>
      <c r="G54" s="894">
        <f ca="1">IF($C54=1,$AJ54,SUM($AJ54:$AL54)*INDEX('Schedule Allocation'!G:G,MATCH($D54,'Schedule Allocation'!$A:$A,0)))</f>
        <v>6.1333333333333351E-2</v>
      </c>
      <c r="H54" s="894">
        <f ca="1">IF($C54=1,$AK54,SUM($AJ54:$AL54)*INDEX('Schedule Allocation'!H:H,MATCH($D54,'Schedule Allocation'!$A:$A,0)))</f>
        <v>1.0222222222222225E-2</v>
      </c>
      <c r="I54" s="894">
        <f ca="1">IF($C54=1,$AK54,SUM($AJ54:$AL54)*INDEX('Schedule Allocation'!I:I,MATCH($D54,'Schedule Allocation'!$A:$A,0)))</f>
        <v>1.0222222222222225E-2</v>
      </c>
      <c r="J54" s="894">
        <f ca="1">IF($C54=1,$AK54,SUM($AJ54:$AL54)*INDEX('Schedule Allocation'!J:J,MATCH($D54,'Schedule Allocation'!$A:$A,0)))</f>
        <v>1.0222222222222225E-2</v>
      </c>
      <c r="K54" s="894">
        <f ca="1">IF($C54=1,$AK54,SUM($AJ54:$AL54)*INDEX('Schedule Allocation'!K:K,MATCH($D54,'Schedule Allocation'!$A:$A,0)))</f>
        <v>1.0222222222222225E-2</v>
      </c>
      <c r="L54" s="894">
        <f ca="1">IF($C54=1,$AK54,SUM($AJ54:$AL54)*INDEX('Schedule Allocation'!L:L,MATCH($D54,'Schedule Allocation'!$A:$A,0)))</f>
        <v>1.0222222222222225E-2</v>
      </c>
      <c r="M54" s="894">
        <f ca="1">IF($C54=1,$AK54,SUM($AJ54:$AL54)*INDEX('Schedule Allocation'!M:M,MATCH($D54,'Schedule Allocation'!$A:$A,0)))</f>
        <v>1.0222222222222225E-2</v>
      </c>
      <c r="N54" s="894">
        <f ca="1">IF($C54=1,$AL54,SUM($AJ54:$AL54)*INDEX('Schedule Allocation'!N:N,MATCH($D54,'Schedule Allocation'!$A:$A,0)))</f>
        <v>8.7619047619047659E-3</v>
      </c>
      <c r="O54" s="894">
        <f ca="1">IF($C54=1,$AL54,SUM($AJ54:$AL54)*INDEX('Schedule Allocation'!O:O,MATCH($D54,'Schedule Allocation'!$A:$A,0)))</f>
        <v>8.7619047619047659E-3</v>
      </c>
      <c r="P54" s="894">
        <f ca="1">IF($C54=1,$AL54,SUM($AJ54:$AL54)*INDEX('Schedule Allocation'!P:P,MATCH($D54,'Schedule Allocation'!$A:$A,0)))</f>
        <v>8.7619047619047659E-3</v>
      </c>
      <c r="Q54" s="894">
        <f ca="1">IF($C54=1,$AL54,SUM($AJ54:$AL54)*INDEX('Schedule Allocation'!Q:Q,MATCH($D54,'Schedule Allocation'!$A:$A,0)))</f>
        <v>8.7619047619047659E-3</v>
      </c>
      <c r="R54" s="894">
        <f ca="1">IF($C54=1,$AL54,SUM($AJ54:$AL54)*INDEX('Schedule Allocation'!R:R,MATCH($D54,'Schedule Allocation'!$A:$A,0)))</f>
        <v>8.7619047619047659E-3</v>
      </c>
      <c r="S54" s="894">
        <f ca="1">IF($C54=1,$AL54,SUM($AJ54:$AL54)*INDEX('Schedule Allocation'!S:S,MATCH($D54,'Schedule Allocation'!$A:$A,0)))</f>
        <v>8.7619047619047659E-3</v>
      </c>
      <c r="T54" s="894">
        <f ca="1">IF($C54=1,$AL54,SUM($AJ54:$AL54)*INDEX('Schedule Allocation'!T:T,MATCH($D54,'Schedule Allocation'!$A:$A,0)))</f>
        <v>8.7619047619047659E-3</v>
      </c>
      <c r="U54" s="894">
        <f ca="1">OFFSET(AT54,0,(MATCH('Model Report Formatized'!$E$1,$AN$1:$AN$6,0))*17-17)</f>
        <v>2.2999999999999993E-2</v>
      </c>
      <c r="V54" s="894">
        <f ca="1">OFFSET(AU54,0,(MATCH('Model Report Formatized'!$E$1,$AN$1:$AN$6,0))*17-17)</f>
        <v>2.2999999999999993E-2</v>
      </c>
      <c r="W54" s="894">
        <f ca="1">OFFSET(AV54,0,(MATCH('Model Report Formatized'!$E$1,$AN$1:$AN$6,0))*17-17)</f>
        <v>2.3000000000000007E-2</v>
      </c>
      <c r="X54" s="894">
        <f ca="1">OFFSET(AW54,0,(MATCH('Model Report Formatized'!$E$1,$AN$1:$AN$6,0))*17-17)</f>
        <v>2.3000000000000007E-2</v>
      </c>
      <c r="Y54" s="894">
        <f ca="1">OFFSET(AX54,0,(MATCH('Model Report Formatized'!$E$1,$AN$1:$AN$6,0))*17-17)</f>
        <v>7.6666666666666671E-3</v>
      </c>
      <c r="Z54" s="894">
        <f ca="1">OFFSET(AY54,0,(MATCH('Model Report Formatized'!$E$1,$AN$1:$AN$6,0))*17-17)</f>
        <v>7.6666666666666671E-3</v>
      </c>
      <c r="AA54" s="894">
        <f ca="1">OFFSET(AZ54,0,(MATCH('Model Report Formatized'!$E$1,$AN$1:$AN$6,0))*17-17)</f>
        <v>7.6666666666666671E-3</v>
      </c>
      <c r="AB54" s="894">
        <f ca="1">OFFSET(BA54,0,(MATCH('Model Report Formatized'!$E$1,$AN$1:$AN$6,0))*17-17)</f>
        <v>7.6666666666666671E-3</v>
      </c>
      <c r="AC54" s="894">
        <f ca="1">OFFSET(BB54,0,(MATCH('Model Report Formatized'!$E$1,$AN$1:$AN$6,0))*17-17)</f>
        <v>7.6666666666666671E-3</v>
      </c>
      <c r="AD54" s="894">
        <f ca="1">OFFSET(BC54,0,(MATCH('Model Report Formatized'!$E$1,$AN$1:$AN$6,0))*17-17)</f>
        <v>7.6666666666666671E-3</v>
      </c>
      <c r="AE54" s="894">
        <f ca="1">OFFSET(BD54,0,(MATCH('Model Report Formatized'!$E$1,$AN$1:$AN$6,0))*17-17)</f>
        <v>7.6666666666666671E-3</v>
      </c>
      <c r="AF54" s="894">
        <f ca="1">OFFSET(BE54,0,(MATCH('Model Report Formatized'!$E$1,$AN$1:$AN$6,0))*17-17)</f>
        <v>7.6666666666666671E-3</v>
      </c>
      <c r="AG54" s="894">
        <f ca="1">OFFSET(BF54,0,(MATCH('Model Report Formatized'!$E$1,$AN$1:$AN$6,0))*17-17)</f>
        <v>7.6666666666666671E-3</v>
      </c>
      <c r="AH54" s="891">
        <f t="shared" ca="1" si="5"/>
        <v>1.1102230246251565E-16</v>
      </c>
      <c r="AJ54" s="895">
        <f ca="1">OFFSET(AQ54,0,(MATCH('Model Report Formatized'!$E$1,$AN$1:$AN$6,0))*17-17)</f>
        <v>2.3000000000000003E-2</v>
      </c>
      <c r="AK54" s="895">
        <f ca="1">OFFSET(AR54,0,(MATCH('Model Report Formatized'!$E$1,$AN$1:$AN$6,0))*17-17)</f>
        <v>8.0500000000000016E-2</v>
      </c>
      <c r="AL54" s="895">
        <f ca="1">OFFSET(AS54,0,(MATCH('Model Report Formatized'!$E$1,$AN$1:$AN$6,0))*17-17)</f>
        <v>8.0500000000000016E-2</v>
      </c>
      <c r="AQ54" s="893">
        <v>1</v>
      </c>
      <c r="AR54" s="893">
        <v>0</v>
      </c>
      <c r="AS54" s="893">
        <v>0</v>
      </c>
      <c r="AT54" s="893">
        <v>0</v>
      </c>
      <c r="AU54" s="893">
        <v>0</v>
      </c>
      <c r="AV54" s="893">
        <v>0</v>
      </c>
      <c r="AW54" s="893">
        <v>0</v>
      </c>
      <c r="AX54" s="893">
        <v>0</v>
      </c>
      <c r="AY54" s="893">
        <v>0</v>
      </c>
      <c r="AZ54" s="893">
        <v>0</v>
      </c>
      <c r="BA54" s="893">
        <v>0</v>
      </c>
      <c r="BB54" s="893">
        <v>0</v>
      </c>
      <c r="BC54" s="893">
        <v>0</v>
      </c>
      <c r="BD54" s="893">
        <v>0</v>
      </c>
      <c r="BE54" s="893">
        <v>0</v>
      </c>
      <c r="BF54" s="893">
        <v>0</v>
      </c>
      <c r="BH54" s="816">
        <v>1</v>
      </c>
      <c r="BI54" s="816">
        <v>0</v>
      </c>
      <c r="BJ54" s="816">
        <v>0</v>
      </c>
      <c r="BK54" s="816">
        <v>0</v>
      </c>
      <c r="BL54" s="816">
        <v>0</v>
      </c>
      <c r="BM54" s="816">
        <v>0</v>
      </c>
      <c r="BN54" s="816">
        <v>0</v>
      </c>
      <c r="BO54" s="816">
        <v>0</v>
      </c>
      <c r="BP54" s="816">
        <v>0</v>
      </c>
      <c r="BQ54" s="816">
        <v>0</v>
      </c>
      <c r="BR54" s="816">
        <v>0</v>
      </c>
      <c r="BS54" s="816">
        <v>0</v>
      </c>
      <c r="BT54" s="816">
        <v>0</v>
      </c>
      <c r="BU54" s="816">
        <v>0</v>
      </c>
      <c r="BV54" s="816">
        <v>0</v>
      </c>
      <c r="BW54" s="816">
        <v>0</v>
      </c>
      <c r="BY54" s="817">
        <v>0.02</v>
      </c>
      <c r="BZ54" s="817">
        <v>0.02</v>
      </c>
      <c r="CA54" s="817">
        <v>0.02</v>
      </c>
      <c r="CB54" s="817">
        <v>0.02</v>
      </c>
      <c r="CC54" s="817">
        <v>0.02</v>
      </c>
      <c r="CD54" s="817">
        <v>0</v>
      </c>
      <c r="CE54" s="817">
        <v>0</v>
      </c>
      <c r="CF54" s="817">
        <v>0</v>
      </c>
      <c r="CG54" s="817">
        <v>0</v>
      </c>
      <c r="CH54" s="817">
        <v>0</v>
      </c>
      <c r="CI54" s="817">
        <v>0</v>
      </c>
      <c r="CJ54" s="817">
        <v>0</v>
      </c>
      <c r="CK54" s="817">
        <v>0</v>
      </c>
      <c r="CL54" s="817">
        <v>0</v>
      </c>
      <c r="CM54" s="817">
        <v>0</v>
      </c>
      <c r="CN54" s="817">
        <v>0</v>
      </c>
      <c r="CO54" s="816" t="s">
        <v>1340</v>
      </c>
      <c r="CP54" s="818">
        <f>INDEX('Monthly Run-off Change'!I:I,MATCH($B54,'Monthly Run-off Change'!$E:$E,0))</f>
        <v>2.3000000000000003E-2</v>
      </c>
      <c r="CQ54" s="818">
        <f>INDEX('Monthly Run-off Change'!J:J,MATCH($B54,'Monthly Run-off Change'!$E:$E,0))</f>
        <v>8.0500000000000016E-2</v>
      </c>
      <c r="CR54" s="818">
        <f>INDEX('Monthly Run-off Change'!K:K,MATCH($B54,'Monthly Run-off Change'!$E:$E,0))</f>
        <v>8.0500000000000016E-2</v>
      </c>
      <c r="CS54" s="818">
        <f>INDEX('Monthly Run-off Change'!L:L,MATCH($B54,'Monthly Run-off Change'!$E:$E,0))</f>
        <v>2.2999999999999993E-2</v>
      </c>
      <c r="CT54" s="818">
        <f>INDEX('Monthly Run-off Change'!M:M,MATCH($B54,'Monthly Run-off Change'!$E:$E,0))</f>
        <v>2.2999999999999993E-2</v>
      </c>
      <c r="CU54" s="818">
        <f>INDEX('Monthly Run-off Change'!N:N,MATCH($B54,'Monthly Run-off Change'!$E:$E,0))</f>
        <v>2.3000000000000007E-2</v>
      </c>
      <c r="CV54" s="818">
        <f>INDEX('Monthly Run-off Change'!O:O,MATCH($B54,'Monthly Run-off Change'!$E:$E,0))</f>
        <v>2.3000000000000007E-2</v>
      </c>
      <c r="CW54" s="818">
        <f>INDEX('Monthly Run-off Change'!P:P,MATCH($B54,'Monthly Run-off Change'!$E:$E,0))</f>
        <v>7.6666666666666671E-3</v>
      </c>
      <c r="CX54" s="818">
        <f>INDEX('Monthly Run-off Change'!Q:Q,MATCH($B54,'Monthly Run-off Change'!$E:$E,0))</f>
        <v>7.6666666666666671E-3</v>
      </c>
      <c r="CY54" s="818">
        <f>INDEX('Monthly Run-off Change'!R:R,MATCH($B54,'Monthly Run-off Change'!$E:$E,0))</f>
        <v>7.6666666666666671E-3</v>
      </c>
      <c r="CZ54" s="818">
        <f>INDEX('Monthly Run-off Change'!S:S,MATCH($B54,'Monthly Run-off Change'!$E:$E,0))</f>
        <v>7.6666666666666671E-3</v>
      </c>
      <c r="DA54" s="818">
        <f>INDEX('Monthly Run-off Change'!T:T,MATCH($B54,'Monthly Run-off Change'!$E:$E,0))</f>
        <v>7.6666666666666671E-3</v>
      </c>
      <c r="DB54" s="818">
        <f>INDEX('Monthly Run-off Change'!U:U,MATCH($B54,'Monthly Run-off Change'!$E:$E,0))</f>
        <v>7.6666666666666671E-3</v>
      </c>
      <c r="DC54" s="818">
        <f>INDEX('Monthly Run-off Change'!V:V,MATCH($B54,'Monthly Run-off Change'!$E:$E,0))</f>
        <v>7.6666666666666671E-3</v>
      </c>
      <c r="DD54" s="818">
        <f>INDEX('Monthly Run-off Change'!W:W,MATCH($B54,'Monthly Run-off Change'!$E:$E,0))</f>
        <v>7.6666666666666671E-3</v>
      </c>
      <c r="DE54" s="818">
        <f>INDEX('Monthly Run-off Change'!X:X,MATCH($B54,'Monthly Run-off Change'!$E:$E,0))</f>
        <v>7.6666666666666671E-3</v>
      </c>
      <c r="DF54" s="899">
        <f>INDEX('Monthly Run-off Change'!Y:Y,MATCH($B54,'Monthly Run-off Change'!$E:$E,0))</f>
        <v>0</v>
      </c>
      <c r="DG54" s="899">
        <f>INDEX('Monthly Run-off Change'!Z:Z,MATCH($B54,'Monthly Run-off Change'!$E:$E,0))</f>
        <v>2.0000000000000004E-2</v>
      </c>
      <c r="DH54" s="899">
        <f>INDEX('Monthly Run-off Change'!AA:AA,MATCH($B54,'Monthly Run-off Change'!$E:$E,0))</f>
        <v>7.0000000000000007E-2</v>
      </c>
      <c r="DI54" s="899">
        <f>INDEX('Monthly Run-off Change'!AB:AB,MATCH($B54,'Monthly Run-off Change'!$E:$E,0))</f>
        <v>7.0000000000000007E-2</v>
      </c>
      <c r="DJ54" s="899">
        <f>INDEX('Monthly Run-off Change'!AC:AC,MATCH($B54,'Monthly Run-off Change'!$E:$E,0))</f>
        <v>1.999999999999999E-2</v>
      </c>
      <c r="DK54" s="899">
        <f>INDEX('Monthly Run-off Change'!AD:AD,MATCH($B54,'Monthly Run-off Change'!$E:$E,0))</f>
        <v>1.999999999999999E-2</v>
      </c>
      <c r="DL54" s="899">
        <f>INDEX('Monthly Run-off Change'!AE:AE,MATCH($B54,'Monthly Run-off Change'!$E:$E,0))</f>
        <v>1.999999999999999E-2</v>
      </c>
      <c r="DM54" s="899">
        <f>INDEX('Monthly Run-off Change'!AF:AF,MATCH($B54,'Monthly Run-off Change'!$E:$E,0))</f>
        <v>1.999999999999999E-2</v>
      </c>
      <c r="DN54" s="899">
        <f>INDEX('Monthly Run-off Change'!AG:AG,MATCH($B54,'Monthly Run-off Change'!$E:$E,0))</f>
        <v>6.6666666666666723E-3</v>
      </c>
      <c r="DO54" s="899">
        <f>INDEX('Monthly Run-off Change'!AH:AH,MATCH($B54,'Monthly Run-off Change'!$E:$E,0))</f>
        <v>6.6666666666666723E-3</v>
      </c>
      <c r="DP54" s="899">
        <f>INDEX('Monthly Run-off Change'!AI:AI,MATCH($B54,'Monthly Run-off Change'!$E:$E,0))</f>
        <v>6.6666666666666723E-3</v>
      </c>
      <c r="DQ54" s="899">
        <f>INDEX('Monthly Run-off Change'!AJ:AJ,MATCH($B54,'Monthly Run-off Change'!$E:$E,0))</f>
        <v>6.6666666666666723E-3</v>
      </c>
      <c r="DR54" s="899">
        <f>INDEX('Monthly Run-off Change'!AK:AK,MATCH($B54,'Monthly Run-off Change'!$E:$E,0))</f>
        <v>6.6666666666666723E-3</v>
      </c>
      <c r="DS54" s="899">
        <f>INDEX('Monthly Run-off Change'!AL:AL,MATCH($B54,'Monthly Run-off Change'!$E:$E,0))</f>
        <v>6.6666666666666723E-3</v>
      </c>
      <c r="DT54" s="899">
        <f>INDEX('Monthly Run-off Change'!AM:AM,MATCH($B54,'Monthly Run-off Change'!$E:$E,0))</f>
        <v>6.6666666666666723E-3</v>
      </c>
      <c r="DU54" s="899">
        <f>INDEX('Monthly Run-off Change'!AN:AN,MATCH($B54,'Monthly Run-off Change'!$E:$E,0))</f>
        <v>6.6666666666666723E-3</v>
      </c>
      <c r="DV54" s="899">
        <f>INDEX('Monthly Run-off Change'!AO:AO,MATCH($B54,'Monthly Run-off Change'!$E:$E,0))</f>
        <v>6.6666666666666723E-3</v>
      </c>
      <c r="DW54" s="899">
        <f>INDEX('Monthly Run-off Change'!AP:AP,MATCH($B54,'Monthly Run-off Change'!$E:$E,0))</f>
        <v>0</v>
      </c>
      <c r="DX54" s="899">
        <f>INDEX('Monthly Run-off Change'!AQ:AQ,MATCH($B54,'Monthly Run-off Change'!$E:$E,0))</f>
        <v>1.4999999999999999E-2</v>
      </c>
      <c r="DY54" s="899">
        <f>INDEX('Monthly Run-off Change'!AR:AR,MATCH($B54,'Monthly Run-off Change'!$E:$E,0))</f>
        <v>5.2499999999999998E-2</v>
      </c>
      <c r="DZ54" s="899">
        <f>INDEX('Monthly Run-off Change'!AS:AS,MATCH($B54,'Monthly Run-off Change'!$E:$E,0))</f>
        <v>5.2499999999999998E-2</v>
      </c>
      <c r="EA54" s="899">
        <f>INDEX('Monthly Run-off Change'!AT:AT,MATCH($B54,'Monthly Run-off Change'!$E:$E,0))</f>
        <v>1.4999999999999999E-2</v>
      </c>
      <c r="EB54" s="899">
        <f>INDEX('Monthly Run-off Change'!AU:AU,MATCH($B54,'Monthly Run-off Change'!$E:$E,0))</f>
        <v>1.4999999999999999E-2</v>
      </c>
      <c r="EC54" s="899">
        <f>INDEX('Monthly Run-off Change'!AV:AV,MATCH($B54,'Monthly Run-off Change'!$E:$E,0))</f>
        <v>1.4999999999999999E-2</v>
      </c>
      <c r="ED54" s="899">
        <f>INDEX('Monthly Run-off Change'!AW:AW,MATCH($B54,'Monthly Run-off Change'!$E:$E,0))</f>
        <v>1.4999999999999999E-2</v>
      </c>
      <c r="EE54" s="899">
        <f>INDEX('Monthly Run-off Change'!AX:AX,MATCH($B54,'Monthly Run-off Change'!$E:$E,0))</f>
        <v>4.9999999999999984E-3</v>
      </c>
      <c r="EF54" s="899">
        <f>INDEX('Monthly Run-off Change'!AY:AY,MATCH($B54,'Monthly Run-off Change'!$E:$E,0))</f>
        <v>4.9999999999999984E-3</v>
      </c>
      <c r="EG54" s="899">
        <f>INDEX('Monthly Run-off Change'!AZ:AZ,MATCH($B54,'Monthly Run-off Change'!$E:$E,0))</f>
        <v>4.9999999999999984E-3</v>
      </c>
      <c r="EH54" s="899">
        <f>INDEX('Monthly Run-off Change'!BA:BA,MATCH($B54,'Monthly Run-off Change'!$E:$E,0))</f>
        <v>4.9999999999999984E-3</v>
      </c>
      <c r="EI54" s="899">
        <f>INDEX('Monthly Run-off Change'!BB:BB,MATCH($B54,'Monthly Run-off Change'!$E:$E,0))</f>
        <v>4.9999999999999984E-3</v>
      </c>
      <c r="EJ54" s="899">
        <f>INDEX('Monthly Run-off Change'!BC:BC,MATCH($B54,'Monthly Run-off Change'!$E:$E,0))</f>
        <v>4.9999999999999984E-3</v>
      </c>
      <c r="EK54" s="899">
        <f>INDEX('Monthly Run-off Change'!BD:BD,MATCH($B54,'Monthly Run-off Change'!$E:$E,0))</f>
        <v>4.9999999999999984E-3</v>
      </c>
      <c r="EL54" s="899">
        <f>INDEX('Monthly Run-off Change'!BE:BE,MATCH($B54,'Monthly Run-off Change'!$E:$E,0))</f>
        <v>4.9999999999999984E-3</v>
      </c>
      <c r="EM54" s="899">
        <f>INDEX('Monthly Run-off Change'!BF:BF,MATCH($B54,'Monthly Run-off Change'!$E:$E,0))</f>
        <v>4.9999999999999984E-3</v>
      </c>
      <c r="FQ54" s="898"/>
      <c r="FS54" s="898"/>
      <c r="FT54" s="898"/>
      <c r="FU54" s="898"/>
      <c r="FV54" s="898"/>
      <c r="FW54" s="898"/>
      <c r="FX54" s="898"/>
      <c r="FY54" s="898"/>
      <c r="FZ54" s="898"/>
      <c r="GA54" s="898"/>
      <c r="GB54" s="898"/>
      <c r="GC54" s="898"/>
      <c r="GD54" s="898"/>
      <c r="GE54" s="898"/>
      <c r="GF54" s="898"/>
      <c r="GG54" s="898"/>
      <c r="GH54" s="898"/>
      <c r="GJ54" s="898"/>
      <c r="GK54" s="898"/>
      <c r="GL54" s="898"/>
      <c r="GM54" s="898"/>
      <c r="GN54" s="898"/>
      <c r="GO54" s="898"/>
      <c r="GP54" s="898"/>
      <c r="GQ54" s="898"/>
      <c r="GR54" s="898"/>
      <c r="GS54" s="898"/>
      <c r="GT54" s="898"/>
      <c r="GU54" s="898"/>
      <c r="GV54" s="898"/>
      <c r="GW54" s="898"/>
      <c r="GX54" s="898"/>
      <c r="GY54" s="898"/>
      <c r="HA54" s="898"/>
      <c r="HB54" s="898"/>
      <c r="HC54" s="898"/>
      <c r="HD54" s="898"/>
      <c r="HE54" s="898"/>
      <c r="HF54" s="898"/>
      <c r="HG54" s="898"/>
      <c r="HH54" s="898"/>
      <c r="HI54" s="898"/>
      <c r="HJ54" s="898"/>
      <c r="HK54" s="898"/>
      <c r="HL54" s="898"/>
      <c r="HM54" s="898"/>
      <c r="HN54" s="898"/>
      <c r="HO54" s="898"/>
      <c r="HP54" s="898"/>
    </row>
    <row r="55" spans="1:224">
      <c r="A55" s="816" t="s">
        <v>1321</v>
      </c>
      <c r="B55" s="816" t="s">
        <v>1168</v>
      </c>
      <c r="C55" s="816">
        <v>0</v>
      </c>
      <c r="D55" s="816">
        <f t="shared" si="4"/>
        <v>1</v>
      </c>
      <c r="E55" s="816">
        <v>0</v>
      </c>
      <c r="F55" s="816" t="str">
        <f>INDEX('Data Interface'!$C:$C,MATCH(B55,'Data Interface'!$B:$B,0))</f>
        <v>Due to Banks - Investment - CME</v>
      </c>
      <c r="G55" s="894">
        <f ca="1">IF($C55=1,$AJ55,SUM($AJ55:$AL55)*INDEX('Schedule Allocation'!G:G,MATCH($D55,'Schedule Allocation'!$A:$A,0)))</f>
        <v>0.13333333333333333</v>
      </c>
      <c r="H55" s="894">
        <f ca="1">IF($C55=1,$AK55,SUM($AJ55:$AL55)*INDEX('Schedule Allocation'!H:H,MATCH($D55,'Schedule Allocation'!$A:$A,0)))</f>
        <v>2.2222222222222223E-2</v>
      </c>
      <c r="I55" s="894">
        <f ca="1">IF($C55=1,$AK55,SUM($AJ55:$AL55)*INDEX('Schedule Allocation'!I:I,MATCH($D55,'Schedule Allocation'!$A:$A,0)))</f>
        <v>2.2222222222222223E-2</v>
      </c>
      <c r="J55" s="894">
        <f ca="1">IF($C55=1,$AK55,SUM($AJ55:$AL55)*INDEX('Schedule Allocation'!J:J,MATCH($D55,'Schedule Allocation'!$A:$A,0)))</f>
        <v>2.2222222222222223E-2</v>
      </c>
      <c r="K55" s="894">
        <f ca="1">IF($C55=1,$AK55,SUM($AJ55:$AL55)*INDEX('Schedule Allocation'!K:K,MATCH($D55,'Schedule Allocation'!$A:$A,0)))</f>
        <v>2.2222222222222223E-2</v>
      </c>
      <c r="L55" s="894">
        <f ca="1">IF($C55=1,$AK55,SUM($AJ55:$AL55)*INDEX('Schedule Allocation'!L:L,MATCH($D55,'Schedule Allocation'!$A:$A,0)))</f>
        <v>2.2222222222222223E-2</v>
      </c>
      <c r="M55" s="894">
        <f ca="1">IF($C55=1,$AK55,SUM($AJ55:$AL55)*INDEX('Schedule Allocation'!M:M,MATCH($D55,'Schedule Allocation'!$A:$A,0)))</f>
        <v>2.2222222222222223E-2</v>
      </c>
      <c r="N55" s="894">
        <f ca="1">IF($C55=1,$AL55,SUM($AJ55:$AL55)*INDEX('Schedule Allocation'!N:N,MATCH($D55,'Schedule Allocation'!$A:$A,0)))</f>
        <v>1.9047619047619049E-2</v>
      </c>
      <c r="O55" s="894">
        <f ca="1">IF($C55=1,$AL55,SUM($AJ55:$AL55)*INDEX('Schedule Allocation'!O:O,MATCH($D55,'Schedule Allocation'!$A:$A,0)))</f>
        <v>1.9047619047619049E-2</v>
      </c>
      <c r="P55" s="894">
        <f ca="1">IF($C55=1,$AL55,SUM($AJ55:$AL55)*INDEX('Schedule Allocation'!P:P,MATCH($D55,'Schedule Allocation'!$A:$A,0)))</f>
        <v>1.9047619047619049E-2</v>
      </c>
      <c r="Q55" s="894">
        <f ca="1">IF($C55=1,$AL55,SUM($AJ55:$AL55)*INDEX('Schedule Allocation'!Q:Q,MATCH($D55,'Schedule Allocation'!$A:$A,0)))</f>
        <v>1.9047619047619049E-2</v>
      </c>
      <c r="R55" s="894">
        <f ca="1">IF($C55=1,$AL55,SUM($AJ55:$AL55)*INDEX('Schedule Allocation'!R:R,MATCH($D55,'Schedule Allocation'!$A:$A,0)))</f>
        <v>1.9047619047619049E-2</v>
      </c>
      <c r="S55" s="894">
        <f ca="1">IF($C55=1,$AL55,SUM($AJ55:$AL55)*INDEX('Schedule Allocation'!S:S,MATCH($D55,'Schedule Allocation'!$A:$A,0)))</f>
        <v>1.9047619047619049E-2</v>
      </c>
      <c r="T55" s="894">
        <f ca="1">IF($C55=1,$AL55,SUM($AJ55:$AL55)*INDEX('Schedule Allocation'!T:T,MATCH($D55,'Schedule Allocation'!$A:$A,0)))</f>
        <v>1.9047619047619049E-2</v>
      </c>
      <c r="U55" s="894">
        <f ca="1">OFFSET(AT55,0,(MATCH('Model Report Formatized'!$E$1,$AN$1:$AN$6,0))*17-17)</f>
        <v>0</v>
      </c>
      <c r="V55" s="894">
        <f ca="1">OFFSET(AU55,0,(MATCH('Model Report Formatized'!$E$1,$AN$1:$AN$6,0))*17-17)</f>
        <v>0</v>
      </c>
      <c r="W55" s="894">
        <f ca="1">OFFSET(AV55,0,(MATCH('Model Report Formatized'!$E$1,$AN$1:$AN$6,0))*17-17)</f>
        <v>3.999999999999998E-2</v>
      </c>
      <c r="X55" s="894">
        <f ca="1">OFFSET(AW55,0,(MATCH('Model Report Formatized'!$E$1,$AN$1:$AN$6,0))*17-17)</f>
        <v>3.999999999999998E-2</v>
      </c>
      <c r="Y55" s="894">
        <f ca="1">OFFSET(AX55,0,(MATCH('Model Report Formatized'!$E$1,$AN$1:$AN$6,0))*17-17)</f>
        <v>1.3333333333333345E-2</v>
      </c>
      <c r="Z55" s="894">
        <f ca="1">OFFSET(AY55,0,(MATCH('Model Report Formatized'!$E$1,$AN$1:$AN$6,0))*17-17)</f>
        <v>1.3333333333333345E-2</v>
      </c>
      <c r="AA55" s="894">
        <f ca="1">OFFSET(AZ55,0,(MATCH('Model Report Formatized'!$E$1,$AN$1:$AN$6,0))*17-17)</f>
        <v>1.3333333333333345E-2</v>
      </c>
      <c r="AB55" s="894">
        <f ca="1">OFFSET(BA55,0,(MATCH('Model Report Formatized'!$E$1,$AN$1:$AN$6,0))*17-17)</f>
        <v>1.3333333333333345E-2</v>
      </c>
      <c r="AC55" s="894">
        <f ca="1">OFFSET(BB55,0,(MATCH('Model Report Formatized'!$E$1,$AN$1:$AN$6,0))*17-17)</f>
        <v>1.3333333333333345E-2</v>
      </c>
      <c r="AD55" s="894">
        <f ca="1">OFFSET(BC55,0,(MATCH('Model Report Formatized'!$E$1,$AN$1:$AN$6,0))*17-17)</f>
        <v>1.3333333333333345E-2</v>
      </c>
      <c r="AE55" s="894">
        <f ca="1">OFFSET(BD55,0,(MATCH('Model Report Formatized'!$E$1,$AN$1:$AN$6,0))*17-17)</f>
        <v>1.3333333333333345E-2</v>
      </c>
      <c r="AF55" s="894">
        <f ca="1">OFFSET(BE55,0,(MATCH('Model Report Formatized'!$E$1,$AN$1:$AN$6,0))*17-17)</f>
        <v>1.3333333333333345E-2</v>
      </c>
      <c r="AG55" s="894">
        <f ca="1">OFFSET(BF55,0,(MATCH('Model Report Formatized'!$E$1,$AN$1:$AN$6,0))*17-17)</f>
        <v>1.3333333333333345E-2</v>
      </c>
      <c r="AH55" s="891">
        <f t="shared" ca="1" si="5"/>
        <v>-1.1102230246251565E-16</v>
      </c>
      <c r="AJ55" s="895">
        <f ca="1">OFFSET(AQ55,0,(MATCH('Model Report Formatized'!$E$1,$AN$1:$AN$6,0))*17-17)</f>
        <v>8.0000000000000016E-2</v>
      </c>
      <c r="AK55" s="895">
        <f ca="1">OFFSET(AR55,0,(MATCH('Model Report Formatized'!$E$1,$AN$1:$AN$6,0))*17-17)</f>
        <v>0.16</v>
      </c>
      <c r="AL55" s="895">
        <f ca="1">OFFSET(AS55,0,(MATCH('Model Report Formatized'!$E$1,$AN$1:$AN$6,0))*17-17)</f>
        <v>0.16</v>
      </c>
      <c r="AQ55" s="893">
        <v>1</v>
      </c>
      <c r="AR55" s="893">
        <v>0</v>
      </c>
      <c r="AS55" s="893">
        <v>0</v>
      </c>
      <c r="AT55" s="893">
        <v>0</v>
      </c>
      <c r="AU55" s="893">
        <v>0</v>
      </c>
      <c r="AV55" s="893">
        <v>0</v>
      </c>
      <c r="AW55" s="893">
        <v>0</v>
      </c>
      <c r="AX55" s="893">
        <v>0</v>
      </c>
      <c r="AY55" s="893">
        <v>0</v>
      </c>
      <c r="AZ55" s="893">
        <v>0</v>
      </c>
      <c r="BA55" s="893">
        <v>0</v>
      </c>
      <c r="BB55" s="893">
        <v>0</v>
      </c>
      <c r="BC55" s="893">
        <v>0</v>
      </c>
      <c r="BD55" s="893">
        <v>0</v>
      </c>
      <c r="BE55" s="893">
        <v>0</v>
      </c>
      <c r="BF55" s="893">
        <v>0</v>
      </c>
      <c r="BH55" s="816">
        <v>1</v>
      </c>
      <c r="BI55" s="816">
        <v>0</v>
      </c>
      <c r="BJ55" s="816">
        <v>0</v>
      </c>
      <c r="BK55" s="816">
        <v>0</v>
      </c>
      <c r="BL55" s="816">
        <v>0</v>
      </c>
      <c r="BM55" s="816">
        <v>0</v>
      </c>
      <c r="BN55" s="816">
        <v>0</v>
      </c>
      <c r="BO55" s="816">
        <v>0</v>
      </c>
      <c r="BP55" s="816">
        <v>0</v>
      </c>
      <c r="BQ55" s="816">
        <v>0</v>
      </c>
      <c r="BR55" s="816">
        <v>0</v>
      </c>
      <c r="BS55" s="816">
        <v>0</v>
      </c>
      <c r="BT55" s="816">
        <v>0</v>
      </c>
      <c r="BU55" s="816">
        <v>0</v>
      </c>
      <c r="BV55" s="816">
        <v>0</v>
      </c>
      <c r="BW55" s="816">
        <v>0</v>
      </c>
      <c r="BY55" s="817">
        <v>1.6E-2</v>
      </c>
      <c r="BZ55" s="817">
        <v>1.6E-2</v>
      </c>
      <c r="CA55" s="817">
        <v>1.6E-2</v>
      </c>
      <c r="CB55" s="817">
        <v>1.6E-2</v>
      </c>
      <c r="CC55" s="817">
        <v>1.6E-2</v>
      </c>
      <c r="CD55" s="817">
        <v>0</v>
      </c>
      <c r="CE55" s="817">
        <v>0</v>
      </c>
      <c r="CF55" s="817">
        <v>0</v>
      </c>
      <c r="CG55" s="817">
        <v>0</v>
      </c>
      <c r="CH55" s="817">
        <v>0</v>
      </c>
      <c r="CI55" s="817">
        <v>0</v>
      </c>
      <c r="CJ55" s="817">
        <v>0</v>
      </c>
      <c r="CK55" s="817">
        <v>0</v>
      </c>
      <c r="CL55" s="817">
        <v>0</v>
      </c>
      <c r="CM55" s="817">
        <v>0</v>
      </c>
      <c r="CN55" s="817">
        <v>0</v>
      </c>
      <c r="CO55" s="816" t="s">
        <v>1340</v>
      </c>
      <c r="CP55" s="818">
        <f>INDEX('Monthly Run-off Change'!I:I,MATCH($B55,'Monthly Run-off Change'!$E:$E,0))</f>
        <v>8.0000000000000016E-2</v>
      </c>
      <c r="CQ55" s="818">
        <f>INDEX('Monthly Run-off Change'!J:J,MATCH($B55,'Monthly Run-off Change'!$E:$E,0))</f>
        <v>0.16</v>
      </c>
      <c r="CR55" s="818">
        <f>INDEX('Monthly Run-off Change'!K:K,MATCH($B55,'Monthly Run-off Change'!$E:$E,0))</f>
        <v>0.16</v>
      </c>
      <c r="CS55" s="818">
        <f>INDEX('Monthly Run-off Change'!L:L,MATCH($B55,'Monthly Run-off Change'!$E:$E,0))</f>
        <v>0</v>
      </c>
      <c r="CT55" s="818">
        <f>INDEX('Monthly Run-off Change'!M:M,MATCH($B55,'Monthly Run-off Change'!$E:$E,0))</f>
        <v>0</v>
      </c>
      <c r="CU55" s="818">
        <f>INDEX('Monthly Run-off Change'!N:N,MATCH($B55,'Monthly Run-off Change'!$E:$E,0))</f>
        <v>3.999999999999998E-2</v>
      </c>
      <c r="CV55" s="818">
        <f>INDEX('Monthly Run-off Change'!O:O,MATCH($B55,'Monthly Run-off Change'!$E:$E,0))</f>
        <v>3.999999999999998E-2</v>
      </c>
      <c r="CW55" s="818">
        <f>INDEX('Monthly Run-off Change'!P:P,MATCH($B55,'Monthly Run-off Change'!$E:$E,0))</f>
        <v>1.3333333333333345E-2</v>
      </c>
      <c r="CX55" s="818">
        <f>INDEX('Monthly Run-off Change'!Q:Q,MATCH($B55,'Monthly Run-off Change'!$E:$E,0))</f>
        <v>1.3333333333333345E-2</v>
      </c>
      <c r="CY55" s="818">
        <f>INDEX('Monthly Run-off Change'!R:R,MATCH($B55,'Monthly Run-off Change'!$E:$E,0))</f>
        <v>1.3333333333333345E-2</v>
      </c>
      <c r="CZ55" s="818">
        <f>INDEX('Monthly Run-off Change'!S:S,MATCH($B55,'Monthly Run-off Change'!$E:$E,0))</f>
        <v>1.3333333333333345E-2</v>
      </c>
      <c r="DA55" s="818">
        <f>INDEX('Monthly Run-off Change'!T:T,MATCH($B55,'Monthly Run-off Change'!$E:$E,0))</f>
        <v>1.3333333333333345E-2</v>
      </c>
      <c r="DB55" s="818">
        <f>INDEX('Monthly Run-off Change'!U:U,MATCH($B55,'Monthly Run-off Change'!$E:$E,0))</f>
        <v>1.3333333333333345E-2</v>
      </c>
      <c r="DC55" s="818">
        <f>INDEX('Monthly Run-off Change'!V:V,MATCH($B55,'Monthly Run-off Change'!$E:$E,0))</f>
        <v>1.3333333333333345E-2</v>
      </c>
      <c r="DD55" s="818">
        <f>INDEX('Monthly Run-off Change'!W:W,MATCH($B55,'Monthly Run-off Change'!$E:$E,0))</f>
        <v>1.3333333333333345E-2</v>
      </c>
      <c r="DE55" s="818">
        <f>INDEX('Monthly Run-off Change'!X:X,MATCH($B55,'Monthly Run-off Change'!$E:$E,0))</f>
        <v>1.3333333333333345E-2</v>
      </c>
      <c r="DF55" s="899">
        <f>INDEX('Monthly Run-off Change'!Y:Y,MATCH($B55,'Monthly Run-off Change'!$E:$E,0))</f>
        <v>0</v>
      </c>
      <c r="DG55" s="899">
        <f>INDEX('Monthly Run-off Change'!Z:Z,MATCH($B55,'Monthly Run-off Change'!$E:$E,0))</f>
        <v>6.9999999999999993E-2</v>
      </c>
      <c r="DH55" s="899">
        <f>INDEX('Monthly Run-off Change'!AA:AA,MATCH($B55,'Monthly Run-off Change'!$E:$E,0))</f>
        <v>0.13999999999999999</v>
      </c>
      <c r="DI55" s="899">
        <f>INDEX('Monthly Run-off Change'!AB:AB,MATCH($B55,'Monthly Run-off Change'!$E:$E,0))</f>
        <v>0.13999999999999999</v>
      </c>
      <c r="DJ55" s="899">
        <f>INDEX('Monthly Run-off Change'!AC:AC,MATCH($B55,'Monthly Run-off Change'!$E:$E,0))</f>
        <v>0</v>
      </c>
      <c r="DK55" s="899">
        <f>INDEX('Monthly Run-off Change'!AD:AD,MATCH($B55,'Monthly Run-off Change'!$E:$E,0))</f>
        <v>0</v>
      </c>
      <c r="DL55" s="899">
        <f>INDEX('Monthly Run-off Change'!AE:AE,MATCH($B55,'Monthly Run-off Change'!$E:$E,0))</f>
        <v>3.5000000000000003E-2</v>
      </c>
      <c r="DM55" s="899">
        <f>INDEX('Monthly Run-off Change'!AF:AF,MATCH($B55,'Monthly Run-off Change'!$E:$E,0))</f>
        <v>3.5000000000000003E-2</v>
      </c>
      <c r="DN55" s="899">
        <f>INDEX('Monthly Run-off Change'!AG:AG,MATCH($B55,'Monthly Run-off Change'!$E:$E,0))</f>
        <v>1.1666666666666659E-2</v>
      </c>
      <c r="DO55" s="899">
        <f>INDEX('Monthly Run-off Change'!AH:AH,MATCH($B55,'Monthly Run-off Change'!$E:$E,0))</f>
        <v>1.1666666666666659E-2</v>
      </c>
      <c r="DP55" s="899">
        <f>INDEX('Monthly Run-off Change'!AI:AI,MATCH($B55,'Monthly Run-off Change'!$E:$E,0))</f>
        <v>1.1666666666666659E-2</v>
      </c>
      <c r="DQ55" s="899">
        <f>INDEX('Monthly Run-off Change'!AJ:AJ,MATCH($B55,'Monthly Run-off Change'!$E:$E,0))</f>
        <v>1.1666666666666659E-2</v>
      </c>
      <c r="DR55" s="899">
        <f>INDEX('Monthly Run-off Change'!AK:AK,MATCH($B55,'Monthly Run-off Change'!$E:$E,0))</f>
        <v>1.1666666666666659E-2</v>
      </c>
      <c r="DS55" s="899">
        <f>INDEX('Monthly Run-off Change'!AL:AL,MATCH($B55,'Monthly Run-off Change'!$E:$E,0))</f>
        <v>1.1666666666666659E-2</v>
      </c>
      <c r="DT55" s="899">
        <f>INDEX('Monthly Run-off Change'!AM:AM,MATCH($B55,'Monthly Run-off Change'!$E:$E,0))</f>
        <v>1.1666666666666659E-2</v>
      </c>
      <c r="DU55" s="899">
        <f>INDEX('Monthly Run-off Change'!AN:AN,MATCH($B55,'Monthly Run-off Change'!$E:$E,0))</f>
        <v>1.1666666666666659E-2</v>
      </c>
      <c r="DV55" s="899">
        <f>INDEX('Monthly Run-off Change'!AO:AO,MATCH($B55,'Monthly Run-off Change'!$E:$E,0))</f>
        <v>1.1666666666666659E-2</v>
      </c>
      <c r="DW55" s="899">
        <f>INDEX('Monthly Run-off Change'!AP:AP,MATCH($B55,'Monthly Run-off Change'!$E:$E,0))</f>
        <v>0</v>
      </c>
      <c r="DX55" s="899">
        <f>INDEX('Monthly Run-off Change'!AQ:AQ,MATCH($B55,'Monthly Run-off Change'!$E:$E,0))</f>
        <v>4.0000000000000008E-2</v>
      </c>
      <c r="DY55" s="899">
        <f>INDEX('Monthly Run-off Change'!AR:AR,MATCH($B55,'Monthly Run-off Change'!$E:$E,0))</f>
        <v>0.08</v>
      </c>
      <c r="DZ55" s="899">
        <f>INDEX('Monthly Run-off Change'!AS:AS,MATCH($B55,'Monthly Run-off Change'!$E:$E,0))</f>
        <v>0.08</v>
      </c>
      <c r="EA55" s="899">
        <f>INDEX('Monthly Run-off Change'!AT:AT,MATCH($B55,'Monthly Run-off Change'!$E:$E,0))</f>
        <v>0</v>
      </c>
      <c r="EB55" s="899">
        <f>INDEX('Monthly Run-off Change'!AU:AU,MATCH($B55,'Monthly Run-off Change'!$E:$E,0))</f>
        <v>0</v>
      </c>
      <c r="EC55" s="899">
        <f>INDEX('Monthly Run-off Change'!AV:AV,MATCH($B55,'Monthly Run-off Change'!$E:$E,0))</f>
        <v>1.999999999999999E-2</v>
      </c>
      <c r="ED55" s="899">
        <f>INDEX('Monthly Run-off Change'!AW:AW,MATCH($B55,'Monthly Run-off Change'!$E:$E,0))</f>
        <v>1.999999999999999E-2</v>
      </c>
      <c r="EE55" s="899">
        <f>INDEX('Monthly Run-off Change'!AX:AX,MATCH($B55,'Monthly Run-off Change'!$E:$E,0))</f>
        <v>6.6666666666666723E-3</v>
      </c>
      <c r="EF55" s="899">
        <f>INDEX('Monthly Run-off Change'!AY:AY,MATCH($B55,'Monthly Run-off Change'!$E:$E,0))</f>
        <v>6.6666666666666723E-3</v>
      </c>
      <c r="EG55" s="899">
        <f>INDEX('Monthly Run-off Change'!AZ:AZ,MATCH($B55,'Monthly Run-off Change'!$E:$E,0))</f>
        <v>6.6666666666666723E-3</v>
      </c>
      <c r="EH55" s="899">
        <f>INDEX('Monthly Run-off Change'!BA:BA,MATCH($B55,'Monthly Run-off Change'!$E:$E,0))</f>
        <v>6.6666666666666723E-3</v>
      </c>
      <c r="EI55" s="899">
        <f>INDEX('Monthly Run-off Change'!BB:BB,MATCH($B55,'Monthly Run-off Change'!$E:$E,0))</f>
        <v>6.6666666666666723E-3</v>
      </c>
      <c r="EJ55" s="899">
        <f>INDEX('Monthly Run-off Change'!BC:BC,MATCH($B55,'Monthly Run-off Change'!$E:$E,0))</f>
        <v>6.6666666666666723E-3</v>
      </c>
      <c r="EK55" s="899">
        <f>INDEX('Monthly Run-off Change'!BD:BD,MATCH($B55,'Monthly Run-off Change'!$E:$E,0))</f>
        <v>6.6666666666666723E-3</v>
      </c>
      <c r="EL55" s="899">
        <f>INDEX('Monthly Run-off Change'!BE:BE,MATCH($B55,'Monthly Run-off Change'!$E:$E,0))</f>
        <v>6.6666666666666723E-3</v>
      </c>
      <c r="EM55" s="899">
        <f>INDEX('Monthly Run-off Change'!BF:BF,MATCH($B55,'Monthly Run-off Change'!$E:$E,0))</f>
        <v>6.6666666666666723E-3</v>
      </c>
      <c r="FQ55" s="898"/>
      <c r="FS55" s="898"/>
      <c r="FT55" s="898"/>
      <c r="FU55" s="898"/>
      <c r="FV55" s="898"/>
      <c r="FW55" s="898"/>
      <c r="FX55" s="898"/>
      <c r="FY55" s="898"/>
      <c r="FZ55" s="898"/>
      <c r="GA55" s="898"/>
      <c r="GB55" s="898"/>
      <c r="GC55" s="898"/>
      <c r="GD55" s="898"/>
      <c r="GE55" s="898"/>
      <c r="GF55" s="898"/>
      <c r="GG55" s="898"/>
      <c r="GH55" s="898"/>
      <c r="GJ55" s="898"/>
      <c r="GK55" s="898"/>
      <c r="GL55" s="898"/>
      <c r="GM55" s="898"/>
      <c r="GN55" s="898"/>
      <c r="GO55" s="898"/>
      <c r="GP55" s="898"/>
      <c r="GQ55" s="898"/>
      <c r="GR55" s="898"/>
      <c r="GS55" s="898"/>
      <c r="GT55" s="898"/>
      <c r="GU55" s="898"/>
      <c r="GV55" s="898"/>
      <c r="GW55" s="898"/>
      <c r="GX55" s="898"/>
      <c r="GY55" s="898"/>
      <c r="HA55" s="898"/>
      <c r="HB55" s="898"/>
      <c r="HC55" s="898"/>
      <c r="HD55" s="898"/>
      <c r="HE55" s="898"/>
      <c r="HF55" s="898"/>
      <c r="HG55" s="898"/>
      <c r="HH55" s="898"/>
      <c r="HI55" s="898"/>
      <c r="HJ55" s="898"/>
      <c r="HK55" s="898"/>
      <c r="HL55" s="898"/>
      <c r="HM55" s="898"/>
      <c r="HN55" s="898"/>
      <c r="HO55" s="898"/>
      <c r="HP55" s="898"/>
    </row>
    <row r="56" spans="1:224">
      <c r="B56" s="816" t="s">
        <v>1169</v>
      </c>
      <c r="C56" s="816">
        <v>0</v>
      </c>
      <c r="D56" s="816">
        <f t="shared" si="4"/>
        <v>1</v>
      </c>
      <c r="E56" s="816">
        <v>0</v>
      </c>
      <c r="F56" s="816" t="str">
        <f>INDEX('Data Interface'!$C:$C,MATCH(B56,'Data Interface'!$B:$B,0))</f>
        <v>Due to Banks - Investment - Non-US (Exclude Large FI)</v>
      </c>
      <c r="G56" s="894">
        <f ca="1">IF($C56=1,$AJ56,SUM($AJ56:$AL56)*INDEX('Schedule Allocation'!G:G,MATCH($D56,'Schedule Allocation'!$A:$A,0)))</f>
        <v>6.1333333333333351E-2</v>
      </c>
      <c r="H56" s="894">
        <f ca="1">IF($C56=1,$AK56,SUM($AJ56:$AL56)*INDEX('Schedule Allocation'!H:H,MATCH($D56,'Schedule Allocation'!$A:$A,0)))</f>
        <v>1.0222222222222225E-2</v>
      </c>
      <c r="I56" s="894">
        <f ca="1">IF($C56=1,$AK56,SUM($AJ56:$AL56)*INDEX('Schedule Allocation'!I:I,MATCH($D56,'Schedule Allocation'!$A:$A,0)))</f>
        <v>1.0222222222222225E-2</v>
      </c>
      <c r="J56" s="894">
        <f ca="1">IF($C56=1,$AK56,SUM($AJ56:$AL56)*INDEX('Schedule Allocation'!J:J,MATCH($D56,'Schedule Allocation'!$A:$A,0)))</f>
        <v>1.0222222222222225E-2</v>
      </c>
      <c r="K56" s="894">
        <f ca="1">IF($C56=1,$AK56,SUM($AJ56:$AL56)*INDEX('Schedule Allocation'!K:K,MATCH($D56,'Schedule Allocation'!$A:$A,0)))</f>
        <v>1.0222222222222225E-2</v>
      </c>
      <c r="L56" s="894">
        <f ca="1">IF($C56=1,$AK56,SUM($AJ56:$AL56)*INDEX('Schedule Allocation'!L:L,MATCH($D56,'Schedule Allocation'!$A:$A,0)))</f>
        <v>1.0222222222222225E-2</v>
      </c>
      <c r="M56" s="894">
        <f ca="1">IF($C56=1,$AK56,SUM($AJ56:$AL56)*INDEX('Schedule Allocation'!M:M,MATCH($D56,'Schedule Allocation'!$A:$A,0)))</f>
        <v>1.0222222222222225E-2</v>
      </c>
      <c r="N56" s="894">
        <f ca="1">IF($C56=1,$AL56,SUM($AJ56:$AL56)*INDEX('Schedule Allocation'!N:N,MATCH($D56,'Schedule Allocation'!$A:$A,0)))</f>
        <v>8.7619047619047659E-3</v>
      </c>
      <c r="O56" s="894">
        <f ca="1">IF($C56=1,$AL56,SUM($AJ56:$AL56)*INDEX('Schedule Allocation'!O:O,MATCH($D56,'Schedule Allocation'!$A:$A,0)))</f>
        <v>8.7619047619047659E-3</v>
      </c>
      <c r="P56" s="894">
        <f ca="1">IF($C56=1,$AL56,SUM($AJ56:$AL56)*INDEX('Schedule Allocation'!P:P,MATCH($D56,'Schedule Allocation'!$A:$A,0)))</f>
        <v>8.7619047619047659E-3</v>
      </c>
      <c r="Q56" s="894">
        <f ca="1">IF($C56=1,$AL56,SUM($AJ56:$AL56)*INDEX('Schedule Allocation'!Q:Q,MATCH($D56,'Schedule Allocation'!$A:$A,0)))</f>
        <v>8.7619047619047659E-3</v>
      </c>
      <c r="R56" s="894">
        <f ca="1">IF($C56=1,$AL56,SUM($AJ56:$AL56)*INDEX('Schedule Allocation'!R:R,MATCH($D56,'Schedule Allocation'!$A:$A,0)))</f>
        <v>8.7619047619047659E-3</v>
      </c>
      <c r="S56" s="894">
        <f ca="1">IF($C56=1,$AL56,SUM($AJ56:$AL56)*INDEX('Schedule Allocation'!S:S,MATCH($D56,'Schedule Allocation'!$A:$A,0)))</f>
        <v>8.7619047619047659E-3</v>
      </c>
      <c r="T56" s="894">
        <f ca="1">IF($C56=1,$AL56,SUM($AJ56:$AL56)*INDEX('Schedule Allocation'!T:T,MATCH($D56,'Schedule Allocation'!$A:$A,0)))</f>
        <v>8.7619047619047659E-3</v>
      </c>
      <c r="U56" s="894">
        <f ca="1">OFFSET(AT56,0,(MATCH('Model Report Formatized'!$E$1,$AN$1:$AN$6,0))*17-17)</f>
        <v>2.2999999999999993E-2</v>
      </c>
      <c r="V56" s="894">
        <f ca="1">OFFSET(AU56,0,(MATCH('Model Report Formatized'!$E$1,$AN$1:$AN$6,0))*17-17)</f>
        <v>2.2999999999999993E-2</v>
      </c>
      <c r="W56" s="894">
        <f ca="1">OFFSET(AV56,0,(MATCH('Model Report Formatized'!$E$1,$AN$1:$AN$6,0))*17-17)</f>
        <v>2.3000000000000007E-2</v>
      </c>
      <c r="X56" s="894">
        <f ca="1">OFFSET(AW56,0,(MATCH('Model Report Formatized'!$E$1,$AN$1:$AN$6,0))*17-17)</f>
        <v>2.3000000000000007E-2</v>
      </c>
      <c r="Y56" s="894">
        <f ca="1">OFFSET(AX56,0,(MATCH('Model Report Formatized'!$E$1,$AN$1:$AN$6,0))*17-17)</f>
        <v>7.6666666666666671E-3</v>
      </c>
      <c r="Z56" s="894">
        <f ca="1">OFFSET(AY56,0,(MATCH('Model Report Formatized'!$E$1,$AN$1:$AN$6,0))*17-17)</f>
        <v>7.6666666666666671E-3</v>
      </c>
      <c r="AA56" s="894">
        <f ca="1">OFFSET(AZ56,0,(MATCH('Model Report Formatized'!$E$1,$AN$1:$AN$6,0))*17-17)</f>
        <v>7.6666666666666671E-3</v>
      </c>
      <c r="AB56" s="894">
        <f ca="1">OFFSET(BA56,0,(MATCH('Model Report Formatized'!$E$1,$AN$1:$AN$6,0))*17-17)</f>
        <v>7.6666666666666671E-3</v>
      </c>
      <c r="AC56" s="894">
        <f ca="1">OFFSET(BB56,0,(MATCH('Model Report Formatized'!$E$1,$AN$1:$AN$6,0))*17-17)</f>
        <v>7.6666666666666671E-3</v>
      </c>
      <c r="AD56" s="894">
        <f ca="1">OFFSET(BC56,0,(MATCH('Model Report Formatized'!$E$1,$AN$1:$AN$6,0))*17-17)</f>
        <v>7.6666666666666671E-3</v>
      </c>
      <c r="AE56" s="894">
        <f ca="1">OFFSET(BD56,0,(MATCH('Model Report Formatized'!$E$1,$AN$1:$AN$6,0))*17-17)</f>
        <v>7.6666666666666671E-3</v>
      </c>
      <c r="AF56" s="894">
        <f ca="1">OFFSET(BE56,0,(MATCH('Model Report Formatized'!$E$1,$AN$1:$AN$6,0))*17-17)</f>
        <v>7.6666666666666671E-3</v>
      </c>
      <c r="AG56" s="894">
        <f ca="1">OFFSET(BF56,0,(MATCH('Model Report Formatized'!$E$1,$AN$1:$AN$6,0))*17-17)</f>
        <v>7.6666666666666671E-3</v>
      </c>
      <c r="AH56" s="891">
        <f t="shared" ca="1" si="5"/>
        <v>1.1102230246251565E-16</v>
      </c>
      <c r="AJ56" s="895">
        <f ca="1">OFFSET(AQ56,0,(MATCH('Model Report Formatized'!$E$1,$AN$1:$AN$6,0))*17-17)</f>
        <v>2.3000000000000003E-2</v>
      </c>
      <c r="AK56" s="895">
        <f ca="1">OFFSET(AR56,0,(MATCH('Model Report Formatized'!$E$1,$AN$1:$AN$6,0))*17-17)</f>
        <v>8.0500000000000016E-2</v>
      </c>
      <c r="AL56" s="895">
        <f ca="1">OFFSET(AS56,0,(MATCH('Model Report Formatized'!$E$1,$AN$1:$AN$6,0))*17-17)</f>
        <v>8.0500000000000016E-2</v>
      </c>
      <c r="AQ56" s="893">
        <v>0.05</v>
      </c>
      <c r="AR56" s="893">
        <v>0.05</v>
      </c>
      <c r="AS56" s="893">
        <v>0.05</v>
      </c>
      <c r="AT56" s="893">
        <v>0.05</v>
      </c>
      <c r="AU56" s="893">
        <v>0.05</v>
      </c>
      <c r="AV56" s="893">
        <v>6.5000000000000002E-2</v>
      </c>
      <c r="AW56" s="893">
        <v>6.5000000000000002E-2</v>
      </c>
      <c r="AX56" s="893">
        <v>6.8888888888888888E-2</v>
      </c>
      <c r="AY56" s="893">
        <v>6.8888888888888888E-2</v>
      </c>
      <c r="AZ56" s="893">
        <v>6.8888888888888888E-2</v>
      </c>
      <c r="BA56" s="893">
        <v>6.8888888888888888E-2</v>
      </c>
      <c r="BB56" s="893">
        <v>6.8888888888888888E-2</v>
      </c>
      <c r="BC56" s="893">
        <v>6.8888888888888888E-2</v>
      </c>
      <c r="BD56" s="893">
        <v>6.8888888888888888E-2</v>
      </c>
      <c r="BE56" s="893">
        <v>6.8888888888888888E-2</v>
      </c>
      <c r="BF56" s="893">
        <v>6.8888888888888888E-2</v>
      </c>
      <c r="BH56" s="816">
        <v>4.5999999999999999E-2</v>
      </c>
      <c r="BI56" s="816">
        <v>4.5999999999999999E-2</v>
      </c>
      <c r="BJ56" s="816">
        <v>4.5999999999999999E-2</v>
      </c>
      <c r="BK56" s="816">
        <v>4.5999999999999999E-2</v>
      </c>
      <c r="BL56" s="816">
        <v>4.5999999999999999E-2</v>
      </c>
      <c r="BM56" s="816">
        <v>7.4999999999999997E-2</v>
      </c>
      <c r="BN56" s="816">
        <v>7.4999999999999997E-2</v>
      </c>
      <c r="BO56" s="816">
        <v>6.8888888888888888E-2</v>
      </c>
      <c r="BP56" s="816">
        <v>6.8888888888888888E-2</v>
      </c>
      <c r="BQ56" s="816">
        <v>6.8888888888888888E-2</v>
      </c>
      <c r="BR56" s="816">
        <v>6.8888888888888888E-2</v>
      </c>
      <c r="BS56" s="816">
        <v>6.8888888888888888E-2</v>
      </c>
      <c r="BT56" s="816">
        <v>6.8888888888888888E-2</v>
      </c>
      <c r="BU56" s="816">
        <v>6.8888888888888888E-2</v>
      </c>
      <c r="BV56" s="816">
        <v>6.8888888888888888E-2</v>
      </c>
      <c r="BW56" s="816">
        <v>6.8888888888888888E-2</v>
      </c>
      <c r="BY56" s="817">
        <v>2.6000000000000002E-2</v>
      </c>
      <c r="BZ56" s="817">
        <v>2.6000000000000002E-2</v>
      </c>
      <c r="CA56" s="817">
        <v>2.6000000000000002E-2</v>
      </c>
      <c r="CB56" s="817">
        <v>2.6000000000000002E-2</v>
      </c>
      <c r="CC56" s="817">
        <v>2.6000000000000002E-2</v>
      </c>
      <c r="CD56" s="817">
        <v>0</v>
      </c>
      <c r="CE56" s="817">
        <v>0</v>
      </c>
      <c r="CF56" s="817">
        <v>0</v>
      </c>
      <c r="CG56" s="817">
        <v>0</v>
      </c>
      <c r="CH56" s="817">
        <v>0</v>
      </c>
      <c r="CI56" s="817">
        <v>0</v>
      </c>
      <c r="CJ56" s="817">
        <v>0</v>
      </c>
      <c r="CK56" s="817">
        <v>0</v>
      </c>
      <c r="CL56" s="817">
        <v>0</v>
      </c>
      <c r="CM56" s="817">
        <v>0</v>
      </c>
      <c r="CN56" s="817">
        <v>0</v>
      </c>
      <c r="CO56" s="816" t="s">
        <v>1340</v>
      </c>
      <c r="CP56" s="818">
        <f>INDEX('Monthly Run-off Change'!I:I,MATCH($B56,'Monthly Run-off Change'!$E:$E,0))</f>
        <v>2.3000000000000003E-2</v>
      </c>
      <c r="CQ56" s="818">
        <f>INDEX('Monthly Run-off Change'!J:J,MATCH($B56,'Monthly Run-off Change'!$E:$E,0))</f>
        <v>8.0500000000000016E-2</v>
      </c>
      <c r="CR56" s="818">
        <f>INDEX('Monthly Run-off Change'!K:K,MATCH($B56,'Monthly Run-off Change'!$E:$E,0))</f>
        <v>8.0500000000000016E-2</v>
      </c>
      <c r="CS56" s="818">
        <f>INDEX('Monthly Run-off Change'!L:L,MATCH($B56,'Monthly Run-off Change'!$E:$E,0))</f>
        <v>2.2999999999999993E-2</v>
      </c>
      <c r="CT56" s="818">
        <f>INDEX('Monthly Run-off Change'!M:M,MATCH($B56,'Monthly Run-off Change'!$E:$E,0))</f>
        <v>2.2999999999999993E-2</v>
      </c>
      <c r="CU56" s="818">
        <f>INDEX('Monthly Run-off Change'!N:N,MATCH($B56,'Monthly Run-off Change'!$E:$E,0))</f>
        <v>2.3000000000000007E-2</v>
      </c>
      <c r="CV56" s="818">
        <f>INDEX('Monthly Run-off Change'!O:O,MATCH($B56,'Monthly Run-off Change'!$E:$E,0))</f>
        <v>2.3000000000000007E-2</v>
      </c>
      <c r="CW56" s="818">
        <f>INDEX('Monthly Run-off Change'!P:P,MATCH($B56,'Monthly Run-off Change'!$E:$E,0))</f>
        <v>7.6666666666666671E-3</v>
      </c>
      <c r="CX56" s="818">
        <f>INDEX('Monthly Run-off Change'!Q:Q,MATCH($B56,'Monthly Run-off Change'!$E:$E,0))</f>
        <v>7.6666666666666671E-3</v>
      </c>
      <c r="CY56" s="818">
        <f>INDEX('Monthly Run-off Change'!R:R,MATCH($B56,'Monthly Run-off Change'!$E:$E,0))</f>
        <v>7.6666666666666671E-3</v>
      </c>
      <c r="CZ56" s="818">
        <f>INDEX('Monthly Run-off Change'!S:S,MATCH($B56,'Monthly Run-off Change'!$E:$E,0))</f>
        <v>7.6666666666666671E-3</v>
      </c>
      <c r="DA56" s="818">
        <f>INDEX('Monthly Run-off Change'!T:T,MATCH($B56,'Monthly Run-off Change'!$E:$E,0))</f>
        <v>7.6666666666666671E-3</v>
      </c>
      <c r="DB56" s="818">
        <f>INDEX('Monthly Run-off Change'!U:U,MATCH($B56,'Monthly Run-off Change'!$E:$E,0))</f>
        <v>7.6666666666666671E-3</v>
      </c>
      <c r="DC56" s="818">
        <f>INDEX('Monthly Run-off Change'!V:V,MATCH($B56,'Monthly Run-off Change'!$E:$E,0))</f>
        <v>7.6666666666666671E-3</v>
      </c>
      <c r="DD56" s="818">
        <f>INDEX('Monthly Run-off Change'!W:W,MATCH($B56,'Monthly Run-off Change'!$E:$E,0))</f>
        <v>7.6666666666666671E-3</v>
      </c>
      <c r="DE56" s="818">
        <f>INDEX('Monthly Run-off Change'!X:X,MATCH($B56,'Monthly Run-off Change'!$E:$E,0))</f>
        <v>7.6666666666666671E-3</v>
      </c>
      <c r="DF56" s="899">
        <f>INDEX('Monthly Run-off Change'!Y:Y,MATCH($B56,'Monthly Run-off Change'!$E:$E,0))</f>
        <v>0</v>
      </c>
      <c r="DG56" s="899">
        <f>INDEX('Monthly Run-off Change'!Z:Z,MATCH($B56,'Monthly Run-off Change'!$E:$E,0))</f>
        <v>2.0000000000000004E-2</v>
      </c>
      <c r="DH56" s="899">
        <f>INDEX('Monthly Run-off Change'!AA:AA,MATCH($B56,'Monthly Run-off Change'!$E:$E,0))</f>
        <v>7.0000000000000007E-2</v>
      </c>
      <c r="DI56" s="899">
        <f>INDEX('Monthly Run-off Change'!AB:AB,MATCH($B56,'Monthly Run-off Change'!$E:$E,0))</f>
        <v>7.0000000000000007E-2</v>
      </c>
      <c r="DJ56" s="899">
        <f>INDEX('Monthly Run-off Change'!AC:AC,MATCH($B56,'Monthly Run-off Change'!$E:$E,0))</f>
        <v>1.999999999999999E-2</v>
      </c>
      <c r="DK56" s="899">
        <f>INDEX('Monthly Run-off Change'!AD:AD,MATCH($B56,'Monthly Run-off Change'!$E:$E,0))</f>
        <v>1.999999999999999E-2</v>
      </c>
      <c r="DL56" s="899">
        <f>INDEX('Monthly Run-off Change'!AE:AE,MATCH($B56,'Monthly Run-off Change'!$E:$E,0))</f>
        <v>1.999999999999999E-2</v>
      </c>
      <c r="DM56" s="899">
        <f>INDEX('Monthly Run-off Change'!AF:AF,MATCH($B56,'Monthly Run-off Change'!$E:$E,0))</f>
        <v>1.999999999999999E-2</v>
      </c>
      <c r="DN56" s="899">
        <f>INDEX('Monthly Run-off Change'!AG:AG,MATCH($B56,'Monthly Run-off Change'!$E:$E,0))</f>
        <v>6.6666666666666723E-3</v>
      </c>
      <c r="DO56" s="899">
        <f>INDEX('Monthly Run-off Change'!AH:AH,MATCH($B56,'Monthly Run-off Change'!$E:$E,0))</f>
        <v>6.6666666666666723E-3</v>
      </c>
      <c r="DP56" s="899">
        <f>INDEX('Monthly Run-off Change'!AI:AI,MATCH($B56,'Monthly Run-off Change'!$E:$E,0))</f>
        <v>6.6666666666666723E-3</v>
      </c>
      <c r="DQ56" s="899">
        <f>INDEX('Monthly Run-off Change'!AJ:AJ,MATCH($B56,'Monthly Run-off Change'!$E:$E,0))</f>
        <v>6.6666666666666723E-3</v>
      </c>
      <c r="DR56" s="899">
        <f>INDEX('Monthly Run-off Change'!AK:AK,MATCH($B56,'Monthly Run-off Change'!$E:$E,0))</f>
        <v>6.6666666666666723E-3</v>
      </c>
      <c r="DS56" s="899">
        <f>INDEX('Monthly Run-off Change'!AL:AL,MATCH($B56,'Monthly Run-off Change'!$E:$E,0))</f>
        <v>6.6666666666666723E-3</v>
      </c>
      <c r="DT56" s="899">
        <f>INDEX('Monthly Run-off Change'!AM:AM,MATCH($B56,'Monthly Run-off Change'!$E:$E,0))</f>
        <v>6.6666666666666723E-3</v>
      </c>
      <c r="DU56" s="899">
        <f>INDEX('Monthly Run-off Change'!AN:AN,MATCH($B56,'Monthly Run-off Change'!$E:$E,0))</f>
        <v>6.6666666666666723E-3</v>
      </c>
      <c r="DV56" s="899">
        <f>INDEX('Monthly Run-off Change'!AO:AO,MATCH($B56,'Monthly Run-off Change'!$E:$E,0))</f>
        <v>6.6666666666666723E-3</v>
      </c>
      <c r="DW56" s="899">
        <f>INDEX('Monthly Run-off Change'!AP:AP,MATCH($B56,'Monthly Run-off Change'!$E:$E,0))</f>
        <v>0</v>
      </c>
      <c r="DX56" s="899">
        <f>INDEX('Monthly Run-off Change'!AQ:AQ,MATCH($B56,'Monthly Run-off Change'!$E:$E,0))</f>
        <v>1.4999999999999999E-2</v>
      </c>
      <c r="DY56" s="899">
        <f>INDEX('Monthly Run-off Change'!AR:AR,MATCH($B56,'Monthly Run-off Change'!$E:$E,0))</f>
        <v>5.2499999999999998E-2</v>
      </c>
      <c r="DZ56" s="899">
        <f>INDEX('Monthly Run-off Change'!AS:AS,MATCH($B56,'Monthly Run-off Change'!$E:$E,0))</f>
        <v>5.2499999999999998E-2</v>
      </c>
      <c r="EA56" s="899">
        <f>INDEX('Monthly Run-off Change'!AT:AT,MATCH($B56,'Monthly Run-off Change'!$E:$E,0))</f>
        <v>1.4999999999999999E-2</v>
      </c>
      <c r="EB56" s="899">
        <f>INDEX('Monthly Run-off Change'!AU:AU,MATCH($B56,'Monthly Run-off Change'!$E:$E,0))</f>
        <v>1.4999999999999999E-2</v>
      </c>
      <c r="EC56" s="899">
        <f>INDEX('Monthly Run-off Change'!AV:AV,MATCH($B56,'Monthly Run-off Change'!$E:$E,0))</f>
        <v>1.4999999999999999E-2</v>
      </c>
      <c r="ED56" s="899">
        <f>INDEX('Monthly Run-off Change'!AW:AW,MATCH($B56,'Monthly Run-off Change'!$E:$E,0))</f>
        <v>1.4999999999999999E-2</v>
      </c>
      <c r="EE56" s="899">
        <f>INDEX('Monthly Run-off Change'!AX:AX,MATCH($B56,'Monthly Run-off Change'!$E:$E,0))</f>
        <v>4.9999999999999984E-3</v>
      </c>
      <c r="EF56" s="899">
        <f>INDEX('Monthly Run-off Change'!AY:AY,MATCH($B56,'Monthly Run-off Change'!$E:$E,0))</f>
        <v>4.9999999999999984E-3</v>
      </c>
      <c r="EG56" s="899">
        <f>INDEX('Monthly Run-off Change'!AZ:AZ,MATCH($B56,'Monthly Run-off Change'!$E:$E,0))</f>
        <v>4.9999999999999984E-3</v>
      </c>
      <c r="EH56" s="899">
        <f>INDEX('Monthly Run-off Change'!BA:BA,MATCH($B56,'Monthly Run-off Change'!$E:$E,0))</f>
        <v>4.9999999999999984E-3</v>
      </c>
      <c r="EI56" s="899">
        <f>INDEX('Monthly Run-off Change'!BB:BB,MATCH($B56,'Monthly Run-off Change'!$E:$E,0))</f>
        <v>4.9999999999999984E-3</v>
      </c>
      <c r="EJ56" s="899">
        <f>INDEX('Monthly Run-off Change'!BC:BC,MATCH($B56,'Monthly Run-off Change'!$E:$E,0))</f>
        <v>4.9999999999999984E-3</v>
      </c>
      <c r="EK56" s="899">
        <f>INDEX('Monthly Run-off Change'!BD:BD,MATCH($B56,'Monthly Run-off Change'!$E:$E,0))</f>
        <v>4.9999999999999984E-3</v>
      </c>
      <c r="EL56" s="899">
        <f>INDEX('Monthly Run-off Change'!BE:BE,MATCH($B56,'Monthly Run-off Change'!$E:$E,0))</f>
        <v>4.9999999999999984E-3</v>
      </c>
      <c r="EM56" s="899">
        <f>INDEX('Monthly Run-off Change'!BF:BF,MATCH($B56,'Monthly Run-off Change'!$E:$E,0))</f>
        <v>4.9999999999999984E-3</v>
      </c>
      <c r="FQ56" s="898"/>
      <c r="FS56" s="898"/>
      <c r="FT56" s="898"/>
      <c r="FU56" s="898"/>
      <c r="FV56" s="898"/>
      <c r="FW56" s="898"/>
      <c r="FX56" s="898"/>
      <c r="FY56" s="898"/>
      <c r="FZ56" s="898"/>
      <c r="GA56" s="898"/>
      <c r="GB56" s="898"/>
      <c r="GC56" s="898"/>
      <c r="GD56" s="898"/>
      <c r="GE56" s="898"/>
      <c r="GF56" s="898"/>
      <c r="GG56" s="898"/>
      <c r="GH56" s="898"/>
      <c r="GJ56" s="898"/>
      <c r="GK56" s="898"/>
      <c r="GL56" s="898"/>
      <c r="GM56" s="898"/>
      <c r="GN56" s="898"/>
      <c r="GO56" s="898"/>
      <c r="GP56" s="898"/>
      <c r="GQ56" s="898"/>
      <c r="GR56" s="898"/>
      <c r="GS56" s="898"/>
      <c r="GT56" s="898"/>
      <c r="GU56" s="898"/>
      <c r="GV56" s="898"/>
      <c r="GW56" s="898"/>
      <c r="GX56" s="898"/>
      <c r="GY56" s="898"/>
      <c r="HA56" s="898"/>
      <c r="HB56" s="898"/>
      <c r="HC56" s="898"/>
      <c r="HD56" s="898"/>
      <c r="HE56" s="898"/>
      <c r="HF56" s="898"/>
      <c r="HG56" s="898"/>
      <c r="HH56" s="898"/>
      <c r="HI56" s="898"/>
      <c r="HJ56" s="898"/>
      <c r="HK56" s="898"/>
      <c r="HL56" s="898"/>
      <c r="HM56" s="898"/>
      <c r="HN56" s="898"/>
      <c r="HO56" s="898"/>
      <c r="HP56" s="898"/>
    </row>
    <row r="57" spans="1:224">
      <c r="A57" s="816" t="s">
        <v>1322</v>
      </c>
      <c r="B57" s="816" t="s">
        <v>1317</v>
      </c>
      <c r="C57" s="816">
        <v>0</v>
      </c>
      <c r="D57" s="816">
        <f t="shared" si="4"/>
        <v>1</v>
      </c>
      <c r="E57" s="816">
        <v>0</v>
      </c>
      <c r="F57" s="816" t="str">
        <f>INDEX('Data Interface'!$C:$C,MATCH(B57,'Data Interface'!$B:$B,0))</f>
        <v>Due to Banks - Investment - PBOC</v>
      </c>
      <c r="G57" s="894">
        <f ca="1">IF($C57=1,$AJ57,SUM($AJ57:$AL57)*INDEX('Schedule Allocation'!G:G,MATCH($D57,'Schedule Allocation'!$A:$A,0)))</f>
        <v>0.1226666666666667</v>
      </c>
      <c r="H57" s="894">
        <f ca="1">IF($C57=1,$AK57,SUM($AJ57:$AL57)*INDEX('Schedule Allocation'!H:H,MATCH($D57,'Schedule Allocation'!$A:$A,0)))</f>
        <v>2.0444444444444449E-2</v>
      </c>
      <c r="I57" s="894">
        <f ca="1">IF($C57=1,$AK57,SUM($AJ57:$AL57)*INDEX('Schedule Allocation'!I:I,MATCH($D57,'Schedule Allocation'!$A:$A,0)))</f>
        <v>2.0444444444444449E-2</v>
      </c>
      <c r="J57" s="894">
        <f ca="1">IF($C57=1,$AK57,SUM($AJ57:$AL57)*INDEX('Schedule Allocation'!J:J,MATCH($D57,'Schedule Allocation'!$A:$A,0)))</f>
        <v>2.0444444444444449E-2</v>
      </c>
      <c r="K57" s="894">
        <f ca="1">IF($C57=1,$AK57,SUM($AJ57:$AL57)*INDEX('Schedule Allocation'!K:K,MATCH($D57,'Schedule Allocation'!$A:$A,0)))</f>
        <v>2.0444444444444449E-2</v>
      </c>
      <c r="L57" s="894">
        <f ca="1">IF($C57=1,$AK57,SUM($AJ57:$AL57)*INDEX('Schedule Allocation'!L:L,MATCH($D57,'Schedule Allocation'!$A:$A,0)))</f>
        <v>2.0444444444444449E-2</v>
      </c>
      <c r="M57" s="894">
        <f ca="1">IF($C57=1,$AK57,SUM($AJ57:$AL57)*INDEX('Schedule Allocation'!M:M,MATCH($D57,'Schedule Allocation'!$A:$A,0)))</f>
        <v>2.0444444444444449E-2</v>
      </c>
      <c r="N57" s="894">
        <f ca="1">IF($C57=1,$AL57,SUM($AJ57:$AL57)*INDEX('Schedule Allocation'!N:N,MATCH($D57,'Schedule Allocation'!$A:$A,0)))</f>
        <v>1.7523809523809532E-2</v>
      </c>
      <c r="O57" s="894">
        <f ca="1">IF($C57=1,$AL57,SUM($AJ57:$AL57)*INDEX('Schedule Allocation'!O:O,MATCH($D57,'Schedule Allocation'!$A:$A,0)))</f>
        <v>1.7523809523809532E-2</v>
      </c>
      <c r="P57" s="894">
        <f ca="1">IF($C57=1,$AL57,SUM($AJ57:$AL57)*INDEX('Schedule Allocation'!P:P,MATCH($D57,'Schedule Allocation'!$A:$A,0)))</f>
        <v>1.7523809523809532E-2</v>
      </c>
      <c r="Q57" s="894">
        <f ca="1">IF($C57=1,$AL57,SUM($AJ57:$AL57)*INDEX('Schedule Allocation'!Q:Q,MATCH($D57,'Schedule Allocation'!$A:$A,0)))</f>
        <v>1.7523809523809532E-2</v>
      </c>
      <c r="R57" s="894">
        <f ca="1">IF($C57=1,$AL57,SUM($AJ57:$AL57)*INDEX('Schedule Allocation'!R:R,MATCH($D57,'Schedule Allocation'!$A:$A,0)))</f>
        <v>1.7523809523809532E-2</v>
      </c>
      <c r="S57" s="894">
        <f ca="1">IF($C57=1,$AL57,SUM($AJ57:$AL57)*INDEX('Schedule Allocation'!S:S,MATCH($D57,'Schedule Allocation'!$A:$A,0)))</f>
        <v>1.7523809523809532E-2</v>
      </c>
      <c r="T57" s="894">
        <f ca="1">IF($C57=1,$AL57,SUM($AJ57:$AL57)*INDEX('Schedule Allocation'!T:T,MATCH($D57,'Schedule Allocation'!$A:$A,0)))</f>
        <v>1.7523809523809532E-2</v>
      </c>
      <c r="U57" s="894">
        <f ca="1">OFFSET(AT57,0,(MATCH('Model Report Formatized'!$E$1,$AN$1:$AN$6,0))*17-17)</f>
        <v>4.5999999999999985E-2</v>
      </c>
      <c r="V57" s="894">
        <f ca="1">OFFSET(AU57,0,(MATCH('Model Report Formatized'!$E$1,$AN$1:$AN$6,0))*17-17)</f>
        <v>4.5999999999999985E-2</v>
      </c>
      <c r="W57" s="894">
        <f ca="1">OFFSET(AV57,0,(MATCH('Model Report Formatized'!$E$1,$AN$1:$AN$6,0))*17-17)</f>
        <v>4.6000000000000013E-2</v>
      </c>
      <c r="X57" s="894">
        <f ca="1">OFFSET(AW57,0,(MATCH('Model Report Formatized'!$E$1,$AN$1:$AN$6,0))*17-17)</f>
        <v>4.6000000000000013E-2</v>
      </c>
      <c r="Y57" s="894">
        <f ca="1">OFFSET(AX57,0,(MATCH('Model Report Formatized'!$E$1,$AN$1:$AN$6,0))*17-17)</f>
        <v>1.5333333333333334E-2</v>
      </c>
      <c r="Z57" s="894">
        <f ca="1">OFFSET(AY57,0,(MATCH('Model Report Formatized'!$E$1,$AN$1:$AN$6,0))*17-17)</f>
        <v>1.5333333333333334E-2</v>
      </c>
      <c r="AA57" s="894">
        <f ca="1">OFFSET(AZ57,0,(MATCH('Model Report Formatized'!$E$1,$AN$1:$AN$6,0))*17-17)</f>
        <v>1.5333333333333334E-2</v>
      </c>
      <c r="AB57" s="894">
        <f ca="1">OFFSET(BA57,0,(MATCH('Model Report Formatized'!$E$1,$AN$1:$AN$6,0))*17-17)</f>
        <v>1.5333333333333334E-2</v>
      </c>
      <c r="AC57" s="894">
        <f ca="1">OFFSET(BB57,0,(MATCH('Model Report Formatized'!$E$1,$AN$1:$AN$6,0))*17-17)</f>
        <v>1.5333333333333334E-2</v>
      </c>
      <c r="AD57" s="894">
        <f ca="1">OFFSET(BC57,0,(MATCH('Model Report Formatized'!$E$1,$AN$1:$AN$6,0))*17-17)</f>
        <v>1.5333333333333334E-2</v>
      </c>
      <c r="AE57" s="894">
        <f ca="1">OFFSET(BD57,0,(MATCH('Model Report Formatized'!$E$1,$AN$1:$AN$6,0))*17-17)</f>
        <v>1.5333333333333334E-2</v>
      </c>
      <c r="AF57" s="894">
        <f ca="1">OFFSET(BE57,0,(MATCH('Model Report Formatized'!$E$1,$AN$1:$AN$6,0))*17-17)</f>
        <v>1.5333333333333334E-2</v>
      </c>
      <c r="AG57" s="894">
        <f ca="1">OFFSET(BF57,0,(MATCH('Model Report Formatized'!$E$1,$AN$1:$AN$6,0))*17-17)</f>
        <v>1.5333333333333334E-2</v>
      </c>
      <c r="AH57" s="891">
        <f t="shared" ca="1" si="5"/>
        <v>2.2204460492503131E-16</v>
      </c>
      <c r="AJ57" s="895">
        <f ca="1">OFFSET(AQ57,0,(MATCH('Model Report Formatized'!$E$1,$AN$1:$AN$6,0))*17-17)</f>
        <v>4.6000000000000006E-2</v>
      </c>
      <c r="AK57" s="895">
        <f ca="1">OFFSET(AR57,0,(MATCH('Model Report Formatized'!$E$1,$AN$1:$AN$6,0))*17-17)</f>
        <v>0.16100000000000003</v>
      </c>
      <c r="AL57" s="895">
        <f ca="1">OFFSET(AS57,0,(MATCH('Model Report Formatized'!$E$1,$AN$1:$AN$6,0))*17-17)</f>
        <v>0.16100000000000003</v>
      </c>
      <c r="AQ57" s="893">
        <v>0.8</v>
      </c>
      <c r="AR57" s="893">
        <v>0</v>
      </c>
      <c r="AS57" s="893">
        <v>0</v>
      </c>
      <c r="AT57" s="893">
        <v>0</v>
      </c>
      <c r="AU57" s="893">
        <v>0</v>
      </c>
      <c r="AV57" s="893">
        <v>0</v>
      </c>
      <c r="AW57" s="893">
        <v>0</v>
      </c>
      <c r="AX57" s="893">
        <v>0</v>
      </c>
      <c r="AY57" s="893">
        <v>0</v>
      </c>
      <c r="AZ57" s="893">
        <v>0</v>
      </c>
      <c r="BA57" s="893">
        <v>0</v>
      </c>
      <c r="BB57" s="893">
        <v>0</v>
      </c>
      <c r="BC57" s="893">
        <v>0</v>
      </c>
      <c r="BD57" s="893">
        <v>0</v>
      </c>
      <c r="BE57" s="893">
        <v>0</v>
      </c>
      <c r="BF57" s="893">
        <v>0</v>
      </c>
      <c r="BH57" s="816">
        <v>7.5999999999999998E-2</v>
      </c>
      <c r="BI57" s="816">
        <v>7.5999999999999998E-2</v>
      </c>
      <c r="BJ57" s="816">
        <v>7.5999999999999998E-2</v>
      </c>
      <c r="BK57" s="816">
        <v>7.5999999999999998E-2</v>
      </c>
      <c r="BL57" s="816">
        <v>7.5999999999999998E-2</v>
      </c>
      <c r="BM57" s="816">
        <v>0.31</v>
      </c>
      <c r="BN57" s="816">
        <v>0.31</v>
      </c>
      <c r="BO57" s="816">
        <v>0</v>
      </c>
      <c r="BP57" s="816">
        <v>0</v>
      </c>
      <c r="BQ57" s="816">
        <v>0</v>
      </c>
      <c r="BR57" s="816">
        <v>0</v>
      </c>
      <c r="BS57" s="816">
        <v>0</v>
      </c>
      <c r="BT57" s="816">
        <v>0</v>
      </c>
      <c r="BU57" s="816">
        <v>0</v>
      </c>
      <c r="BV57" s="816">
        <v>0</v>
      </c>
      <c r="BW57" s="816">
        <v>0</v>
      </c>
      <c r="BY57" s="817">
        <v>1.6E-2</v>
      </c>
      <c r="BZ57" s="817">
        <v>1.6E-2</v>
      </c>
      <c r="CA57" s="817">
        <v>1.6E-2</v>
      </c>
      <c r="CB57" s="817">
        <v>1.6E-2</v>
      </c>
      <c r="CC57" s="817">
        <v>1.6E-2</v>
      </c>
      <c r="CD57" s="817">
        <v>0</v>
      </c>
      <c r="CE57" s="817">
        <v>0</v>
      </c>
      <c r="CF57" s="817">
        <v>0</v>
      </c>
      <c r="CG57" s="817">
        <v>0</v>
      </c>
      <c r="CH57" s="817">
        <v>0</v>
      </c>
      <c r="CI57" s="817">
        <v>0</v>
      </c>
      <c r="CJ57" s="817">
        <v>0</v>
      </c>
      <c r="CK57" s="817">
        <v>0</v>
      </c>
      <c r="CL57" s="817">
        <v>0</v>
      </c>
      <c r="CM57" s="817">
        <v>0</v>
      </c>
      <c r="CN57" s="817">
        <v>0</v>
      </c>
      <c r="CO57" s="816" t="s">
        <v>1340</v>
      </c>
      <c r="CP57" s="818">
        <f>INDEX('Monthly Run-off Change'!I:I,MATCH($B57,'Monthly Run-off Change'!$E:$E,0))</f>
        <v>4.6000000000000006E-2</v>
      </c>
      <c r="CQ57" s="818">
        <f>INDEX('Monthly Run-off Change'!J:J,MATCH($B57,'Monthly Run-off Change'!$E:$E,0))</f>
        <v>0.16100000000000003</v>
      </c>
      <c r="CR57" s="818">
        <f>INDEX('Monthly Run-off Change'!K:K,MATCH($B57,'Monthly Run-off Change'!$E:$E,0))</f>
        <v>0.16100000000000003</v>
      </c>
      <c r="CS57" s="818">
        <f>INDEX('Monthly Run-off Change'!L:L,MATCH($B57,'Monthly Run-off Change'!$E:$E,0))</f>
        <v>4.5999999999999985E-2</v>
      </c>
      <c r="CT57" s="818">
        <f>INDEX('Monthly Run-off Change'!M:M,MATCH($B57,'Monthly Run-off Change'!$E:$E,0))</f>
        <v>4.5999999999999985E-2</v>
      </c>
      <c r="CU57" s="818">
        <f>INDEX('Monthly Run-off Change'!N:N,MATCH($B57,'Monthly Run-off Change'!$E:$E,0))</f>
        <v>4.6000000000000013E-2</v>
      </c>
      <c r="CV57" s="818">
        <f>INDEX('Monthly Run-off Change'!O:O,MATCH($B57,'Monthly Run-off Change'!$E:$E,0))</f>
        <v>4.6000000000000013E-2</v>
      </c>
      <c r="CW57" s="818">
        <f>INDEX('Monthly Run-off Change'!P:P,MATCH($B57,'Monthly Run-off Change'!$E:$E,0))</f>
        <v>1.5333333333333334E-2</v>
      </c>
      <c r="CX57" s="818">
        <f>INDEX('Monthly Run-off Change'!Q:Q,MATCH($B57,'Monthly Run-off Change'!$E:$E,0))</f>
        <v>1.5333333333333334E-2</v>
      </c>
      <c r="CY57" s="818">
        <f>INDEX('Monthly Run-off Change'!R:R,MATCH($B57,'Monthly Run-off Change'!$E:$E,0))</f>
        <v>1.5333333333333334E-2</v>
      </c>
      <c r="CZ57" s="818">
        <f>INDEX('Monthly Run-off Change'!S:S,MATCH($B57,'Monthly Run-off Change'!$E:$E,0))</f>
        <v>1.5333333333333334E-2</v>
      </c>
      <c r="DA57" s="818">
        <f>INDEX('Monthly Run-off Change'!T:T,MATCH($B57,'Monthly Run-off Change'!$E:$E,0))</f>
        <v>1.5333333333333334E-2</v>
      </c>
      <c r="DB57" s="818">
        <f>INDEX('Monthly Run-off Change'!U:U,MATCH($B57,'Monthly Run-off Change'!$E:$E,0))</f>
        <v>1.5333333333333334E-2</v>
      </c>
      <c r="DC57" s="818">
        <f>INDEX('Monthly Run-off Change'!V:V,MATCH($B57,'Monthly Run-off Change'!$E:$E,0))</f>
        <v>1.5333333333333334E-2</v>
      </c>
      <c r="DD57" s="818">
        <f>INDEX('Monthly Run-off Change'!W:W,MATCH($B57,'Monthly Run-off Change'!$E:$E,0))</f>
        <v>1.5333333333333334E-2</v>
      </c>
      <c r="DE57" s="818">
        <f>INDEX('Monthly Run-off Change'!X:X,MATCH($B57,'Monthly Run-off Change'!$E:$E,0))</f>
        <v>1.5333333333333334E-2</v>
      </c>
      <c r="DF57" s="899">
        <f>INDEX('Monthly Run-off Change'!Y:Y,MATCH($B57,'Monthly Run-off Change'!$E:$E,0))</f>
        <v>0</v>
      </c>
      <c r="DG57" s="899">
        <f>INDEX('Monthly Run-off Change'!Z:Z,MATCH($B57,'Monthly Run-off Change'!$E:$E,0))</f>
        <v>4.0000000000000008E-2</v>
      </c>
      <c r="DH57" s="899">
        <f>INDEX('Monthly Run-off Change'!AA:AA,MATCH($B57,'Monthly Run-off Change'!$E:$E,0))</f>
        <v>0.14000000000000001</v>
      </c>
      <c r="DI57" s="899">
        <f>INDEX('Monthly Run-off Change'!AB:AB,MATCH($B57,'Monthly Run-off Change'!$E:$E,0))</f>
        <v>0.14000000000000001</v>
      </c>
      <c r="DJ57" s="899">
        <f>INDEX('Monthly Run-off Change'!AC:AC,MATCH($B57,'Monthly Run-off Change'!$E:$E,0))</f>
        <v>3.999999999999998E-2</v>
      </c>
      <c r="DK57" s="899">
        <f>INDEX('Monthly Run-off Change'!AD:AD,MATCH($B57,'Monthly Run-off Change'!$E:$E,0))</f>
        <v>3.999999999999998E-2</v>
      </c>
      <c r="DL57" s="899">
        <f>INDEX('Monthly Run-off Change'!AE:AE,MATCH($B57,'Monthly Run-off Change'!$E:$E,0))</f>
        <v>3.999999999999998E-2</v>
      </c>
      <c r="DM57" s="899">
        <f>INDEX('Monthly Run-off Change'!AF:AF,MATCH($B57,'Monthly Run-off Change'!$E:$E,0))</f>
        <v>3.999999999999998E-2</v>
      </c>
      <c r="DN57" s="899">
        <f>INDEX('Monthly Run-off Change'!AG:AG,MATCH($B57,'Monthly Run-off Change'!$E:$E,0))</f>
        <v>1.3333333333333345E-2</v>
      </c>
      <c r="DO57" s="899">
        <f>INDEX('Monthly Run-off Change'!AH:AH,MATCH($B57,'Monthly Run-off Change'!$E:$E,0))</f>
        <v>1.3333333333333345E-2</v>
      </c>
      <c r="DP57" s="899">
        <f>INDEX('Monthly Run-off Change'!AI:AI,MATCH($B57,'Monthly Run-off Change'!$E:$E,0))</f>
        <v>1.3333333333333345E-2</v>
      </c>
      <c r="DQ57" s="899">
        <f>INDEX('Monthly Run-off Change'!AJ:AJ,MATCH($B57,'Monthly Run-off Change'!$E:$E,0))</f>
        <v>1.3333333333333345E-2</v>
      </c>
      <c r="DR57" s="899">
        <f>INDEX('Monthly Run-off Change'!AK:AK,MATCH($B57,'Monthly Run-off Change'!$E:$E,0))</f>
        <v>1.3333333333333345E-2</v>
      </c>
      <c r="DS57" s="899">
        <f>INDEX('Monthly Run-off Change'!AL:AL,MATCH($B57,'Monthly Run-off Change'!$E:$E,0))</f>
        <v>1.3333333333333345E-2</v>
      </c>
      <c r="DT57" s="899">
        <f>INDEX('Monthly Run-off Change'!AM:AM,MATCH($B57,'Monthly Run-off Change'!$E:$E,0))</f>
        <v>1.3333333333333345E-2</v>
      </c>
      <c r="DU57" s="899">
        <f>INDEX('Monthly Run-off Change'!AN:AN,MATCH($B57,'Monthly Run-off Change'!$E:$E,0))</f>
        <v>1.3333333333333345E-2</v>
      </c>
      <c r="DV57" s="899">
        <f>INDEX('Monthly Run-off Change'!AO:AO,MATCH($B57,'Monthly Run-off Change'!$E:$E,0))</f>
        <v>1.3333333333333345E-2</v>
      </c>
      <c r="DW57" s="899">
        <f>INDEX('Monthly Run-off Change'!AP:AP,MATCH($B57,'Monthly Run-off Change'!$E:$E,0))</f>
        <v>0</v>
      </c>
      <c r="DX57" s="899">
        <f>INDEX('Monthly Run-off Change'!AQ:AQ,MATCH($B57,'Monthly Run-off Change'!$E:$E,0))</f>
        <v>0.03</v>
      </c>
      <c r="DY57" s="899">
        <f>INDEX('Monthly Run-off Change'!AR:AR,MATCH($B57,'Monthly Run-off Change'!$E:$E,0))</f>
        <v>0.105</v>
      </c>
      <c r="DZ57" s="899">
        <f>INDEX('Monthly Run-off Change'!AS:AS,MATCH($B57,'Monthly Run-off Change'!$E:$E,0))</f>
        <v>0.105</v>
      </c>
      <c r="EA57" s="899">
        <f>INDEX('Monthly Run-off Change'!AT:AT,MATCH($B57,'Monthly Run-off Change'!$E:$E,0))</f>
        <v>0.03</v>
      </c>
      <c r="EB57" s="899">
        <f>INDEX('Monthly Run-off Change'!AU:AU,MATCH($B57,'Monthly Run-off Change'!$E:$E,0))</f>
        <v>0.03</v>
      </c>
      <c r="EC57" s="899">
        <f>INDEX('Monthly Run-off Change'!AV:AV,MATCH($B57,'Monthly Run-off Change'!$E:$E,0))</f>
        <v>0.03</v>
      </c>
      <c r="ED57" s="899">
        <f>INDEX('Monthly Run-off Change'!AW:AW,MATCH($B57,'Monthly Run-off Change'!$E:$E,0))</f>
        <v>0.03</v>
      </c>
      <c r="EE57" s="899">
        <f>INDEX('Monthly Run-off Change'!AX:AX,MATCH($B57,'Monthly Run-off Change'!$E:$E,0))</f>
        <v>9.9999999999999967E-3</v>
      </c>
      <c r="EF57" s="899">
        <f>INDEX('Monthly Run-off Change'!AY:AY,MATCH($B57,'Monthly Run-off Change'!$E:$E,0))</f>
        <v>9.9999999999999967E-3</v>
      </c>
      <c r="EG57" s="899">
        <f>INDEX('Monthly Run-off Change'!AZ:AZ,MATCH($B57,'Monthly Run-off Change'!$E:$E,0))</f>
        <v>9.9999999999999967E-3</v>
      </c>
      <c r="EH57" s="899">
        <f>INDEX('Monthly Run-off Change'!BA:BA,MATCH($B57,'Monthly Run-off Change'!$E:$E,0))</f>
        <v>9.9999999999999967E-3</v>
      </c>
      <c r="EI57" s="899">
        <f>INDEX('Monthly Run-off Change'!BB:BB,MATCH($B57,'Monthly Run-off Change'!$E:$E,0))</f>
        <v>9.9999999999999967E-3</v>
      </c>
      <c r="EJ57" s="899">
        <f>INDEX('Monthly Run-off Change'!BC:BC,MATCH($B57,'Monthly Run-off Change'!$E:$E,0))</f>
        <v>9.9999999999999967E-3</v>
      </c>
      <c r="EK57" s="899">
        <f>INDEX('Monthly Run-off Change'!BD:BD,MATCH($B57,'Monthly Run-off Change'!$E:$E,0))</f>
        <v>9.9999999999999967E-3</v>
      </c>
      <c r="EL57" s="899">
        <f>INDEX('Monthly Run-off Change'!BE:BE,MATCH($B57,'Monthly Run-off Change'!$E:$E,0))</f>
        <v>9.9999999999999967E-3</v>
      </c>
      <c r="EM57" s="899">
        <f>INDEX('Monthly Run-off Change'!BF:BF,MATCH($B57,'Monthly Run-off Change'!$E:$E,0))</f>
        <v>9.9999999999999967E-3</v>
      </c>
      <c r="FQ57" s="898"/>
      <c r="FS57" s="898"/>
      <c r="FT57" s="898"/>
      <c r="FU57" s="898"/>
      <c r="FV57" s="898"/>
      <c r="FW57" s="898"/>
      <c r="FX57" s="898"/>
      <c r="FY57" s="898"/>
      <c r="FZ57" s="898"/>
      <c r="GA57" s="898"/>
      <c r="GB57" s="898"/>
      <c r="GC57" s="898"/>
      <c r="GD57" s="898"/>
      <c r="GE57" s="898"/>
      <c r="GF57" s="898"/>
      <c r="GG57" s="898"/>
      <c r="GH57" s="898"/>
      <c r="GJ57" s="898"/>
      <c r="GK57" s="898"/>
      <c r="GL57" s="898"/>
      <c r="GM57" s="898"/>
      <c r="GN57" s="898"/>
      <c r="GO57" s="898"/>
      <c r="GP57" s="898"/>
      <c r="GQ57" s="898"/>
      <c r="GR57" s="898"/>
      <c r="GS57" s="898"/>
      <c r="GT57" s="898"/>
      <c r="GU57" s="898"/>
      <c r="GV57" s="898"/>
      <c r="GW57" s="898"/>
      <c r="GX57" s="898"/>
      <c r="GY57" s="898"/>
      <c r="HA57" s="898"/>
      <c r="HB57" s="898"/>
      <c r="HC57" s="898"/>
      <c r="HD57" s="898"/>
      <c r="HE57" s="898"/>
      <c r="HF57" s="898"/>
      <c r="HG57" s="898"/>
      <c r="HH57" s="898"/>
      <c r="HI57" s="898"/>
      <c r="HJ57" s="898"/>
      <c r="HK57" s="898"/>
      <c r="HL57" s="898"/>
      <c r="HM57" s="898"/>
      <c r="HN57" s="898"/>
      <c r="HO57" s="898"/>
      <c r="HP57" s="898"/>
    </row>
    <row r="58" spans="1:224">
      <c r="A58" s="816" t="s">
        <v>1323</v>
      </c>
      <c r="B58" s="816" t="s">
        <v>1318</v>
      </c>
      <c r="C58" s="816">
        <v>0</v>
      </c>
      <c r="D58" s="816">
        <f t="shared" si="4"/>
        <v>1</v>
      </c>
      <c r="E58" s="816">
        <v>0</v>
      </c>
      <c r="F58" s="816" t="str">
        <f>INDEX('Data Interface'!$C:$C,MATCH(B58,'Data Interface'!$B:$B,0))</f>
        <v>Due to Banks - Investment - CDB &amp; CDB S</v>
      </c>
      <c r="G58" s="894">
        <f ca="1">IF($C58=1,$AJ58,SUM($AJ58:$AL58)*INDEX('Schedule Allocation'!G:G,MATCH($D58,'Schedule Allocation'!$A:$A,0)))</f>
        <v>0.1226666666666667</v>
      </c>
      <c r="H58" s="894">
        <f ca="1">IF($C58=1,$AK58,SUM($AJ58:$AL58)*INDEX('Schedule Allocation'!H:H,MATCH($D58,'Schedule Allocation'!$A:$A,0)))</f>
        <v>2.0444444444444449E-2</v>
      </c>
      <c r="I58" s="894">
        <f ca="1">IF($C58=1,$AK58,SUM($AJ58:$AL58)*INDEX('Schedule Allocation'!I:I,MATCH($D58,'Schedule Allocation'!$A:$A,0)))</f>
        <v>2.0444444444444449E-2</v>
      </c>
      <c r="J58" s="894">
        <f ca="1">IF($C58=1,$AK58,SUM($AJ58:$AL58)*INDEX('Schedule Allocation'!J:J,MATCH($D58,'Schedule Allocation'!$A:$A,0)))</f>
        <v>2.0444444444444449E-2</v>
      </c>
      <c r="K58" s="894">
        <f ca="1">IF($C58=1,$AK58,SUM($AJ58:$AL58)*INDEX('Schedule Allocation'!K:K,MATCH($D58,'Schedule Allocation'!$A:$A,0)))</f>
        <v>2.0444444444444449E-2</v>
      </c>
      <c r="L58" s="894">
        <f ca="1">IF($C58=1,$AK58,SUM($AJ58:$AL58)*INDEX('Schedule Allocation'!L:L,MATCH($D58,'Schedule Allocation'!$A:$A,0)))</f>
        <v>2.0444444444444449E-2</v>
      </c>
      <c r="M58" s="894">
        <f ca="1">IF($C58=1,$AK58,SUM($AJ58:$AL58)*INDEX('Schedule Allocation'!M:M,MATCH($D58,'Schedule Allocation'!$A:$A,0)))</f>
        <v>2.0444444444444449E-2</v>
      </c>
      <c r="N58" s="894">
        <f ca="1">IF($C58=1,$AL58,SUM($AJ58:$AL58)*INDEX('Schedule Allocation'!N:N,MATCH($D58,'Schedule Allocation'!$A:$A,0)))</f>
        <v>1.7523809523809532E-2</v>
      </c>
      <c r="O58" s="894">
        <f ca="1">IF($C58=1,$AL58,SUM($AJ58:$AL58)*INDEX('Schedule Allocation'!O:O,MATCH($D58,'Schedule Allocation'!$A:$A,0)))</f>
        <v>1.7523809523809532E-2</v>
      </c>
      <c r="P58" s="894">
        <f ca="1">IF($C58=1,$AL58,SUM($AJ58:$AL58)*INDEX('Schedule Allocation'!P:P,MATCH($D58,'Schedule Allocation'!$A:$A,0)))</f>
        <v>1.7523809523809532E-2</v>
      </c>
      <c r="Q58" s="894">
        <f ca="1">IF($C58=1,$AL58,SUM($AJ58:$AL58)*INDEX('Schedule Allocation'!Q:Q,MATCH($D58,'Schedule Allocation'!$A:$A,0)))</f>
        <v>1.7523809523809532E-2</v>
      </c>
      <c r="R58" s="894">
        <f ca="1">IF($C58=1,$AL58,SUM($AJ58:$AL58)*INDEX('Schedule Allocation'!R:R,MATCH($D58,'Schedule Allocation'!$A:$A,0)))</f>
        <v>1.7523809523809532E-2</v>
      </c>
      <c r="S58" s="894">
        <f ca="1">IF($C58=1,$AL58,SUM($AJ58:$AL58)*INDEX('Schedule Allocation'!S:S,MATCH($D58,'Schedule Allocation'!$A:$A,0)))</f>
        <v>1.7523809523809532E-2</v>
      </c>
      <c r="T58" s="894">
        <f ca="1">IF($C58=1,$AL58,SUM($AJ58:$AL58)*INDEX('Schedule Allocation'!T:T,MATCH($D58,'Schedule Allocation'!$A:$A,0)))</f>
        <v>1.7523809523809532E-2</v>
      </c>
      <c r="U58" s="894">
        <f ca="1">OFFSET(AT58,0,(MATCH('Model Report Formatized'!$E$1,$AN$1:$AN$6,0))*17-17)</f>
        <v>4.5999999999999985E-2</v>
      </c>
      <c r="V58" s="894">
        <f ca="1">OFFSET(AU58,0,(MATCH('Model Report Formatized'!$E$1,$AN$1:$AN$6,0))*17-17)</f>
        <v>4.5999999999999985E-2</v>
      </c>
      <c r="W58" s="894">
        <f ca="1">OFFSET(AV58,0,(MATCH('Model Report Formatized'!$E$1,$AN$1:$AN$6,0))*17-17)</f>
        <v>4.6000000000000013E-2</v>
      </c>
      <c r="X58" s="894">
        <f ca="1">OFFSET(AW58,0,(MATCH('Model Report Formatized'!$E$1,$AN$1:$AN$6,0))*17-17)</f>
        <v>4.6000000000000013E-2</v>
      </c>
      <c r="Y58" s="894">
        <f ca="1">OFFSET(AX58,0,(MATCH('Model Report Formatized'!$E$1,$AN$1:$AN$6,0))*17-17)</f>
        <v>1.5333333333333334E-2</v>
      </c>
      <c r="Z58" s="894">
        <f ca="1">OFFSET(AY58,0,(MATCH('Model Report Formatized'!$E$1,$AN$1:$AN$6,0))*17-17)</f>
        <v>1.5333333333333334E-2</v>
      </c>
      <c r="AA58" s="894">
        <f ca="1">OFFSET(AZ58,0,(MATCH('Model Report Formatized'!$E$1,$AN$1:$AN$6,0))*17-17)</f>
        <v>1.5333333333333334E-2</v>
      </c>
      <c r="AB58" s="894">
        <f ca="1">OFFSET(BA58,0,(MATCH('Model Report Formatized'!$E$1,$AN$1:$AN$6,0))*17-17)</f>
        <v>1.5333333333333334E-2</v>
      </c>
      <c r="AC58" s="894">
        <f ca="1">OFFSET(BB58,0,(MATCH('Model Report Formatized'!$E$1,$AN$1:$AN$6,0))*17-17)</f>
        <v>1.5333333333333334E-2</v>
      </c>
      <c r="AD58" s="894">
        <f ca="1">OFFSET(BC58,0,(MATCH('Model Report Formatized'!$E$1,$AN$1:$AN$6,0))*17-17)</f>
        <v>1.5333333333333334E-2</v>
      </c>
      <c r="AE58" s="894">
        <f ca="1">OFFSET(BD58,0,(MATCH('Model Report Formatized'!$E$1,$AN$1:$AN$6,0))*17-17)</f>
        <v>1.5333333333333334E-2</v>
      </c>
      <c r="AF58" s="894">
        <f ca="1">OFFSET(BE58,0,(MATCH('Model Report Formatized'!$E$1,$AN$1:$AN$6,0))*17-17)</f>
        <v>1.5333333333333334E-2</v>
      </c>
      <c r="AG58" s="894">
        <f ca="1">OFFSET(BF58,0,(MATCH('Model Report Formatized'!$E$1,$AN$1:$AN$6,0))*17-17)</f>
        <v>1.5333333333333334E-2</v>
      </c>
      <c r="AH58" s="891">
        <f t="shared" ca="1" si="5"/>
        <v>2.2204460492503131E-16</v>
      </c>
      <c r="AJ58" s="895">
        <f ca="1">OFFSET(AQ58,0,(MATCH('Model Report Formatized'!$E$1,$AN$1:$AN$6,0))*17-17)</f>
        <v>4.6000000000000006E-2</v>
      </c>
      <c r="AK58" s="895">
        <f ca="1">OFFSET(AR58,0,(MATCH('Model Report Formatized'!$E$1,$AN$1:$AN$6,0))*17-17)</f>
        <v>0.16100000000000003</v>
      </c>
      <c r="AL58" s="895">
        <f ca="1">OFFSET(AS58,0,(MATCH('Model Report Formatized'!$E$1,$AN$1:$AN$6,0))*17-17)</f>
        <v>0.16100000000000003</v>
      </c>
      <c r="AQ58" s="893">
        <v>0.8</v>
      </c>
      <c r="AR58" s="893">
        <v>0</v>
      </c>
      <c r="AS58" s="893">
        <v>0</v>
      </c>
      <c r="AT58" s="893">
        <v>0</v>
      </c>
      <c r="AU58" s="893">
        <v>0</v>
      </c>
      <c r="AV58" s="893">
        <v>0</v>
      </c>
      <c r="AW58" s="893">
        <v>0</v>
      </c>
      <c r="AX58" s="893">
        <v>0</v>
      </c>
      <c r="AY58" s="893">
        <v>0</v>
      </c>
      <c r="AZ58" s="893">
        <v>0</v>
      </c>
      <c r="BA58" s="893">
        <v>0</v>
      </c>
      <c r="BB58" s="893">
        <v>0</v>
      </c>
      <c r="BC58" s="893">
        <v>0</v>
      </c>
      <c r="BD58" s="893">
        <v>0</v>
      </c>
      <c r="BE58" s="893">
        <v>0</v>
      </c>
      <c r="BF58" s="893">
        <v>0</v>
      </c>
      <c r="BH58" s="816">
        <v>7.5999999999999998E-2</v>
      </c>
      <c r="BI58" s="816">
        <v>7.5999999999999998E-2</v>
      </c>
      <c r="BJ58" s="816">
        <v>7.5999999999999998E-2</v>
      </c>
      <c r="BK58" s="816">
        <v>7.5999999999999998E-2</v>
      </c>
      <c r="BL58" s="816">
        <v>7.5999999999999998E-2</v>
      </c>
      <c r="BM58" s="816">
        <v>0.31</v>
      </c>
      <c r="BN58" s="816">
        <v>0.31</v>
      </c>
      <c r="BO58" s="816">
        <v>0</v>
      </c>
      <c r="BP58" s="816">
        <v>0</v>
      </c>
      <c r="BQ58" s="816">
        <v>0</v>
      </c>
      <c r="BR58" s="816">
        <v>0</v>
      </c>
      <c r="BS58" s="816">
        <v>0</v>
      </c>
      <c r="BT58" s="816">
        <v>0</v>
      </c>
      <c r="BU58" s="816">
        <v>0</v>
      </c>
      <c r="BV58" s="816">
        <v>0</v>
      </c>
      <c r="BW58" s="816">
        <v>0</v>
      </c>
      <c r="BY58" s="817">
        <v>1.6E-2</v>
      </c>
      <c r="BZ58" s="817">
        <v>1.6E-2</v>
      </c>
      <c r="CA58" s="817">
        <v>1.6E-2</v>
      </c>
      <c r="CB58" s="817">
        <v>1.6E-2</v>
      </c>
      <c r="CC58" s="817">
        <v>1.6E-2</v>
      </c>
      <c r="CD58" s="817">
        <v>0</v>
      </c>
      <c r="CE58" s="817">
        <v>0</v>
      </c>
      <c r="CF58" s="817">
        <v>0</v>
      </c>
      <c r="CG58" s="817">
        <v>0</v>
      </c>
      <c r="CH58" s="817">
        <v>0</v>
      </c>
      <c r="CI58" s="817">
        <v>0</v>
      </c>
      <c r="CJ58" s="817">
        <v>0</v>
      </c>
      <c r="CK58" s="817">
        <v>0</v>
      </c>
      <c r="CL58" s="817">
        <v>0</v>
      </c>
      <c r="CM58" s="817">
        <v>0</v>
      </c>
      <c r="CN58" s="817">
        <v>0</v>
      </c>
      <c r="CO58" s="816" t="s">
        <v>1340</v>
      </c>
      <c r="CP58" s="818">
        <f>INDEX('Monthly Run-off Change'!I:I,MATCH($B58,'Monthly Run-off Change'!$E:$E,0))</f>
        <v>4.6000000000000006E-2</v>
      </c>
      <c r="CQ58" s="818">
        <f>INDEX('Monthly Run-off Change'!J:J,MATCH($B58,'Monthly Run-off Change'!$E:$E,0))</f>
        <v>0.16100000000000003</v>
      </c>
      <c r="CR58" s="818">
        <f>INDEX('Monthly Run-off Change'!K:K,MATCH($B58,'Monthly Run-off Change'!$E:$E,0))</f>
        <v>0.16100000000000003</v>
      </c>
      <c r="CS58" s="818">
        <f>INDEX('Monthly Run-off Change'!L:L,MATCH($B58,'Monthly Run-off Change'!$E:$E,0))</f>
        <v>4.5999999999999985E-2</v>
      </c>
      <c r="CT58" s="818">
        <f>INDEX('Monthly Run-off Change'!M:M,MATCH($B58,'Monthly Run-off Change'!$E:$E,0))</f>
        <v>4.5999999999999985E-2</v>
      </c>
      <c r="CU58" s="818">
        <f>INDEX('Monthly Run-off Change'!N:N,MATCH($B58,'Monthly Run-off Change'!$E:$E,0))</f>
        <v>4.6000000000000013E-2</v>
      </c>
      <c r="CV58" s="818">
        <f>INDEX('Monthly Run-off Change'!O:O,MATCH($B58,'Monthly Run-off Change'!$E:$E,0))</f>
        <v>4.6000000000000013E-2</v>
      </c>
      <c r="CW58" s="818">
        <f>INDEX('Monthly Run-off Change'!P:P,MATCH($B58,'Monthly Run-off Change'!$E:$E,0))</f>
        <v>1.5333333333333334E-2</v>
      </c>
      <c r="CX58" s="818">
        <f>INDEX('Monthly Run-off Change'!Q:Q,MATCH($B58,'Monthly Run-off Change'!$E:$E,0))</f>
        <v>1.5333333333333334E-2</v>
      </c>
      <c r="CY58" s="818">
        <f>INDEX('Monthly Run-off Change'!R:R,MATCH($B58,'Monthly Run-off Change'!$E:$E,0))</f>
        <v>1.5333333333333334E-2</v>
      </c>
      <c r="CZ58" s="818">
        <f>INDEX('Monthly Run-off Change'!S:S,MATCH($B58,'Monthly Run-off Change'!$E:$E,0))</f>
        <v>1.5333333333333334E-2</v>
      </c>
      <c r="DA58" s="818">
        <f>INDEX('Monthly Run-off Change'!T:T,MATCH($B58,'Monthly Run-off Change'!$E:$E,0))</f>
        <v>1.5333333333333334E-2</v>
      </c>
      <c r="DB58" s="818">
        <f>INDEX('Monthly Run-off Change'!U:U,MATCH($B58,'Monthly Run-off Change'!$E:$E,0))</f>
        <v>1.5333333333333334E-2</v>
      </c>
      <c r="DC58" s="818">
        <f>INDEX('Monthly Run-off Change'!V:V,MATCH($B58,'Monthly Run-off Change'!$E:$E,0))</f>
        <v>1.5333333333333334E-2</v>
      </c>
      <c r="DD58" s="818">
        <f>INDEX('Monthly Run-off Change'!W:W,MATCH($B58,'Monthly Run-off Change'!$E:$E,0))</f>
        <v>1.5333333333333334E-2</v>
      </c>
      <c r="DE58" s="818">
        <f>INDEX('Monthly Run-off Change'!X:X,MATCH($B58,'Monthly Run-off Change'!$E:$E,0))</f>
        <v>1.5333333333333334E-2</v>
      </c>
      <c r="DF58" s="899">
        <f>INDEX('Monthly Run-off Change'!Y:Y,MATCH($B58,'Monthly Run-off Change'!$E:$E,0))</f>
        <v>0</v>
      </c>
      <c r="DG58" s="899">
        <f>INDEX('Monthly Run-off Change'!Z:Z,MATCH($B58,'Monthly Run-off Change'!$E:$E,0))</f>
        <v>4.0000000000000008E-2</v>
      </c>
      <c r="DH58" s="899">
        <f>INDEX('Monthly Run-off Change'!AA:AA,MATCH($B58,'Monthly Run-off Change'!$E:$E,0))</f>
        <v>0.14000000000000001</v>
      </c>
      <c r="DI58" s="899">
        <f>INDEX('Monthly Run-off Change'!AB:AB,MATCH($B58,'Monthly Run-off Change'!$E:$E,0))</f>
        <v>0.14000000000000001</v>
      </c>
      <c r="DJ58" s="899">
        <f>INDEX('Monthly Run-off Change'!AC:AC,MATCH($B58,'Monthly Run-off Change'!$E:$E,0))</f>
        <v>3.999999999999998E-2</v>
      </c>
      <c r="DK58" s="899">
        <f>INDEX('Monthly Run-off Change'!AD:AD,MATCH($B58,'Monthly Run-off Change'!$E:$E,0))</f>
        <v>3.999999999999998E-2</v>
      </c>
      <c r="DL58" s="899">
        <f>INDEX('Monthly Run-off Change'!AE:AE,MATCH($B58,'Monthly Run-off Change'!$E:$E,0))</f>
        <v>3.999999999999998E-2</v>
      </c>
      <c r="DM58" s="899">
        <f>INDEX('Monthly Run-off Change'!AF:AF,MATCH($B58,'Monthly Run-off Change'!$E:$E,0))</f>
        <v>3.999999999999998E-2</v>
      </c>
      <c r="DN58" s="899">
        <f>INDEX('Monthly Run-off Change'!AG:AG,MATCH($B58,'Monthly Run-off Change'!$E:$E,0))</f>
        <v>1.3333333333333345E-2</v>
      </c>
      <c r="DO58" s="899">
        <f>INDEX('Monthly Run-off Change'!AH:AH,MATCH($B58,'Monthly Run-off Change'!$E:$E,0))</f>
        <v>1.3333333333333345E-2</v>
      </c>
      <c r="DP58" s="899">
        <f>INDEX('Monthly Run-off Change'!AI:AI,MATCH($B58,'Monthly Run-off Change'!$E:$E,0))</f>
        <v>1.3333333333333345E-2</v>
      </c>
      <c r="DQ58" s="899">
        <f>INDEX('Monthly Run-off Change'!AJ:AJ,MATCH($B58,'Monthly Run-off Change'!$E:$E,0))</f>
        <v>1.3333333333333345E-2</v>
      </c>
      <c r="DR58" s="899">
        <f>INDEX('Monthly Run-off Change'!AK:AK,MATCH($B58,'Monthly Run-off Change'!$E:$E,0))</f>
        <v>1.3333333333333345E-2</v>
      </c>
      <c r="DS58" s="899">
        <f>INDEX('Monthly Run-off Change'!AL:AL,MATCH($B58,'Monthly Run-off Change'!$E:$E,0))</f>
        <v>1.3333333333333345E-2</v>
      </c>
      <c r="DT58" s="899">
        <f>INDEX('Monthly Run-off Change'!AM:AM,MATCH($B58,'Monthly Run-off Change'!$E:$E,0))</f>
        <v>1.3333333333333345E-2</v>
      </c>
      <c r="DU58" s="899">
        <f>INDEX('Monthly Run-off Change'!AN:AN,MATCH($B58,'Monthly Run-off Change'!$E:$E,0))</f>
        <v>1.3333333333333345E-2</v>
      </c>
      <c r="DV58" s="899">
        <f>INDEX('Monthly Run-off Change'!AO:AO,MATCH($B58,'Monthly Run-off Change'!$E:$E,0))</f>
        <v>1.3333333333333345E-2</v>
      </c>
      <c r="DW58" s="899">
        <f>INDEX('Monthly Run-off Change'!AP:AP,MATCH($B58,'Monthly Run-off Change'!$E:$E,0))</f>
        <v>0</v>
      </c>
      <c r="DX58" s="899">
        <f>INDEX('Monthly Run-off Change'!AQ:AQ,MATCH($B58,'Monthly Run-off Change'!$E:$E,0))</f>
        <v>0.03</v>
      </c>
      <c r="DY58" s="899">
        <f>INDEX('Monthly Run-off Change'!AR:AR,MATCH($B58,'Monthly Run-off Change'!$E:$E,0))</f>
        <v>0.105</v>
      </c>
      <c r="DZ58" s="899">
        <f>INDEX('Monthly Run-off Change'!AS:AS,MATCH($B58,'Monthly Run-off Change'!$E:$E,0))</f>
        <v>0.105</v>
      </c>
      <c r="EA58" s="899">
        <f>INDEX('Monthly Run-off Change'!AT:AT,MATCH($B58,'Monthly Run-off Change'!$E:$E,0))</f>
        <v>0.03</v>
      </c>
      <c r="EB58" s="899">
        <f>INDEX('Monthly Run-off Change'!AU:AU,MATCH($B58,'Monthly Run-off Change'!$E:$E,0))</f>
        <v>0.03</v>
      </c>
      <c r="EC58" s="899">
        <f>INDEX('Monthly Run-off Change'!AV:AV,MATCH($B58,'Monthly Run-off Change'!$E:$E,0))</f>
        <v>0.03</v>
      </c>
      <c r="ED58" s="899">
        <f>INDEX('Monthly Run-off Change'!AW:AW,MATCH($B58,'Monthly Run-off Change'!$E:$E,0))</f>
        <v>0.03</v>
      </c>
      <c r="EE58" s="899">
        <f>INDEX('Monthly Run-off Change'!AX:AX,MATCH($B58,'Monthly Run-off Change'!$E:$E,0))</f>
        <v>9.9999999999999967E-3</v>
      </c>
      <c r="EF58" s="899">
        <f>INDEX('Monthly Run-off Change'!AY:AY,MATCH($B58,'Monthly Run-off Change'!$E:$E,0))</f>
        <v>9.9999999999999967E-3</v>
      </c>
      <c r="EG58" s="899">
        <f>INDEX('Monthly Run-off Change'!AZ:AZ,MATCH($B58,'Monthly Run-off Change'!$E:$E,0))</f>
        <v>9.9999999999999967E-3</v>
      </c>
      <c r="EH58" s="899">
        <f>INDEX('Monthly Run-off Change'!BA:BA,MATCH($B58,'Monthly Run-off Change'!$E:$E,0))</f>
        <v>9.9999999999999967E-3</v>
      </c>
      <c r="EI58" s="899">
        <f>INDEX('Monthly Run-off Change'!BB:BB,MATCH($B58,'Monthly Run-off Change'!$E:$E,0))</f>
        <v>9.9999999999999967E-3</v>
      </c>
      <c r="EJ58" s="899">
        <f>INDEX('Monthly Run-off Change'!BC:BC,MATCH($B58,'Monthly Run-off Change'!$E:$E,0))</f>
        <v>9.9999999999999967E-3</v>
      </c>
      <c r="EK58" s="899">
        <f>INDEX('Monthly Run-off Change'!BD:BD,MATCH($B58,'Monthly Run-off Change'!$E:$E,0))</f>
        <v>9.9999999999999967E-3</v>
      </c>
      <c r="EL58" s="899">
        <f>INDEX('Monthly Run-off Change'!BE:BE,MATCH($B58,'Monthly Run-off Change'!$E:$E,0))</f>
        <v>9.9999999999999967E-3</v>
      </c>
      <c r="EM58" s="899">
        <f>INDEX('Monthly Run-off Change'!BF:BF,MATCH($B58,'Monthly Run-off Change'!$E:$E,0))</f>
        <v>9.9999999999999967E-3</v>
      </c>
      <c r="FQ58" s="898"/>
      <c r="FS58" s="898"/>
      <c r="FT58" s="898"/>
      <c r="FU58" s="898"/>
      <c r="FV58" s="898"/>
      <c r="FW58" s="898"/>
      <c r="FX58" s="898"/>
      <c r="FY58" s="898"/>
      <c r="FZ58" s="898"/>
      <c r="GA58" s="898"/>
      <c r="GB58" s="898"/>
      <c r="GC58" s="898"/>
      <c r="GD58" s="898"/>
      <c r="GE58" s="898"/>
      <c r="GF58" s="898"/>
      <c r="GG58" s="898"/>
      <c r="GH58" s="898"/>
      <c r="GJ58" s="898"/>
      <c r="GK58" s="898"/>
      <c r="GL58" s="898"/>
      <c r="GM58" s="898"/>
      <c r="GN58" s="898"/>
      <c r="GO58" s="898"/>
      <c r="GP58" s="898"/>
      <c r="GQ58" s="898"/>
      <c r="GR58" s="898"/>
      <c r="GS58" s="898"/>
      <c r="GT58" s="898"/>
      <c r="GU58" s="898"/>
      <c r="GV58" s="898"/>
      <c r="GW58" s="898"/>
      <c r="GX58" s="898"/>
      <c r="GY58" s="898"/>
      <c r="HA58" s="898"/>
      <c r="HB58" s="898"/>
      <c r="HC58" s="898"/>
      <c r="HD58" s="898"/>
      <c r="HE58" s="898"/>
      <c r="HF58" s="898"/>
      <c r="HG58" s="898"/>
      <c r="HH58" s="898"/>
      <c r="HI58" s="898"/>
      <c r="HJ58" s="898"/>
      <c r="HK58" s="898"/>
      <c r="HL58" s="898"/>
      <c r="HM58" s="898"/>
      <c r="HN58" s="898"/>
      <c r="HO58" s="898"/>
      <c r="HP58" s="898"/>
    </row>
    <row r="59" spans="1:224">
      <c r="A59" s="816" t="s">
        <v>1324</v>
      </c>
      <c r="B59" s="816" t="s">
        <v>1319</v>
      </c>
      <c r="C59" s="816">
        <v>0</v>
      </c>
      <c r="D59" s="816">
        <f t="shared" si="4"/>
        <v>1</v>
      </c>
      <c r="E59" s="816">
        <v>0</v>
      </c>
      <c r="F59" s="816" t="str">
        <f>INDEX('Data Interface'!$C:$C,MATCH(B59,'Data Interface'!$B:$B,0))</f>
        <v>Due to Banks - Investment - CDB HK</v>
      </c>
      <c r="G59" s="894">
        <f ca="1">IF($C59=1,$AJ59,SUM($AJ59:$AL59)*INDEX('Schedule Allocation'!G:G,MATCH($D59,'Schedule Allocation'!$A:$A,0)))</f>
        <v>6.1333333333333351E-2</v>
      </c>
      <c r="H59" s="894">
        <f ca="1">IF($C59=1,$AK59,SUM($AJ59:$AL59)*INDEX('Schedule Allocation'!H:H,MATCH($D59,'Schedule Allocation'!$A:$A,0)))</f>
        <v>1.0222222222222225E-2</v>
      </c>
      <c r="I59" s="894">
        <f ca="1">IF($C59=1,$AK59,SUM($AJ59:$AL59)*INDEX('Schedule Allocation'!I:I,MATCH($D59,'Schedule Allocation'!$A:$A,0)))</f>
        <v>1.0222222222222225E-2</v>
      </c>
      <c r="J59" s="894">
        <f ca="1">IF($C59=1,$AK59,SUM($AJ59:$AL59)*INDEX('Schedule Allocation'!J:J,MATCH($D59,'Schedule Allocation'!$A:$A,0)))</f>
        <v>1.0222222222222225E-2</v>
      </c>
      <c r="K59" s="894">
        <f ca="1">IF($C59=1,$AK59,SUM($AJ59:$AL59)*INDEX('Schedule Allocation'!K:K,MATCH($D59,'Schedule Allocation'!$A:$A,0)))</f>
        <v>1.0222222222222225E-2</v>
      </c>
      <c r="L59" s="894">
        <f ca="1">IF($C59=1,$AK59,SUM($AJ59:$AL59)*INDEX('Schedule Allocation'!L:L,MATCH($D59,'Schedule Allocation'!$A:$A,0)))</f>
        <v>1.0222222222222225E-2</v>
      </c>
      <c r="M59" s="894">
        <f ca="1">IF($C59=1,$AK59,SUM($AJ59:$AL59)*INDEX('Schedule Allocation'!M:M,MATCH($D59,'Schedule Allocation'!$A:$A,0)))</f>
        <v>1.0222222222222225E-2</v>
      </c>
      <c r="N59" s="894">
        <f ca="1">IF($C59=1,$AL59,SUM($AJ59:$AL59)*INDEX('Schedule Allocation'!N:N,MATCH($D59,'Schedule Allocation'!$A:$A,0)))</f>
        <v>8.7619047619047659E-3</v>
      </c>
      <c r="O59" s="894">
        <f ca="1">IF($C59=1,$AL59,SUM($AJ59:$AL59)*INDEX('Schedule Allocation'!O:O,MATCH($D59,'Schedule Allocation'!$A:$A,0)))</f>
        <v>8.7619047619047659E-3</v>
      </c>
      <c r="P59" s="894">
        <f ca="1">IF($C59=1,$AL59,SUM($AJ59:$AL59)*INDEX('Schedule Allocation'!P:P,MATCH($D59,'Schedule Allocation'!$A:$A,0)))</f>
        <v>8.7619047619047659E-3</v>
      </c>
      <c r="Q59" s="894">
        <f ca="1">IF($C59=1,$AL59,SUM($AJ59:$AL59)*INDEX('Schedule Allocation'!Q:Q,MATCH($D59,'Schedule Allocation'!$A:$A,0)))</f>
        <v>8.7619047619047659E-3</v>
      </c>
      <c r="R59" s="894">
        <f ca="1">IF($C59=1,$AL59,SUM($AJ59:$AL59)*INDEX('Schedule Allocation'!R:R,MATCH($D59,'Schedule Allocation'!$A:$A,0)))</f>
        <v>8.7619047619047659E-3</v>
      </c>
      <c r="S59" s="894">
        <f ca="1">IF($C59=1,$AL59,SUM($AJ59:$AL59)*INDEX('Schedule Allocation'!S:S,MATCH($D59,'Schedule Allocation'!$A:$A,0)))</f>
        <v>8.7619047619047659E-3</v>
      </c>
      <c r="T59" s="894">
        <f ca="1">IF($C59=1,$AL59,SUM($AJ59:$AL59)*INDEX('Schedule Allocation'!T:T,MATCH($D59,'Schedule Allocation'!$A:$A,0)))</f>
        <v>8.7619047619047659E-3</v>
      </c>
      <c r="U59" s="894">
        <f ca="1">OFFSET(AT59,0,(MATCH('Model Report Formatized'!$E$1,$AN$1:$AN$6,0))*17-17)</f>
        <v>2.2999999999999993E-2</v>
      </c>
      <c r="V59" s="894">
        <f ca="1">OFFSET(AU59,0,(MATCH('Model Report Formatized'!$E$1,$AN$1:$AN$6,0))*17-17)</f>
        <v>2.2999999999999993E-2</v>
      </c>
      <c r="W59" s="894">
        <f ca="1">OFFSET(AV59,0,(MATCH('Model Report Formatized'!$E$1,$AN$1:$AN$6,0))*17-17)</f>
        <v>2.3000000000000007E-2</v>
      </c>
      <c r="X59" s="894">
        <f ca="1">OFFSET(AW59,0,(MATCH('Model Report Formatized'!$E$1,$AN$1:$AN$6,0))*17-17)</f>
        <v>2.3000000000000007E-2</v>
      </c>
      <c r="Y59" s="894">
        <f ca="1">OFFSET(AX59,0,(MATCH('Model Report Formatized'!$E$1,$AN$1:$AN$6,0))*17-17)</f>
        <v>7.6666666666666671E-3</v>
      </c>
      <c r="Z59" s="894">
        <f ca="1">OFFSET(AY59,0,(MATCH('Model Report Formatized'!$E$1,$AN$1:$AN$6,0))*17-17)</f>
        <v>7.6666666666666671E-3</v>
      </c>
      <c r="AA59" s="894">
        <f ca="1">OFFSET(AZ59,0,(MATCH('Model Report Formatized'!$E$1,$AN$1:$AN$6,0))*17-17)</f>
        <v>7.6666666666666671E-3</v>
      </c>
      <c r="AB59" s="894">
        <f ca="1">OFFSET(BA59,0,(MATCH('Model Report Formatized'!$E$1,$AN$1:$AN$6,0))*17-17)</f>
        <v>7.6666666666666671E-3</v>
      </c>
      <c r="AC59" s="894">
        <f ca="1">OFFSET(BB59,0,(MATCH('Model Report Formatized'!$E$1,$AN$1:$AN$6,0))*17-17)</f>
        <v>7.6666666666666671E-3</v>
      </c>
      <c r="AD59" s="894">
        <f ca="1">OFFSET(BC59,0,(MATCH('Model Report Formatized'!$E$1,$AN$1:$AN$6,0))*17-17)</f>
        <v>7.6666666666666671E-3</v>
      </c>
      <c r="AE59" s="894">
        <f ca="1">OFFSET(BD59,0,(MATCH('Model Report Formatized'!$E$1,$AN$1:$AN$6,0))*17-17)</f>
        <v>7.6666666666666671E-3</v>
      </c>
      <c r="AF59" s="894">
        <f ca="1">OFFSET(BE59,0,(MATCH('Model Report Formatized'!$E$1,$AN$1:$AN$6,0))*17-17)</f>
        <v>7.6666666666666671E-3</v>
      </c>
      <c r="AG59" s="894">
        <f ca="1">OFFSET(BF59,0,(MATCH('Model Report Formatized'!$E$1,$AN$1:$AN$6,0))*17-17)</f>
        <v>7.6666666666666671E-3</v>
      </c>
      <c r="AH59" s="891">
        <f t="shared" ca="1" si="5"/>
        <v>1.1102230246251565E-16</v>
      </c>
      <c r="AJ59" s="895">
        <f ca="1">OFFSET(AQ59,0,(MATCH('Model Report Formatized'!$E$1,$AN$1:$AN$6,0))*17-17)</f>
        <v>2.3000000000000003E-2</v>
      </c>
      <c r="AK59" s="895">
        <f ca="1">OFFSET(AR59,0,(MATCH('Model Report Formatized'!$E$1,$AN$1:$AN$6,0))*17-17)</f>
        <v>8.0500000000000016E-2</v>
      </c>
      <c r="AL59" s="895">
        <f ca="1">OFFSET(AS59,0,(MATCH('Model Report Formatized'!$E$1,$AN$1:$AN$6,0))*17-17)</f>
        <v>8.0500000000000016E-2</v>
      </c>
      <c r="AQ59" s="893">
        <v>0.8</v>
      </c>
      <c r="AR59" s="893">
        <v>0</v>
      </c>
      <c r="AS59" s="893">
        <v>0</v>
      </c>
      <c r="AT59" s="893">
        <v>0</v>
      </c>
      <c r="AU59" s="893">
        <v>0</v>
      </c>
      <c r="AV59" s="893">
        <v>0</v>
      </c>
      <c r="AW59" s="893">
        <v>0</v>
      </c>
      <c r="AX59" s="893">
        <v>0</v>
      </c>
      <c r="AY59" s="893">
        <v>0</v>
      </c>
      <c r="AZ59" s="893">
        <v>0</v>
      </c>
      <c r="BA59" s="893">
        <v>0</v>
      </c>
      <c r="BB59" s="893">
        <v>0</v>
      </c>
      <c r="BC59" s="893">
        <v>0</v>
      </c>
      <c r="BD59" s="893">
        <v>0</v>
      </c>
      <c r="BE59" s="893">
        <v>0</v>
      </c>
      <c r="BF59" s="893">
        <v>0</v>
      </c>
      <c r="BH59" s="816">
        <v>7.5999999999999998E-2</v>
      </c>
      <c r="BI59" s="816">
        <v>7.5999999999999998E-2</v>
      </c>
      <c r="BJ59" s="816">
        <v>7.5999999999999998E-2</v>
      </c>
      <c r="BK59" s="816">
        <v>7.5999999999999998E-2</v>
      </c>
      <c r="BL59" s="816">
        <v>7.5999999999999998E-2</v>
      </c>
      <c r="BM59" s="816">
        <v>0.31</v>
      </c>
      <c r="BN59" s="816">
        <v>0.31</v>
      </c>
      <c r="BO59" s="816">
        <v>0</v>
      </c>
      <c r="BP59" s="816">
        <v>0</v>
      </c>
      <c r="BQ59" s="816">
        <v>0</v>
      </c>
      <c r="BR59" s="816">
        <v>0</v>
      </c>
      <c r="BS59" s="816">
        <v>0</v>
      </c>
      <c r="BT59" s="816">
        <v>0</v>
      </c>
      <c r="BU59" s="816">
        <v>0</v>
      </c>
      <c r="BV59" s="816">
        <v>0</v>
      </c>
      <c r="BW59" s="816">
        <v>0</v>
      </c>
      <c r="BY59" s="817">
        <v>1.6E-2</v>
      </c>
      <c r="BZ59" s="817">
        <v>1.6E-2</v>
      </c>
      <c r="CA59" s="817">
        <v>1.6E-2</v>
      </c>
      <c r="CB59" s="817">
        <v>1.6E-2</v>
      </c>
      <c r="CC59" s="817">
        <v>1.6E-2</v>
      </c>
      <c r="CD59" s="817">
        <v>0</v>
      </c>
      <c r="CE59" s="817">
        <v>0</v>
      </c>
      <c r="CF59" s="817">
        <v>0</v>
      </c>
      <c r="CG59" s="817">
        <v>0</v>
      </c>
      <c r="CH59" s="817">
        <v>0</v>
      </c>
      <c r="CI59" s="817">
        <v>0</v>
      </c>
      <c r="CJ59" s="817">
        <v>0</v>
      </c>
      <c r="CK59" s="817">
        <v>0</v>
      </c>
      <c r="CL59" s="817">
        <v>0</v>
      </c>
      <c r="CM59" s="817">
        <v>0</v>
      </c>
      <c r="CN59" s="817">
        <v>0</v>
      </c>
      <c r="CO59" s="816" t="s">
        <v>1340</v>
      </c>
      <c r="CP59" s="818">
        <f>INDEX('Monthly Run-off Change'!I:I,MATCH($B59,'Monthly Run-off Change'!$E:$E,0))</f>
        <v>2.3000000000000003E-2</v>
      </c>
      <c r="CQ59" s="818">
        <f>INDEX('Monthly Run-off Change'!J:J,MATCH($B59,'Monthly Run-off Change'!$E:$E,0))</f>
        <v>8.0500000000000016E-2</v>
      </c>
      <c r="CR59" s="818">
        <f>INDEX('Monthly Run-off Change'!K:K,MATCH($B59,'Monthly Run-off Change'!$E:$E,0))</f>
        <v>8.0500000000000016E-2</v>
      </c>
      <c r="CS59" s="818">
        <f>INDEX('Monthly Run-off Change'!L:L,MATCH($B59,'Monthly Run-off Change'!$E:$E,0))</f>
        <v>2.2999999999999993E-2</v>
      </c>
      <c r="CT59" s="818">
        <f>INDEX('Monthly Run-off Change'!M:M,MATCH($B59,'Monthly Run-off Change'!$E:$E,0))</f>
        <v>2.2999999999999993E-2</v>
      </c>
      <c r="CU59" s="818">
        <f>INDEX('Monthly Run-off Change'!N:N,MATCH($B59,'Monthly Run-off Change'!$E:$E,0))</f>
        <v>2.3000000000000007E-2</v>
      </c>
      <c r="CV59" s="818">
        <f>INDEX('Monthly Run-off Change'!O:O,MATCH($B59,'Monthly Run-off Change'!$E:$E,0))</f>
        <v>2.3000000000000007E-2</v>
      </c>
      <c r="CW59" s="818">
        <f>INDEX('Monthly Run-off Change'!P:P,MATCH($B59,'Monthly Run-off Change'!$E:$E,0))</f>
        <v>7.6666666666666671E-3</v>
      </c>
      <c r="CX59" s="818">
        <f>INDEX('Monthly Run-off Change'!Q:Q,MATCH($B59,'Monthly Run-off Change'!$E:$E,0))</f>
        <v>7.6666666666666671E-3</v>
      </c>
      <c r="CY59" s="818">
        <f>INDEX('Monthly Run-off Change'!R:R,MATCH($B59,'Monthly Run-off Change'!$E:$E,0))</f>
        <v>7.6666666666666671E-3</v>
      </c>
      <c r="CZ59" s="818">
        <f>INDEX('Monthly Run-off Change'!S:S,MATCH($B59,'Monthly Run-off Change'!$E:$E,0))</f>
        <v>7.6666666666666671E-3</v>
      </c>
      <c r="DA59" s="818">
        <f>INDEX('Monthly Run-off Change'!T:T,MATCH($B59,'Monthly Run-off Change'!$E:$E,0))</f>
        <v>7.6666666666666671E-3</v>
      </c>
      <c r="DB59" s="818">
        <f>INDEX('Monthly Run-off Change'!U:U,MATCH($B59,'Monthly Run-off Change'!$E:$E,0))</f>
        <v>7.6666666666666671E-3</v>
      </c>
      <c r="DC59" s="818">
        <f>INDEX('Monthly Run-off Change'!V:V,MATCH($B59,'Monthly Run-off Change'!$E:$E,0))</f>
        <v>7.6666666666666671E-3</v>
      </c>
      <c r="DD59" s="818">
        <f>INDEX('Monthly Run-off Change'!W:W,MATCH($B59,'Monthly Run-off Change'!$E:$E,0))</f>
        <v>7.6666666666666671E-3</v>
      </c>
      <c r="DE59" s="818">
        <f>INDEX('Monthly Run-off Change'!X:X,MATCH($B59,'Monthly Run-off Change'!$E:$E,0))</f>
        <v>7.6666666666666671E-3</v>
      </c>
      <c r="DF59" s="899">
        <f>INDEX('Monthly Run-off Change'!Y:Y,MATCH($B59,'Monthly Run-off Change'!$E:$E,0))</f>
        <v>0</v>
      </c>
      <c r="DG59" s="899">
        <f>INDEX('Monthly Run-off Change'!Z:Z,MATCH($B59,'Monthly Run-off Change'!$E:$E,0))</f>
        <v>2.0000000000000004E-2</v>
      </c>
      <c r="DH59" s="899">
        <f>INDEX('Monthly Run-off Change'!AA:AA,MATCH($B59,'Monthly Run-off Change'!$E:$E,0))</f>
        <v>7.0000000000000007E-2</v>
      </c>
      <c r="DI59" s="899">
        <f>INDEX('Monthly Run-off Change'!AB:AB,MATCH($B59,'Monthly Run-off Change'!$E:$E,0))</f>
        <v>7.0000000000000007E-2</v>
      </c>
      <c r="DJ59" s="899">
        <f>INDEX('Monthly Run-off Change'!AC:AC,MATCH($B59,'Monthly Run-off Change'!$E:$E,0))</f>
        <v>1.999999999999999E-2</v>
      </c>
      <c r="DK59" s="899">
        <f>INDEX('Monthly Run-off Change'!AD:AD,MATCH($B59,'Monthly Run-off Change'!$E:$E,0))</f>
        <v>1.999999999999999E-2</v>
      </c>
      <c r="DL59" s="899">
        <f>INDEX('Monthly Run-off Change'!AE:AE,MATCH($B59,'Monthly Run-off Change'!$E:$E,0))</f>
        <v>1.999999999999999E-2</v>
      </c>
      <c r="DM59" s="899">
        <f>INDEX('Monthly Run-off Change'!AF:AF,MATCH($B59,'Monthly Run-off Change'!$E:$E,0))</f>
        <v>1.999999999999999E-2</v>
      </c>
      <c r="DN59" s="899">
        <f>INDEX('Monthly Run-off Change'!AG:AG,MATCH($B59,'Monthly Run-off Change'!$E:$E,0))</f>
        <v>6.6666666666666723E-3</v>
      </c>
      <c r="DO59" s="899">
        <f>INDEX('Monthly Run-off Change'!AH:AH,MATCH($B59,'Monthly Run-off Change'!$E:$E,0))</f>
        <v>6.6666666666666723E-3</v>
      </c>
      <c r="DP59" s="899">
        <f>INDEX('Monthly Run-off Change'!AI:AI,MATCH($B59,'Monthly Run-off Change'!$E:$E,0))</f>
        <v>6.6666666666666723E-3</v>
      </c>
      <c r="DQ59" s="899">
        <f>INDEX('Monthly Run-off Change'!AJ:AJ,MATCH($B59,'Monthly Run-off Change'!$E:$E,0))</f>
        <v>6.6666666666666723E-3</v>
      </c>
      <c r="DR59" s="899">
        <f>INDEX('Monthly Run-off Change'!AK:AK,MATCH($B59,'Monthly Run-off Change'!$E:$E,0))</f>
        <v>6.6666666666666723E-3</v>
      </c>
      <c r="DS59" s="899">
        <f>INDEX('Monthly Run-off Change'!AL:AL,MATCH($B59,'Monthly Run-off Change'!$E:$E,0))</f>
        <v>6.6666666666666723E-3</v>
      </c>
      <c r="DT59" s="899">
        <f>INDEX('Monthly Run-off Change'!AM:AM,MATCH($B59,'Monthly Run-off Change'!$E:$E,0))</f>
        <v>6.6666666666666723E-3</v>
      </c>
      <c r="DU59" s="899">
        <f>INDEX('Monthly Run-off Change'!AN:AN,MATCH($B59,'Monthly Run-off Change'!$E:$E,0))</f>
        <v>6.6666666666666723E-3</v>
      </c>
      <c r="DV59" s="899">
        <f>INDEX('Monthly Run-off Change'!AO:AO,MATCH($B59,'Monthly Run-off Change'!$E:$E,0))</f>
        <v>6.6666666666666723E-3</v>
      </c>
      <c r="DW59" s="899">
        <f>INDEX('Monthly Run-off Change'!AP:AP,MATCH($B59,'Monthly Run-off Change'!$E:$E,0))</f>
        <v>0</v>
      </c>
      <c r="DX59" s="899">
        <f>INDEX('Monthly Run-off Change'!AQ:AQ,MATCH($B59,'Monthly Run-off Change'!$E:$E,0))</f>
        <v>1.4999999999999999E-2</v>
      </c>
      <c r="DY59" s="899">
        <f>INDEX('Monthly Run-off Change'!AR:AR,MATCH($B59,'Monthly Run-off Change'!$E:$E,0))</f>
        <v>5.2499999999999998E-2</v>
      </c>
      <c r="DZ59" s="899">
        <f>INDEX('Monthly Run-off Change'!AS:AS,MATCH($B59,'Monthly Run-off Change'!$E:$E,0))</f>
        <v>5.2499999999999998E-2</v>
      </c>
      <c r="EA59" s="899">
        <f>INDEX('Monthly Run-off Change'!AT:AT,MATCH($B59,'Monthly Run-off Change'!$E:$E,0))</f>
        <v>1.4999999999999999E-2</v>
      </c>
      <c r="EB59" s="899">
        <f>INDEX('Monthly Run-off Change'!AU:AU,MATCH($B59,'Monthly Run-off Change'!$E:$E,0))</f>
        <v>1.4999999999999999E-2</v>
      </c>
      <c r="EC59" s="899">
        <f>INDEX('Monthly Run-off Change'!AV:AV,MATCH($B59,'Monthly Run-off Change'!$E:$E,0))</f>
        <v>1.4999999999999999E-2</v>
      </c>
      <c r="ED59" s="899">
        <f>INDEX('Monthly Run-off Change'!AW:AW,MATCH($B59,'Monthly Run-off Change'!$E:$E,0))</f>
        <v>1.4999999999999999E-2</v>
      </c>
      <c r="EE59" s="899">
        <f>INDEX('Monthly Run-off Change'!AX:AX,MATCH($B59,'Monthly Run-off Change'!$E:$E,0))</f>
        <v>4.9999999999999984E-3</v>
      </c>
      <c r="EF59" s="899">
        <f>INDEX('Monthly Run-off Change'!AY:AY,MATCH($B59,'Monthly Run-off Change'!$E:$E,0))</f>
        <v>4.9999999999999984E-3</v>
      </c>
      <c r="EG59" s="899">
        <f>INDEX('Monthly Run-off Change'!AZ:AZ,MATCH($B59,'Monthly Run-off Change'!$E:$E,0))</f>
        <v>4.9999999999999984E-3</v>
      </c>
      <c r="EH59" s="899">
        <f>INDEX('Monthly Run-off Change'!BA:BA,MATCH($B59,'Monthly Run-off Change'!$E:$E,0))</f>
        <v>4.9999999999999984E-3</v>
      </c>
      <c r="EI59" s="899">
        <f>INDEX('Monthly Run-off Change'!BB:BB,MATCH($B59,'Monthly Run-off Change'!$E:$E,0))</f>
        <v>4.9999999999999984E-3</v>
      </c>
      <c r="EJ59" s="899">
        <f>INDEX('Monthly Run-off Change'!BC:BC,MATCH($B59,'Monthly Run-off Change'!$E:$E,0))</f>
        <v>4.9999999999999984E-3</v>
      </c>
      <c r="EK59" s="899">
        <f>INDEX('Monthly Run-off Change'!BD:BD,MATCH($B59,'Monthly Run-off Change'!$E:$E,0))</f>
        <v>4.9999999999999984E-3</v>
      </c>
      <c r="EL59" s="899">
        <f>INDEX('Monthly Run-off Change'!BE:BE,MATCH($B59,'Monthly Run-off Change'!$E:$E,0))</f>
        <v>4.9999999999999984E-3</v>
      </c>
      <c r="EM59" s="899">
        <f>INDEX('Monthly Run-off Change'!BF:BF,MATCH($B59,'Monthly Run-off Change'!$E:$E,0))</f>
        <v>4.9999999999999984E-3</v>
      </c>
      <c r="FQ59" s="898"/>
      <c r="FS59" s="898"/>
      <c r="FT59" s="898"/>
      <c r="FU59" s="898"/>
      <c r="FV59" s="898"/>
      <c r="FW59" s="898"/>
      <c r="FX59" s="898"/>
      <c r="FY59" s="898"/>
      <c r="FZ59" s="898"/>
      <c r="GA59" s="898"/>
      <c r="GB59" s="898"/>
      <c r="GC59" s="898"/>
      <c r="GD59" s="898"/>
      <c r="GE59" s="898"/>
      <c r="GF59" s="898"/>
      <c r="GG59" s="898"/>
      <c r="GH59" s="898"/>
      <c r="GJ59" s="898"/>
      <c r="GK59" s="898"/>
      <c r="GL59" s="898"/>
      <c r="GM59" s="898"/>
      <c r="GN59" s="898"/>
      <c r="GO59" s="898"/>
      <c r="GP59" s="898"/>
      <c r="GQ59" s="898"/>
      <c r="GR59" s="898"/>
      <c r="GS59" s="898"/>
      <c r="GT59" s="898"/>
      <c r="GU59" s="898"/>
      <c r="GV59" s="898"/>
      <c r="GW59" s="898"/>
      <c r="GX59" s="898"/>
      <c r="GY59" s="898"/>
      <c r="HA59" s="898"/>
      <c r="HB59" s="898"/>
      <c r="HC59" s="898"/>
      <c r="HD59" s="898"/>
      <c r="HE59" s="898"/>
      <c r="HF59" s="898"/>
      <c r="HG59" s="898"/>
      <c r="HH59" s="898"/>
      <c r="HI59" s="898"/>
      <c r="HJ59" s="898"/>
      <c r="HK59" s="898"/>
      <c r="HL59" s="898"/>
      <c r="HM59" s="898"/>
      <c r="HN59" s="898"/>
      <c r="HO59" s="898"/>
      <c r="HP59" s="898"/>
    </row>
    <row r="60" spans="1:224">
      <c r="A60" s="816" t="s">
        <v>2772</v>
      </c>
      <c r="B60" s="816" t="s">
        <v>2766</v>
      </c>
      <c r="C60" s="816">
        <v>0</v>
      </c>
      <c r="D60" s="816">
        <f t="shared" ref="D60" si="6">IF(OR(AND(ISERROR(SEARCH("Affiliates",F60,1)),ISERROR(SEARCH("Interbranch",F60,1)),ISERROR(SEARCH("Banks",F60,1)),ISERROR(SEARCH("FI",F60,1))),NOT(ISERROR(SEARCH("Non FI",F60,1)))),0,1)</f>
        <v>1</v>
      </c>
      <c r="E60" s="816">
        <v>0</v>
      </c>
      <c r="F60" s="816" t="str">
        <f>INDEX('Data Interface'!$C:$C,MATCH(B60,'Data Interface'!$B:$B,0))</f>
        <v>Due to Banks - Investment - BANK OF COMM. CO. LTD.</v>
      </c>
      <c r="G60" s="894">
        <f ca="1">IF($C60=1,$AJ60,SUM($AJ60:$AL60)*INDEX('Schedule Allocation'!G:G,MATCH($D60,'Schedule Allocation'!$A:$A,0)))</f>
        <v>6.1333333333333351E-2</v>
      </c>
      <c r="H60" s="894">
        <f ca="1">IF($C60=1,$AK60,SUM($AJ60:$AL60)*INDEX('Schedule Allocation'!H:H,MATCH($D60,'Schedule Allocation'!$A:$A,0)))</f>
        <v>1.0222222222222225E-2</v>
      </c>
      <c r="I60" s="894">
        <f ca="1">IF($C60=1,$AK60,SUM($AJ60:$AL60)*INDEX('Schedule Allocation'!I:I,MATCH($D60,'Schedule Allocation'!$A:$A,0)))</f>
        <v>1.0222222222222225E-2</v>
      </c>
      <c r="J60" s="894">
        <f ca="1">IF($C60=1,$AK60,SUM($AJ60:$AL60)*INDEX('Schedule Allocation'!J:J,MATCH($D60,'Schedule Allocation'!$A:$A,0)))</f>
        <v>1.0222222222222225E-2</v>
      </c>
      <c r="K60" s="894">
        <f ca="1">IF($C60=1,$AK60,SUM($AJ60:$AL60)*INDEX('Schedule Allocation'!K:K,MATCH($D60,'Schedule Allocation'!$A:$A,0)))</f>
        <v>1.0222222222222225E-2</v>
      </c>
      <c r="L60" s="894">
        <f ca="1">IF($C60=1,$AK60,SUM($AJ60:$AL60)*INDEX('Schedule Allocation'!L:L,MATCH($D60,'Schedule Allocation'!$A:$A,0)))</f>
        <v>1.0222222222222225E-2</v>
      </c>
      <c r="M60" s="894">
        <f ca="1">IF($C60=1,$AK60,SUM($AJ60:$AL60)*INDEX('Schedule Allocation'!M:M,MATCH($D60,'Schedule Allocation'!$A:$A,0)))</f>
        <v>1.0222222222222225E-2</v>
      </c>
      <c r="N60" s="894">
        <f ca="1">IF($C60=1,$AL60,SUM($AJ60:$AL60)*INDEX('Schedule Allocation'!N:N,MATCH($D60,'Schedule Allocation'!$A:$A,0)))</f>
        <v>8.7619047619047659E-3</v>
      </c>
      <c r="O60" s="894">
        <f ca="1">IF($C60=1,$AL60,SUM($AJ60:$AL60)*INDEX('Schedule Allocation'!O:O,MATCH($D60,'Schedule Allocation'!$A:$A,0)))</f>
        <v>8.7619047619047659E-3</v>
      </c>
      <c r="P60" s="894">
        <f ca="1">IF($C60=1,$AL60,SUM($AJ60:$AL60)*INDEX('Schedule Allocation'!P:P,MATCH($D60,'Schedule Allocation'!$A:$A,0)))</f>
        <v>8.7619047619047659E-3</v>
      </c>
      <c r="Q60" s="894">
        <f ca="1">IF($C60=1,$AL60,SUM($AJ60:$AL60)*INDEX('Schedule Allocation'!Q:Q,MATCH($D60,'Schedule Allocation'!$A:$A,0)))</f>
        <v>8.7619047619047659E-3</v>
      </c>
      <c r="R60" s="894">
        <f ca="1">IF($C60=1,$AL60,SUM($AJ60:$AL60)*INDEX('Schedule Allocation'!R:R,MATCH($D60,'Schedule Allocation'!$A:$A,0)))</f>
        <v>8.7619047619047659E-3</v>
      </c>
      <c r="S60" s="894">
        <f ca="1">IF($C60=1,$AL60,SUM($AJ60:$AL60)*INDEX('Schedule Allocation'!S:S,MATCH($D60,'Schedule Allocation'!$A:$A,0)))</f>
        <v>8.7619047619047659E-3</v>
      </c>
      <c r="T60" s="894">
        <f ca="1">IF($C60=1,$AL60,SUM($AJ60:$AL60)*INDEX('Schedule Allocation'!T:T,MATCH($D60,'Schedule Allocation'!$A:$A,0)))</f>
        <v>8.7619047619047659E-3</v>
      </c>
      <c r="U60" s="894">
        <f ca="1">OFFSET(AT60,0,(MATCH('Model Report Formatized'!$E$1,$AN$1:$AN$6,0))*17-17)</f>
        <v>2.2999999999999993E-2</v>
      </c>
      <c r="V60" s="894">
        <f ca="1">OFFSET(AU60,0,(MATCH('Model Report Formatized'!$E$1,$AN$1:$AN$6,0))*17-17)</f>
        <v>2.2999999999999993E-2</v>
      </c>
      <c r="W60" s="894">
        <f ca="1">OFFSET(AV60,0,(MATCH('Model Report Formatized'!$E$1,$AN$1:$AN$6,0))*17-17)</f>
        <v>2.3000000000000007E-2</v>
      </c>
      <c r="X60" s="894">
        <f ca="1">OFFSET(AW60,0,(MATCH('Model Report Formatized'!$E$1,$AN$1:$AN$6,0))*17-17)</f>
        <v>2.3000000000000007E-2</v>
      </c>
      <c r="Y60" s="894">
        <f ca="1">OFFSET(AX60,0,(MATCH('Model Report Formatized'!$E$1,$AN$1:$AN$6,0))*17-17)</f>
        <v>7.6666666666666671E-3</v>
      </c>
      <c r="Z60" s="894">
        <f ca="1">OFFSET(AY60,0,(MATCH('Model Report Formatized'!$E$1,$AN$1:$AN$6,0))*17-17)</f>
        <v>7.6666666666666671E-3</v>
      </c>
      <c r="AA60" s="894">
        <f ca="1">OFFSET(AZ60,0,(MATCH('Model Report Formatized'!$E$1,$AN$1:$AN$6,0))*17-17)</f>
        <v>7.6666666666666671E-3</v>
      </c>
      <c r="AB60" s="894">
        <f ca="1">OFFSET(BA60,0,(MATCH('Model Report Formatized'!$E$1,$AN$1:$AN$6,0))*17-17)</f>
        <v>7.6666666666666671E-3</v>
      </c>
      <c r="AC60" s="894">
        <f ca="1">OFFSET(BB60,0,(MATCH('Model Report Formatized'!$E$1,$AN$1:$AN$6,0))*17-17)</f>
        <v>7.6666666666666671E-3</v>
      </c>
      <c r="AD60" s="894">
        <f ca="1">OFFSET(BC60,0,(MATCH('Model Report Formatized'!$E$1,$AN$1:$AN$6,0))*17-17)</f>
        <v>7.6666666666666671E-3</v>
      </c>
      <c r="AE60" s="894">
        <f ca="1">OFFSET(BD60,0,(MATCH('Model Report Formatized'!$E$1,$AN$1:$AN$6,0))*17-17)</f>
        <v>7.6666666666666671E-3</v>
      </c>
      <c r="AF60" s="894">
        <f ca="1">OFFSET(BE60,0,(MATCH('Model Report Formatized'!$E$1,$AN$1:$AN$6,0))*17-17)</f>
        <v>7.6666666666666671E-3</v>
      </c>
      <c r="AG60" s="894">
        <f ca="1">OFFSET(BF60,0,(MATCH('Model Report Formatized'!$E$1,$AN$1:$AN$6,0))*17-17)</f>
        <v>7.6666666666666671E-3</v>
      </c>
      <c r="AH60" s="891">
        <f t="shared" ref="AH60" ca="1" si="7">IF(C60=1,AG60,SUM(G60:AG60)-SUM(CP60:DE60))</f>
        <v>1.1102230246251565E-16</v>
      </c>
      <c r="AJ60" s="895">
        <f ca="1">OFFSET(AQ60,0,(MATCH('Model Report Formatized'!$E$1,$AN$1:$AN$6,0))*17-17)</f>
        <v>2.3000000000000003E-2</v>
      </c>
      <c r="AK60" s="895">
        <f ca="1">OFFSET(AR60,0,(MATCH('Model Report Formatized'!$E$1,$AN$1:$AN$6,0))*17-17)</f>
        <v>8.0500000000000016E-2</v>
      </c>
      <c r="AL60" s="895">
        <f ca="1">OFFSET(AS60,0,(MATCH('Model Report Formatized'!$E$1,$AN$1:$AN$6,0))*17-17)</f>
        <v>8.0500000000000016E-2</v>
      </c>
      <c r="AQ60" s="893">
        <v>0.8</v>
      </c>
      <c r="AR60" s="893">
        <v>0</v>
      </c>
      <c r="AS60" s="893">
        <v>0</v>
      </c>
      <c r="AT60" s="893">
        <v>0</v>
      </c>
      <c r="AU60" s="893">
        <v>0</v>
      </c>
      <c r="AV60" s="893">
        <v>0</v>
      </c>
      <c r="AW60" s="893">
        <v>0</v>
      </c>
      <c r="AX60" s="893">
        <v>0</v>
      </c>
      <c r="AY60" s="893">
        <v>0</v>
      </c>
      <c r="AZ60" s="893">
        <v>0</v>
      </c>
      <c r="BA60" s="893">
        <v>0</v>
      </c>
      <c r="BB60" s="893">
        <v>0</v>
      </c>
      <c r="BC60" s="893">
        <v>0</v>
      </c>
      <c r="BD60" s="893">
        <v>0</v>
      </c>
      <c r="BE60" s="893">
        <v>0</v>
      </c>
      <c r="BF60" s="893">
        <v>0</v>
      </c>
      <c r="BH60" s="816">
        <v>7.5999999999999998E-2</v>
      </c>
      <c r="BI60" s="816">
        <v>7.5999999999999998E-2</v>
      </c>
      <c r="BJ60" s="816">
        <v>7.5999999999999998E-2</v>
      </c>
      <c r="BK60" s="816">
        <v>7.5999999999999998E-2</v>
      </c>
      <c r="BL60" s="816">
        <v>7.5999999999999998E-2</v>
      </c>
      <c r="BM60" s="816">
        <v>0.31</v>
      </c>
      <c r="BN60" s="816">
        <v>0.31</v>
      </c>
      <c r="BO60" s="816">
        <v>0</v>
      </c>
      <c r="BP60" s="816">
        <v>0</v>
      </c>
      <c r="BQ60" s="816">
        <v>0</v>
      </c>
      <c r="BR60" s="816">
        <v>0</v>
      </c>
      <c r="BS60" s="816">
        <v>0</v>
      </c>
      <c r="BT60" s="816">
        <v>0</v>
      </c>
      <c r="BU60" s="816">
        <v>0</v>
      </c>
      <c r="BV60" s="816">
        <v>0</v>
      </c>
      <c r="BW60" s="816">
        <v>0</v>
      </c>
      <c r="BY60" s="817">
        <v>1.6E-2</v>
      </c>
      <c r="BZ60" s="817">
        <v>1.6E-2</v>
      </c>
      <c r="CA60" s="817">
        <v>1.6E-2</v>
      </c>
      <c r="CB60" s="817">
        <v>1.6E-2</v>
      </c>
      <c r="CC60" s="817">
        <v>1.6E-2</v>
      </c>
      <c r="CD60" s="817">
        <v>0</v>
      </c>
      <c r="CE60" s="817">
        <v>0</v>
      </c>
      <c r="CF60" s="817">
        <v>0</v>
      </c>
      <c r="CG60" s="817">
        <v>0</v>
      </c>
      <c r="CH60" s="817">
        <v>0</v>
      </c>
      <c r="CI60" s="817">
        <v>0</v>
      </c>
      <c r="CJ60" s="817">
        <v>0</v>
      </c>
      <c r="CK60" s="817">
        <v>0</v>
      </c>
      <c r="CL60" s="817">
        <v>0</v>
      </c>
      <c r="CM60" s="817">
        <v>0</v>
      </c>
      <c r="CN60" s="817">
        <v>0</v>
      </c>
      <c r="CO60" s="816" t="s">
        <v>1340</v>
      </c>
      <c r="CP60" s="818">
        <f>INDEX('Monthly Run-off Change'!I:I,MATCH($B60,'Monthly Run-off Change'!$E:$E,0))</f>
        <v>2.3000000000000003E-2</v>
      </c>
      <c r="CQ60" s="818">
        <f>INDEX('Monthly Run-off Change'!J:J,MATCH($B60,'Monthly Run-off Change'!$E:$E,0))</f>
        <v>8.0500000000000016E-2</v>
      </c>
      <c r="CR60" s="818">
        <f>INDEX('Monthly Run-off Change'!K:K,MATCH($B60,'Monthly Run-off Change'!$E:$E,0))</f>
        <v>8.0500000000000016E-2</v>
      </c>
      <c r="CS60" s="818">
        <f>INDEX('Monthly Run-off Change'!L:L,MATCH($B60,'Monthly Run-off Change'!$E:$E,0))</f>
        <v>2.2999999999999993E-2</v>
      </c>
      <c r="CT60" s="818">
        <f>INDEX('Monthly Run-off Change'!M:M,MATCH($B60,'Monthly Run-off Change'!$E:$E,0))</f>
        <v>2.2999999999999993E-2</v>
      </c>
      <c r="CU60" s="818">
        <f>INDEX('Monthly Run-off Change'!N:N,MATCH($B60,'Monthly Run-off Change'!$E:$E,0))</f>
        <v>2.3000000000000007E-2</v>
      </c>
      <c r="CV60" s="818">
        <f>INDEX('Monthly Run-off Change'!O:O,MATCH($B60,'Monthly Run-off Change'!$E:$E,0))</f>
        <v>2.3000000000000007E-2</v>
      </c>
      <c r="CW60" s="818">
        <f>INDEX('Monthly Run-off Change'!P:P,MATCH($B60,'Monthly Run-off Change'!$E:$E,0))</f>
        <v>7.6666666666666671E-3</v>
      </c>
      <c r="CX60" s="818">
        <f>INDEX('Monthly Run-off Change'!Q:Q,MATCH($B60,'Monthly Run-off Change'!$E:$E,0))</f>
        <v>7.6666666666666671E-3</v>
      </c>
      <c r="CY60" s="818">
        <f>INDEX('Monthly Run-off Change'!R:R,MATCH($B60,'Monthly Run-off Change'!$E:$E,0))</f>
        <v>7.6666666666666671E-3</v>
      </c>
      <c r="CZ60" s="818">
        <f>INDEX('Monthly Run-off Change'!S:S,MATCH($B60,'Monthly Run-off Change'!$E:$E,0))</f>
        <v>7.6666666666666671E-3</v>
      </c>
      <c r="DA60" s="818">
        <f>INDEX('Monthly Run-off Change'!T:T,MATCH($B60,'Monthly Run-off Change'!$E:$E,0))</f>
        <v>7.6666666666666671E-3</v>
      </c>
      <c r="DB60" s="818">
        <f>INDEX('Monthly Run-off Change'!U:U,MATCH($B60,'Monthly Run-off Change'!$E:$E,0))</f>
        <v>7.6666666666666671E-3</v>
      </c>
      <c r="DC60" s="818">
        <f>INDEX('Monthly Run-off Change'!V:V,MATCH($B60,'Monthly Run-off Change'!$E:$E,0))</f>
        <v>7.6666666666666671E-3</v>
      </c>
      <c r="DD60" s="818">
        <f>INDEX('Monthly Run-off Change'!W:W,MATCH($B60,'Monthly Run-off Change'!$E:$E,0))</f>
        <v>7.6666666666666671E-3</v>
      </c>
      <c r="DE60" s="818">
        <f>INDEX('Monthly Run-off Change'!X:X,MATCH($B60,'Monthly Run-off Change'!$E:$E,0))</f>
        <v>7.6666666666666671E-3</v>
      </c>
      <c r="DF60" s="899">
        <f>INDEX('Monthly Run-off Change'!Y:Y,MATCH($B60,'Monthly Run-off Change'!$E:$E,0))</f>
        <v>0</v>
      </c>
      <c r="DG60" s="899">
        <f>INDEX('Monthly Run-off Change'!Z:Z,MATCH($B60,'Monthly Run-off Change'!$E:$E,0))</f>
        <v>2.0000000000000004E-2</v>
      </c>
      <c r="DH60" s="899">
        <f>INDEX('Monthly Run-off Change'!AA:AA,MATCH($B60,'Monthly Run-off Change'!$E:$E,0))</f>
        <v>7.0000000000000007E-2</v>
      </c>
      <c r="DI60" s="899">
        <f>INDEX('Monthly Run-off Change'!AB:AB,MATCH($B60,'Monthly Run-off Change'!$E:$E,0))</f>
        <v>7.0000000000000007E-2</v>
      </c>
      <c r="DJ60" s="899">
        <f>INDEX('Monthly Run-off Change'!AC:AC,MATCH($B60,'Monthly Run-off Change'!$E:$E,0))</f>
        <v>1.999999999999999E-2</v>
      </c>
      <c r="DK60" s="899">
        <f>INDEX('Monthly Run-off Change'!AD:AD,MATCH($B60,'Monthly Run-off Change'!$E:$E,0))</f>
        <v>1.999999999999999E-2</v>
      </c>
      <c r="DL60" s="899">
        <f>INDEX('Monthly Run-off Change'!AE:AE,MATCH($B60,'Monthly Run-off Change'!$E:$E,0))</f>
        <v>1.999999999999999E-2</v>
      </c>
      <c r="DM60" s="899">
        <f>INDEX('Monthly Run-off Change'!AF:AF,MATCH($B60,'Monthly Run-off Change'!$E:$E,0))</f>
        <v>1.999999999999999E-2</v>
      </c>
      <c r="DN60" s="899">
        <f>INDEX('Monthly Run-off Change'!AG:AG,MATCH($B60,'Monthly Run-off Change'!$E:$E,0))</f>
        <v>6.6666666666666723E-3</v>
      </c>
      <c r="DO60" s="899">
        <f>INDEX('Monthly Run-off Change'!AH:AH,MATCH($B60,'Monthly Run-off Change'!$E:$E,0))</f>
        <v>6.6666666666666723E-3</v>
      </c>
      <c r="DP60" s="899">
        <f>INDEX('Monthly Run-off Change'!AI:AI,MATCH($B60,'Monthly Run-off Change'!$E:$E,0))</f>
        <v>6.6666666666666723E-3</v>
      </c>
      <c r="DQ60" s="899">
        <f>INDEX('Monthly Run-off Change'!AJ:AJ,MATCH($B60,'Monthly Run-off Change'!$E:$E,0))</f>
        <v>6.6666666666666723E-3</v>
      </c>
      <c r="DR60" s="899">
        <f>INDEX('Monthly Run-off Change'!AK:AK,MATCH($B60,'Monthly Run-off Change'!$E:$E,0))</f>
        <v>6.6666666666666723E-3</v>
      </c>
      <c r="DS60" s="899">
        <f>INDEX('Monthly Run-off Change'!AL:AL,MATCH($B60,'Monthly Run-off Change'!$E:$E,0))</f>
        <v>6.6666666666666723E-3</v>
      </c>
      <c r="DT60" s="899">
        <f>INDEX('Monthly Run-off Change'!AM:AM,MATCH($B60,'Monthly Run-off Change'!$E:$E,0))</f>
        <v>6.6666666666666723E-3</v>
      </c>
      <c r="DU60" s="899">
        <f>INDEX('Monthly Run-off Change'!AN:AN,MATCH($B60,'Monthly Run-off Change'!$E:$E,0))</f>
        <v>6.6666666666666723E-3</v>
      </c>
      <c r="DV60" s="899">
        <f>INDEX('Monthly Run-off Change'!AO:AO,MATCH($B60,'Monthly Run-off Change'!$E:$E,0))</f>
        <v>6.6666666666666723E-3</v>
      </c>
      <c r="DW60" s="899">
        <f>INDEX('Monthly Run-off Change'!AP:AP,MATCH($B60,'Monthly Run-off Change'!$E:$E,0))</f>
        <v>0</v>
      </c>
      <c r="DX60" s="899">
        <f>INDEX('Monthly Run-off Change'!AQ:AQ,MATCH($B60,'Monthly Run-off Change'!$E:$E,0))</f>
        <v>1.4999999999999999E-2</v>
      </c>
      <c r="DY60" s="899">
        <f>INDEX('Monthly Run-off Change'!AR:AR,MATCH($B60,'Monthly Run-off Change'!$E:$E,0))</f>
        <v>5.2499999999999998E-2</v>
      </c>
      <c r="DZ60" s="899">
        <f>INDEX('Monthly Run-off Change'!AS:AS,MATCH($B60,'Monthly Run-off Change'!$E:$E,0))</f>
        <v>5.2499999999999998E-2</v>
      </c>
      <c r="EA60" s="899">
        <f>INDEX('Monthly Run-off Change'!AT:AT,MATCH($B60,'Monthly Run-off Change'!$E:$E,0))</f>
        <v>1.4999999999999999E-2</v>
      </c>
      <c r="EB60" s="899">
        <f>INDEX('Monthly Run-off Change'!AU:AU,MATCH($B60,'Monthly Run-off Change'!$E:$E,0))</f>
        <v>1.4999999999999999E-2</v>
      </c>
      <c r="EC60" s="899">
        <f>INDEX('Monthly Run-off Change'!AV:AV,MATCH($B60,'Monthly Run-off Change'!$E:$E,0))</f>
        <v>1.4999999999999999E-2</v>
      </c>
      <c r="ED60" s="899">
        <f>INDEX('Monthly Run-off Change'!AW:AW,MATCH($B60,'Monthly Run-off Change'!$E:$E,0))</f>
        <v>1.4999999999999999E-2</v>
      </c>
      <c r="EE60" s="899">
        <f>INDEX('Monthly Run-off Change'!AX:AX,MATCH($B60,'Monthly Run-off Change'!$E:$E,0))</f>
        <v>4.9999999999999984E-3</v>
      </c>
      <c r="EF60" s="899">
        <f>INDEX('Monthly Run-off Change'!AY:AY,MATCH($B60,'Monthly Run-off Change'!$E:$E,0))</f>
        <v>4.9999999999999984E-3</v>
      </c>
      <c r="EG60" s="899">
        <f>INDEX('Monthly Run-off Change'!AZ:AZ,MATCH($B60,'Monthly Run-off Change'!$E:$E,0))</f>
        <v>4.9999999999999984E-3</v>
      </c>
      <c r="EH60" s="899">
        <f>INDEX('Monthly Run-off Change'!BA:BA,MATCH($B60,'Monthly Run-off Change'!$E:$E,0))</f>
        <v>4.9999999999999984E-3</v>
      </c>
      <c r="EI60" s="899">
        <f>INDEX('Monthly Run-off Change'!BB:BB,MATCH($B60,'Monthly Run-off Change'!$E:$E,0))</f>
        <v>4.9999999999999984E-3</v>
      </c>
      <c r="EJ60" s="899">
        <f>INDEX('Monthly Run-off Change'!BC:BC,MATCH($B60,'Monthly Run-off Change'!$E:$E,0))</f>
        <v>4.9999999999999984E-3</v>
      </c>
      <c r="EK60" s="899">
        <f>INDEX('Monthly Run-off Change'!BD:BD,MATCH($B60,'Monthly Run-off Change'!$E:$E,0))</f>
        <v>4.9999999999999984E-3</v>
      </c>
      <c r="EL60" s="899">
        <f>INDEX('Monthly Run-off Change'!BE:BE,MATCH($B60,'Monthly Run-off Change'!$E:$E,0))</f>
        <v>4.9999999999999984E-3</v>
      </c>
      <c r="EM60" s="899">
        <f>INDEX('Monthly Run-off Change'!BF:BF,MATCH($B60,'Monthly Run-off Change'!$E:$E,0))</f>
        <v>4.9999999999999984E-3</v>
      </c>
      <c r="FQ60" s="898"/>
      <c r="FS60" s="898"/>
      <c r="FT60" s="898"/>
      <c r="FU60" s="898"/>
      <c r="FV60" s="898"/>
      <c r="FW60" s="898"/>
      <c r="FX60" s="898"/>
      <c r="FY60" s="898"/>
      <c r="FZ60" s="898"/>
      <c r="GA60" s="898"/>
      <c r="GB60" s="898"/>
      <c r="GC60" s="898"/>
      <c r="GD60" s="898"/>
      <c r="GE60" s="898"/>
      <c r="GF60" s="898"/>
      <c r="GG60" s="898"/>
      <c r="GH60" s="898"/>
      <c r="GJ60" s="898"/>
      <c r="GK60" s="898"/>
      <c r="GL60" s="898"/>
      <c r="GM60" s="898"/>
      <c r="GN60" s="898"/>
      <c r="GO60" s="898"/>
      <c r="GP60" s="898"/>
      <c r="GQ60" s="898"/>
      <c r="GR60" s="898"/>
      <c r="GS60" s="898"/>
      <c r="GT60" s="898"/>
      <c r="GU60" s="898"/>
      <c r="GV60" s="898"/>
      <c r="GW60" s="898"/>
      <c r="GX60" s="898"/>
      <c r="GY60" s="898"/>
      <c r="HA60" s="898"/>
      <c r="HB60" s="898"/>
      <c r="HC60" s="898"/>
      <c r="HD60" s="898"/>
      <c r="HE60" s="898"/>
      <c r="HF60" s="898"/>
      <c r="HG60" s="898"/>
      <c r="HH60" s="898"/>
      <c r="HI60" s="898"/>
      <c r="HJ60" s="898"/>
      <c r="HK60" s="898"/>
      <c r="HL60" s="898"/>
      <c r="HM60" s="898"/>
      <c r="HN60" s="898"/>
      <c r="HO60" s="898"/>
      <c r="HP60" s="898"/>
    </row>
    <row r="61" spans="1:224">
      <c r="A61" s="816" t="s">
        <v>2800</v>
      </c>
      <c r="B61" s="816" t="s">
        <v>2798</v>
      </c>
      <c r="C61" s="816">
        <v>0</v>
      </c>
      <c r="D61" s="816">
        <f t="shared" ref="D61" si="8">IF(OR(AND(ISERROR(SEARCH("Affiliates",F61,1)),ISERROR(SEARCH("Interbranch",F61,1)),ISERROR(SEARCH("Banks",F61,1)),ISERROR(SEARCH("FI",F61,1))),NOT(ISERROR(SEARCH("Non FI",F61,1)))),0,1)</f>
        <v>1</v>
      </c>
      <c r="E61" s="816">
        <v>0</v>
      </c>
      <c r="F61" s="816" t="str">
        <f>INDEX('Data Interface'!$C:$C,MATCH(B61,'Data Interface'!$B:$B,0))</f>
        <v>Due to Banks - Investment - CHINA EXIMBANK</v>
      </c>
      <c r="G61" s="894">
        <f ca="1">IF($C61=1,$AJ61,SUM($AJ61:$AL61)*INDEX('Schedule Allocation'!G:G,MATCH($D61,'Schedule Allocation'!$A:$A,0)))</f>
        <v>6.6128058786648541E-2</v>
      </c>
      <c r="H61" s="894">
        <f ca="1">IF($C61=1,$AK61,SUM($AJ61:$AL61)*INDEX('Schedule Allocation'!H:H,MATCH($D61,'Schedule Allocation'!$A:$A,0)))</f>
        <v>1.1021343131108091E-2</v>
      </c>
      <c r="I61" s="894">
        <f ca="1">IF($C61=1,$AK61,SUM($AJ61:$AL61)*INDEX('Schedule Allocation'!I:I,MATCH($D61,'Schedule Allocation'!$A:$A,0)))</f>
        <v>1.1021343131108091E-2</v>
      </c>
      <c r="J61" s="894">
        <f ca="1">IF($C61=1,$AK61,SUM($AJ61:$AL61)*INDEX('Schedule Allocation'!J:J,MATCH($D61,'Schedule Allocation'!$A:$A,0)))</f>
        <v>1.1021343131108091E-2</v>
      </c>
      <c r="K61" s="894">
        <f ca="1">IF($C61=1,$AK61,SUM($AJ61:$AL61)*INDEX('Schedule Allocation'!K:K,MATCH($D61,'Schedule Allocation'!$A:$A,0)))</f>
        <v>1.1021343131108091E-2</v>
      </c>
      <c r="L61" s="894">
        <f ca="1">IF($C61=1,$AK61,SUM($AJ61:$AL61)*INDEX('Schedule Allocation'!L:L,MATCH($D61,'Schedule Allocation'!$A:$A,0)))</f>
        <v>1.1021343131108091E-2</v>
      </c>
      <c r="M61" s="894">
        <f ca="1">IF($C61=1,$AK61,SUM($AJ61:$AL61)*INDEX('Schedule Allocation'!M:M,MATCH($D61,'Schedule Allocation'!$A:$A,0)))</f>
        <v>1.1021343131108091E-2</v>
      </c>
      <c r="N61" s="894">
        <f ca="1">IF($C61=1,$AL61,SUM($AJ61:$AL61)*INDEX('Schedule Allocation'!N:N,MATCH($D61,'Schedule Allocation'!$A:$A,0)))</f>
        <v>9.4468655409497941E-3</v>
      </c>
      <c r="O61" s="894">
        <f ca="1">IF($C61=1,$AL61,SUM($AJ61:$AL61)*INDEX('Schedule Allocation'!O:O,MATCH($D61,'Schedule Allocation'!$A:$A,0)))</f>
        <v>9.4468655409497941E-3</v>
      </c>
      <c r="P61" s="894">
        <f ca="1">IF($C61=1,$AL61,SUM($AJ61:$AL61)*INDEX('Schedule Allocation'!P:P,MATCH($D61,'Schedule Allocation'!$A:$A,0)))</f>
        <v>9.4468655409497941E-3</v>
      </c>
      <c r="Q61" s="894">
        <f ca="1">IF($C61=1,$AL61,SUM($AJ61:$AL61)*INDEX('Schedule Allocation'!Q:Q,MATCH($D61,'Schedule Allocation'!$A:$A,0)))</f>
        <v>9.4468655409497941E-3</v>
      </c>
      <c r="R61" s="894">
        <f ca="1">IF($C61=1,$AL61,SUM($AJ61:$AL61)*INDEX('Schedule Allocation'!R:R,MATCH($D61,'Schedule Allocation'!$A:$A,0)))</f>
        <v>9.4468655409497941E-3</v>
      </c>
      <c r="S61" s="894">
        <f ca="1">IF($C61=1,$AL61,SUM($AJ61:$AL61)*INDEX('Schedule Allocation'!S:S,MATCH($D61,'Schedule Allocation'!$A:$A,0)))</f>
        <v>9.4468655409497941E-3</v>
      </c>
      <c r="T61" s="894">
        <f ca="1">IF($C61=1,$AL61,SUM($AJ61:$AL61)*INDEX('Schedule Allocation'!T:T,MATCH($D61,'Schedule Allocation'!$A:$A,0)))</f>
        <v>9.4468655409497941E-3</v>
      </c>
      <c r="U61" s="894">
        <f ca="1">OFFSET(AT61,0,(MATCH('Model Report Formatized'!$E$1,$AN$1:$AN$6,0))*17-17)</f>
        <v>2.4798022044993193E-2</v>
      </c>
      <c r="V61" s="894">
        <f ca="1">OFFSET(AU61,0,(MATCH('Model Report Formatized'!$E$1,$AN$1:$AN$6,0))*17-17)</f>
        <v>2.4798022044993193E-2</v>
      </c>
      <c r="W61" s="894">
        <f ca="1">OFFSET(AV61,0,(MATCH('Model Report Formatized'!$E$1,$AN$1:$AN$6,0))*17-17)</f>
        <v>2.4798022044993193E-2</v>
      </c>
      <c r="X61" s="894">
        <f ca="1">OFFSET(AW61,0,(MATCH('Model Report Formatized'!$E$1,$AN$1:$AN$6,0))*17-17)</f>
        <v>2.4798022044993193E-2</v>
      </c>
      <c r="Y61" s="894">
        <f ca="1">OFFSET(AX61,0,(MATCH('Model Report Formatized'!$E$1,$AN$1:$AN$6,0))*17-17)</f>
        <v>8.2660073483310694E-3</v>
      </c>
      <c r="Z61" s="894">
        <f ca="1">OFFSET(AY61,0,(MATCH('Model Report Formatized'!$E$1,$AN$1:$AN$6,0))*17-17)</f>
        <v>8.2660073483310694E-3</v>
      </c>
      <c r="AA61" s="894">
        <f ca="1">OFFSET(AZ61,0,(MATCH('Model Report Formatized'!$E$1,$AN$1:$AN$6,0))*17-17)</f>
        <v>8.2660073483310694E-3</v>
      </c>
      <c r="AB61" s="894">
        <f ca="1">OFFSET(BA61,0,(MATCH('Model Report Formatized'!$E$1,$AN$1:$AN$6,0))*17-17)</f>
        <v>8.2660073483310694E-3</v>
      </c>
      <c r="AC61" s="894">
        <f ca="1">OFFSET(BB61,0,(MATCH('Model Report Formatized'!$E$1,$AN$1:$AN$6,0))*17-17)</f>
        <v>8.2660073483310694E-3</v>
      </c>
      <c r="AD61" s="894">
        <f ca="1">OFFSET(BC61,0,(MATCH('Model Report Formatized'!$E$1,$AN$1:$AN$6,0))*17-17)</f>
        <v>8.2660073483310694E-3</v>
      </c>
      <c r="AE61" s="894">
        <f ca="1">OFFSET(BD61,0,(MATCH('Model Report Formatized'!$E$1,$AN$1:$AN$6,0))*17-17)</f>
        <v>8.2660073483310694E-3</v>
      </c>
      <c r="AF61" s="894">
        <f ca="1">OFFSET(BE61,0,(MATCH('Model Report Formatized'!$E$1,$AN$1:$AN$6,0))*17-17)</f>
        <v>8.2660073483310694E-3</v>
      </c>
      <c r="AG61" s="894">
        <f ca="1">OFFSET(BF61,0,(MATCH('Model Report Formatized'!$E$1,$AN$1:$AN$6,0))*17-17)</f>
        <v>8.2660073483310694E-3</v>
      </c>
      <c r="AH61" s="891">
        <f t="shared" ref="AH61" ca="1" si="9">IF(C61=1,AG61,SUM(G61:AG61)-SUM(CP61:DE61))</f>
        <v>-1.1102230246251565E-16</v>
      </c>
      <c r="AJ61" s="895">
        <f ca="1">OFFSET(AQ61,0,(MATCH('Model Report Formatized'!$E$1,$AN$1:$AN$6,0))*17-17)</f>
        <v>2.4798022044993207E-2</v>
      </c>
      <c r="AK61" s="895">
        <f ca="1">OFFSET(AR61,0,(MATCH('Model Report Formatized'!$E$1,$AN$1:$AN$6,0))*17-17)</f>
        <v>8.6793077157476223E-2</v>
      </c>
      <c r="AL61" s="895">
        <f ca="1">OFFSET(AS61,0,(MATCH('Model Report Formatized'!$E$1,$AN$1:$AN$6,0))*17-17)</f>
        <v>8.6793077157476223E-2</v>
      </c>
      <c r="AQ61" s="893">
        <v>0.8</v>
      </c>
      <c r="AR61" s="893">
        <v>0</v>
      </c>
      <c r="AS61" s="893">
        <v>0</v>
      </c>
      <c r="AT61" s="893">
        <v>0</v>
      </c>
      <c r="AU61" s="893">
        <v>0</v>
      </c>
      <c r="AV61" s="893">
        <v>0</v>
      </c>
      <c r="AW61" s="893">
        <v>0</v>
      </c>
      <c r="AX61" s="893">
        <v>0</v>
      </c>
      <c r="AY61" s="893">
        <v>0</v>
      </c>
      <c r="AZ61" s="893">
        <v>0</v>
      </c>
      <c r="BA61" s="893">
        <v>0</v>
      </c>
      <c r="BB61" s="893">
        <v>0</v>
      </c>
      <c r="BC61" s="893">
        <v>0</v>
      </c>
      <c r="BD61" s="893">
        <v>0</v>
      </c>
      <c r="BE61" s="893">
        <v>0</v>
      </c>
      <c r="BF61" s="893">
        <v>0</v>
      </c>
      <c r="BH61" s="816">
        <v>7.5999999999999998E-2</v>
      </c>
      <c r="BI61" s="816">
        <v>7.5999999999999998E-2</v>
      </c>
      <c r="BJ61" s="816">
        <v>7.5999999999999998E-2</v>
      </c>
      <c r="BK61" s="816">
        <v>7.5999999999999998E-2</v>
      </c>
      <c r="BL61" s="816">
        <v>7.5999999999999998E-2</v>
      </c>
      <c r="BM61" s="816">
        <v>0.31</v>
      </c>
      <c r="BN61" s="816">
        <v>0.31</v>
      </c>
      <c r="BO61" s="816">
        <v>0</v>
      </c>
      <c r="BP61" s="816">
        <v>0</v>
      </c>
      <c r="BQ61" s="816">
        <v>0</v>
      </c>
      <c r="BR61" s="816">
        <v>0</v>
      </c>
      <c r="BS61" s="816">
        <v>0</v>
      </c>
      <c r="BT61" s="816">
        <v>0</v>
      </c>
      <c r="BU61" s="816">
        <v>0</v>
      </c>
      <c r="BV61" s="816">
        <v>0</v>
      </c>
      <c r="BW61" s="816">
        <v>0</v>
      </c>
      <c r="BY61" s="817">
        <v>1.6E-2</v>
      </c>
      <c r="BZ61" s="817">
        <v>1.6E-2</v>
      </c>
      <c r="CA61" s="817">
        <v>1.6E-2</v>
      </c>
      <c r="CB61" s="817">
        <v>1.6E-2</v>
      </c>
      <c r="CC61" s="817">
        <v>1.6E-2</v>
      </c>
      <c r="CD61" s="817">
        <v>0</v>
      </c>
      <c r="CE61" s="817">
        <v>0</v>
      </c>
      <c r="CF61" s="817">
        <v>0</v>
      </c>
      <c r="CG61" s="817">
        <v>0</v>
      </c>
      <c r="CH61" s="817">
        <v>0</v>
      </c>
      <c r="CI61" s="817">
        <v>0</v>
      </c>
      <c r="CJ61" s="817">
        <v>0</v>
      </c>
      <c r="CK61" s="817">
        <v>0</v>
      </c>
      <c r="CL61" s="817">
        <v>0</v>
      </c>
      <c r="CM61" s="817">
        <v>0</v>
      </c>
      <c r="CN61" s="817">
        <v>0</v>
      </c>
      <c r="CO61" s="816" t="s">
        <v>1340</v>
      </c>
      <c r="CP61" s="818">
        <f>INDEX('Monthly Run-off Change'!I:I,MATCH($B61,'Monthly Run-off Change'!$E:$E,0))</f>
        <v>2.4798022044993207E-2</v>
      </c>
      <c r="CQ61" s="818">
        <f>INDEX('Monthly Run-off Change'!J:J,MATCH($B61,'Monthly Run-off Change'!$E:$E,0))</f>
        <v>8.6793077157476223E-2</v>
      </c>
      <c r="CR61" s="818">
        <f>INDEX('Monthly Run-off Change'!K:K,MATCH($B61,'Monthly Run-off Change'!$E:$E,0))</f>
        <v>8.6793077157476223E-2</v>
      </c>
      <c r="CS61" s="818">
        <f>INDEX('Monthly Run-off Change'!L:L,MATCH($B61,'Monthly Run-off Change'!$E:$E,0))</f>
        <v>2.4798022044993193E-2</v>
      </c>
      <c r="CT61" s="818">
        <f>INDEX('Monthly Run-off Change'!M:M,MATCH($B61,'Monthly Run-off Change'!$E:$E,0))</f>
        <v>2.4798022044993193E-2</v>
      </c>
      <c r="CU61" s="818">
        <f>INDEX('Monthly Run-off Change'!N:N,MATCH($B61,'Monthly Run-off Change'!$E:$E,0))</f>
        <v>2.4798022044993193E-2</v>
      </c>
      <c r="CV61" s="818">
        <f>INDEX('Monthly Run-off Change'!O:O,MATCH($B61,'Monthly Run-off Change'!$E:$E,0))</f>
        <v>2.4798022044993193E-2</v>
      </c>
      <c r="CW61" s="818">
        <f>INDEX('Monthly Run-off Change'!P:P,MATCH($B61,'Monthly Run-off Change'!$E:$E,0))</f>
        <v>8.2660073483310694E-3</v>
      </c>
      <c r="CX61" s="818">
        <f>INDEX('Monthly Run-off Change'!Q:Q,MATCH($B61,'Monthly Run-off Change'!$E:$E,0))</f>
        <v>8.2660073483310694E-3</v>
      </c>
      <c r="CY61" s="818">
        <f>INDEX('Monthly Run-off Change'!R:R,MATCH($B61,'Monthly Run-off Change'!$E:$E,0))</f>
        <v>8.2660073483310694E-3</v>
      </c>
      <c r="CZ61" s="818">
        <f>INDEX('Monthly Run-off Change'!S:S,MATCH($B61,'Monthly Run-off Change'!$E:$E,0))</f>
        <v>8.2660073483310694E-3</v>
      </c>
      <c r="DA61" s="818">
        <f>INDEX('Monthly Run-off Change'!T:T,MATCH($B61,'Monthly Run-off Change'!$E:$E,0))</f>
        <v>8.2660073483310694E-3</v>
      </c>
      <c r="DB61" s="818">
        <f>INDEX('Monthly Run-off Change'!U:U,MATCH($B61,'Monthly Run-off Change'!$E:$E,0))</f>
        <v>8.2660073483310694E-3</v>
      </c>
      <c r="DC61" s="818">
        <f>INDEX('Monthly Run-off Change'!V:V,MATCH($B61,'Monthly Run-off Change'!$E:$E,0))</f>
        <v>8.2660073483310694E-3</v>
      </c>
      <c r="DD61" s="818">
        <f>INDEX('Monthly Run-off Change'!W:W,MATCH($B61,'Monthly Run-off Change'!$E:$E,0))</f>
        <v>8.2660073483310694E-3</v>
      </c>
      <c r="DE61" s="818">
        <f>INDEX('Monthly Run-off Change'!X:X,MATCH($B61,'Monthly Run-off Change'!$E:$E,0))</f>
        <v>8.2660073483310694E-3</v>
      </c>
      <c r="DF61" s="899">
        <f>INDEX('Monthly Run-off Change'!Y:Y,MATCH($B61,'Monthly Run-off Change'!$E:$E,0))</f>
        <v>0</v>
      </c>
      <c r="DG61" s="899">
        <f>INDEX('Monthly Run-off Change'!Z:Z,MATCH($B61,'Monthly Run-off Change'!$E:$E,0))</f>
        <v>2.1563497430428874E-2</v>
      </c>
      <c r="DH61" s="899">
        <f>INDEX('Monthly Run-off Change'!AA:AA,MATCH($B61,'Monthly Run-off Change'!$E:$E,0))</f>
        <v>7.5472241006501059E-2</v>
      </c>
      <c r="DI61" s="899">
        <f>INDEX('Monthly Run-off Change'!AB:AB,MATCH($B61,'Monthly Run-off Change'!$E:$E,0))</f>
        <v>7.5472241006501059E-2</v>
      </c>
      <c r="DJ61" s="899">
        <f>INDEX('Monthly Run-off Change'!AC:AC,MATCH($B61,'Monthly Run-off Change'!$E:$E,0))</f>
        <v>2.1563497430428874E-2</v>
      </c>
      <c r="DK61" s="899">
        <f>INDEX('Monthly Run-off Change'!AD:AD,MATCH($B61,'Monthly Run-off Change'!$E:$E,0))</f>
        <v>2.1563497430428874E-2</v>
      </c>
      <c r="DL61" s="899">
        <f>INDEX('Monthly Run-off Change'!AE:AE,MATCH($B61,'Monthly Run-off Change'!$E:$E,0))</f>
        <v>2.1563497430428874E-2</v>
      </c>
      <c r="DM61" s="899">
        <f>INDEX('Monthly Run-off Change'!AF:AF,MATCH($B61,'Monthly Run-off Change'!$E:$E,0))</f>
        <v>2.1563497430428874E-2</v>
      </c>
      <c r="DN61" s="899">
        <f>INDEX('Monthly Run-off Change'!AG:AG,MATCH($B61,'Monthly Run-off Change'!$E:$E,0))</f>
        <v>7.1878324768096281E-3</v>
      </c>
      <c r="DO61" s="899">
        <f>INDEX('Monthly Run-off Change'!AH:AH,MATCH($B61,'Monthly Run-off Change'!$E:$E,0))</f>
        <v>7.1878324768096281E-3</v>
      </c>
      <c r="DP61" s="899">
        <f>INDEX('Monthly Run-off Change'!AI:AI,MATCH($B61,'Monthly Run-off Change'!$E:$E,0))</f>
        <v>7.1878324768096281E-3</v>
      </c>
      <c r="DQ61" s="899">
        <f>INDEX('Monthly Run-off Change'!AJ:AJ,MATCH($B61,'Monthly Run-off Change'!$E:$E,0))</f>
        <v>7.1878324768096281E-3</v>
      </c>
      <c r="DR61" s="899">
        <f>INDEX('Monthly Run-off Change'!AK:AK,MATCH($B61,'Monthly Run-off Change'!$E:$E,0))</f>
        <v>7.1878324768096281E-3</v>
      </c>
      <c r="DS61" s="899">
        <f>INDEX('Monthly Run-off Change'!AL:AL,MATCH($B61,'Monthly Run-off Change'!$E:$E,0))</f>
        <v>7.1878324768096281E-3</v>
      </c>
      <c r="DT61" s="899">
        <f>INDEX('Monthly Run-off Change'!AM:AM,MATCH($B61,'Monthly Run-off Change'!$E:$E,0))</f>
        <v>7.1878324768096281E-3</v>
      </c>
      <c r="DU61" s="899">
        <f>INDEX('Monthly Run-off Change'!AN:AN,MATCH($B61,'Monthly Run-off Change'!$E:$E,0))</f>
        <v>7.1878324768096281E-3</v>
      </c>
      <c r="DV61" s="899">
        <f>INDEX('Monthly Run-off Change'!AO:AO,MATCH($B61,'Monthly Run-off Change'!$E:$E,0))</f>
        <v>7.1878324768096281E-3</v>
      </c>
      <c r="DW61" s="899">
        <f>INDEX('Monthly Run-off Change'!AP:AP,MATCH($B61,'Monthly Run-off Change'!$E:$E,0))</f>
        <v>0</v>
      </c>
      <c r="DX61" s="899">
        <f>INDEX('Monthly Run-off Change'!AQ:AQ,MATCH($B61,'Monthly Run-off Change'!$E:$E,0))</f>
        <v>1.6172623072821656E-2</v>
      </c>
      <c r="DY61" s="899">
        <f>INDEX('Monthly Run-off Change'!AR:AR,MATCH($B61,'Monthly Run-off Change'!$E:$E,0))</f>
        <v>5.6604180754875791E-2</v>
      </c>
      <c r="DZ61" s="899">
        <f>INDEX('Monthly Run-off Change'!AS:AS,MATCH($B61,'Monthly Run-off Change'!$E:$E,0))</f>
        <v>5.6604180754875791E-2</v>
      </c>
      <c r="EA61" s="899">
        <f>INDEX('Monthly Run-off Change'!AT:AT,MATCH($B61,'Monthly Run-off Change'!$E:$E,0))</f>
        <v>1.6172623072821649E-2</v>
      </c>
      <c r="EB61" s="899">
        <f>INDEX('Monthly Run-off Change'!AU:AU,MATCH($B61,'Monthly Run-off Change'!$E:$E,0))</f>
        <v>1.6172623072821649E-2</v>
      </c>
      <c r="EC61" s="899">
        <f>INDEX('Monthly Run-off Change'!AV:AV,MATCH($B61,'Monthly Run-off Change'!$E:$E,0))</f>
        <v>1.6172623072821649E-2</v>
      </c>
      <c r="ED61" s="899">
        <f>INDEX('Monthly Run-off Change'!AW:AW,MATCH($B61,'Monthly Run-off Change'!$E:$E,0))</f>
        <v>1.6172623072821649E-2</v>
      </c>
      <c r="EE61" s="899">
        <f>INDEX('Monthly Run-off Change'!AX:AX,MATCH($B61,'Monthly Run-off Change'!$E:$E,0))</f>
        <v>5.3908743576072176E-3</v>
      </c>
      <c r="EF61" s="899">
        <f>INDEX('Monthly Run-off Change'!AY:AY,MATCH($B61,'Monthly Run-off Change'!$E:$E,0))</f>
        <v>5.3908743576072176E-3</v>
      </c>
      <c r="EG61" s="899">
        <f>INDEX('Monthly Run-off Change'!AZ:AZ,MATCH($B61,'Monthly Run-off Change'!$E:$E,0))</f>
        <v>5.3908743576072176E-3</v>
      </c>
      <c r="EH61" s="899">
        <f>INDEX('Monthly Run-off Change'!BA:BA,MATCH($B61,'Monthly Run-off Change'!$E:$E,0))</f>
        <v>5.3908743576072176E-3</v>
      </c>
      <c r="EI61" s="899">
        <f>INDEX('Monthly Run-off Change'!BB:BB,MATCH($B61,'Monthly Run-off Change'!$E:$E,0))</f>
        <v>5.3908743576072176E-3</v>
      </c>
      <c r="EJ61" s="899">
        <f>INDEX('Monthly Run-off Change'!BC:BC,MATCH($B61,'Monthly Run-off Change'!$E:$E,0))</f>
        <v>5.3908743576072176E-3</v>
      </c>
      <c r="EK61" s="899">
        <f>INDEX('Monthly Run-off Change'!BD:BD,MATCH($B61,'Monthly Run-off Change'!$E:$E,0))</f>
        <v>5.3908743576072176E-3</v>
      </c>
      <c r="EL61" s="899">
        <f>INDEX('Monthly Run-off Change'!BE:BE,MATCH($B61,'Monthly Run-off Change'!$E:$E,0))</f>
        <v>5.3908743576072176E-3</v>
      </c>
      <c r="EM61" s="899">
        <f>INDEX('Monthly Run-off Change'!BF:BF,MATCH($B61,'Monthly Run-off Change'!$E:$E,0))</f>
        <v>5.3908743576072176E-3</v>
      </c>
      <c r="FQ61" s="898"/>
      <c r="FS61" s="898"/>
      <c r="FT61" s="898"/>
      <c r="FU61" s="898"/>
      <c r="FV61" s="898"/>
      <c r="FW61" s="898"/>
      <c r="FX61" s="898"/>
      <c r="FY61" s="898"/>
      <c r="FZ61" s="898"/>
      <c r="GA61" s="898"/>
      <c r="GB61" s="898"/>
      <c r="GC61" s="898"/>
      <c r="GD61" s="898"/>
      <c r="GE61" s="898"/>
      <c r="GF61" s="898"/>
      <c r="GG61" s="898"/>
      <c r="GH61" s="898"/>
      <c r="GJ61" s="898"/>
      <c r="GK61" s="898"/>
      <c r="GL61" s="898"/>
      <c r="GM61" s="898"/>
      <c r="GN61" s="898"/>
      <c r="GO61" s="898"/>
      <c r="GP61" s="898"/>
      <c r="GQ61" s="898"/>
      <c r="GR61" s="898"/>
      <c r="GS61" s="898"/>
      <c r="GT61" s="898"/>
      <c r="GU61" s="898"/>
      <c r="GV61" s="898"/>
      <c r="GW61" s="898"/>
      <c r="GX61" s="898"/>
      <c r="GY61" s="898"/>
      <c r="HA61" s="898"/>
      <c r="HB61" s="898"/>
      <c r="HC61" s="898"/>
      <c r="HD61" s="898"/>
      <c r="HE61" s="898"/>
      <c r="HF61" s="898"/>
      <c r="HG61" s="898"/>
      <c r="HH61" s="898"/>
      <c r="HI61" s="898"/>
      <c r="HJ61" s="898"/>
      <c r="HK61" s="898"/>
      <c r="HL61" s="898"/>
      <c r="HM61" s="898"/>
      <c r="HN61" s="898"/>
      <c r="HO61" s="898"/>
      <c r="HP61" s="898"/>
    </row>
    <row r="62" spans="1:224">
      <c r="A62" s="816" t="s">
        <v>1326</v>
      </c>
      <c r="B62" s="816" t="s">
        <v>1325</v>
      </c>
      <c r="C62" s="816">
        <v>0</v>
      </c>
      <c r="D62" s="816">
        <f t="shared" si="4"/>
        <v>0</v>
      </c>
      <c r="E62" s="816">
        <v>0</v>
      </c>
      <c r="F62" s="816" t="str">
        <f>INDEX('Data Interface'!$C:$C,MATCH(B62,'Data Interface'!$B:$B,0))</f>
        <v>Demand,MM &amp; Savings - Large Corporates - Uber Tech.</v>
      </c>
      <c r="G62" s="894">
        <f ca="1">IF($C62=1,$AJ62,SUM($AJ62:$AL62)*INDEX('Schedule Allocation'!G:G,MATCH($D62,'Schedule Allocation'!$A:$A,0)))</f>
        <v>1.9200000000000002E-2</v>
      </c>
      <c r="H62" s="894">
        <f ca="1">IF($C62=1,$AK62,SUM($AJ62:$AL62)*INDEX('Schedule Allocation'!H:H,MATCH($D62,'Schedule Allocation'!$A:$A,0)))</f>
        <v>6.4000000000000003E-3</v>
      </c>
      <c r="I62" s="894">
        <f ca="1">IF($C62=1,$AK62,SUM($AJ62:$AL62)*INDEX('Schedule Allocation'!I:I,MATCH($D62,'Schedule Allocation'!$A:$A,0)))</f>
        <v>6.4000000000000003E-3</v>
      </c>
      <c r="J62" s="894">
        <f ca="1">IF($C62=1,$AK62,SUM($AJ62:$AL62)*INDEX('Schedule Allocation'!J:J,MATCH($D62,'Schedule Allocation'!$A:$A,0)))</f>
        <v>6.4000000000000003E-3</v>
      </c>
      <c r="K62" s="894">
        <f ca="1">IF($C62=1,$AK62,SUM($AJ62:$AL62)*INDEX('Schedule Allocation'!K:K,MATCH($D62,'Schedule Allocation'!$A:$A,0)))</f>
        <v>6.4000000000000003E-3</v>
      </c>
      <c r="L62" s="894">
        <f ca="1">IF($C62=1,$AK62,SUM($AJ62:$AL62)*INDEX('Schedule Allocation'!L:L,MATCH($D62,'Schedule Allocation'!$A:$A,0)))</f>
        <v>6.4000000000000003E-3</v>
      </c>
      <c r="M62" s="894">
        <f ca="1">IF($C62=1,$AK62,SUM($AJ62:$AL62)*INDEX('Schedule Allocation'!M:M,MATCH($D62,'Schedule Allocation'!$A:$A,0)))</f>
        <v>6.4000000000000003E-3</v>
      </c>
      <c r="N62" s="894">
        <f ca="1">IF($C62=1,$AL62,SUM($AJ62:$AL62)*INDEX('Schedule Allocation'!N:N,MATCH($D62,'Schedule Allocation'!$A:$A,0)))</f>
        <v>5.4857142857142865E-3</v>
      </c>
      <c r="O62" s="894">
        <f ca="1">IF($C62=1,$AL62,SUM($AJ62:$AL62)*INDEX('Schedule Allocation'!O:O,MATCH($D62,'Schedule Allocation'!$A:$A,0)))</f>
        <v>5.4857142857142865E-3</v>
      </c>
      <c r="P62" s="894">
        <f ca="1">IF($C62=1,$AL62,SUM($AJ62:$AL62)*INDEX('Schedule Allocation'!P:P,MATCH($D62,'Schedule Allocation'!$A:$A,0)))</f>
        <v>5.4857142857142865E-3</v>
      </c>
      <c r="Q62" s="894">
        <f ca="1">IF($C62=1,$AL62,SUM($AJ62:$AL62)*INDEX('Schedule Allocation'!Q:Q,MATCH($D62,'Schedule Allocation'!$A:$A,0)))</f>
        <v>5.4857142857142865E-3</v>
      </c>
      <c r="R62" s="894">
        <f ca="1">IF($C62=1,$AL62,SUM($AJ62:$AL62)*INDEX('Schedule Allocation'!R:R,MATCH($D62,'Schedule Allocation'!$A:$A,0)))</f>
        <v>5.4857142857142865E-3</v>
      </c>
      <c r="S62" s="894">
        <f ca="1">IF($C62=1,$AL62,SUM($AJ62:$AL62)*INDEX('Schedule Allocation'!S:S,MATCH($D62,'Schedule Allocation'!$A:$A,0)))</f>
        <v>5.4857142857142865E-3</v>
      </c>
      <c r="T62" s="894">
        <f ca="1">IF($C62=1,$AL62,SUM($AJ62:$AL62)*INDEX('Schedule Allocation'!T:T,MATCH($D62,'Schedule Allocation'!$A:$A,0)))</f>
        <v>5.4857142857142865E-3</v>
      </c>
      <c r="U62" s="894">
        <f ca="1">OFFSET(AT62,0,(MATCH('Model Report Formatized'!$E$1,$AN$1:$AN$6,0))*17-17)</f>
        <v>3.2000000000000001E-2</v>
      </c>
      <c r="V62" s="894">
        <f ca="1">OFFSET(AU62,0,(MATCH('Model Report Formatized'!$E$1,$AN$1:$AN$6,0))*17-17)</f>
        <v>3.2000000000000001E-2</v>
      </c>
      <c r="W62" s="894">
        <f ca="1">OFFSET(AV62,0,(MATCH('Model Report Formatized'!$E$1,$AN$1:$AN$6,0))*17-17)</f>
        <v>1.6E-2</v>
      </c>
      <c r="X62" s="894">
        <f ca="1">OFFSET(AW62,0,(MATCH('Model Report Formatized'!$E$1,$AN$1:$AN$6,0))*17-17)</f>
        <v>1.6E-2</v>
      </c>
      <c r="Y62" s="894">
        <f ca="1">OFFSET(AX62,0,(MATCH('Model Report Formatized'!$E$1,$AN$1:$AN$6,0))*17-17)</f>
        <v>5.3333333333333323E-3</v>
      </c>
      <c r="Z62" s="894">
        <f ca="1">OFFSET(AY62,0,(MATCH('Model Report Formatized'!$E$1,$AN$1:$AN$6,0))*17-17)</f>
        <v>5.3333333333333323E-3</v>
      </c>
      <c r="AA62" s="894">
        <f ca="1">OFFSET(AZ62,0,(MATCH('Model Report Formatized'!$E$1,$AN$1:$AN$6,0))*17-17)</f>
        <v>5.3333333333333323E-3</v>
      </c>
      <c r="AB62" s="894">
        <f ca="1">OFFSET(BA62,0,(MATCH('Model Report Formatized'!$E$1,$AN$1:$AN$6,0))*17-17)</f>
        <v>5.3333333333333323E-3</v>
      </c>
      <c r="AC62" s="894">
        <f ca="1">OFFSET(BB62,0,(MATCH('Model Report Formatized'!$E$1,$AN$1:$AN$6,0))*17-17)</f>
        <v>5.3333333333333323E-3</v>
      </c>
      <c r="AD62" s="894">
        <f ca="1">OFFSET(BC62,0,(MATCH('Model Report Formatized'!$E$1,$AN$1:$AN$6,0))*17-17)</f>
        <v>5.3333333333333323E-3</v>
      </c>
      <c r="AE62" s="894">
        <f ca="1">OFFSET(BD62,0,(MATCH('Model Report Formatized'!$E$1,$AN$1:$AN$6,0))*17-17)</f>
        <v>5.3333333333333323E-3</v>
      </c>
      <c r="AF62" s="894">
        <f ca="1">OFFSET(BE62,0,(MATCH('Model Report Formatized'!$E$1,$AN$1:$AN$6,0))*17-17)</f>
        <v>5.3333333333333323E-3</v>
      </c>
      <c r="AG62" s="894">
        <f ca="1">OFFSET(BF62,0,(MATCH('Model Report Formatized'!$E$1,$AN$1:$AN$6,0))*17-17)</f>
        <v>5.3333333333333323E-3</v>
      </c>
      <c r="AH62" s="891">
        <f t="shared" ca="1" si="5"/>
        <v>5.5511151231257827E-17</v>
      </c>
      <c r="AJ62" s="895">
        <f ca="1">OFFSET(AQ62,0,(MATCH('Model Report Formatized'!$E$1,$AN$1:$AN$6,0))*17-17)</f>
        <v>8.0000000000000002E-3</v>
      </c>
      <c r="AK62" s="895">
        <f ca="1">OFFSET(AR62,0,(MATCH('Model Report Formatized'!$E$1,$AN$1:$AN$6,0))*17-17)</f>
        <v>4.3999999999999997E-2</v>
      </c>
      <c r="AL62" s="895">
        <f ca="1">OFFSET(AS62,0,(MATCH('Model Report Formatized'!$E$1,$AN$1:$AN$6,0))*17-17)</f>
        <v>4.3999999999999997E-2</v>
      </c>
      <c r="AQ62" s="893">
        <v>0.08</v>
      </c>
      <c r="AR62" s="893">
        <v>0.08</v>
      </c>
      <c r="AS62" s="893">
        <v>0.08</v>
      </c>
      <c r="AT62" s="893">
        <v>0.08</v>
      </c>
      <c r="AU62" s="893">
        <v>0.08</v>
      </c>
      <c r="AV62" s="893">
        <v>5.4545454545454543E-2</v>
      </c>
      <c r="AW62" s="893">
        <v>5.4545454545454543E-2</v>
      </c>
      <c r="AX62" s="893">
        <v>5.4545454545454543E-2</v>
      </c>
      <c r="AY62" s="893">
        <v>5.4545454545454543E-2</v>
      </c>
      <c r="AZ62" s="893">
        <v>5.4545454545454543E-2</v>
      </c>
      <c r="BA62" s="893">
        <v>5.4545454545454543E-2</v>
      </c>
      <c r="BB62" s="893">
        <v>5.4545454545454543E-2</v>
      </c>
      <c r="BC62" s="893">
        <v>5.4545454545454543E-2</v>
      </c>
      <c r="BD62" s="893">
        <v>5.4545454545454543E-2</v>
      </c>
      <c r="BE62" s="893">
        <v>5.4545454545454543E-2</v>
      </c>
      <c r="BF62" s="893">
        <v>5.4545454545454543E-2</v>
      </c>
      <c r="BH62" s="816">
        <v>8.199999999999999E-2</v>
      </c>
      <c r="BI62" s="816">
        <v>8.199999999999999E-2</v>
      </c>
      <c r="BJ62" s="816">
        <v>8.199999999999999E-2</v>
      </c>
      <c r="BK62" s="816">
        <v>8.199999999999999E-2</v>
      </c>
      <c r="BL62" s="816">
        <v>8.199999999999999E-2</v>
      </c>
      <c r="BM62" s="816">
        <v>5.0000000000000017E-2</v>
      </c>
      <c r="BN62" s="816">
        <v>5.0000000000000017E-2</v>
      </c>
      <c r="BO62" s="816">
        <v>5.4444444444444441E-2</v>
      </c>
      <c r="BP62" s="816">
        <v>5.4444444444444441E-2</v>
      </c>
      <c r="BQ62" s="816">
        <v>5.4444444444444441E-2</v>
      </c>
      <c r="BR62" s="816">
        <v>5.4444444444444441E-2</v>
      </c>
      <c r="BS62" s="816">
        <v>5.4444444444444441E-2</v>
      </c>
      <c r="BT62" s="816">
        <v>5.4444444444444441E-2</v>
      </c>
      <c r="BU62" s="816">
        <v>5.4444444444444441E-2</v>
      </c>
      <c r="BV62" s="816">
        <v>5.4444444444444441E-2</v>
      </c>
      <c r="BW62" s="816">
        <v>5.4444444444444441E-2</v>
      </c>
      <c r="BY62" s="817">
        <v>0.02</v>
      </c>
      <c r="BZ62" s="817">
        <v>0.02</v>
      </c>
      <c r="CA62" s="817">
        <v>0.02</v>
      </c>
      <c r="CB62" s="817">
        <v>0.02</v>
      </c>
      <c r="CC62" s="817">
        <v>0.02</v>
      </c>
      <c r="CD62" s="817">
        <v>0</v>
      </c>
      <c r="CE62" s="817">
        <v>0</v>
      </c>
      <c r="CF62" s="817">
        <v>0</v>
      </c>
      <c r="CG62" s="817">
        <v>0</v>
      </c>
      <c r="CH62" s="817">
        <v>0</v>
      </c>
      <c r="CI62" s="817">
        <v>0</v>
      </c>
      <c r="CJ62" s="817">
        <v>0</v>
      </c>
      <c r="CK62" s="817">
        <v>0</v>
      </c>
      <c r="CL62" s="817">
        <v>0</v>
      </c>
      <c r="CM62" s="817">
        <v>0</v>
      </c>
      <c r="CN62" s="817">
        <v>0</v>
      </c>
      <c r="CO62" s="816" t="s">
        <v>1340</v>
      </c>
      <c r="CP62" s="818">
        <f>INDEX('Monthly Run-off Change'!I:I,MATCH($B62,'Monthly Run-off Change'!$E:$E,0))</f>
        <v>8.0000000000000002E-3</v>
      </c>
      <c r="CQ62" s="818">
        <f>INDEX('Monthly Run-off Change'!J:J,MATCH($B62,'Monthly Run-off Change'!$E:$E,0))</f>
        <v>4.3999999999999997E-2</v>
      </c>
      <c r="CR62" s="818">
        <f>INDEX('Monthly Run-off Change'!K:K,MATCH($B62,'Monthly Run-off Change'!$E:$E,0))</f>
        <v>4.3999999999999997E-2</v>
      </c>
      <c r="CS62" s="818">
        <f>INDEX('Monthly Run-off Change'!L:L,MATCH($B62,'Monthly Run-off Change'!$E:$E,0))</f>
        <v>3.2000000000000001E-2</v>
      </c>
      <c r="CT62" s="818">
        <f>INDEX('Monthly Run-off Change'!M:M,MATCH($B62,'Monthly Run-off Change'!$E:$E,0))</f>
        <v>3.2000000000000001E-2</v>
      </c>
      <c r="CU62" s="818">
        <f>INDEX('Monthly Run-off Change'!N:N,MATCH($B62,'Monthly Run-off Change'!$E:$E,0))</f>
        <v>1.6E-2</v>
      </c>
      <c r="CV62" s="818">
        <f>INDEX('Monthly Run-off Change'!O:O,MATCH($B62,'Monthly Run-off Change'!$E:$E,0))</f>
        <v>1.6E-2</v>
      </c>
      <c r="CW62" s="818">
        <f>INDEX('Monthly Run-off Change'!P:P,MATCH($B62,'Monthly Run-off Change'!$E:$E,0))</f>
        <v>5.3333333333333323E-3</v>
      </c>
      <c r="CX62" s="818">
        <f>INDEX('Monthly Run-off Change'!Q:Q,MATCH($B62,'Monthly Run-off Change'!$E:$E,0))</f>
        <v>5.3333333333333323E-3</v>
      </c>
      <c r="CY62" s="818">
        <f>INDEX('Monthly Run-off Change'!R:R,MATCH($B62,'Monthly Run-off Change'!$E:$E,0))</f>
        <v>5.3333333333333323E-3</v>
      </c>
      <c r="CZ62" s="818">
        <f>INDEX('Monthly Run-off Change'!S:S,MATCH($B62,'Monthly Run-off Change'!$E:$E,0))</f>
        <v>5.3333333333333323E-3</v>
      </c>
      <c r="DA62" s="818">
        <f>INDEX('Monthly Run-off Change'!T:T,MATCH($B62,'Monthly Run-off Change'!$E:$E,0))</f>
        <v>5.3333333333333323E-3</v>
      </c>
      <c r="DB62" s="818">
        <f>INDEX('Monthly Run-off Change'!U:U,MATCH($B62,'Monthly Run-off Change'!$E:$E,0))</f>
        <v>5.3333333333333323E-3</v>
      </c>
      <c r="DC62" s="818">
        <f>INDEX('Monthly Run-off Change'!V:V,MATCH($B62,'Monthly Run-off Change'!$E:$E,0))</f>
        <v>5.3333333333333323E-3</v>
      </c>
      <c r="DD62" s="818">
        <f>INDEX('Monthly Run-off Change'!W:W,MATCH($B62,'Monthly Run-off Change'!$E:$E,0))</f>
        <v>5.3333333333333323E-3</v>
      </c>
      <c r="DE62" s="818">
        <f>INDEX('Monthly Run-off Change'!X:X,MATCH($B62,'Monthly Run-off Change'!$E:$E,0))</f>
        <v>5.3333333333333323E-3</v>
      </c>
      <c r="DF62" s="899">
        <f>INDEX('Monthly Run-off Change'!Y:Y,MATCH($B62,'Monthly Run-off Change'!$E:$E,0))</f>
        <v>0</v>
      </c>
      <c r="DG62" s="899">
        <f>INDEX('Monthly Run-off Change'!Z:Z,MATCH($B62,'Monthly Run-off Change'!$E:$E,0))</f>
        <v>7.000000000000001E-3</v>
      </c>
      <c r="DH62" s="899">
        <f>INDEX('Monthly Run-off Change'!AA:AA,MATCH($B62,'Monthly Run-off Change'!$E:$E,0))</f>
        <v>3.85E-2</v>
      </c>
      <c r="DI62" s="899">
        <f>INDEX('Monthly Run-off Change'!AB:AB,MATCH($B62,'Monthly Run-off Change'!$E:$E,0))</f>
        <v>3.85E-2</v>
      </c>
      <c r="DJ62" s="899">
        <f>INDEX('Monthly Run-off Change'!AC:AC,MATCH($B62,'Monthly Run-off Change'!$E:$E,0))</f>
        <v>2.8000000000000004E-2</v>
      </c>
      <c r="DK62" s="899">
        <f>INDEX('Monthly Run-off Change'!AD:AD,MATCH($B62,'Monthly Run-off Change'!$E:$E,0))</f>
        <v>2.8000000000000004E-2</v>
      </c>
      <c r="DL62" s="899">
        <f>INDEX('Monthly Run-off Change'!AE:AE,MATCH($B62,'Monthly Run-off Change'!$E:$E,0))</f>
        <v>1.3999999999999999E-2</v>
      </c>
      <c r="DM62" s="899">
        <f>INDEX('Monthly Run-off Change'!AF:AF,MATCH($B62,'Monthly Run-off Change'!$E:$E,0))</f>
        <v>1.3999999999999999E-2</v>
      </c>
      <c r="DN62" s="899">
        <f>INDEX('Monthly Run-off Change'!AG:AG,MATCH($B62,'Monthly Run-off Change'!$E:$E,0))</f>
        <v>4.6666666666666679E-3</v>
      </c>
      <c r="DO62" s="899">
        <f>INDEX('Monthly Run-off Change'!AH:AH,MATCH($B62,'Monthly Run-off Change'!$E:$E,0))</f>
        <v>4.6666666666666679E-3</v>
      </c>
      <c r="DP62" s="899">
        <f>INDEX('Monthly Run-off Change'!AI:AI,MATCH($B62,'Monthly Run-off Change'!$E:$E,0))</f>
        <v>4.6666666666666679E-3</v>
      </c>
      <c r="DQ62" s="899">
        <f>INDEX('Monthly Run-off Change'!AJ:AJ,MATCH($B62,'Monthly Run-off Change'!$E:$E,0))</f>
        <v>4.6666666666666679E-3</v>
      </c>
      <c r="DR62" s="899">
        <f>INDEX('Monthly Run-off Change'!AK:AK,MATCH($B62,'Monthly Run-off Change'!$E:$E,0))</f>
        <v>4.6666666666666679E-3</v>
      </c>
      <c r="DS62" s="899">
        <f>INDEX('Monthly Run-off Change'!AL:AL,MATCH($B62,'Monthly Run-off Change'!$E:$E,0))</f>
        <v>4.6666666666666679E-3</v>
      </c>
      <c r="DT62" s="899">
        <f>INDEX('Monthly Run-off Change'!AM:AM,MATCH($B62,'Monthly Run-off Change'!$E:$E,0))</f>
        <v>4.6666666666666679E-3</v>
      </c>
      <c r="DU62" s="899">
        <f>INDEX('Monthly Run-off Change'!AN:AN,MATCH($B62,'Monthly Run-off Change'!$E:$E,0))</f>
        <v>4.6666666666666679E-3</v>
      </c>
      <c r="DV62" s="899">
        <f>INDEX('Monthly Run-off Change'!AO:AO,MATCH($B62,'Monthly Run-off Change'!$E:$E,0))</f>
        <v>4.6666666666666679E-3</v>
      </c>
      <c r="DW62" s="899">
        <f>INDEX('Monthly Run-off Change'!AP:AP,MATCH($B62,'Monthly Run-off Change'!$E:$E,0))</f>
        <v>0</v>
      </c>
      <c r="DX62" s="899">
        <f>INDEX('Monthly Run-off Change'!AQ:AQ,MATCH($B62,'Monthly Run-off Change'!$E:$E,0))</f>
        <v>5.000000000000001E-3</v>
      </c>
      <c r="DY62" s="899">
        <f>INDEX('Monthly Run-off Change'!AR:AR,MATCH($B62,'Monthly Run-off Change'!$E:$E,0))</f>
        <v>2.7499999999999997E-2</v>
      </c>
      <c r="DZ62" s="899">
        <f>INDEX('Monthly Run-off Change'!AS:AS,MATCH($B62,'Monthly Run-off Change'!$E:$E,0))</f>
        <v>2.7499999999999997E-2</v>
      </c>
      <c r="EA62" s="899">
        <f>INDEX('Monthly Run-off Change'!AT:AT,MATCH($B62,'Monthly Run-off Change'!$E:$E,0))</f>
        <v>2.0000000000000004E-2</v>
      </c>
      <c r="EB62" s="899">
        <f>INDEX('Monthly Run-off Change'!AU:AU,MATCH($B62,'Monthly Run-off Change'!$E:$E,0))</f>
        <v>2.0000000000000004E-2</v>
      </c>
      <c r="EC62" s="899">
        <f>INDEX('Monthly Run-off Change'!AV:AV,MATCH($B62,'Monthly Run-off Change'!$E:$E,0))</f>
        <v>9.999999999999995E-3</v>
      </c>
      <c r="ED62" s="899">
        <f>INDEX('Monthly Run-off Change'!AW:AW,MATCH($B62,'Monthly Run-off Change'!$E:$E,0))</f>
        <v>9.999999999999995E-3</v>
      </c>
      <c r="EE62" s="899">
        <f>INDEX('Monthly Run-off Change'!AX:AX,MATCH($B62,'Monthly Run-off Change'!$E:$E,0))</f>
        <v>3.3333333333333361E-3</v>
      </c>
      <c r="EF62" s="899">
        <f>INDEX('Monthly Run-off Change'!AY:AY,MATCH($B62,'Monthly Run-off Change'!$E:$E,0))</f>
        <v>3.3333333333333361E-3</v>
      </c>
      <c r="EG62" s="899">
        <f>INDEX('Monthly Run-off Change'!AZ:AZ,MATCH($B62,'Monthly Run-off Change'!$E:$E,0))</f>
        <v>3.3333333333333361E-3</v>
      </c>
      <c r="EH62" s="899">
        <f>INDEX('Monthly Run-off Change'!BA:BA,MATCH($B62,'Monthly Run-off Change'!$E:$E,0))</f>
        <v>3.3333333333333361E-3</v>
      </c>
      <c r="EI62" s="899">
        <f>INDEX('Monthly Run-off Change'!BB:BB,MATCH($B62,'Monthly Run-off Change'!$E:$E,0))</f>
        <v>3.3333333333333361E-3</v>
      </c>
      <c r="EJ62" s="899">
        <f>INDEX('Monthly Run-off Change'!BC:BC,MATCH($B62,'Monthly Run-off Change'!$E:$E,0))</f>
        <v>3.3333333333333361E-3</v>
      </c>
      <c r="EK62" s="899">
        <f>INDEX('Monthly Run-off Change'!BD:BD,MATCH($B62,'Monthly Run-off Change'!$E:$E,0))</f>
        <v>3.3333333333333361E-3</v>
      </c>
      <c r="EL62" s="899">
        <f>INDEX('Monthly Run-off Change'!BE:BE,MATCH($B62,'Monthly Run-off Change'!$E:$E,0))</f>
        <v>3.3333333333333361E-3</v>
      </c>
      <c r="EM62" s="899">
        <f>INDEX('Monthly Run-off Change'!BF:BF,MATCH($B62,'Monthly Run-off Change'!$E:$E,0))</f>
        <v>3.3333333333333361E-3</v>
      </c>
      <c r="FQ62" s="898"/>
      <c r="FS62" s="898"/>
      <c r="FT62" s="898"/>
      <c r="FU62" s="898"/>
      <c r="FV62" s="898"/>
      <c r="FW62" s="898"/>
      <c r="FX62" s="898"/>
      <c r="FY62" s="898"/>
      <c r="FZ62" s="898"/>
      <c r="GA62" s="898"/>
      <c r="GB62" s="898"/>
      <c r="GC62" s="898"/>
      <c r="GD62" s="898"/>
      <c r="GE62" s="898"/>
      <c r="GF62" s="898"/>
      <c r="GG62" s="898"/>
      <c r="GH62" s="898"/>
      <c r="GJ62" s="898"/>
      <c r="GK62" s="898"/>
      <c r="GL62" s="898"/>
      <c r="GM62" s="898"/>
      <c r="GN62" s="898"/>
      <c r="GO62" s="898"/>
      <c r="GP62" s="898"/>
      <c r="GQ62" s="898"/>
      <c r="GR62" s="898"/>
      <c r="GS62" s="898"/>
      <c r="GT62" s="898"/>
      <c r="GU62" s="898"/>
      <c r="GV62" s="898"/>
      <c r="GW62" s="898"/>
      <c r="GX62" s="898"/>
      <c r="GY62" s="898"/>
      <c r="HA62" s="898"/>
      <c r="HB62" s="898"/>
      <c r="HC62" s="898"/>
      <c r="HD62" s="898"/>
      <c r="HE62" s="898"/>
      <c r="HF62" s="898"/>
      <c r="HG62" s="898"/>
      <c r="HH62" s="898"/>
      <c r="HI62" s="898"/>
      <c r="HJ62" s="898"/>
      <c r="HK62" s="898"/>
      <c r="HL62" s="898"/>
      <c r="HM62" s="898"/>
      <c r="HN62" s="898"/>
      <c r="HO62" s="898"/>
      <c r="HP62" s="898"/>
    </row>
    <row r="63" spans="1:224">
      <c r="B63" s="816" t="s">
        <v>1171</v>
      </c>
      <c r="C63" s="816">
        <v>0</v>
      </c>
      <c r="D63" s="816">
        <f t="shared" si="4"/>
        <v>0</v>
      </c>
      <c r="E63" s="816">
        <v>0</v>
      </c>
      <c r="F63" s="816" t="str">
        <f>INDEX('Data Interface'!$C:$C,MATCH(B63,'Data Interface'!$B:$B,0))</f>
        <v>Demand,MM &amp; Savings - Corporates (Exclude Large Corporates)</v>
      </c>
      <c r="G63" s="894">
        <f ca="1">IF($C63=1,$AJ63,SUM($AJ63:$AL63)*INDEX('Schedule Allocation'!G:G,MATCH($D63,'Schedule Allocation'!$A:$A,0)))</f>
        <v>1.9200000000000002E-2</v>
      </c>
      <c r="H63" s="894">
        <f ca="1">IF($C63=1,$AK63,SUM($AJ63:$AL63)*INDEX('Schedule Allocation'!H:H,MATCH($D63,'Schedule Allocation'!$A:$A,0)))</f>
        <v>6.4000000000000003E-3</v>
      </c>
      <c r="I63" s="894">
        <f ca="1">IF($C63=1,$AK63,SUM($AJ63:$AL63)*INDEX('Schedule Allocation'!I:I,MATCH($D63,'Schedule Allocation'!$A:$A,0)))</f>
        <v>6.4000000000000003E-3</v>
      </c>
      <c r="J63" s="894">
        <f ca="1">IF($C63=1,$AK63,SUM($AJ63:$AL63)*INDEX('Schedule Allocation'!J:J,MATCH($D63,'Schedule Allocation'!$A:$A,0)))</f>
        <v>6.4000000000000003E-3</v>
      </c>
      <c r="K63" s="894">
        <f ca="1">IF($C63=1,$AK63,SUM($AJ63:$AL63)*INDEX('Schedule Allocation'!K:K,MATCH($D63,'Schedule Allocation'!$A:$A,0)))</f>
        <v>6.4000000000000003E-3</v>
      </c>
      <c r="L63" s="894">
        <f ca="1">IF($C63=1,$AK63,SUM($AJ63:$AL63)*INDEX('Schedule Allocation'!L:L,MATCH($D63,'Schedule Allocation'!$A:$A,0)))</f>
        <v>6.4000000000000003E-3</v>
      </c>
      <c r="M63" s="894">
        <f ca="1">IF($C63=1,$AK63,SUM($AJ63:$AL63)*INDEX('Schedule Allocation'!M:M,MATCH($D63,'Schedule Allocation'!$A:$A,0)))</f>
        <v>6.4000000000000003E-3</v>
      </c>
      <c r="N63" s="894">
        <f ca="1">IF($C63=1,$AL63,SUM($AJ63:$AL63)*INDEX('Schedule Allocation'!N:N,MATCH($D63,'Schedule Allocation'!$A:$A,0)))</f>
        <v>5.4857142857142865E-3</v>
      </c>
      <c r="O63" s="894">
        <f ca="1">IF($C63=1,$AL63,SUM($AJ63:$AL63)*INDEX('Schedule Allocation'!O:O,MATCH($D63,'Schedule Allocation'!$A:$A,0)))</f>
        <v>5.4857142857142865E-3</v>
      </c>
      <c r="P63" s="894">
        <f ca="1">IF($C63=1,$AL63,SUM($AJ63:$AL63)*INDEX('Schedule Allocation'!P:P,MATCH($D63,'Schedule Allocation'!$A:$A,0)))</f>
        <v>5.4857142857142865E-3</v>
      </c>
      <c r="Q63" s="894">
        <f ca="1">IF($C63=1,$AL63,SUM($AJ63:$AL63)*INDEX('Schedule Allocation'!Q:Q,MATCH($D63,'Schedule Allocation'!$A:$A,0)))</f>
        <v>5.4857142857142865E-3</v>
      </c>
      <c r="R63" s="894">
        <f ca="1">IF($C63=1,$AL63,SUM($AJ63:$AL63)*INDEX('Schedule Allocation'!R:R,MATCH($D63,'Schedule Allocation'!$A:$A,0)))</f>
        <v>5.4857142857142865E-3</v>
      </c>
      <c r="S63" s="894">
        <f ca="1">IF($C63=1,$AL63,SUM($AJ63:$AL63)*INDEX('Schedule Allocation'!S:S,MATCH($D63,'Schedule Allocation'!$A:$A,0)))</f>
        <v>5.4857142857142865E-3</v>
      </c>
      <c r="T63" s="894">
        <f ca="1">IF($C63=1,$AL63,SUM($AJ63:$AL63)*INDEX('Schedule Allocation'!T:T,MATCH($D63,'Schedule Allocation'!$A:$A,0)))</f>
        <v>5.4857142857142865E-3</v>
      </c>
      <c r="U63" s="894">
        <f ca="1">OFFSET(AT63,0,(MATCH('Model Report Formatized'!$E$1,$AN$1:$AN$6,0))*17-17)</f>
        <v>3.2000000000000001E-2</v>
      </c>
      <c r="V63" s="894">
        <f ca="1">OFFSET(AU63,0,(MATCH('Model Report Formatized'!$E$1,$AN$1:$AN$6,0))*17-17)</f>
        <v>3.2000000000000001E-2</v>
      </c>
      <c r="W63" s="894">
        <f ca="1">OFFSET(AV63,0,(MATCH('Model Report Formatized'!$E$1,$AN$1:$AN$6,0))*17-17)</f>
        <v>1.6E-2</v>
      </c>
      <c r="X63" s="894">
        <f ca="1">OFFSET(AW63,0,(MATCH('Model Report Formatized'!$E$1,$AN$1:$AN$6,0))*17-17)</f>
        <v>1.6E-2</v>
      </c>
      <c r="Y63" s="894">
        <f ca="1">OFFSET(AX63,0,(MATCH('Model Report Formatized'!$E$1,$AN$1:$AN$6,0))*17-17)</f>
        <v>5.3333333333333323E-3</v>
      </c>
      <c r="Z63" s="894">
        <f ca="1">OFFSET(AY63,0,(MATCH('Model Report Formatized'!$E$1,$AN$1:$AN$6,0))*17-17)</f>
        <v>5.3333333333333323E-3</v>
      </c>
      <c r="AA63" s="894">
        <f ca="1">OFFSET(AZ63,0,(MATCH('Model Report Formatized'!$E$1,$AN$1:$AN$6,0))*17-17)</f>
        <v>5.3333333333333323E-3</v>
      </c>
      <c r="AB63" s="894">
        <f ca="1">OFFSET(BA63,0,(MATCH('Model Report Formatized'!$E$1,$AN$1:$AN$6,0))*17-17)</f>
        <v>5.3333333333333323E-3</v>
      </c>
      <c r="AC63" s="894">
        <f ca="1">OFFSET(BB63,0,(MATCH('Model Report Formatized'!$E$1,$AN$1:$AN$6,0))*17-17)</f>
        <v>5.3333333333333323E-3</v>
      </c>
      <c r="AD63" s="894">
        <f ca="1">OFFSET(BC63,0,(MATCH('Model Report Formatized'!$E$1,$AN$1:$AN$6,0))*17-17)</f>
        <v>5.3333333333333323E-3</v>
      </c>
      <c r="AE63" s="894">
        <f ca="1">OFFSET(BD63,0,(MATCH('Model Report Formatized'!$E$1,$AN$1:$AN$6,0))*17-17)</f>
        <v>5.3333333333333323E-3</v>
      </c>
      <c r="AF63" s="894">
        <f ca="1">OFFSET(BE63,0,(MATCH('Model Report Formatized'!$E$1,$AN$1:$AN$6,0))*17-17)</f>
        <v>5.3333333333333323E-3</v>
      </c>
      <c r="AG63" s="894">
        <f ca="1">OFFSET(BF63,0,(MATCH('Model Report Formatized'!$E$1,$AN$1:$AN$6,0))*17-17)</f>
        <v>5.3333333333333323E-3</v>
      </c>
      <c r="AH63" s="891">
        <f t="shared" ca="1" si="5"/>
        <v>5.5511151231257827E-17</v>
      </c>
      <c r="AJ63" s="895">
        <f ca="1">OFFSET(AQ63,0,(MATCH('Model Report Formatized'!$E$1,$AN$1:$AN$6,0))*17-17)</f>
        <v>8.0000000000000002E-3</v>
      </c>
      <c r="AK63" s="895">
        <f ca="1">OFFSET(AR63,0,(MATCH('Model Report Formatized'!$E$1,$AN$1:$AN$6,0))*17-17)</f>
        <v>4.3999999999999997E-2</v>
      </c>
      <c r="AL63" s="895">
        <f ca="1">OFFSET(AS63,0,(MATCH('Model Report Formatized'!$E$1,$AN$1:$AN$6,0))*17-17)</f>
        <v>4.3999999999999997E-2</v>
      </c>
      <c r="AQ63" s="893">
        <v>0.08</v>
      </c>
      <c r="AR63" s="893">
        <v>0.08</v>
      </c>
      <c r="AS63" s="893">
        <v>0.08</v>
      </c>
      <c r="AT63" s="893">
        <v>0.08</v>
      </c>
      <c r="AU63" s="893">
        <v>0.08</v>
      </c>
      <c r="AV63" s="893">
        <v>5.4545454545454543E-2</v>
      </c>
      <c r="AW63" s="893">
        <v>5.4545454545454543E-2</v>
      </c>
      <c r="AX63" s="893">
        <v>5.4545454545454543E-2</v>
      </c>
      <c r="AY63" s="893">
        <v>5.4545454545454543E-2</v>
      </c>
      <c r="AZ63" s="893">
        <v>5.4545454545454543E-2</v>
      </c>
      <c r="BA63" s="893">
        <v>5.4545454545454543E-2</v>
      </c>
      <c r="BB63" s="893">
        <v>5.4545454545454543E-2</v>
      </c>
      <c r="BC63" s="893">
        <v>5.4545454545454543E-2</v>
      </c>
      <c r="BD63" s="893">
        <v>5.4545454545454543E-2</v>
      </c>
      <c r="BE63" s="893">
        <v>5.4545454545454543E-2</v>
      </c>
      <c r="BF63" s="893">
        <v>5.4545454545454543E-2</v>
      </c>
      <c r="BH63" s="816">
        <v>8.199999999999999E-2</v>
      </c>
      <c r="BI63" s="816">
        <v>8.199999999999999E-2</v>
      </c>
      <c r="BJ63" s="816">
        <v>8.199999999999999E-2</v>
      </c>
      <c r="BK63" s="816">
        <v>8.199999999999999E-2</v>
      </c>
      <c r="BL63" s="816">
        <v>8.199999999999999E-2</v>
      </c>
      <c r="BM63" s="816">
        <v>5.0000000000000017E-2</v>
      </c>
      <c r="BN63" s="816">
        <v>5.0000000000000017E-2</v>
      </c>
      <c r="BO63" s="816">
        <v>5.4444444444444441E-2</v>
      </c>
      <c r="BP63" s="816">
        <v>5.4444444444444441E-2</v>
      </c>
      <c r="BQ63" s="816">
        <v>5.4444444444444441E-2</v>
      </c>
      <c r="BR63" s="816">
        <v>5.4444444444444441E-2</v>
      </c>
      <c r="BS63" s="816">
        <v>5.4444444444444441E-2</v>
      </c>
      <c r="BT63" s="816">
        <v>5.4444444444444441E-2</v>
      </c>
      <c r="BU63" s="816">
        <v>5.4444444444444441E-2</v>
      </c>
      <c r="BV63" s="816">
        <v>5.4444444444444441E-2</v>
      </c>
      <c r="BW63" s="816">
        <v>5.4444444444444441E-2</v>
      </c>
      <c r="BY63" s="817">
        <v>0.02</v>
      </c>
      <c r="BZ63" s="817">
        <v>0.02</v>
      </c>
      <c r="CA63" s="817">
        <v>0.02</v>
      </c>
      <c r="CB63" s="817">
        <v>0.02</v>
      </c>
      <c r="CC63" s="817">
        <v>0.02</v>
      </c>
      <c r="CD63" s="817">
        <v>0</v>
      </c>
      <c r="CE63" s="817">
        <v>0</v>
      </c>
      <c r="CF63" s="817">
        <v>0</v>
      </c>
      <c r="CG63" s="817">
        <v>0</v>
      </c>
      <c r="CH63" s="817">
        <v>0</v>
      </c>
      <c r="CI63" s="817">
        <v>0</v>
      </c>
      <c r="CJ63" s="817">
        <v>0</v>
      </c>
      <c r="CK63" s="817">
        <v>0</v>
      </c>
      <c r="CL63" s="817">
        <v>0</v>
      </c>
      <c r="CM63" s="817">
        <v>0</v>
      </c>
      <c r="CN63" s="817">
        <v>0</v>
      </c>
      <c r="CO63" s="816" t="s">
        <v>1340</v>
      </c>
      <c r="CP63" s="818">
        <f>INDEX('Monthly Run-off Change'!I:I,MATCH($B63,'Monthly Run-off Change'!$E:$E,0))</f>
        <v>8.0000000000000002E-3</v>
      </c>
      <c r="CQ63" s="818">
        <f>INDEX('Monthly Run-off Change'!J:J,MATCH($B63,'Monthly Run-off Change'!$E:$E,0))</f>
        <v>4.3999999999999997E-2</v>
      </c>
      <c r="CR63" s="818">
        <f>INDEX('Monthly Run-off Change'!K:K,MATCH($B63,'Monthly Run-off Change'!$E:$E,0))</f>
        <v>4.3999999999999997E-2</v>
      </c>
      <c r="CS63" s="818">
        <f>INDEX('Monthly Run-off Change'!L:L,MATCH($B63,'Monthly Run-off Change'!$E:$E,0))</f>
        <v>3.2000000000000001E-2</v>
      </c>
      <c r="CT63" s="818">
        <f>INDEX('Monthly Run-off Change'!M:M,MATCH($B63,'Monthly Run-off Change'!$E:$E,0))</f>
        <v>3.2000000000000001E-2</v>
      </c>
      <c r="CU63" s="818">
        <f>INDEX('Monthly Run-off Change'!N:N,MATCH($B63,'Monthly Run-off Change'!$E:$E,0))</f>
        <v>1.6E-2</v>
      </c>
      <c r="CV63" s="818">
        <f>INDEX('Monthly Run-off Change'!O:O,MATCH($B63,'Monthly Run-off Change'!$E:$E,0))</f>
        <v>1.6E-2</v>
      </c>
      <c r="CW63" s="818">
        <f>INDEX('Monthly Run-off Change'!P:P,MATCH($B63,'Monthly Run-off Change'!$E:$E,0))</f>
        <v>5.3333333333333323E-3</v>
      </c>
      <c r="CX63" s="818">
        <f>INDEX('Monthly Run-off Change'!Q:Q,MATCH($B63,'Monthly Run-off Change'!$E:$E,0))</f>
        <v>5.3333333333333323E-3</v>
      </c>
      <c r="CY63" s="818">
        <f>INDEX('Monthly Run-off Change'!R:R,MATCH($B63,'Monthly Run-off Change'!$E:$E,0))</f>
        <v>5.3333333333333323E-3</v>
      </c>
      <c r="CZ63" s="818">
        <f>INDEX('Monthly Run-off Change'!S:S,MATCH($B63,'Monthly Run-off Change'!$E:$E,0))</f>
        <v>5.3333333333333323E-3</v>
      </c>
      <c r="DA63" s="818">
        <f>INDEX('Monthly Run-off Change'!T:T,MATCH($B63,'Monthly Run-off Change'!$E:$E,0))</f>
        <v>5.3333333333333323E-3</v>
      </c>
      <c r="DB63" s="818">
        <f>INDEX('Monthly Run-off Change'!U:U,MATCH($B63,'Monthly Run-off Change'!$E:$E,0))</f>
        <v>5.3333333333333323E-3</v>
      </c>
      <c r="DC63" s="818">
        <f>INDEX('Monthly Run-off Change'!V:V,MATCH($B63,'Monthly Run-off Change'!$E:$E,0))</f>
        <v>5.3333333333333323E-3</v>
      </c>
      <c r="DD63" s="818">
        <f>INDEX('Monthly Run-off Change'!W:W,MATCH($B63,'Monthly Run-off Change'!$E:$E,0))</f>
        <v>5.3333333333333323E-3</v>
      </c>
      <c r="DE63" s="818">
        <f>INDEX('Monthly Run-off Change'!X:X,MATCH($B63,'Monthly Run-off Change'!$E:$E,0))</f>
        <v>5.3333333333333323E-3</v>
      </c>
      <c r="DF63" s="899">
        <f>INDEX('Monthly Run-off Change'!Y:Y,MATCH($B63,'Monthly Run-off Change'!$E:$E,0))</f>
        <v>0</v>
      </c>
      <c r="DG63" s="899">
        <f>INDEX('Monthly Run-off Change'!Z:Z,MATCH($B63,'Monthly Run-off Change'!$E:$E,0))</f>
        <v>7.000000000000001E-3</v>
      </c>
      <c r="DH63" s="899">
        <f>INDEX('Monthly Run-off Change'!AA:AA,MATCH($B63,'Monthly Run-off Change'!$E:$E,0))</f>
        <v>3.85E-2</v>
      </c>
      <c r="DI63" s="899">
        <f>INDEX('Monthly Run-off Change'!AB:AB,MATCH($B63,'Monthly Run-off Change'!$E:$E,0))</f>
        <v>3.85E-2</v>
      </c>
      <c r="DJ63" s="899">
        <f>INDEX('Monthly Run-off Change'!AC:AC,MATCH($B63,'Monthly Run-off Change'!$E:$E,0))</f>
        <v>2.8000000000000004E-2</v>
      </c>
      <c r="DK63" s="899">
        <f>INDEX('Monthly Run-off Change'!AD:AD,MATCH($B63,'Monthly Run-off Change'!$E:$E,0))</f>
        <v>2.8000000000000004E-2</v>
      </c>
      <c r="DL63" s="899">
        <f>INDEX('Monthly Run-off Change'!AE:AE,MATCH($B63,'Monthly Run-off Change'!$E:$E,0))</f>
        <v>1.3999999999999999E-2</v>
      </c>
      <c r="DM63" s="899">
        <f>INDEX('Monthly Run-off Change'!AF:AF,MATCH($B63,'Monthly Run-off Change'!$E:$E,0))</f>
        <v>1.3999999999999999E-2</v>
      </c>
      <c r="DN63" s="899">
        <f>INDEX('Monthly Run-off Change'!AG:AG,MATCH($B63,'Monthly Run-off Change'!$E:$E,0))</f>
        <v>4.6666666666666679E-3</v>
      </c>
      <c r="DO63" s="899">
        <f>INDEX('Monthly Run-off Change'!AH:AH,MATCH($B63,'Monthly Run-off Change'!$E:$E,0))</f>
        <v>4.6666666666666679E-3</v>
      </c>
      <c r="DP63" s="899">
        <f>INDEX('Monthly Run-off Change'!AI:AI,MATCH($B63,'Monthly Run-off Change'!$E:$E,0))</f>
        <v>4.6666666666666679E-3</v>
      </c>
      <c r="DQ63" s="899">
        <f>INDEX('Monthly Run-off Change'!AJ:AJ,MATCH($B63,'Monthly Run-off Change'!$E:$E,0))</f>
        <v>4.6666666666666679E-3</v>
      </c>
      <c r="DR63" s="899">
        <f>INDEX('Monthly Run-off Change'!AK:AK,MATCH($B63,'Monthly Run-off Change'!$E:$E,0))</f>
        <v>4.6666666666666679E-3</v>
      </c>
      <c r="DS63" s="899">
        <f>INDEX('Monthly Run-off Change'!AL:AL,MATCH($B63,'Monthly Run-off Change'!$E:$E,0))</f>
        <v>4.6666666666666679E-3</v>
      </c>
      <c r="DT63" s="899">
        <f>INDEX('Monthly Run-off Change'!AM:AM,MATCH($B63,'Monthly Run-off Change'!$E:$E,0))</f>
        <v>4.6666666666666679E-3</v>
      </c>
      <c r="DU63" s="899">
        <f>INDEX('Monthly Run-off Change'!AN:AN,MATCH($B63,'Monthly Run-off Change'!$E:$E,0))</f>
        <v>4.6666666666666679E-3</v>
      </c>
      <c r="DV63" s="899">
        <f>INDEX('Monthly Run-off Change'!AO:AO,MATCH($B63,'Monthly Run-off Change'!$E:$E,0))</f>
        <v>4.6666666666666679E-3</v>
      </c>
      <c r="DW63" s="899">
        <f>INDEX('Monthly Run-off Change'!AP:AP,MATCH($B63,'Monthly Run-off Change'!$E:$E,0))</f>
        <v>0</v>
      </c>
      <c r="DX63" s="899">
        <f>INDEX('Monthly Run-off Change'!AQ:AQ,MATCH($B63,'Monthly Run-off Change'!$E:$E,0))</f>
        <v>5.000000000000001E-3</v>
      </c>
      <c r="DY63" s="899">
        <f>INDEX('Monthly Run-off Change'!AR:AR,MATCH($B63,'Monthly Run-off Change'!$E:$E,0))</f>
        <v>2.7499999999999997E-2</v>
      </c>
      <c r="DZ63" s="899">
        <f>INDEX('Monthly Run-off Change'!AS:AS,MATCH($B63,'Monthly Run-off Change'!$E:$E,0))</f>
        <v>2.7499999999999997E-2</v>
      </c>
      <c r="EA63" s="899">
        <f>INDEX('Monthly Run-off Change'!AT:AT,MATCH($B63,'Monthly Run-off Change'!$E:$E,0))</f>
        <v>2.0000000000000004E-2</v>
      </c>
      <c r="EB63" s="899">
        <f>INDEX('Monthly Run-off Change'!AU:AU,MATCH($B63,'Monthly Run-off Change'!$E:$E,0))</f>
        <v>2.0000000000000004E-2</v>
      </c>
      <c r="EC63" s="899">
        <f>INDEX('Monthly Run-off Change'!AV:AV,MATCH($B63,'Monthly Run-off Change'!$E:$E,0))</f>
        <v>9.999999999999995E-3</v>
      </c>
      <c r="ED63" s="899">
        <f>INDEX('Monthly Run-off Change'!AW:AW,MATCH($B63,'Monthly Run-off Change'!$E:$E,0))</f>
        <v>9.999999999999995E-3</v>
      </c>
      <c r="EE63" s="899">
        <f>INDEX('Monthly Run-off Change'!AX:AX,MATCH($B63,'Monthly Run-off Change'!$E:$E,0))</f>
        <v>3.3333333333333361E-3</v>
      </c>
      <c r="EF63" s="899">
        <f>INDEX('Monthly Run-off Change'!AY:AY,MATCH($B63,'Monthly Run-off Change'!$E:$E,0))</f>
        <v>3.3333333333333361E-3</v>
      </c>
      <c r="EG63" s="899">
        <f>INDEX('Monthly Run-off Change'!AZ:AZ,MATCH($B63,'Monthly Run-off Change'!$E:$E,0))</f>
        <v>3.3333333333333361E-3</v>
      </c>
      <c r="EH63" s="899">
        <f>INDEX('Monthly Run-off Change'!BA:BA,MATCH($B63,'Monthly Run-off Change'!$E:$E,0))</f>
        <v>3.3333333333333361E-3</v>
      </c>
      <c r="EI63" s="899">
        <f>INDEX('Monthly Run-off Change'!BB:BB,MATCH($B63,'Monthly Run-off Change'!$E:$E,0))</f>
        <v>3.3333333333333361E-3</v>
      </c>
      <c r="EJ63" s="899">
        <f>INDEX('Monthly Run-off Change'!BC:BC,MATCH($B63,'Monthly Run-off Change'!$E:$E,0))</f>
        <v>3.3333333333333361E-3</v>
      </c>
      <c r="EK63" s="899">
        <f>INDEX('Monthly Run-off Change'!BD:BD,MATCH($B63,'Monthly Run-off Change'!$E:$E,0))</f>
        <v>3.3333333333333361E-3</v>
      </c>
      <c r="EL63" s="899">
        <f>INDEX('Monthly Run-off Change'!BE:BE,MATCH($B63,'Monthly Run-off Change'!$E:$E,0))</f>
        <v>3.3333333333333361E-3</v>
      </c>
      <c r="EM63" s="899">
        <f>INDEX('Monthly Run-off Change'!BF:BF,MATCH($B63,'Monthly Run-off Change'!$E:$E,0))</f>
        <v>3.3333333333333361E-3</v>
      </c>
      <c r="FQ63" s="898"/>
      <c r="FS63" s="898"/>
      <c r="FT63" s="898"/>
      <c r="FU63" s="898"/>
      <c r="FV63" s="898"/>
      <c r="FW63" s="898"/>
      <c r="FX63" s="898"/>
      <c r="FY63" s="898"/>
      <c r="FZ63" s="898"/>
      <c r="GA63" s="898"/>
      <c r="GB63" s="898"/>
      <c r="GC63" s="898"/>
      <c r="GD63" s="898"/>
      <c r="GE63" s="898"/>
      <c r="GF63" s="898"/>
      <c r="GG63" s="898"/>
      <c r="GH63" s="898"/>
      <c r="GJ63" s="898"/>
      <c r="GK63" s="898"/>
      <c r="GL63" s="898"/>
      <c r="GM63" s="898"/>
      <c r="GN63" s="898"/>
      <c r="GO63" s="898"/>
      <c r="GP63" s="898"/>
      <c r="GQ63" s="898"/>
      <c r="GR63" s="898"/>
      <c r="GS63" s="898"/>
      <c r="GT63" s="898"/>
      <c r="GU63" s="898"/>
      <c r="GV63" s="898"/>
      <c r="GW63" s="898"/>
      <c r="GX63" s="898"/>
      <c r="GY63" s="898"/>
      <c r="HA63" s="898"/>
      <c r="HB63" s="898"/>
      <c r="HC63" s="898"/>
      <c r="HD63" s="898"/>
      <c r="HE63" s="898"/>
      <c r="HF63" s="898"/>
      <c r="HG63" s="898"/>
      <c r="HH63" s="898"/>
      <c r="HI63" s="898"/>
      <c r="HJ63" s="898"/>
      <c r="HK63" s="898"/>
      <c r="HL63" s="898"/>
      <c r="HM63" s="898"/>
      <c r="HN63" s="898"/>
      <c r="HO63" s="898"/>
      <c r="HP63" s="898"/>
    </row>
    <row r="64" spans="1:224">
      <c r="B64" s="816" t="s">
        <v>1449</v>
      </c>
      <c r="C64" s="816">
        <v>0</v>
      </c>
      <c r="D64" s="816">
        <f t="shared" ref="D64" si="10">IF(OR(AND(ISERROR(SEARCH("Affiliates",F64,1)),ISERROR(SEARCH("Interbranch",F64,1)),ISERROR(SEARCH("Banks",F64,1)),ISERROR(SEARCH("FI",F64,1))),NOT(ISERROR(SEARCH("Non FI",F64,1)))),0,1)</f>
        <v>0</v>
      </c>
      <c r="E64" s="816">
        <v>0</v>
      </c>
      <c r="F64" s="816" t="str">
        <f>INDEX('Data Interface'!$C:$C,MATCH(B64,'Data Interface'!$B:$B,0))</f>
        <v>Demand,MM &amp; Savings - Large Corporates - Verizon</v>
      </c>
      <c r="G64" s="894">
        <f ca="1">IF($C64=1,$AJ64,SUM($AJ64:$AL64)*INDEX('Schedule Allocation'!G:G,MATCH($D64,'Schedule Allocation'!$A:$A,0)))</f>
        <v>1.9200000000000002E-2</v>
      </c>
      <c r="H64" s="894">
        <f ca="1">IF($C64=1,$AK64,SUM($AJ64:$AL64)*INDEX('Schedule Allocation'!H:H,MATCH($D64,'Schedule Allocation'!$A:$A,0)))</f>
        <v>6.4000000000000003E-3</v>
      </c>
      <c r="I64" s="894">
        <f ca="1">IF($C64=1,$AK64,SUM($AJ64:$AL64)*INDEX('Schedule Allocation'!I:I,MATCH($D64,'Schedule Allocation'!$A:$A,0)))</f>
        <v>6.4000000000000003E-3</v>
      </c>
      <c r="J64" s="894">
        <f ca="1">IF($C64=1,$AK64,SUM($AJ64:$AL64)*INDEX('Schedule Allocation'!J:J,MATCH($D64,'Schedule Allocation'!$A:$A,0)))</f>
        <v>6.4000000000000003E-3</v>
      </c>
      <c r="K64" s="894">
        <f ca="1">IF($C64=1,$AK64,SUM($AJ64:$AL64)*INDEX('Schedule Allocation'!K:K,MATCH($D64,'Schedule Allocation'!$A:$A,0)))</f>
        <v>6.4000000000000003E-3</v>
      </c>
      <c r="L64" s="894">
        <f ca="1">IF($C64=1,$AK64,SUM($AJ64:$AL64)*INDEX('Schedule Allocation'!L:L,MATCH($D64,'Schedule Allocation'!$A:$A,0)))</f>
        <v>6.4000000000000003E-3</v>
      </c>
      <c r="M64" s="894">
        <f ca="1">IF($C64=1,$AK64,SUM($AJ64:$AL64)*INDEX('Schedule Allocation'!M:M,MATCH($D64,'Schedule Allocation'!$A:$A,0)))</f>
        <v>6.4000000000000003E-3</v>
      </c>
      <c r="N64" s="894">
        <f ca="1">IF($C64=1,$AL64,SUM($AJ64:$AL64)*INDEX('Schedule Allocation'!N:N,MATCH($D64,'Schedule Allocation'!$A:$A,0)))</f>
        <v>5.4857142857142865E-3</v>
      </c>
      <c r="O64" s="894">
        <f ca="1">IF($C64=1,$AL64,SUM($AJ64:$AL64)*INDEX('Schedule Allocation'!O:O,MATCH($D64,'Schedule Allocation'!$A:$A,0)))</f>
        <v>5.4857142857142865E-3</v>
      </c>
      <c r="P64" s="894">
        <f ca="1">IF($C64=1,$AL64,SUM($AJ64:$AL64)*INDEX('Schedule Allocation'!P:P,MATCH($D64,'Schedule Allocation'!$A:$A,0)))</f>
        <v>5.4857142857142865E-3</v>
      </c>
      <c r="Q64" s="894">
        <f ca="1">IF($C64=1,$AL64,SUM($AJ64:$AL64)*INDEX('Schedule Allocation'!Q:Q,MATCH($D64,'Schedule Allocation'!$A:$A,0)))</f>
        <v>5.4857142857142865E-3</v>
      </c>
      <c r="R64" s="894">
        <f ca="1">IF($C64=1,$AL64,SUM($AJ64:$AL64)*INDEX('Schedule Allocation'!R:R,MATCH($D64,'Schedule Allocation'!$A:$A,0)))</f>
        <v>5.4857142857142865E-3</v>
      </c>
      <c r="S64" s="894">
        <f ca="1">IF($C64=1,$AL64,SUM($AJ64:$AL64)*INDEX('Schedule Allocation'!S:S,MATCH($D64,'Schedule Allocation'!$A:$A,0)))</f>
        <v>5.4857142857142865E-3</v>
      </c>
      <c r="T64" s="894">
        <f ca="1">IF($C64=1,$AL64,SUM($AJ64:$AL64)*INDEX('Schedule Allocation'!T:T,MATCH($D64,'Schedule Allocation'!$A:$A,0)))</f>
        <v>5.4857142857142865E-3</v>
      </c>
      <c r="U64" s="894">
        <f ca="1">OFFSET(AT64,0,(MATCH('Model Report Formatized'!$E$1,$AN$1:$AN$6,0))*17-17)</f>
        <v>3.2000000000000001E-2</v>
      </c>
      <c r="V64" s="894">
        <f ca="1">OFFSET(AU64,0,(MATCH('Model Report Formatized'!$E$1,$AN$1:$AN$6,0))*17-17)</f>
        <v>3.2000000000000001E-2</v>
      </c>
      <c r="W64" s="894">
        <f ca="1">OFFSET(AV64,0,(MATCH('Model Report Formatized'!$E$1,$AN$1:$AN$6,0))*17-17)</f>
        <v>1.6E-2</v>
      </c>
      <c r="X64" s="894">
        <f ca="1">OFFSET(AW64,0,(MATCH('Model Report Formatized'!$E$1,$AN$1:$AN$6,0))*17-17)</f>
        <v>1.6E-2</v>
      </c>
      <c r="Y64" s="894">
        <f ca="1">OFFSET(AX64,0,(MATCH('Model Report Formatized'!$E$1,$AN$1:$AN$6,0))*17-17)</f>
        <v>5.3333333333333323E-3</v>
      </c>
      <c r="Z64" s="894">
        <f ca="1">OFFSET(AY64,0,(MATCH('Model Report Formatized'!$E$1,$AN$1:$AN$6,0))*17-17)</f>
        <v>5.3333333333333323E-3</v>
      </c>
      <c r="AA64" s="894">
        <f ca="1">OFFSET(AZ64,0,(MATCH('Model Report Formatized'!$E$1,$AN$1:$AN$6,0))*17-17)</f>
        <v>5.3333333333333323E-3</v>
      </c>
      <c r="AB64" s="894">
        <f ca="1">OFFSET(BA64,0,(MATCH('Model Report Formatized'!$E$1,$AN$1:$AN$6,0))*17-17)</f>
        <v>5.3333333333333323E-3</v>
      </c>
      <c r="AC64" s="894">
        <f ca="1">OFFSET(BB64,0,(MATCH('Model Report Formatized'!$E$1,$AN$1:$AN$6,0))*17-17)</f>
        <v>5.3333333333333323E-3</v>
      </c>
      <c r="AD64" s="894">
        <f ca="1">OFFSET(BC64,0,(MATCH('Model Report Formatized'!$E$1,$AN$1:$AN$6,0))*17-17)</f>
        <v>5.3333333333333323E-3</v>
      </c>
      <c r="AE64" s="894">
        <f ca="1">OFFSET(BD64,0,(MATCH('Model Report Formatized'!$E$1,$AN$1:$AN$6,0))*17-17)</f>
        <v>5.3333333333333323E-3</v>
      </c>
      <c r="AF64" s="894">
        <f ca="1">OFFSET(BE64,0,(MATCH('Model Report Formatized'!$E$1,$AN$1:$AN$6,0))*17-17)</f>
        <v>5.3333333333333323E-3</v>
      </c>
      <c r="AG64" s="894">
        <f ca="1">OFFSET(BF64,0,(MATCH('Model Report Formatized'!$E$1,$AN$1:$AN$6,0))*17-17)</f>
        <v>5.3333333333333323E-3</v>
      </c>
      <c r="AH64" s="891">
        <f t="shared" ref="AH64" ca="1" si="11">IF(C64=1,AG64,SUM(G64:AG64)-SUM(CP64:DE64))</f>
        <v>5.5511151231257827E-17</v>
      </c>
      <c r="AJ64" s="895">
        <f ca="1">OFFSET(AQ64,0,(MATCH('Model Report Formatized'!$E$1,$AN$1:$AN$6,0))*17-17)</f>
        <v>8.0000000000000002E-3</v>
      </c>
      <c r="AK64" s="895">
        <f ca="1">OFFSET(AR64,0,(MATCH('Model Report Formatized'!$E$1,$AN$1:$AN$6,0))*17-17)</f>
        <v>4.3999999999999997E-2</v>
      </c>
      <c r="AL64" s="895">
        <f ca="1">OFFSET(AS64,0,(MATCH('Model Report Formatized'!$E$1,$AN$1:$AN$6,0))*17-17)</f>
        <v>4.3999999999999997E-2</v>
      </c>
      <c r="AQ64" s="893">
        <v>0.08</v>
      </c>
      <c r="AR64" s="893">
        <v>0.08</v>
      </c>
      <c r="AS64" s="893">
        <v>0.08</v>
      </c>
      <c r="AT64" s="893">
        <v>0.08</v>
      </c>
      <c r="AU64" s="893">
        <v>0.08</v>
      </c>
      <c r="AV64" s="893">
        <v>5.4545454545454543E-2</v>
      </c>
      <c r="AW64" s="893">
        <v>5.4545454545454543E-2</v>
      </c>
      <c r="AX64" s="893">
        <v>5.4545454545454543E-2</v>
      </c>
      <c r="AY64" s="893">
        <v>5.4545454545454543E-2</v>
      </c>
      <c r="AZ64" s="893">
        <v>5.4545454545454543E-2</v>
      </c>
      <c r="BA64" s="893">
        <v>5.4545454545454543E-2</v>
      </c>
      <c r="BB64" s="893">
        <v>5.4545454545454543E-2</v>
      </c>
      <c r="BC64" s="893">
        <v>5.4545454545454543E-2</v>
      </c>
      <c r="BD64" s="893">
        <v>5.4545454545454543E-2</v>
      </c>
      <c r="BE64" s="893">
        <v>5.4545454545454543E-2</v>
      </c>
      <c r="BF64" s="893">
        <v>5.4545454545454543E-2</v>
      </c>
      <c r="BH64" s="816">
        <v>8.199999999999999E-2</v>
      </c>
      <c r="BI64" s="816">
        <v>8.199999999999999E-2</v>
      </c>
      <c r="BJ64" s="816">
        <v>8.199999999999999E-2</v>
      </c>
      <c r="BK64" s="816">
        <v>8.199999999999999E-2</v>
      </c>
      <c r="BL64" s="816">
        <v>8.199999999999999E-2</v>
      </c>
      <c r="BM64" s="816">
        <v>5.0000000000000017E-2</v>
      </c>
      <c r="BN64" s="816">
        <v>5.0000000000000017E-2</v>
      </c>
      <c r="BO64" s="816">
        <v>5.4444444444444441E-2</v>
      </c>
      <c r="BP64" s="816">
        <v>5.4444444444444441E-2</v>
      </c>
      <c r="BQ64" s="816">
        <v>5.4444444444444441E-2</v>
      </c>
      <c r="BR64" s="816">
        <v>5.4444444444444441E-2</v>
      </c>
      <c r="BS64" s="816">
        <v>5.4444444444444441E-2</v>
      </c>
      <c r="BT64" s="816">
        <v>5.4444444444444441E-2</v>
      </c>
      <c r="BU64" s="816">
        <v>5.4444444444444441E-2</v>
      </c>
      <c r="BV64" s="816">
        <v>5.4444444444444441E-2</v>
      </c>
      <c r="BW64" s="816">
        <v>5.4444444444444441E-2</v>
      </c>
      <c r="BY64" s="817">
        <v>0.02</v>
      </c>
      <c r="BZ64" s="817">
        <v>0.02</v>
      </c>
      <c r="CA64" s="817">
        <v>0.02</v>
      </c>
      <c r="CB64" s="817">
        <v>0.02</v>
      </c>
      <c r="CC64" s="817">
        <v>0.02</v>
      </c>
      <c r="CD64" s="817">
        <v>0</v>
      </c>
      <c r="CE64" s="817">
        <v>0</v>
      </c>
      <c r="CF64" s="817">
        <v>0</v>
      </c>
      <c r="CG64" s="817">
        <v>0</v>
      </c>
      <c r="CH64" s="817">
        <v>0</v>
      </c>
      <c r="CI64" s="817">
        <v>0</v>
      </c>
      <c r="CJ64" s="817">
        <v>0</v>
      </c>
      <c r="CK64" s="817">
        <v>0</v>
      </c>
      <c r="CL64" s="817">
        <v>0</v>
      </c>
      <c r="CM64" s="817">
        <v>0</v>
      </c>
      <c r="CN64" s="817">
        <v>0</v>
      </c>
      <c r="CO64" s="816" t="s">
        <v>1340</v>
      </c>
      <c r="CP64" s="818">
        <f>INDEX('Monthly Run-off Change'!I:I,MATCH($B64,'Monthly Run-off Change'!$E:$E,0))</f>
        <v>8.0000000000000002E-3</v>
      </c>
      <c r="CQ64" s="818">
        <f>INDEX('Monthly Run-off Change'!J:J,MATCH($B64,'Monthly Run-off Change'!$E:$E,0))</f>
        <v>4.3999999999999997E-2</v>
      </c>
      <c r="CR64" s="818">
        <f>INDEX('Monthly Run-off Change'!K:K,MATCH($B64,'Monthly Run-off Change'!$E:$E,0))</f>
        <v>4.3999999999999997E-2</v>
      </c>
      <c r="CS64" s="818">
        <f>INDEX('Monthly Run-off Change'!L:L,MATCH($B64,'Monthly Run-off Change'!$E:$E,0))</f>
        <v>3.2000000000000001E-2</v>
      </c>
      <c r="CT64" s="818">
        <f>INDEX('Monthly Run-off Change'!M:M,MATCH($B64,'Monthly Run-off Change'!$E:$E,0))</f>
        <v>3.2000000000000001E-2</v>
      </c>
      <c r="CU64" s="818">
        <f>INDEX('Monthly Run-off Change'!N:N,MATCH($B64,'Monthly Run-off Change'!$E:$E,0))</f>
        <v>1.6E-2</v>
      </c>
      <c r="CV64" s="818">
        <f>INDEX('Monthly Run-off Change'!O:O,MATCH($B64,'Monthly Run-off Change'!$E:$E,0))</f>
        <v>1.6E-2</v>
      </c>
      <c r="CW64" s="818">
        <f>INDEX('Monthly Run-off Change'!P:P,MATCH($B64,'Monthly Run-off Change'!$E:$E,0))</f>
        <v>5.3333333333333323E-3</v>
      </c>
      <c r="CX64" s="818">
        <f>INDEX('Monthly Run-off Change'!Q:Q,MATCH($B64,'Monthly Run-off Change'!$E:$E,0))</f>
        <v>5.3333333333333323E-3</v>
      </c>
      <c r="CY64" s="818">
        <f>INDEX('Monthly Run-off Change'!R:R,MATCH($B64,'Monthly Run-off Change'!$E:$E,0))</f>
        <v>5.3333333333333323E-3</v>
      </c>
      <c r="CZ64" s="818">
        <f>INDEX('Monthly Run-off Change'!S:S,MATCH($B64,'Monthly Run-off Change'!$E:$E,0))</f>
        <v>5.3333333333333323E-3</v>
      </c>
      <c r="DA64" s="818">
        <f>INDEX('Monthly Run-off Change'!T:T,MATCH($B64,'Monthly Run-off Change'!$E:$E,0))</f>
        <v>5.3333333333333323E-3</v>
      </c>
      <c r="DB64" s="818">
        <f>INDEX('Monthly Run-off Change'!U:U,MATCH($B64,'Monthly Run-off Change'!$E:$E,0))</f>
        <v>5.3333333333333323E-3</v>
      </c>
      <c r="DC64" s="818">
        <f>INDEX('Monthly Run-off Change'!V:V,MATCH($B64,'Monthly Run-off Change'!$E:$E,0))</f>
        <v>5.3333333333333323E-3</v>
      </c>
      <c r="DD64" s="818">
        <f>INDEX('Monthly Run-off Change'!W:W,MATCH($B64,'Monthly Run-off Change'!$E:$E,0))</f>
        <v>5.3333333333333323E-3</v>
      </c>
      <c r="DE64" s="818">
        <f>INDEX('Monthly Run-off Change'!X:X,MATCH($B64,'Monthly Run-off Change'!$E:$E,0))</f>
        <v>5.3333333333333323E-3</v>
      </c>
      <c r="DF64" s="899">
        <f>INDEX('Monthly Run-off Change'!Y:Y,MATCH($B64,'Monthly Run-off Change'!$E:$E,0))</f>
        <v>0</v>
      </c>
      <c r="DG64" s="899">
        <f>INDEX('Monthly Run-off Change'!Z:Z,MATCH($B64,'Monthly Run-off Change'!$E:$E,0))</f>
        <v>7.000000000000001E-3</v>
      </c>
      <c r="DH64" s="899">
        <f>INDEX('Monthly Run-off Change'!AA:AA,MATCH($B64,'Monthly Run-off Change'!$E:$E,0))</f>
        <v>3.85E-2</v>
      </c>
      <c r="DI64" s="899">
        <f>INDEX('Monthly Run-off Change'!AB:AB,MATCH($B64,'Monthly Run-off Change'!$E:$E,0))</f>
        <v>3.85E-2</v>
      </c>
      <c r="DJ64" s="899">
        <f>INDEX('Monthly Run-off Change'!AC:AC,MATCH($B64,'Monthly Run-off Change'!$E:$E,0))</f>
        <v>2.8000000000000004E-2</v>
      </c>
      <c r="DK64" s="899">
        <f>INDEX('Monthly Run-off Change'!AD:AD,MATCH($B64,'Monthly Run-off Change'!$E:$E,0))</f>
        <v>2.8000000000000004E-2</v>
      </c>
      <c r="DL64" s="899">
        <f>INDEX('Monthly Run-off Change'!AE:AE,MATCH($B64,'Monthly Run-off Change'!$E:$E,0))</f>
        <v>1.3999999999999999E-2</v>
      </c>
      <c r="DM64" s="899">
        <f>INDEX('Monthly Run-off Change'!AF:AF,MATCH($B64,'Monthly Run-off Change'!$E:$E,0))</f>
        <v>1.3999999999999999E-2</v>
      </c>
      <c r="DN64" s="899">
        <f>INDEX('Monthly Run-off Change'!AG:AG,MATCH($B64,'Monthly Run-off Change'!$E:$E,0))</f>
        <v>4.6666666666666679E-3</v>
      </c>
      <c r="DO64" s="899">
        <f>INDEX('Monthly Run-off Change'!AH:AH,MATCH($B64,'Monthly Run-off Change'!$E:$E,0))</f>
        <v>4.6666666666666679E-3</v>
      </c>
      <c r="DP64" s="899">
        <f>INDEX('Monthly Run-off Change'!AI:AI,MATCH($B64,'Monthly Run-off Change'!$E:$E,0))</f>
        <v>4.6666666666666679E-3</v>
      </c>
      <c r="DQ64" s="899">
        <f>INDEX('Monthly Run-off Change'!AJ:AJ,MATCH($B64,'Monthly Run-off Change'!$E:$E,0))</f>
        <v>4.6666666666666679E-3</v>
      </c>
      <c r="DR64" s="899">
        <f>INDEX('Monthly Run-off Change'!AK:AK,MATCH($B64,'Monthly Run-off Change'!$E:$E,0))</f>
        <v>4.6666666666666679E-3</v>
      </c>
      <c r="DS64" s="899">
        <f>INDEX('Monthly Run-off Change'!AL:AL,MATCH($B64,'Monthly Run-off Change'!$E:$E,0))</f>
        <v>4.6666666666666679E-3</v>
      </c>
      <c r="DT64" s="899">
        <f>INDEX('Monthly Run-off Change'!AM:AM,MATCH($B64,'Monthly Run-off Change'!$E:$E,0))</f>
        <v>4.6666666666666679E-3</v>
      </c>
      <c r="DU64" s="899">
        <f>INDEX('Monthly Run-off Change'!AN:AN,MATCH($B64,'Monthly Run-off Change'!$E:$E,0))</f>
        <v>4.6666666666666679E-3</v>
      </c>
      <c r="DV64" s="899">
        <f>INDEX('Monthly Run-off Change'!AO:AO,MATCH($B64,'Monthly Run-off Change'!$E:$E,0))</f>
        <v>4.6666666666666679E-3</v>
      </c>
      <c r="DW64" s="899">
        <f>INDEX('Monthly Run-off Change'!AP:AP,MATCH($B64,'Monthly Run-off Change'!$E:$E,0))</f>
        <v>0</v>
      </c>
      <c r="DX64" s="899">
        <f>INDEX('Monthly Run-off Change'!AQ:AQ,MATCH($B64,'Monthly Run-off Change'!$E:$E,0))</f>
        <v>5.000000000000001E-3</v>
      </c>
      <c r="DY64" s="899">
        <f>INDEX('Monthly Run-off Change'!AR:AR,MATCH($B64,'Monthly Run-off Change'!$E:$E,0))</f>
        <v>2.7499999999999997E-2</v>
      </c>
      <c r="DZ64" s="899">
        <f>INDEX('Monthly Run-off Change'!AS:AS,MATCH($B64,'Monthly Run-off Change'!$E:$E,0))</f>
        <v>2.7499999999999997E-2</v>
      </c>
      <c r="EA64" s="899">
        <f>INDEX('Monthly Run-off Change'!AT:AT,MATCH($B64,'Monthly Run-off Change'!$E:$E,0))</f>
        <v>2.0000000000000004E-2</v>
      </c>
      <c r="EB64" s="899">
        <f>INDEX('Monthly Run-off Change'!AU:AU,MATCH($B64,'Monthly Run-off Change'!$E:$E,0))</f>
        <v>2.0000000000000004E-2</v>
      </c>
      <c r="EC64" s="899">
        <f>INDEX('Monthly Run-off Change'!AV:AV,MATCH($B64,'Monthly Run-off Change'!$E:$E,0))</f>
        <v>9.999999999999995E-3</v>
      </c>
      <c r="ED64" s="899">
        <f>INDEX('Monthly Run-off Change'!AW:AW,MATCH($B64,'Monthly Run-off Change'!$E:$E,0))</f>
        <v>9.999999999999995E-3</v>
      </c>
      <c r="EE64" s="899">
        <f>INDEX('Monthly Run-off Change'!AX:AX,MATCH($B64,'Monthly Run-off Change'!$E:$E,0))</f>
        <v>3.3333333333333361E-3</v>
      </c>
      <c r="EF64" s="899">
        <f>INDEX('Monthly Run-off Change'!AY:AY,MATCH($B64,'Monthly Run-off Change'!$E:$E,0))</f>
        <v>3.3333333333333361E-3</v>
      </c>
      <c r="EG64" s="899">
        <f>INDEX('Monthly Run-off Change'!AZ:AZ,MATCH($B64,'Monthly Run-off Change'!$E:$E,0))</f>
        <v>3.3333333333333361E-3</v>
      </c>
      <c r="EH64" s="899">
        <f>INDEX('Monthly Run-off Change'!BA:BA,MATCH($B64,'Monthly Run-off Change'!$E:$E,0))</f>
        <v>3.3333333333333361E-3</v>
      </c>
      <c r="EI64" s="899">
        <f>INDEX('Monthly Run-off Change'!BB:BB,MATCH($B64,'Monthly Run-off Change'!$E:$E,0))</f>
        <v>3.3333333333333361E-3</v>
      </c>
      <c r="EJ64" s="899">
        <f>INDEX('Monthly Run-off Change'!BC:BC,MATCH($B64,'Monthly Run-off Change'!$E:$E,0))</f>
        <v>3.3333333333333361E-3</v>
      </c>
      <c r="EK64" s="899">
        <f>INDEX('Monthly Run-off Change'!BD:BD,MATCH($B64,'Monthly Run-off Change'!$E:$E,0))</f>
        <v>3.3333333333333361E-3</v>
      </c>
      <c r="EL64" s="899">
        <f>INDEX('Monthly Run-off Change'!BE:BE,MATCH($B64,'Monthly Run-off Change'!$E:$E,0))</f>
        <v>3.3333333333333361E-3</v>
      </c>
      <c r="EM64" s="899">
        <f>INDEX('Monthly Run-off Change'!BF:BF,MATCH($B64,'Monthly Run-off Change'!$E:$E,0))</f>
        <v>3.3333333333333361E-3</v>
      </c>
      <c r="FQ64" s="898"/>
      <c r="FS64" s="898"/>
      <c r="FT64" s="898"/>
      <c r="FU64" s="898"/>
      <c r="FV64" s="898"/>
      <c r="FW64" s="898"/>
      <c r="FX64" s="898"/>
      <c r="FY64" s="898"/>
      <c r="FZ64" s="898"/>
      <c r="GA64" s="898"/>
      <c r="GB64" s="898"/>
      <c r="GC64" s="898"/>
      <c r="GD64" s="898"/>
      <c r="GE64" s="898"/>
      <c r="GF64" s="898"/>
      <c r="GG64" s="898"/>
      <c r="GH64" s="898"/>
      <c r="GJ64" s="898"/>
      <c r="GK64" s="898"/>
      <c r="GL64" s="898"/>
      <c r="GM64" s="898"/>
      <c r="GN64" s="898"/>
      <c r="GO64" s="898"/>
      <c r="GP64" s="898"/>
      <c r="GQ64" s="898"/>
      <c r="GR64" s="898"/>
      <c r="GS64" s="898"/>
      <c r="GT64" s="898"/>
      <c r="GU64" s="898"/>
      <c r="GV64" s="898"/>
      <c r="GW64" s="898"/>
      <c r="GX64" s="898"/>
      <c r="GY64" s="898"/>
      <c r="HA64" s="898"/>
      <c r="HB64" s="898"/>
      <c r="HC64" s="898"/>
      <c r="HD64" s="898"/>
      <c r="HE64" s="898"/>
      <c r="HF64" s="898"/>
      <c r="HG64" s="898"/>
      <c r="HH64" s="898"/>
      <c r="HI64" s="898"/>
      <c r="HJ64" s="898"/>
      <c r="HK64" s="898"/>
      <c r="HL64" s="898"/>
      <c r="HM64" s="898"/>
      <c r="HN64" s="898"/>
      <c r="HO64" s="898"/>
      <c r="HP64" s="898"/>
    </row>
    <row r="65" spans="1:224">
      <c r="B65" s="816" t="s">
        <v>2801</v>
      </c>
      <c r="C65" s="816">
        <v>0</v>
      </c>
      <c r="D65" s="816">
        <f t="shared" si="4"/>
        <v>0</v>
      </c>
      <c r="E65" s="816">
        <v>0</v>
      </c>
      <c r="F65" s="816" t="str">
        <f>INDEX('Data Interface'!$C:$C,MATCH(B65,'Data Interface'!$B:$B,0))</f>
        <v>Demand,MM &amp; Savings - Large Corporates - KEMPS LANDING CAPITAL</v>
      </c>
      <c r="G65" s="894">
        <f ca="1">IF($C65=1,$AJ65,SUM($AJ65:$AL65)*INDEX('Schedule Allocation'!G:G,MATCH($D65,'Schedule Allocation'!$A:$A,0)))</f>
        <v>5.0755511329882513E-2</v>
      </c>
      <c r="H65" s="894">
        <f ca="1">IF($C65=1,$AK65,SUM($AJ65:$AL65)*INDEX('Schedule Allocation'!H:H,MATCH($D65,'Schedule Allocation'!$A:$A,0)))</f>
        <v>1.6918503776627503E-2</v>
      </c>
      <c r="I65" s="894">
        <f ca="1">IF($C65=1,$AK65,SUM($AJ65:$AL65)*INDEX('Schedule Allocation'!I:I,MATCH($D65,'Schedule Allocation'!$A:$A,0)))</f>
        <v>1.6918503776627503E-2</v>
      </c>
      <c r="J65" s="894">
        <f ca="1">IF($C65=1,$AK65,SUM($AJ65:$AL65)*INDEX('Schedule Allocation'!J:J,MATCH($D65,'Schedule Allocation'!$A:$A,0)))</f>
        <v>1.6918503776627503E-2</v>
      </c>
      <c r="K65" s="894">
        <f ca="1">IF($C65=1,$AK65,SUM($AJ65:$AL65)*INDEX('Schedule Allocation'!K:K,MATCH($D65,'Schedule Allocation'!$A:$A,0)))</f>
        <v>1.6918503776627503E-2</v>
      </c>
      <c r="L65" s="894">
        <f ca="1">IF($C65=1,$AK65,SUM($AJ65:$AL65)*INDEX('Schedule Allocation'!L:L,MATCH($D65,'Schedule Allocation'!$A:$A,0)))</f>
        <v>1.6918503776627503E-2</v>
      </c>
      <c r="M65" s="894">
        <f ca="1">IF($C65=1,$AK65,SUM($AJ65:$AL65)*INDEX('Schedule Allocation'!M:M,MATCH($D65,'Schedule Allocation'!$A:$A,0)))</f>
        <v>1.6918503776627503E-2</v>
      </c>
      <c r="N65" s="894">
        <f ca="1">IF($C65=1,$AL65,SUM($AJ65:$AL65)*INDEX('Schedule Allocation'!N:N,MATCH($D65,'Schedule Allocation'!$A:$A,0)))</f>
        <v>1.4501574665680719E-2</v>
      </c>
      <c r="O65" s="894">
        <f ca="1">IF($C65=1,$AL65,SUM($AJ65:$AL65)*INDEX('Schedule Allocation'!O:O,MATCH($D65,'Schedule Allocation'!$A:$A,0)))</f>
        <v>1.4501574665680719E-2</v>
      </c>
      <c r="P65" s="894">
        <f ca="1">IF($C65=1,$AL65,SUM($AJ65:$AL65)*INDEX('Schedule Allocation'!P:P,MATCH($D65,'Schedule Allocation'!$A:$A,0)))</f>
        <v>1.4501574665680719E-2</v>
      </c>
      <c r="Q65" s="894">
        <f ca="1">IF($C65=1,$AL65,SUM($AJ65:$AL65)*INDEX('Schedule Allocation'!Q:Q,MATCH($D65,'Schedule Allocation'!$A:$A,0)))</f>
        <v>1.4501574665680719E-2</v>
      </c>
      <c r="R65" s="894">
        <f ca="1">IF($C65=1,$AL65,SUM($AJ65:$AL65)*INDEX('Schedule Allocation'!R:R,MATCH($D65,'Schedule Allocation'!$A:$A,0)))</f>
        <v>1.4501574665680719E-2</v>
      </c>
      <c r="S65" s="894">
        <f ca="1">IF($C65=1,$AL65,SUM($AJ65:$AL65)*INDEX('Schedule Allocation'!S:S,MATCH($D65,'Schedule Allocation'!$A:$A,0)))</f>
        <v>1.4501574665680719E-2</v>
      </c>
      <c r="T65" s="894">
        <f ca="1">IF($C65=1,$AL65,SUM($AJ65:$AL65)*INDEX('Schedule Allocation'!T:T,MATCH($D65,'Schedule Allocation'!$A:$A,0)))</f>
        <v>1.4501574665680719E-2</v>
      </c>
      <c r="U65" s="894">
        <f ca="1">OFFSET(AT65,0,(MATCH('Model Report Formatized'!$E$1,$AN$1:$AN$6,0))*17-17)</f>
        <v>3.1722253618044371E-2</v>
      </c>
      <c r="V65" s="894">
        <f ca="1">OFFSET(AU65,0,(MATCH('Model Report Formatized'!$E$1,$AN$1:$AN$6,0))*17-17)</f>
        <v>3.1722253618044371E-2</v>
      </c>
      <c r="W65" s="894">
        <f ca="1">OFFSET(AV65,0,(MATCH('Model Report Formatized'!$E$1,$AN$1:$AN$6,0))*17-17)</f>
        <v>3.1722206388550139E-2</v>
      </c>
      <c r="X65" s="894">
        <f ca="1">OFFSET(AW65,0,(MATCH('Model Report Formatized'!$E$1,$AN$1:$AN$6,0))*17-17)</f>
        <v>3.1722206388550139E-2</v>
      </c>
      <c r="Y65" s="894">
        <f ca="1">OFFSET(AX65,0,(MATCH('Model Report Formatized'!$E$1,$AN$1:$AN$6,0))*17-17)</f>
        <v>1.0574068796183377E-2</v>
      </c>
      <c r="Z65" s="894">
        <f ca="1">OFFSET(AY65,0,(MATCH('Model Report Formatized'!$E$1,$AN$1:$AN$6,0))*17-17)</f>
        <v>1.0574068796183377E-2</v>
      </c>
      <c r="AA65" s="894">
        <f ca="1">OFFSET(AZ65,0,(MATCH('Model Report Formatized'!$E$1,$AN$1:$AN$6,0))*17-17)</f>
        <v>1.0574068796183377E-2</v>
      </c>
      <c r="AB65" s="894">
        <f ca="1">OFFSET(BA65,0,(MATCH('Model Report Formatized'!$E$1,$AN$1:$AN$6,0))*17-17)</f>
        <v>1.0574068796183377E-2</v>
      </c>
      <c r="AC65" s="894">
        <f ca="1">OFFSET(BB65,0,(MATCH('Model Report Formatized'!$E$1,$AN$1:$AN$6,0))*17-17)</f>
        <v>1.0574068796183377E-2</v>
      </c>
      <c r="AD65" s="894">
        <f ca="1">OFFSET(BC65,0,(MATCH('Model Report Formatized'!$E$1,$AN$1:$AN$6,0))*17-17)</f>
        <v>1.0574068796183377E-2</v>
      </c>
      <c r="AE65" s="894">
        <f ca="1">OFFSET(BD65,0,(MATCH('Model Report Formatized'!$E$1,$AN$1:$AN$6,0))*17-17)</f>
        <v>1.0574068796183377E-2</v>
      </c>
      <c r="AF65" s="894">
        <f ca="1">OFFSET(BE65,0,(MATCH('Model Report Formatized'!$E$1,$AN$1:$AN$6,0))*17-17)</f>
        <v>1.0574068796183377E-2</v>
      </c>
      <c r="AG65" s="894">
        <f ca="1">OFFSET(BF65,0,(MATCH('Model Report Formatized'!$E$1,$AN$1:$AN$6,0))*17-17)</f>
        <v>1.0574068796183377E-2</v>
      </c>
      <c r="AH65" s="891">
        <f t="shared" ca="1" si="5"/>
        <v>1.1102230246251565E-16</v>
      </c>
      <c r="AJ65" s="895">
        <f ca="1">OFFSET(AQ65,0,(MATCH('Model Report Formatized'!$E$1,$AN$1:$AN$6,0))*17-17)</f>
        <v>3.1722182773803002E-2</v>
      </c>
      <c r="AK65" s="895">
        <f ca="1">OFFSET(AR65,0,(MATCH('Model Report Formatized'!$E$1,$AN$1:$AN$6,0))*17-17)</f>
        <v>0.11102768693780476</v>
      </c>
      <c r="AL65" s="895">
        <f ca="1">OFFSET(AS65,0,(MATCH('Model Report Formatized'!$E$1,$AN$1:$AN$6,0))*17-17)</f>
        <v>0.11102768693780476</v>
      </c>
      <c r="AQ65" s="893">
        <v>0.08</v>
      </c>
      <c r="AR65" s="893">
        <v>0.08</v>
      </c>
      <c r="AS65" s="893">
        <v>0.08</v>
      </c>
      <c r="AT65" s="893">
        <v>0.08</v>
      </c>
      <c r="AU65" s="893">
        <v>0.08</v>
      </c>
      <c r="AV65" s="893">
        <v>5.4545454545454543E-2</v>
      </c>
      <c r="AW65" s="893">
        <v>5.4545454545454543E-2</v>
      </c>
      <c r="AX65" s="893">
        <v>5.4545454545454543E-2</v>
      </c>
      <c r="AY65" s="893">
        <v>5.4545454545454543E-2</v>
      </c>
      <c r="AZ65" s="893">
        <v>5.4545454545454543E-2</v>
      </c>
      <c r="BA65" s="893">
        <v>5.4545454545454543E-2</v>
      </c>
      <c r="BB65" s="893">
        <v>5.4545454545454543E-2</v>
      </c>
      <c r="BC65" s="893">
        <v>5.4545454545454543E-2</v>
      </c>
      <c r="BD65" s="893">
        <v>5.4545454545454543E-2</v>
      </c>
      <c r="BE65" s="893">
        <v>5.4545454545454543E-2</v>
      </c>
      <c r="BF65" s="893">
        <v>5.4545454545454543E-2</v>
      </c>
      <c r="BH65" s="816">
        <v>8.199999999999999E-2</v>
      </c>
      <c r="BI65" s="816">
        <v>8.199999999999999E-2</v>
      </c>
      <c r="BJ65" s="816">
        <v>8.199999999999999E-2</v>
      </c>
      <c r="BK65" s="816">
        <v>8.199999999999999E-2</v>
      </c>
      <c r="BL65" s="816">
        <v>8.199999999999999E-2</v>
      </c>
      <c r="BM65" s="816">
        <v>5.0000000000000017E-2</v>
      </c>
      <c r="BN65" s="816">
        <v>5.0000000000000017E-2</v>
      </c>
      <c r="BO65" s="816">
        <v>5.4444444444444441E-2</v>
      </c>
      <c r="BP65" s="816">
        <v>5.4444444444444441E-2</v>
      </c>
      <c r="BQ65" s="816">
        <v>5.4444444444444441E-2</v>
      </c>
      <c r="BR65" s="816">
        <v>5.4444444444444441E-2</v>
      </c>
      <c r="BS65" s="816">
        <v>5.4444444444444441E-2</v>
      </c>
      <c r="BT65" s="816">
        <v>5.4444444444444441E-2</v>
      </c>
      <c r="BU65" s="816">
        <v>5.4444444444444441E-2</v>
      </c>
      <c r="BV65" s="816">
        <v>5.4444444444444441E-2</v>
      </c>
      <c r="BW65" s="816">
        <v>5.4444444444444441E-2</v>
      </c>
      <c r="BY65" s="817">
        <v>0.02</v>
      </c>
      <c r="BZ65" s="817">
        <v>0.02</v>
      </c>
      <c r="CA65" s="817">
        <v>0.02</v>
      </c>
      <c r="CB65" s="817">
        <v>0.02</v>
      </c>
      <c r="CC65" s="817">
        <v>0.02</v>
      </c>
      <c r="CD65" s="817">
        <v>0</v>
      </c>
      <c r="CE65" s="817">
        <v>0</v>
      </c>
      <c r="CF65" s="817">
        <v>0</v>
      </c>
      <c r="CG65" s="817">
        <v>0</v>
      </c>
      <c r="CH65" s="817">
        <v>0</v>
      </c>
      <c r="CI65" s="817">
        <v>0</v>
      </c>
      <c r="CJ65" s="817">
        <v>0</v>
      </c>
      <c r="CK65" s="817">
        <v>0</v>
      </c>
      <c r="CL65" s="817">
        <v>0</v>
      </c>
      <c r="CM65" s="817">
        <v>0</v>
      </c>
      <c r="CN65" s="817">
        <v>0</v>
      </c>
      <c r="CO65" s="816" t="s">
        <v>1340</v>
      </c>
      <c r="CP65" s="818">
        <f>INDEX('Monthly Run-off Change'!I:I,MATCH($B65,'Monthly Run-off Change'!$E:$E,0))</f>
        <v>3.1722182773803002E-2</v>
      </c>
      <c r="CQ65" s="818">
        <f>INDEX('Monthly Run-off Change'!J:J,MATCH($B65,'Monthly Run-off Change'!$E:$E,0))</f>
        <v>0.11102768693780476</v>
      </c>
      <c r="CR65" s="818">
        <f>INDEX('Monthly Run-off Change'!K:K,MATCH($B65,'Monthly Run-off Change'!$E:$E,0))</f>
        <v>0.11102768693780476</v>
      </c>
      <c r="CS65" s="818">
        <f>INDEX('Monthly Run-off Change'!L:L,MATCH($B65,'Monthly Run-off Change'!$E:$E,0))</f>
        <v>3.1722253618044371E-2</v>
      </c>
      <c r="CT65" s="818">
        <f>INDEX('Monthly Run-off Change'!M:M,MATCH($B65,'Monthly Run-off Change'!$E:$E,0))</f>
        <v>3.1722253618044371E-2</v>
      </c>
      <c r="CU65" s="818">
        <f>INDEX('Monthly Run-off Change'!N:N,MATCH($B65,'Monthly Run-off Change'!$E:$E,0))</f>
        <v>3.1722206388550139E-2</v>
      </c>
      <c r="CV65" s="818">
        <f>INDEX('Monthly Run-off Change'!O:O,MATCH($B65,'Monthly Run-off Change'!$E:$E,0))</f>
        <v>3.1722206388550139E-2</v>
      </c>
      <c r="CW65" s="818">
        <f>INDEX('Monthly Run-off Change'!P:P,MATCH($B65,'Monthly Run-off Change'!$E:$E,0))</f>
        <v>1.0574068796183377E-2</v>
      </c>
      <c r="CX65" s="818">
        <f>INDEX('Monthly Run-off Change'!Q:Q,MATCH($B65,'Monthly Run-off Change'!$E:$E,0))</f>
        <v>1.0574068796183377E-2</v>
      </c>
      <c r="CY65" s="818">
        <f>INDEX('Monthly Run-off Change'!R:R,MATCH($B65,'Monthly Run-off Change'!$E:$E,0))</f>
        <v>1.0574068796183377E-2</v>
      </c>
      <c r="CZ65" s="818">
        <f>INDEX('Monthly Run-off Change'!S:S,MATCH($B65,'Monthly Run-off Change'!$E:$E,0))</f>
        <v>1.0574068796183377E-2</v>
      </c>
      <c r="DA65" s="818">
        <f>INDEX('Monthly Run-off Change'!T:T,MATCH($B65,'Monthly Run-off Change'!$E:$E,0))</f>
        <v>1.0574068796183377E-2</v>
      </c>
      <c r="DB65" s="818">
        <f>INDEX('Monthly Run-off Change'!U:U,MATCH($B65,'Monthly Run-off Change'!$E:$E,0))</f>
        <v>1.0574068796183377E-2</v>
      </c>
      <c r="DC65" s="818">
        <f>INDEX('Monthly Run-off Change'!V:V,MATCH($B65,'Monthly Run-off Change'!$E:$E,0))</f>
        <v>1.0574068796183377E-2</v>
      </c>
      <c r="DD65" s="818">
        <f>INDEX('Monthly Run-off Change'!W:W,MATCH($B65,'Monthly Run-off Change'!$E:$E,0))</f>
        <v>1.0574068796183377E-2</v>
      </c>
      <c r="DE65" s="818">
        <f>INDEX('Monthly Run-off Change'!X:X,MATCH($B65,'Monthly Run-off Change'!$E:$E,0))</f>
        <v>1.0574068796183377E-2</v>
      </c>
      <c r="DF65" s="899">
        <f>INDEX('Monthly Run-off Change'!Y:Y,MATCH($B65,'Monthly Run-off Change'!$E:$E,0))</f>
        <v>0</v>
      </c>
      <c r="DG65" s="899">
        <f>INDEX('Monthly Run-off Change'!Z:Z,MATCH($B65,'Monthly Run-off Change'!$E:$E,0))</f>
        <v>2.7190442799237345E-2</v>
      </c>
      <c r="DH65" s="899">
        <f>INDEX('Monthly Run-off Change'!AA:AA,MATCH($B65,'Monthly Run-off Change'!$E:$E,0))</f>
        <v>9.5166591123138161E-2</v>
      </c>
      <c r="DI65" s="899">
        <f>INDEX('Monthly Run-off Change'!AB:AB,MATCH($B65,'Monthly Run-off Change'!$E:$E,0))</f>
        <v>9.5166591123138161E-2</v>
      </c>
      <c r="DJ65" s="899">
        <f>INDEX('Monthly Run-off Change'!AC:AC,MATCH($B65,'Monthly Run-off Change'!$E:$E,0))</f>
        <v>2.719050478794853E-2</v>
      </c>
      <c r="DK65" s="899">
        <f>INDEX('Monthly Run-off Change'!AD:AD,MATCH($B65,'Monthly Run-off Change'!$E:$E,0))</f>
        <v>2.719050478794853E-2</v>
      </c>
      <c r="DL65" s="899">
        <f>INDEX('Monthly Run-off Change'!AE:AE,MATCH($B65,'Monthly Run-off Change'!$E:$E,0))</f>
        <v>2.7190463462141073E-2</v>
      </c>
      <c r="DM65" s="899">
        <f>INDEX('Monthly Run-off Change'!AF:AF,MATCH($B65,'Monthly Run-off Change'!$E:$E,0))</f>
        <v>2.7190463462141073E-2</v>
      </c>
      <c r="DN65" s="899">
        <f>INDEX('Monthly Run-off Change'!AG:AG,MATCH($B65,'Monthly Run-off Change'!$E:$E,0))</f>
        <v>9.0634878207137004E-3</v>
      </c>
      <c r="DO65" s="899">
        <f>INDEX('Monthly Run-off Change'!AH:AH,MATCH($B65,'Monthly Run-off Change'!$E:$E,0))</f>
        <v>9.0634878207137004E-3</v>
      </c>
      <c r="DP65" s="899">
        <f>INDEX('Monthly Run-off Change'!AI:AI,MATCH($B65,'Monthly Run-off Change'!$E:$E,0))</f>
        <v>9.0634878207137004E-3</v>
      </c>
      <c r="DQ65" s="899">
        <f>INDEX('Monthly Run-off Change'!AJ:AJ,MATCH($B65,'Monthly Run-off Change'!$E:$E,0))</f>
        <v>9.0634878207137004E-3</v>
      </c>
      <c r="DR65" s="899">
        <f>INDEX('Monthly Run-off Change'!AK:AK,MATCH($B65,'Monthly Run-off Change'!$E:$E,0))</f>
        <v>9.0634878207137004E-3</v>
      </c>
      <c r="DS65" s="899">
        <f>INDEX('Monthly Run-off Change'!AL:AL,MATCH($B65,'Monthly Run-off Change'!$E:$E,0))</f>
        <v>9.0634878207137004E-3</v>
      </c>
      <c r="DT65" s="899">
        <f>INDEX('Monthly Run-off Change'!AM:AM,MATCH($B65,'Monthly Run-off Change'!$E:$E,0))</f>
        <v>9.0634878207137004E-3</v>
      </c>
      <c r="DU65" s="899">
        <f>INDEX('Monthly Run-off Change'!AN:AN,MATCH($B65,'Monthly Run-off Change'!$E:$E,0))</f>
        <v>9.0634878207137004E-3</v>
      </c>
      <c r="DV65" s="899">
        <f>INDEX('Monthly Run-off Change'!AO:AO,MATCH($B65,'Monthly Run-off Change'!$E:$E,0))</f>
        <v>9.0634878207137004E-3</v>
      </c>
      <c r="DW65" s="899">
        <f>INDEX('Monthly Run-off Change'!AP:AP,MATCH($B65,'Monthly Run-off Change'!$E:$E,0))</f>
        <v>0</v>
      </c>
      <c r="DX65" s="899">
        <f>INDEX('Monthly Run-off Change'!AQ:AQ,MATCH($B65,'Monthly Run-off Change'!$E:$E,0))</f>
        <v>1.6994028594425458E-2</v>
      </c>
      <c r="DY65" s="899">
        <f>INDEX('Monthly Run-off Change'!AR:AR,MATCH($B65,'Monthly Run-off Change'!$E:$E,0))</f>
        <v>5.9479129598923007E-2</v>
      </c>
      <c r="DZ65" s="899">
        <f>INDEX('Monthly Run-off Change'!AS:AS,MATCH($B65,'Monthly Run-off Change'!$E:$E,0))</f>
        <v>5.9479129598923007E-2</v>
      </c>
      <c r="EA65" s="899">
        <f>INDEX('Monthly Run-off Change'!AT:AT,MATCH($B65,'Monthly Run-off Change'!$E:$E,0))</f>
        <v>1.6994072872076327E-2</v>
      </c>
      <c r="EB65" s="899">
        <f>INDEX('Monthly Run-off Change'!AU:AU,MATCH($B65,'Monthly Run-off Change'!$E:$E,0))</f>
        <v>1.6994072872076327E-2</v>
      </c>
      <c r="EC65" s="899">
        <f>INDEX('Monthly Run-off Change'!AV:AV,MATCH($B65,'Monthly Run-off Change'!$E:$E,0))</f>
        <v>1.6994043353642421E-2</v>
      </c>
      <c r="ED65" s="899">
        <f>INDEX('Monthly Run-off Change'!AW:AW,MATCH($B65,'Monthly Run-off Change'!$E:$E,0))</f>
        <v>1.6994043353642421E-2</v>
      </c>
      <c r="EE65" s="899">
        <f>INDEX('Monthly Run-off Change'!AX:AX,MATCH($B65,'Monthly Run-off Change'!$E:$E,0))</f>
        <v>5.6646811178807993E-3</v>
      </c>
      <c r="EF65" s="899">
        <f>INDEX('Monthly Run-off Change'!AY:AY,MATCH($B65,'Monthly Run-off Change'!$E:$E,0))</f>
        <v>5.6646811178807993E-3</v>
      </c>
      <c r="EG65" s="899">
        <f>INDEX('Monthly Run-off Change'!AZ:AZ,MATCH($B65,'Monthly Run-off Change'!$E:$E,0))</f>
        <v>5.6646811178807993E-3</v>
      </c>
      <c r="EH65" s="899">
        <f>INDEX('Monthly Run-off Change'!BA:BA,MATCH($B65,'Monthly Run-off Change'!$E:$E,0))</f>
        <v>5.6646811178807993E-3</v>
      </c>
      <c r="EI65" s="899">
        <f>INDEX('Monthly Run-off Change'!BB:BB,MATCH($B65,'Monthly Run-off Change'!$E:$E,0))</f>
        <v>5.6646811178807993E-3</v>
      </c>
      <c r="EJ65" s="899">
        <f>INDEX('Monthly Run-off Change'!BC:BC,MATCH($B65,'Monthly Run-off Change'!$E:$E,0))</f>
        <v>5.6646811178807993E-3</v>
      </c>
      <c r="EK65" s="899">
        <f>INDEX('Monthly Run-off Change'!BD:BD,MATCH($B65,'Monthly Run-off Change'!$E:$E,0))</f>
        <v>5.6646811178807993E-3</v>
      </c>
      <c r="EL65" s="899">
        <f>INDEX('Monthly Run-off Change'!BE:BE,MATCH($B65,'Monthly Run-off Change'!$E:$E,0))</f>
        <v>5.6646811178807993E-3</v>
      </c>
      <c r="EM65" s="899">
        <f>INDEX('Monthly Run-off Change'!BF:BF,MATCH($B65,'Monthly Run-off Change'!$E:$E,0))</f>
        <v>5.6646811178807993E-3</v>
      </c>
      <c r="FQ65" s="898"/>
      <c r="FS65" s="898"/>
      <c r="FT65" s="898"/>
      <c r="FU65" s="898"/>
      <c r="FV65" s="898"/>
      <c r="FW65" s="898"/>
      <c r="FX65" s="898"/>
      <c r="FY65" s="898"/>
      <c r="FZ65" s="898"/>
      <c r="GA65" s="898"/>
      <c r="GB65" s="898"/>
      <c r="GC65" s="898"/>
      <c r="GD65" s="898"/>
      <c r="GE65" s="898"/>
      <c r="GF65" s="898"/>
      <c r="GG65" s="898"/>
      <c r="GH65" s="898"/>
      <c r="GJ65" s="898"/>
      <c r="GK65" s="898"/>
      <c r="GL65" s="898"/>
      <c r="GM65" s="898"/>
      <c r="GN65" s="898"/>
      <c r="GO65" s="898"/>
      <c r="GP65" s="898"/>
      <c r="GQ65" s="898"/>
      <c r="GR65" s="898"/>
      <c r="GS65" s="898"/>
      <c r="GT65" s="898"/>
      <c r="GU65" s="898"/>
      <c r="GV65" s="898"/>
      <c r="GW65" s="898"/>
      <c r="GX65" s="898"/>
      <c r="GY65" s="898"/>
      <c r="HA65" s="898"/>
      <c r="HB65" s="898"/>
      <c r="HC65" s="898"/>
      <c r="HD65" s="898"/>
      <c r="HE65" s="898"/>
      <c r="HF65" s="898"/>
      <c r="HG65" s="898"/>
      <c r="HH65" s="898"/>
      <c r="HI65" s="898"/>
      <c r="HJ65" s="898"/>
      <c r="HK65" s="898"/>
      <c r="HL65" s="898"/>
      <c r="HM65" s="898"/>
      <c r="HN65" s="898"/>
      <c r="HO65" s="898"/>
      <c r="HP65" s="898"/>
    </row>
    <row r="66" spans="1:224">
      <c r="A66" s="816" t="s">
        <v>1339</v>
      </c>
      <c r="B66" s="816" t="s">
        <v>1337</v>
      </c>
      <c r="C66" s="816">
        <v>0</v>
      </c>
      <c r="D66" s="816">
        <f t="shared" si="4"/>
        <v>0</v>
      </c>
      <c r="E66" s="816">
        <v>0</v>
      </c>
      <c r="F66" s="816" t="str">
        <f>INDEX('Data Interface'!$C:$C,MATCH(B66,'Data Interface'!$B:$B,0))</f>
        <v>ESCROW Deposits</v>
      </c>
      <c r="G66" s="894">
        <f ca="1">IF($C66=1,$AJ66,SUM($AJ66:$AL66)*INDEX('Schedule Allocation'!G:G,MATCH($D66,'Schedule Allocation'!$A:$A,0)))</f>
        <v>1.6E-2</v>
      </c>
      <c r="H66" s="894">
        <f ca="1">IF($C66=1,$AK66,SUM($AJ66:$AL66)*INDEX('Schedule Allocation'!H:H,MATCH($D66,'Schedule Allocation'!$A:$A,0)))</f>
        <v>5.3333333333333332E-3</v>
      </c>
      <c r="I66" s="894">
        <f ca="1">IF($C66=1,$AK66,SUM($AJ66:$AL66)*INDEX('Schedule Allocation'!I:I,MATCH($D66,'Schedule Allocation'!$A:$A,0)))</f>
        <v>5.3333333333333332E-3</v>
      </c>
      <c r="J66" s="894">
        <f ca="1">IF($C66=1,$AK66,SUM($AJ66:$AL66)*INDEX('Schedule Allocation'!J:J,MATCH($D66,'Schedule Allocation'!$A:$A,0)))</f>
        <v>5.3333333333333332E-3</v>
      </c>
      <c r="K66" s="894">
        <f ca="1">IF($C66=1,$AK66,SUM($AJ66:$AL66)*INDEX('Schedule Allocation'!K:K,MATCH($D66,'Schedule Allocation'!$A:$A,0)))</f>
        <v>5.3333333333333332E-3</v>
      </c>
      <c r="L66" s="894">
        <f ca="1">IF($C66=1,$AK66,SUM($AJ66:$AL66)*INDEX('Schedule Allocation'!L:L,MATCH($D66,'Schedule Allocation'!$A:$A,0)))</f>
        <v>5.3333333333333332E-3</v>
      </c>
      <c r="M66" s="894">
        <f ca="1">IF($C66=1,$AK66,SUM($AJ66:$AL66)*INDEX('Schedule Allocation'!M:M,MATCH($D66,'Schedule Allocation'!$A:$A,0)))</f>
        <v>5.3333333333333332E-3</v>
      </c>
      <c r="N66" s="894">
        <f ca="1">IF($C66=1,$AL66,SUM($AJ66:$AL66)*INDEX('Schedule Allocation'!N:N,MATCH($D66,'Schedule Allocation'!$A:$A,0)))</f>
        <v>4.5714285714285718E-3</v>
      </c>
      <c r="O66" s="894">
        <f ca="1">IF($C66=1,$AL66,SUM($AJ66:$AL66)*INDEX('Schedule Allocation'!O:O,MATCH($D66,'Schedule Allocation'!$A:$A,0)))</f>
        <v>4.5714285714285718E-3</v>
      </c>
      <c r="P66" s="894">
        <f ca="1">IF($C66=1,$AL66,SUM($AJ66:$AL66)*INDEX('Schedule Allocation'!P:P,MATCH($D66,'Schedule Allocation'!$A:$A,0)))</f>
        <v>4.5714285714285718E-3</v>
      </c>
      <c r="Q66" s="894">
        <f ca="1">IF($C66=1,$AL66,SUM($AJ66:$AL66)*INDEX('Schedule Allocation'!Q:Q,MATCH($D66,'Schedule Allocation'!$A:$A,0)))</f>
        <v>4.5714285714285718E-3</v>
      </c>
      <c r="R66" s="894">
        <f ca="1">IF($C66=1,$AL66,SUM($AJ66:$AL66)*INDEX('Schedule Allocation'!R:R,MATCH($D66,'Schedule Allocation'!$A:$A,0)))</f>
        <v>4.5714285714285718E-3</v>
      </c>
      <c r="S66" s="894">
        <f ca="1">IF($C66=1,$AL66,SUM($AJ66:$AL66)*INDEX('Schedule Allocation'!S:S,MATCH($D66,'Schedule Allocation'!$A:$A,0)))</f>
        <v>4.5714285714285718E-3</v>
      </c>
      <c r="T66" s="894">
        <f ca="1">IF($C66=1,$AL66,SUM($AJ66:$AL66)*INDEX('Schedule Allocation'!T:T,MATCH($D66,'Schedule Allocation'!$A:$A,0)))</f>
        <v>4.5714285714285718E-3</v>
      </c>
      <c r="U66" s="894">
        <f ca="1">OFFSET(AT66,0,(MATCH('Model Report Formatized'!$E$1,$AN$1:$AN$6,0))*17-17)</f>
        <v>0.04</v>
      </c>
      <c r="V66" s="894">
        <f ca="1">OFFSET(AU66,0,(MATCH('Model Report Formatized'!$E$1,$AN$1:$AN$6,0))*17-17)</f>
        <v>0.04</v>
      </c>
      <c r="W66" s="894">
        <f ca="1">OFFSET(AV66,0,(MATCH('Model Report Formatized'!$E$1,$AN$1:$AN$6,0))*17-17)</f>
        <v>3.9999999999999994E-2</v>
      </c>
      <c r="X66" s="894">
        <f ca="1">OFFSET(AW66,0,(MATCH('Model Report Formatized'!$E$1,$AN$1:$AN$6,0))*17-17)</f>
        <v>3.9999999999999994E-2</v>
      </c>
      <c r="Y66" s="894">
        <f ca="1">OFFSET(AX66,0,(MATCH('Model Report Formatized'!$E$1,$AN$1:$AN$6,0))*17-17)</f>
        <v>8.8888888888888906E-3</v>
      </c>
      <c r="Z66" s="894">
        <f ca="1">OFFSET(AY66,0,(MATCH('Model Report Formatized'!$E$1,$AN$1:$AN$6,0))*17-17)</f>
        <v>8.8888888888888906E-3</v>
      </c>
      <c r="AA66" s="894">
        <f ca="1">OFFSET(AZ66,0,(MATCH('Model Report Formatized'!$E$1,$AN$1:$AN$6,0))*17-17)</f>
        <v>8.8888888888888906E-3</v>
      </c>
      <c r="AB66" s="894">
        <f ca="1">OFFSET(BA66,0,(MATCH('Model Report Formatized'!$E$1,$AN$1:$AN$6,0))*17-17)</f>
        <v>8.8888888888888906E-3</v>
      </c>
      <c r="AC66" s="894">
        <f ca="1">OFFSET(BB66,0,(MATCH('Model Report Formatized'!$E$1,$AN$1:$AN$6,0))*17-17)</f>
        <v>8.8888888888888906E-3</v>
      </c>
      <c r="AD66" s="894">
        <f ca="1">OFFSET(BC66,0,(MATCH('Model Report Formatized'!$E$1,$AN$1:$AN$6,0))*17-17)</f>
        <v>8.8888888888888906E-3</v>
      </c>
      <c r="AE66" s="894">
        <f ca="1">OFFSET(BD66,0,(MATCH('Model Report Formatized'!$E$1,$AN$1:$AN$6,0))*17-17)</f>
        <v>8.8888888888888906E-3</v>
      </c>
      <c r="AF66" s="894">
        <f ca="1">OFFSET(BE66,0,(MATCH('Model Report Formatized'!$E$1,$AN$1:$AN$6,0))*17-17)</f>
        <v>8.8888888888888906E-3</v>
      </c>
      <c r="AG66" s="894">
        <f ca="1">OFFSET(BF66,0,(MATCH('Model Report Formatized'!$E$1,$AN$1:$AN$6,0))*17-17)</f>
        <v>8.8888888888888906E-3</v>
      </c>
      <c r="AH66" s="891">
        <f t="shared" ca="1" si="5"/>
        <v>0</v>
      </c>
      <c r="AJ66" s="895">
        <f ca="1">OFFSET(AQ66,0,(MATCH('Model Report Formatized'!$E$1,$AN$1:$AN$6,0))*17-17)</f>
        <v>3.2000000000000001E-2</v>
      </c>
      <c r="AK66" s="895">
        <f ca="1">OFFSET(AR66,0,(MATCH('Model Report Formatized'!$E$1,$AN$1:$AN$6,0))*17-17)</f>
        <v>2.4E-2</v>
      </c>
      <c r="AL66" s="895">
        <f ca="1">OFFSET(AS66,0,(MATCH('Model Report Formatized'!$E$1,$AN$1:$AN$6,0))*17-17)</f>
        <v>2.4E-2</v>
      </c>
      <c r="AQ66" s="893">
        <v>0.08</v>
      </c>
      <c r="AR66" s="893">
        <v>0.08</v>
      </c>
      <c r="AS66" s="893">
        <v>0.08</v>
      </c>
      <c r="AT66" s="893">
        <v>0.08</v>
      </c>
      <c r="AU66" s="893">
        <v>0.08</v>
      </c>
      <c r="AV66" s="893">
        <v>5.4545454545454543E-2</v>
      </c>
      <c r="AW66" s="893">
        <v>5.4545454545454543E-2</v>
      </c>
      <c r="AX66" s="893">
        <v>5.4545454545454543E-2</v>
      </c>
      <c r="AY66" s="893">
        <v>5.4545454545454543E-2</v>
      </c>
      <c r="AZ66" s="893">
        <v>5.4545454545454543E-2</v>
      </c>
      <c r="BA66" s="893">
        <v>5.4545454545454543E-2</v>
      </c>
      <c r="BB66" s="893">
        <v>5.4545454545454543E-2</v>
      </c>
      <c r="BC66" s="893">
        <v>5.4545454545454543E-2</v>
      </c>
      <c r="BD66" s="893">
        <v>5.4545454545454543E-2</v>
      </c>
      <c r="BE66" s="893">
        <v>5.4545454545454543E-2</v>
      </c>
      <c r="BF66" s="893">
        <v>5.4545454545454543E-2</v>
      </c>
      <c r="BH66" s="816">
        <v>8.199999999999999E-2</v>
      </c>
      <c r="BI66" s="816">
        <v>8.199999999999999E-2</v>
      </c>
      <c r="BJ66" s="816">
        <v>8.199999999999999E-2</v>
      </c>
      <c r="BK66" s="816">
        <v>8.199999999999999E-2</v>
      </c>
      <c r="BL66" s="816">
        <v>8.199999999999999E-2</v>
      </c>
      <c r="BM66" s="816">
        <v>5.0000000000000017E-2</v>
      </c>
      <c r="BN66" s="816">
        <v>5.0000000000000017E-2</v>
      </c>
      <c r="BO66" s="816">
        <v>5.4444444444444441E-2</v>
      </c>
      <c r="BP66" s="816">
        <v>5.4444444444444441E-2</v>
      </c>
      <c r="BQ66" s="816">
        <v>5.4444444444444441E-2</v>
      </c>
      <c r="BR66" s="816">
        <v>5.4444444444444441E-2</v>
      </c>
      <c r="BS66" s="816">
        <v>5.4444444444444441E-2</v>
      </c>
      <c r="BT66" s="816">
        <v>5.4444444444444441E-2</v>
      </c>
      <c r="BU66" s="816">
        <v>5.4444444444444441E-2</v>
      </c>
      <c r="BV66" s="816">
        <v>5.4444444444444441E-2</v>
      </c>
      <c r="BW66" s="816">
        <v>5.4444444444444441E-2</v>
      </c>
      <c r="BY66" s="817">
        <v>0.02</v>
      </c>
      <c r="BZ66" s="817">
        <v>0.02</v>
      </c>
      <c r="CA66" s="817">
        <v>0.02</v>
      </c>
      <c r="CB66" s="817">
        <v>0.02</v>
      </c>
      <c r="CC66" s="817">
        <v>0.02</v>
      </c>
      <c r="CD66" s="817">
        <v>0</v>
      </c>
      <c r="CE66" s="817">
        <v>0</v>
      </c>
      <c r="CF66" s="817">
        <v>0</v>
      </c>
      <c r="CG66" s="817">
        <v>0</v>
      </c>
      <c r="CH66" s="817">
        <v>0</v>
      </c>
      <c r="CI66" s="817">
        <v>0</v>
      </c>
      <c r="CJ66" s="817">
        <v>0</v>
      </c>
      <c r="CK66" s="817">
        <v>0</v>
      </c>
      <c r="CL66" s="817">
        <v>0</v>
      </c>
      <c r="CM66" s="817">
        <v>0</v>
      </c>
      <c r="CN66" s="817">
        <v>0</v>
      </c>
      <c r="CO66" s="816" t="s">
        <v>1340</v>
      </c>
      <c r="CP66" s="818">
        <f>INDEX('Monthly Run-off Change'!I:I,MATCH($B66,'Monthly Run-off Change'!$E:$E,0))</f>
        <v>3.2000000000000001E-2</v>
      </c>
      <c r="CQ66" s="818">
        <f>INDEX('Monthly Run-off Change'!J:J,MATCH($B66,'Monthly Run-off Change'!$E:$E,0))</f>
        <v>2.4E-2</v>
      </c>
      <c r="CR66" s="818">
        <f>INDEX('Monthly Run-off Change'!K:K,MATCH($B66,'Monthly Run-off Change'!$E:$E,0))</f>
        <v>2.4E-2</v>
      </c>
      <c r="CS66" s="818">
        <f>INDEX('Monthly Run-off Change'!L:L,MATCH($B66,'Monthly Run-off Change'!$E:$E,0))</f>
        <v>0.04</v>
      </c>
      <c r="CT66" s="818">
        <f>INDEX('Monthly Run-off Change'!M:M,MATCH($B66,'Monthly Run-off Change'!$E:$E,0))</f>
        <v>0.04</v>
      </c>
      <c r="CU66" s="818">
        <f>INDEX('Monthly Run-off Change'!N:N,MATCH($B66,'Monthly Run-off Change'!$E:$E,0))</f>
        <v>3.9999999999999994E-2</v>
      </c>
      <c r="CV66" s="818">
        <f>INDEX('Monthly Run-off Change'!O:O,MATCH($B66,'Monthly Run-off Change'!$E:$E,0))</f>
        <v>3.9999999999999994E-2</v>
      </c>
      <c r="CW66" s="818">
        <f>INDEX('Monthly Run-off Change'!P:P,MATCH($B66,'Monthly Run-off Change'!$E:$E,0))</f>
        <v>8.8888888888888906E-3</v>
      </c>
      <c r="CX66" s="818">
        <f>INDEX('Monthly Run-off Change'!Q:Q,MATCH($B66,'Monthly Run-off Change'!$E:$E,0))</f>
        <v>8.8888888888888906E-3</v>
      </c>
      <c r="CY66" s="818">
        <f>INDEX('Monthly Run-off Change'!R:R,MATCH($B66,'Monthly Run-off Change'!$E:$E,0))</f>
        <v>8.8888888888888906E-3</v>
      </c>
      <c r="CZ66" s="818">
        <f>INDEX('Monthly Run-off Change'!S:S,MATCH($B66,'Monthly Run-off Change'!$E:$E,0))</f>
        <v>8.8888888888888906E-3</v>
      </c>
      <c r="DA66" s="818">
        <f>INDEX('Monthly Run-off Change'!T:T,MATCH($B66,'Monthly Run-off Change'!$E:$E,0))</f>
        <v>8.8888888888888906E-3</v>
      </c>
      <c r="DB66" s="818">
        <f>INDEX('Monthly Run-off Change'!U:U,MATCH($B66,'Monthly Run-off Change'!$E:$E,0))</f>
        <v>8.8888888888888906E-3</v>
      </c>
      <c r="DC66" s="818">
        <f>INDEX('Monthly Run-off Change'!V:V,MATCH($B66,'Monthly Run-off Change'!$E:$E,0))</f>
        <v>8.8888888888888906E-3</v>
      </c>
      <c r="DD66" s="818">
        <f>INDEX('Monthly Run-off Change'!W:W,MATCH($B66,'Monthly Run-off Change'!$E:$E,0))</f>
        <v>8.8888888888888906E-3</v>
      </c>
      <c r="DE66" s="818">
        <f>INDEX('Monthly Run-off Change'!X:X,MATCH($B66,'Monthly Run-off Change'!$E:$E,0))</f>
        <v>8.8888888888888906E-3</v>
      </c>
      <c r="DF66" s="899">
        <f>INDEX('Monthly Run-off Change'!Y:Y,MATCH($B66,'Monthly Run-off Change'!$E:$E,0))</f>
        <v>0</v>
      </c>
      <c r="DG66" s="899">
        <f>INDEX('Monthly Run-off Change'!Z:Z,MATCH($B66,'Monthly Run-off Change'!$E:$E,0))</f>
        <v>2.8000000000000004E-2</v>
      </c>
      <c r="DH66" s="899">
        <f>INDEX('Monthly Run-off Change'!AA:AA,MATCH($B66,'Monthly Run-off Change'!$E:$E,0))</f>
        <v>2.1000000000000001E-2</v>
      </c>
      <c r="DI66" s="899">
        <f>INDEX('Monthly Run-off Change'!AB:AB,MATCH($B66,'Monthly Run-off Change'!$E:$E,0))</f>
        <v>2.1000000000000001E-2</v>
      </c>
      <c r="DJ66" s="899">
        <f>INDEX('Monthly Run-off Change'!AC:AC,MATCH($B66,'Monthly Run-off Change'!$E:$E,0))</f>
        <v>3.5000000000000003E-2</v>
      </c>
      <c r="DK66" s="899">
        <f>INDEX('Monthly Run-off Change'!AD:AD,MATCH($B66,'Monthly Run-off Change'!$E:$E,0))</f>
        <v>3.5000000000000003E-2</v>
      </c>
      <c r="DL66" s="899">
        <f>INDEX('Monthly Run-off Change'!AE:AE,MATCH($B66,'Monthly Run-off Change'!$E:$E,0))</f>
        <v>3.5000000000000003E-2</v>
      </c>
      <c r="DM66" s="899">
        <f>INDEX('Monthly Run-off Change'!AF:AF,MATCH($B66,'Monthly Run-off Change'!$E:$E,0))</f>
        <v>3.5000000000000003E-2</v>
      </c>
      <c r="DN66" s="899">
        <f>INDEX('Monthly Run-off Change'!AG:AG,MATCH($B66,'Monthly Run-off Change'!$E:$E,0))</f>
        <v>7.7777777777777784E-3</v>
      </c>
      <c r="DO66" s="899">
        <f>INDEX('Monthly Run-off Change'!AH:AH,MATCH($B66,'Monthly Run-off Change'!$E:$E,0))</f>
        <v>7.7777777777777784E-3</v>
      </c>
      <c r="DP66" s="899">
        <f>INDEX('Monthly Run-off Change'!AI:AI,MATCH($B66,'Monthly Run-off Change'!$E:$E,0))</f>
        <v>7.7777777777777784E-3</v>
      </c>
      <c r="DQ66" s="899">
        <f>INDEX('Monthly Run-off Change'!AJ:AJ,MATCH($B66,'Monthly Run-off Change'!$E:$E,0))</f>
        <v>7.7777777777777784E-3</v>
      </c>
      <c r="DR66" s="899">
        <f>INDEX('Monthly Run-off Change'!AK:AK,MATCH($B66,'Monthly Run-off Change'!$E:$E,0))</f>
        <v>7.7777777777777784E-3</v>
      </c>
      <c r="DS66" s="899">
        <f>INDEX('Monthly Run-off Change'!AL:AL,MATCH($B66,'Monthly Run-off Change'!$E:$E,0))</f>
        <v>7.7777777777777784E-3</v>
      </c>
      <c r="DT66" s="899">
        <f>INDEX('Monthly Run-off Change'!AM:AM,MATCH($B66,'Monthly Run-off Change'!$E:$E,0))</f>
        <v>7.7777777777777784E-3</v>
      </c>
      <c r="DU66" s="899">
        <f>INDEX('Monthly Run-off Change'!AN:AN,MATCH($B66,'Monthly Run-off Change'!$E:$E,0))</f>
        <v>7.7777777777777784E-3</v>
      </c>
      <c r="DV66" s="899">
        <f>INDEX('Monthly Run-off Change'!AO:AO,MATCH($B66,'Monthly Run-off Change'!$E:$E,0))</f>
        <v>7.7777777777777784E-3</v>
      </c>
      <c r="DW66" s="899">
        <f>INDEX('Monthly Run-off Change'!AP:AP,MATCH($B66,'Monthly Run-off Change'!$E:$E,0))</f>
        <v>0</v>
      </c>
      <c r="DX66" s="899">
        <f>INDEX('Monthly Run-off Change'!AQ:AQ,MATCH($B66,'Monthly Run-off Change'!$E:$E,0))</f>
        <v>2.0000000000000004E-2</v>
      </c>
      <c r="DY66" s="899">
        <f>INDEX('Monthly Run-off Change'!AR:AR,MATCH($B66,'Monthly Run-off Change'!$E:$E,0))</f>
        <v>1.4999999999999999E-2</v>
      </c>
      <c r="DZ66" s="899">
        <f>INDEX('Monthly Run-off Change'!AS:AS,MATCH($B66,'Monthly Run-off Change'!$E:$E,0))</f>
        <v>1.4999999999999999E-2</v>
      </c>
      <c r="EA66" s="899">
        <f>INDEX('Monthly Run-off Change'!AT:AT,MATCH($B66,'Monthly Run-off Change'!$E:$E,0))</f>
        <v>2.5000000000000001E-2</v>
      </c>
      <c r="EB66" s="899">
        <f>INDEX('Monthly Run-off Change'!AU:AU,MATCH($B66,'Monthly Run-off Change'!$E:$E,0))</f>
        <v>2.5000000000000001E-2</v>
      </c>
      <c r="EC66" s="899">
        <f>INDEX('Monthly Run-off Change'!AV:AV,MATCH($B66,'Monthly Run-off Change'!$E:$E,0))</f>
        <v>2.5000000000000008E-2</v>
      </c>
      <c r="ED66" s="899">
        <f>INDEX('Monthly Run-off Change'!AW:AW,MATCH($B66,'Monthly Run-off Change'!$E:$E,0))</f>
        <v>2.5000000000000008E-2</v>
      </c>
      <c r="EE66" s="899">
        <f>INDEX('Monthly Run-off Change'!AX:AX,MATCH($B66,'Monthly Run-off Change'!$E:$E,0))</f>
        <v>5.555555555555554E-3</v>
      </c>
      <c r="EF66" s="899">
        <f>INDEX('Monthly Run-off Change'!AY:AY,MATCH($B66,'Monthly Run-off Change'!$E:$E,0))</f>
        <v>5.555555555555554E-3</v>
      </c>
      <c r="EG66" s="899">
        <f>INDEX('Monthly Run-off Change'!AZ:AZ,MATCH($B66,'Monthly Run-off Change'!$E:$E,0))</f>
        <v>5.555555555555554E-3</v>
      </c>
      <c r="EH66" s="899">
        <f>INDEX('Monthly Run-off Change'!BA:BA,MATCH($B66,'Monthly Run-off Change'!$E:$E,0))</f>
        <v>5.555555555555554E-3</v>
      </c>
      <c r="EI66" s="899">
        <f>INDEX('Monthly Run-off Change'!BB:BB,MATCH($B66,'Monthly Run-off Change'!$E:$E,0))</f>
        <v>5.555555555555554E-3</v>
      </c>
      <c r="EJ66" s="899">
        <f>INDEX('Monthly Run-off Change'!BC:BC,MATCH($B66,'Monthly Run-off Change'!$E:$E,0))</f>
        <v>5.555555555555554E-3</v>
      </c>
      <c r="EK66" s="899">
        <f>INDEX('Monthly Run-off Change'!BD:BD,MATCH($B66,'Monthly Run-off Change'!$E:$E,0))</f>
        <v>5.555555555555554E-3</v>
      </c>
      <c r="EL66" s="899">
        <f>INDEX('Monthly Run-off Change'!BE:BE,MATCH($B66,'Monthly Run-off Change'!$E:$E,0))</f>
        <v>5.555555555555554E-3</v>
      </c>
      <c r="EM66" s="899">
        <f>INDEX('Monthly Run-off Change'!BF:BF,MATCH($B66,'Monthly Run-off Change'!$E:$E,0))</f>
        <v>5.555555555555554E-3</v>
      </c>
      <c r="FQ66" s="898"/>
      <c r="FS66" s="898"/>
      <c r="FT66" s="898"/>
      <c r="FU66" s="898"/>
      <c r="FV66" s="898"/>
      <c r="FW66" s="898"/>
      <c r="FX66" s="898"/>
      <c r="FY66" s="898"/>
      <c r="FZ66" s="898"/>
      <c r="GA66" s="898"/>
      <c r="GB66" s="898"/>
      <c r="GC66" s="898"/>
      <c r="GD66" s="898"/>
      <c r="GE66" s="898"/>
      <c r="GF66" s="898"/>
      <c r="GG66" s="898"/>
      <c r="GH66" s="898"/>
      <c r="GJ66" s="898"/>
      <c r="GK66" s="898"/>
      <c r="GL66" s="898"/>
      <c r="GM66" s="898"/>
      <c r="GN66" s="898"/>
      <c r="GO66" s="898"/>
      <c r="GP66" s="898"/>
      <c r="GQ66" s="898"/>
      <c r="GR66" s="898"/>
      <c r="GS66" s="898"/>
      <c r="GT66" s="898"/>
      <c r="GU66" s="898"/>
      <c r="GV66" s="898"/>
      <c r="GW66" s="898"/>
      <c r="GX66" s="898"/>
      <c r="GY66" s="898"/>
      <c r="HA66" s="898"/>
      <c r="HB66" s="898"/>
      <c r="HC66" s="898"/>
      <c r="HD66" s="898"/>
      <c r="HE66" s="898"/>
      <c r="HF66" s="898"/>
      <c r="HG66" s="898"/>
      <c r="HH66" s="898"/>
      <c r="HI66" s="898"/>
      <c r="HJ66" s="898"/>
      <c r="HK66" s="898"/>
      <c r="HL66" s="898"/>
      <c r="HM66" s="898"/>
      <c r="HN66" s="898"/>
      <c r="HO66" s="898"/>
      <c r="HP66" s="898"/>
    </row>
    <row r="69" spans="1:224">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row>
    <row r="70" spans="1:224">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row>
    <row r="71" spans="1:224">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row>
    <row r="72" spans="1:224">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row>
    <row r="73" spans="1:224">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row>
    <row r="74" spans="1:224">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row>
    <row r="75" spans="1:224">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row>
    <row r="76" spans="1:224">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row>
    <row r="77" spans="1:224">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row>
    <row r="78" spans="1:224">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row>
    <row r="79" spans="1:224">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row>
    <row r="80" spans="1:224">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row>
    <row r="81" spans="1:179">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row>
    <row r="82" spans="1:179">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row>
    <row r="83" spans="1:179">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row>
    <row r="84" spans="1:179">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row>
    <row r="85" spans="1:179">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row>
    <row r="86" spans="1:179">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row>
    <row r="87" spans="1:179">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row>
    <row r="88" spans="1:179">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row>
    <row r="89" spans="1:179">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row>
    <row r="90" spans="1:179">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row>
    <row r="91" spans="1:179">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row>
    <row r="92" spans="1:179">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row>
    <row r="93" spans="1:179">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row>
    <row r="94" spans="1:179">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row>
    <row r="95" spans="1:179">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row>
    <row r="96" spans="1:179">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row>
    <row r="97" spans="1:179">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row>
    <row r="98" spans="1:179">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row>
    <row r="99" spans="1:179">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row>
    <row r="100" spans="1:179">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row>
    <row r="101" spans="1:179">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row>
    <row r="102" spans="1:179">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row>
    <row r="103" spans="1:179">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row>
    <row r="104" spans="1:179">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row>
    <row r="105" spans="1:179">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row>
    <row r="106" spans="1:179">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row>
    <row r="107" spans="1:179">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row>
    <row r="108" spans="1:179">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row>
    <row r="109" spans="1:179">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row>
    <row r="110" spans="1:179">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row>
    <row r="111" spans="1:179">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row>
    <row r="112" spans="1:179">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row>
    <row r="113" spans="1:179">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row>
    <row r="114" spans="1:179">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row>
    <row r="115" spans="1:179">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row>
    <row r="116" spans="1:179">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row>
    <row r="117" spans="1:179">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row>
    <row r="118" spans="1:179">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row>
    <row r="119" spans="1:179">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row>
    <row r="120" spans="1:179">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row>
    <row r="121" spans="1:179">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row>
    <row r="122" spans="1:179">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row>
    <row r="123" spans="1:179">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row>
    <row r="124" spans="1:179">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row>
    <row r="125" spans="1:179">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row>
    <row r="126" spans="1:179">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row>
    <row r="127" spans="1:179">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row>
    <row r="128" spans="1:179">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row>
    <row r="129" spans="1:179">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row>
    <row r="130" spans="1:179">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row>
    <row r="131" spans="1:179">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row>
    <row r="132" spans="1:179">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row>
    <row r="133" spans="1:179">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row>
    <row r="134" spans="1:179">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row>
    <row r="135" spans="1:179">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row>
    <row r="136" spans="1:179">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row>
    <row r="137" spans="1:179">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row>
    <row r="138" spans="1:179">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row>
    <row r="139" spans="1:179">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row>
    <row r="140" spans="1:179">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row>
    <row r="141" spans="1:179">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row>
    <row r="142" spans="1:179">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row>
    <row r="143" spans="1:179">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row>
    <row r="144" spans="1:179">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row>
    <row r="145" spans="1:179">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row>
    <row r="146" spans="1:179">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row>
    <row r="147" spans="1:179">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row>
    <row r="148" spans="1:179">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row>
    <row r="149" spans="1:179">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row>
    <row r="150" spans="1:179">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row>
    <row r="151" spans="1:179">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row>
    <row r="152" spans="1:179">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row>
    <row r="153" spans="1:179">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row>
    <row r="154" spans="1:179">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row>
    <row r="155" spans="1:179">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row>
    <row r="156" spans="1:179">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row>
    <row r="157" spans="1:179">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row>
    <row r="158" spans="1:179">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row>
    <row r="159" spans="1:179">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row>
    <row r="160" spans="1:179">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row>
    <row r="161" spans="1:179">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row>
    <row r="162" spans="1:179">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row>
    <row r="163" spans="1:179">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row>
    <row r="164" spans="1:179">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row>
    <row r="165" spans="1:179">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row>
    <row r="166" spans="1:179">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row>
    <row r="167" spans="1:179">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row>
    <row r="168" spans="1:179">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row>
    <row r="169" spans="1:179">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row>
    <row r="170" spans="1:179">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row>
    <row r="171" spans="1:179">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row>
    <row r="172" spans="1:179">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row>
    <row r="173" spans="1:179">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row>
    <row r="174" spans="1:179">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row>
    <row r="175" spans="1:179">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row>
    <row r="176" spans="1:179">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row>
    <row r="177" spans="1:179">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row>
    <row r="178" spans="1:179">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row>
    <row r="179" spans="1:179">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row>
    <row r="180" spans="1:179">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row>
    <row r="181" spans="1:179">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row>
    <row r="182" spans="1:179">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row>
    <row r="183" spans="1:179">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row>
    <row r="184" spans="1:179">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row>
    <row r="185" spans="1:179">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row>
    <row r="186" spans="1:179">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row>
    <row r="187" spans="1:179">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row>
    <row r="188" spans="1:179">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row>
    <row r="189" spans="1:179">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row>
    <row r="190" spans="1:179" s="900" customFormat="1">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row>
    <row r="191" spans="1:179" s="900" customFormat="1">
      <c r="A191" s="816"/>
      <c r="B191" s="816"/>
      <c r="C191" s="816"/>
      <c r="D191" s="816"/>
      <c r="E191" s="816"/>
      <c r="G191" s="901"/>
      <c r="H191" s="901"/>
      <c r="I191" s="901"/>
      <c r="J191" s="901"/>
      <c r="K191" s="901"/>
      <c r="L191" s="901"/>
      <c r="M191" s="901"/>
      <c r="N191" s="901"/>
      <c r="O191" s="901"/>
      <c r="P191" s="901"/>
      <c r="Q191" s="901"/>
      <c r="R191" s="901"/>
      <c r="S191" s="901"/>
      <c r="T191" s="901"/>
      <c r="U191" s="901"/>
      <c r="V191" s="901"/>
      <c r="W191" s="901"/>
      <c r="X191" s="901"/>
      <c r="Y191" s="901"/>
      <c r="Z191" s="901"/>
      <c r="AA191" s="901"/>
      <c r="AB191" s="901"/>
      <c r="AC191" s="901"/>
      <c r="AD191" s="901"/>
      <c r="AE191" s="901"/>
      <c r="AF191" s="901"/>
      <c r="AG191" s="901"/>
      <c r="AH191" s="902"/>
      <c r="AI191" s="902"/>
      <c r="AJ191" s="903"/>
      <c r="AK191" s="903"/>
      <c r="AL191" s="903"/>
      <c r="AM191" s="901"/>
      <c r="AN191" s="904"/>
    </row>
    <row r="192" spans="1:179" s="900" customFormat="1">
      <c r="A192" s="816"/>
      <c r="B192" s="816"/>
      <c r="C192" s="816"/>
      <c r="D192" s="816"/>
      <c r="E192" s="816"/>
      <c r="G192" s="901"/>
      <c r="H192" s="901"/>
      <c r="I192" s="901"/>
      <c r="J192" s="901"/>
      <c r="K192" s="901"/>
      <c r="L192" s="901"/>
      <c r="M192" s="901"/>
      <c r="N192" s="901"/>
      <c r="O192" s="901"/>
      <c r="P192" s="901"/>
      <c r="Q192" s="901"/>
      <c r="R192" s="901"/>
      <c r="S192" s="901"/>
      <c r="T192" s="901"/>
      <c r="U192" s="901"/>
      <c r="V192" s="901"/>
      <c r="W192" s="901"/>
      <c r="X192" s="901"/>
      <c r="Y192" s="901"/>
      <c r="Z192" s="901"/>
      <c r="AA192" s="901"/>
      <c r="AB192" s="901"/>
      <c r="AC192" s="901"/>
      <c r="AD192" s="901"/>
      <c r="AE192" s="901"/>
      <c r="AF192" s="901"/>
      <c r="AG192" s="901"/>
      <c r="AH192" s="902"/>
      <c r="AI192" s="902"/>
      <c r="AJ192" s="903"/>
      <c r="AK192" s="903"/>
      <c r="AL192" s="903"/>
      <c r="AM192" s="901"/>
      <c r="AN192" s="904"/>
    </row>
    <row r="193" spans="1:40" s="900" customFormat="1">
      <c r="A193" s="816"/>
      <c r="B193" s="816"/>
      <c r="C193" s="816"/>
      <c r="D193" s="816"/>
      <c r="E193" s="816"/>
      <c r="G193" s="901"/>
      <c r="H193" s="901"/>
      <c r="I193" s="901"/>
      <c r="J193" s="901"/>
      <c r="K193" s="901"/>
      <c r="L193" s="901"/>
      <c r="M193" s="901"/>
      <c r="N193" s="901"/>
      <c r="O193" s="901"/>
      <c r="P193" s="901"/>
      <c r="Q193" s="901"/>
      <c r="R193" s="901"/>
      <c r="S193" s="901"/>
      <c r="T193" s="901"/>
      <c r="U193" s="901"/>
      <c r="V193" s="901"/>
      <c r="W193" s="901"/>
      <c r="X193" s="901"/>
      <c r="Y193" s="901"/>
      <c r="Z193" s="901"/>
      <c r="AA193" s="901"/>
      <c r="AB193" s="901"/>
      <c r="AC193" s="901"/>
      <c r="AD193" s="901"/>
      <c r="AE193" s="901"/>
      <c r="AF193" s="901"/>
      <c r="AG193" s="901"/>
      <c r="AH193" s="902"/>
      <c r="AI193" s="902"/>
      <c r="AJ193" s="903"/>
      <c r="AK193" s="903"/>
      <c r="AL193" s="903"/>
      <c r="AM193" s="901"/>
      <c r="AN193" s="904"/>
    </row>
    <row r="194" spans="1:40" s="900" customFormat="1">
      <c r="A194" s="816"/>
      <c r="B194" s="816"/>
      <c r="C194" s="816"/>
      <c r="D194" s="816"/>
      <c r="E194" s="816"/>
      <c r="G194" s="901"/>
      <c r="H194" s="901"/>
      <c r="I194" s="901"/>
      <c r="J194" s="901"/>
      <c r="K194" s="901"/>
      <c r="L194" s="901"/>
      <c r="M194" s="901"/>
      <c r="N194" s="901"/>
      <c r="O194" s="901"/>
      <c r="P194" s="901"/>
      <c r="Q194" s="901"/>
      <c r="R194" s="901"/>
      <c r="S194" s="901"/>
      <c r="T194" s="901"/>
      <c r="U194" s="901"/>
      <c r="V194" s="901"/>
      <c r="W194" s="901"/>
      <c r="X194" s="901"/>
      <c r="Y194" s="901"/>
      <c r="Z194" s="901"/>
      <c r="AA194" s="901"/>
      <c r="AB194" s="901"/>
      <c r="AC194" s="901"/>
      <c r="AD194" s="901"/>
      <c r="AE194" s="901"/>
      <c r="AF194" s="901"/>
      <c r="AG194" s="901"/>
      <c r="AH194" s="902"/>
      <c r="AI194" s="902"/>
      <c r="AJ194" s="903"/>
      <c r="AK194" s="903"/>
      <c r="AL194" s="903"/>
      <c r="AM194" s="901"/>
      <c r="AN194" s="904"/>
    </row>
    <row r="195" spans="1:40" s="900" customFormat="1">
      <c r="A195" s="816"/>
      <c r="B195" s="816"/>
      <c r="C195" s="816"/>
      <c r="D195" s="816"/>
      <c r="E195" s="816"/>
      <c r="G195" s="901"/>
      <c r="H195" s="901"/>
      <c r="I195" s="901"/>
      <c r="J195" s="901"/>
      <c r="K195" s="901"/>
      <c r="L195" s="901"/>
      <c r="M195" s="901"/>
      <c r="N195" s="901"/>
      <c r="O195" s="901"/>
      <c r="P195" s="901"/>
      <c r="Q195" s="901"/>
      <c r="R195" s="901"/>
      <c r="S195" s="901"/>
      <c r="T195" s="901"/>
      <c r="U195" s="901"/>
      <c r="V195" s="901"/>
      <c r="W195" s="901"/>
      <c r="X195" s="901"/>
      <c r="Y195" s="901"/>
      <c r="Z195" s="901"/>
      <c r="AA195" s="901"/>
      <c r="AB195" s="901"/>
      <c r="AC195" s="901"/>
      <c r="AD195" s="901"/>
      <c r="AE195" s="901"/>
      <c r="AF195" s="901"/>
      <c r="AG195" s="901"/>
      <c r="AH195" s="902"/>
      <c r="AI195" s="902"/>
      <c r="AJ195" s="903"/>
      <c r="AK195" s="903"/>
      <c r="AL195" s="903"/>
      <c r="AM195" s="901"/>
      <c r="AN195" s="904"/>
    </row>
    <row r="196" spans="1:40" s="900" customFormat="1">
      <c r="A196" s="816"/>
      <c r="B196" s="816"/>
      <c r="C196" s="816"/>
      <c r="D196" s="816"/>
      <c r="E196" s="816"/>
      <c r="G196" s="901"/>
      <c r="H196" s="901"/>
      <c r="I196" s="901"/>
      <c r="J196" s="901"/>
      <c r="K196" s="901"/>
      <c r="L196" s="901"/>
      <c r="M196" s="901"/>
      <c r="N196" s="901"/>
      <c r="O196" s="901"/>
      <c r="P196" s="901"/>
      <c r="Q196" s="901"/>
      <c r="R196" s="901"/>
      <c r="S196" s="901"/>
      <c r="T196" s="901"/>
      <c r="U196" s="901"/>
      <c r="V196" s="901"/>
      <c r="W196" s="901"/>
      <c r="X196" s="901"/>
      <c r="Y196" s="901"/>
      <c r="Z196" s="901"/>
      <c r="AA196" s="901"/>
      <c r="AB196" s="901"/>
      <c r="AC196" s="901"/>
      <c r="AD196" s="901"/>
      <c r="AE196" s="901"/>
      <c r="AF196" s="901"/>
      <c r="AG196" s="901"/>
      <c r="AH196" s="902"/>
      <c r="AI196" s="902"/>
      <c r="AJ196" s="903"/>
      <c r="AK196" s="903"/>
      <c r="AL196" s="903"/>
      <c r="AM196" s="901"/>
      <c r="AN196" s="904"/>
    </row>
    <row r="197" spans="1:40" s="900" customFormat="1">
      <c r="A197" s="816"/>
      <c r="B197" s="816"/>
      <c r="C197" s="816"/>
      <c r="D197" s="816"/>
      <c r="E197" s="816"/>
      <c r="G197" s="901"/>
      <c r="H197" s="901"/>
      <c r="I197" s="901"/>
      <c r="J197" s="901"/>
      <c r="K197" s="901"/>
      <c r="L197" s="901"/>
      <c r="M197" s="901"/>
      <c r="N197" s="901"/>
      <c r="O197" s="901"/>
      <c r="P197" s="901"/>
      <c r="Q197" s="901"/>
      <c r="R197" s="901"/>
      <c r="S197" s="901"/>
      <c r="T197" s="901"/>
      <c r="U197" s="901"/>
      <c r="V197" s="901"/>
      <c r="W197" s="901"/>
      <c r="X197" s="901"/>
      <c r="Y197" s="901"/>
      <c r="Z197" s="901"/>
      <c r="AA197" s="901"/>
      <c r="AB197" s="901"/>
      <c r="AC197" s="901"/>
      <c r="AD197" s="901"/>
      <c r="AE197" s="901"/>
      <c r="AF197" s="901"/>
      <c r="AG197" s="901"/>
      <c r="AH197" s="902"/>
      <c r="AI197" s="902"/>
      <c r="AJ197" s="903"/>
      <c r="AK197" s="903"/>
      <c r="AL197" s="903"/>
      <c r="AM197" s="901"/>
      <c r="AN197" s="904"/>
    </row>
    <row r="198" spans="1:40">
      <c r="F198" s="900"/>
    </row>
    <row r="199" spans="1:40">
      <c r="F199" s="900"/>
    </row>
    <row r="200" spans="1:40">
      <c r="F200" s="900"/>
    </row>
    <row r="201" spans="1:40">
      <c r="F201" s="900"/>
    </row>
    <row r="202" spans="1:40">
      <c r="F202" s="900"/>
    </row>
    <row r="203" spans="1:40">
      <c r="F203" s="900"/>
    </row>
    <row r="204" spans="1:40">
      <c r="F204" s="900"/>
    </row>
    <row r="205" spans="1:40">
      <c r="F205" s="900"/>
    </row>
    <row r="206" spans="1:40">
      <c r="F206" s="900"/>
    </row>
    <row r="207" spans="1:40">
      <c r="F207" s="900"/>
    </row>
    <row r="208" spans="1:40">
      <c r="F208" s="900"/>
    </row>
    <row r="209" spans="6:6">
      <c r="F209" s="900"/>
    </row>
    <row r="210" spans="6:6">
      <c r="F210" s="900"/>
    </row>
    <row r="211" spans="6:6">
      <c r="F211" s="900"/>
    </row>
    <row r="212" spans="6:6">
      <c r="F212" s="900"/>
    </row>
    <row r="213" spans="6:6">
      <c r="F213" s="900"/>
    </row>
    <row r="214" spans="6:6">
      <c r="F214" s="900"/>
    </row>
    <row r="215" spans="6:6">
      <c r="F215" s="900"/>
    </row>
    <row r="216" spans="6:6">
      <c r="F216" s="900"/>
    </row>
    <row r="217" spans="6:6">
      <c r="F217" s="900"/>
    </row>
    <row r="218" spans="6:6">
      <c r="F218" s="900"/>
    </row>
    <row r="219" spans="6:6">
      <c r="F219" s="900"/>
    </row>
    <row r="220" spans="6:6">
      <c r="F220" s="900"/>
    </row>
    <row r="221" spans="6:6">
      <c r="F221" s="900"/>
    </row>
    <row r="222" spans="6:6">
      <c r="F222" s="900"/>
    </row>
    <row r="223" spans="6:6">
      <c r="F223" s="900"/>
    </row>
    <row r="224" spans="6:6">
      <c r="F224" s="900"/>
    </row>
    <row r="225" spans="6:6">
      <c r="F225" s="900"/>
    </row>
    <row r="226" spans="6:6">
      <c r="F226" s="900"/>
    </row>
    <row r="227" spans="6:6">
      <c r="F227" s="900"/>
    </row>
    <row r="228" spans="6:6">
      <c r="F228" s="900"/>
    </row>
    <row r="229" spans="6:6">
      <c r="F229" s="900"/>
    </row>
    <row r="230" spans="6:6">
      <c r="F230" s="900"/>
    </row>
    <row r="231" spans="6:6">
      <c r="F231" s="900"/>
    </row>
    <row r="232" spans="6:6">
      <c r="F232" s="900"/>
    </row>
    <row r="233" spans="6:6">
      <c r="F233" s="900"/>
    </row>
    <row r="234" spans="6:6">
      <c r="F234" s="900"/>
    </row>
    <row r="235" spans="6:6">
      <c r="F235" s="900"/>
    </row>
    <row r="236" spans="6:6">
      <c r="F236" s="900"/>
    </row>
    <row r="237" spans="6:6">
      <c r="F237" s="900"/>
    </row>
    <row r="238" spans="6:6">
      <c r="F238" s="900"/>
    </row>
    <row r="239" spans="6:6">
      <c r="F239" s="900"/>
    </row>
    <row r="240" spans="6:6">
      <c r="F240" s="900"/>
    </row>
    <row r="241" spans="4:6">
      <c r="F241" s="900"/>
    </row>
    <row r="242" spans="4:6">
      <c r="F242" s="900"/>
    </row>
    <row r="243" spans="4:6">
      <c r="F243" s="900"/>
    </row>
    <row r="244" spans="4:6">
      <c r="F244" s="900"/>
    </row>
    <row r="245" spans="4:6">
      <c r="F245" s="900"/>
    </row>
    <row r="246" spans="4:6">
      <c r="F246" s="900"/>
    </row>
    <row r="247" spans="4:6">
      <c r="F247" s="900"/>
    </row>
    <row r="248" spans="4:6">
      <c r="F248" s="900"/>
    </row>
    <row r="249" spans="4:6">
      <c r="F249" s="900"/>
    </row>
    <row r="250" spans="4:6">
      <c r="F250" s="900"/>
    </row>
    <row r="251" spans="4:6">
      <c r="F251" s="900"/>
    </row>
    <row r="252" spans="4:6">
      <c r="F252" s="900"/>
    </row>
    <row r="253" spans="4:6">
      <c r="F253" s="900"/>
    </row>
    <row r="254" spans="4:6">
      <c r="D254" s="874"/>
      <c r="E254" s="874"/>
    </row>
    <row r="255" spans="4:6">
      <c r="D255" s="874"/>
      <c r="E255" s="874"/>
    </row>
    <row r="256" spans="4:6">
      <c r="D256" s="874"/>
      <c r="E256" s="874"/>
    </row>
    <row r="257" spans="4:5">
      <c r="D257" s="874"/>
      <c r="E257" s="874"/>
    </row>
    <row r="258" spans="4:5">
      <c r="D258" s="874"/>
      <c r="E258" s="874"/>
    </row>
    <row r="259" spans="4:5">
      <c r="D259" s="874"/>
      <c r="E259" s="874"/>
    </row>
    <row r="260" spans="4:5">
      <c r="D260" s="874"/>
      <c r="E260" s="874"/>
    </row>
    <row r="261" spans="4:5">
      <c r="D261" s="874"/>
      <c r="E261" s="874"/>
    </row>
    <row r="262" spans="4:5">
      <c r="D262" s="874"/>
      <c r="E262" s="874"/>
    </row>
    <row r="263" spans="4:5">
      <c r="D263" s="874"/>
      <c r="E263" s="874"/>
    </row>
    <row r="264" spans="4:5">
      <c r="D264" s="874"/>
      <c r="E264" s="874"/>
    </row>
    <row r="265" spans="4:5">
      <c r="D265" s="874"/>
      <c r="E265" s="874"/>
    </row>
    <row r="266" spans="4:5">
      <c r="D266" s="874"/>
      <c r="E266" s="874"/>
    </row>
    <row r="267" spans="4:5">
      <c r="D267" s="874"/>
      <c r="E267" s="874"/>
    </row>
    <row r="268" spans="4:5">
      <c r="D268" s="874"/>
      <c r="E268" s="874"/>
    </row>
    <row r="269" spans="4:5">
      <c r="D269" s="874"/>
      <c r="E269" s="874"/>
    </row>
    <row r="286" spans="1:40" s="900" customFormat="1">
      <c r="A286" s="816"/>
      <c r="B286" s="816"/>
      <c r="C286" s="816"/>
      <c r="D286" s="816"/>
      <c r="E286" s="816"/>
      <c r="F286" s="816"/>
      <c r="G286" s="901"/>
      <c r="H286" s="901"/>
      <c r="I286" s="901"/>
      <c r="J286" s="901"/>
      <c r="K286" s="901"/>
      <c r="L286" s="901"/>
      <c r="M286" s="901"/>
      <c r="N286" s="901"/>
      <c r="O286" s="901"/>
      <c r="P286" s="901"/>
      <c r="Q286" s="901"/>
      <c r="R286" s="901"/>
      <c r="S286" s="901"/>
      <c r="T286" s="901"/>
      <c r="U286" s="901"/>
      <c r="V286" s="901"/>
      <c r="W286" s="901"/>
      <c r="X286" s="901"/>
      <c r="Y286" s="901"/>
      <c r="Z286" s="901"/>
      <c r="AA286" s="901"/>
      <c r="AB286" s="901"/>
      <c r="AC286" s="901"/>
      <c r="AD286" s="901"/>
      <c r="AE286" s="901"/>
      <c r="AF286" s="901"/>
      <c r="AG286" s="901"/>
      <c r="AH286" s="902"/>
      <c r="AI286" s="902"/>
      <c r="AJ286" s="903"/>
      <c r="AK286" s="903"/>
      <c r="AL286" s="903"/>
      <c r="AM286" s="901"/>
      <c r="AN286" s="904"/>
    </row>
    <row r="287" spans="1:40" s="900" customFormat="1">
      <c r="A287" s="816"/>
      <c r="B287" s="816"/>
      <c r="C287" s="816"/>
      <c r="D287" s="816"/>
      <c r="E287" s="816"/>
      <c r="F287" s="816"/>
      <c r="G287" s="901"/>
      <c r="H287" s="901"/>
      <c r="I287" s="901"/>
      <c r="J287" s="901"/>
      <c r="K287" s="901"/>
      <c r="L287" s="901"/>
      <c r="M287" s="901"/>
      <c r="N287" s="901"/>
      <c r="O287" s="901"/>
      <c r="P287" s="901"/>
      <c r="Q287" s="901"/>
      <c r="R287" s="901"/>
      <c r="S287" s="901"/>
      <c r="T287" s="901"/>
      <c r="U287" s="901"/>
      <c r="V287" s="901"/>
      <c r="W287" s="901"/>
      <c r="X287" s="901"/>
      <c r="Y287" s="901"/>
      <c r="Z287" s="901"/>
      <c r="AA287" s="901"/>
      <c r="AB287" s="901"/>
      <c r="AC287" s="901"/>
      <c r="AD287" s="901"/>
      <c r="AE287" s="901"/>
      <c r="AF287" s="901"/>
      <c r="AG287" s="901"/>
      <c r="AH287" s="902"/>
      <c r="AI287" s="902"/>
      <c r="AJ287" s="903"/>
      <c r="AK287" s="903"/>
      <c r="AL287" s="903"/>
      <c r="AM287" s="901"/>
      <c r="AN287" s="904"/>
    </row>
    <row r="288" spans="1:40" s="900" customFormat="1">
      <c r="A288" s="816"/>
      <c r="B288" s="816"/>
      <c r="C288" s="816"/>
      <c r="D288" s="816"/>
      <c r="E288" s="816"/>
      <c r="F288" s="816"/>
      <c r="G288" s="901"/>
      <c r="H288" s="901"/>
      <c r="I288" s="901"/>
      <c r="J288" s="901"/>
      <c r="K288" s="901"/>
      <c r="L288" s="901"/>
      <c r="M288" s="901"/>
      <c r="N288" s="901"/>
      <c r="O288" s="901"/>
      <c r="P288" s="901"/>
      <c r="Q288" s="901"/>
      <c r="R288" s="901"/>
      <c r="S288" s="901"/>
      <c r="T288" s="901"/>
      <c r="U288" s="901"/>
      <c r="V288" s="901"/>
      <c r="W288" s="901"/>
      <c r="X288" s="901"/>
      <c r="Y288" s="901"/>
      <c r="Z288" s="901"/>
      <c r="AA288" s="901"/>
      <c r="AB288" s="901"/>
      <c r="AC288" s="901"/>
      <c r="AD288" s="901"/>
      <c r="AE288" s="901"/>
      <c r="AF288" s="901"/>
      <c r="AG288" s="901"/>
      <c r="AH288" s="902"/>
      <c r="AI288" s="902"/>
      <c r="AJ288" s="903"/>
      <c r="AK288" s="903"/>
      <c r="AL288" s="903"/>
      <c r="AM288" s="901"/>
      <c r="AN288" s="904"/>
    </row>
    <row r="289" spans="1:40" s="900" customFormat="1">
      <c r="A289" s="816"/>
      <c r="B289" s="816"/>
      <c r="C289" s="816"/>
      <c r="D289" s="816"/>
      <c r="E289" s="816"/>
      <c r="F289" s="816"/>
      <c r="G289" s="901"/>
      <c r="H289" s="901"/>
      <c r="I289" s="901"/>
      <c r="J289" s="901"/>
      <c r="K289" s="901"/>
      <c r="L289" s="901"/>
      <c r="M289" s="901"/>
      <c r="N289" s="901"/>
      <c r="O289" s="901"/>
      <c r="P289" s="901"/>
      <c r="Q289" s="901"/>
      <c r="R289" s="901"/>
      <c r="S289" s="901"/>
      <c r="T289" s="901"/>
      <c r="U289" s="901"/>
      <c r="V289" s="901"/>
      <c r="W289" s="901"/>
      <c r="X289" s="901"/>
      <c r="Y289" s="901"/>
      <c r="Z289" s="901"/>
      <c r="AA289" s="901"/>
      <c r="AB289" s="901"/>
      <c r="AC289" s="901"/>
      <c r="AD289" s="901"/>
      <c r="AE289" s="901"/>
      <c r="AF289" s="901"/>
      <c r="AG289" s="901"/>
      <c r="AH289" s="902"/>
      <c r="AI289" s="902"/>
      <c r="AJ289" s="903"/>
      <c r="AK289" s="903"/>
      <c r="AL289" s="903"/>
      <c r="AM289" s="901"/>
      <c r="AN289" s="904"/>
    </row>
    <row r="290" spans="1:40" s="900" customFormat="1">
      <c r="A290" s="816"/>
      <c r="B290" s="816"/>
      <c r="C290" s="816"/>
      <c r="D290" s="816"/>
      <c r="E290" s="816"/>
      <c r="F290" s="816"/>
      <c r="G290" s="901"/>
      <c r="H290" s="901"/>
      <c r="I290" s="901"/>
      <c r="J290" s="901"/>
      <c r="K290" s="901"/>
      <c r="L290" s="901"/>
      <c r="M290" s="901"/>
      <c r="N290" s="901"/>
      <c r="O290" s="901"/>
      <c r="P290" s="901"/>
      <c r="Q290" s="901"/>
      <c r="R290" s="901"/>
      <c r="S290" s="901"/>
      <c r="T290" s="901"/>
      <c r="U290" s="901"/>
      <c r="V290" s="901"/>
      <c r="W290" s="901"/>
      <c r="X290" s="901"/>
      <c r="Y290" s="901"/>
      <c r="Z290" s="901"/>
      <c r="AA290" s="901"/>
      <c r="AB290" s="901"/>
      <c r="AC290" s="901"/>
      <c r="AD290" s="901"/>
      <c r="AE290" s="901"/>
      <c r="AF290" s="901"/>
      <c r="AG290" s="901"/>
      <c r="AH290" s="902"/>
      <c r="AI290" s="902"/>
      <c r="AJ290" s="903"/>
      <c r="AK290" s="903"/>
      <c r="AL290" s="903"/>
      <c r="AM290" s="901"/>
      <c r="AN290" s="904"/>
    </row>
    <row r="291" spans="1:40" s="900" customFormat="1">
      <c r="A291" s="816"/>
      <c r="B291" s="816"/>
      <c r="C291" s="816"/>
      <c r="D291" s="816"/>
      <c r="E291" s="816"/>
      <c r="F291" s="816"/>
      <c r="G291" s="901"/>
      <c r="H291" s="901"/>
      <c r="I291" s="901"/>
      <c r="J291" s="901"/>
      <c r="K291" s="901"/>
      <c r="L291" s="901"/>
      <c r="M291" s="901"/>
      <c r="N291" s="901"/>
      <c r="O291" s="901"/>
      <c r="P291" s="901"/>
      <c r="Q291" s="901"/>
      <c r="R291" s="901"/>
      <c r="S291" s="901"/>
      <c r="T291" s="901"/>
      <c r="U291" s="901"/>
      <c r="V291" s="901"/>
      <c r="W291" s="901"/>
      <c r="X291" s="901"/>
      <c r="Y291" s="901"/>
      <c r="Z291" s="901"/>
      <c r="AA291" s="901"/>
      <c r="AB291" s="901"/>
      <c r="AC291" s="901"/>
      <c r="AD291" s="901"/>
      <c r="AE291" s="901"/>
      <c r="AF291" s="901"/>
      <c r="AG291" s="901"/>
      <c r="AH291" s="902"/>
      <c r="AI291" s="902"/>
      <c r="AJ291" s="903"/>
      <c r="AK291" s="903"/>
      <c r="AL291" s="903"/>
      <c r="AM291" s="901"/>
      <c r="AN291" s="904"/>
    </row>
    <row r="292" spans="1:40" s="900" customFormat="1">
      <c r="A292" s="816"/>
      <c r="B292" s="816"/>
      <c r="C292" s="816"/>
      <c r="D292" s="816"/>
      <c r="E292" s="816"/>
      <c r="F292" s="816"/>
      <c r="G292" s="901"/>
      <c r="H292" s="901"/>
      <c r="I292" s="901"/>
      <c r="J292" s="901"/>
      <c r="K292" s="901"/>
      <c r="L292" s="901"/>
      <c r="M292" s="901"/>
      <c r="N292" s="901"/>
      <c r="O292" s="901"/>
      <c r="P292" s="901"/>
      <c r="Q292" s="901"/>
      <c r="R292" s="901"/>
      <c r="S292" s="901"/>
      <c r="T292" s="901"/>
      <c r="U292" s="901"/>
      <c r="V292" s="901"/>
      <c r="W292" s="901"/>
      <c r="X292" s="901"/>
      <c r="Y292" s="901"/>
      <c r="Z292" s="901"/>
      <c r="AA292" s="901"/>
      <c r="AB292" s="901"/>
      <c r="AC292" s="901"/>
      <c r="AD292" s="901"/>
      <c r="AE292" s="901"/>
      <c r="AF292" s="901"/>
      <c r="AG292" s="901"/>
      <c r="AH292" s="902"/>
      <c r="AI292" s="902"/>
      <c r="AJ292" s="903"/>
      <c r="AK292" s="903"/>
      <c r="AL292" s="903"/>
      <c r="AM292" s="901"/>
      <c r="AN292" s="904"/>
    </row>
    <row r="293" spans="1:40" s="900" customFormat="1">
      <c r="A293" s="816"/>
      <c r="B293" s="816"/>
      <c r="C293" s="816"/>
      <c r="D293" s="816"/>
      <c r="E293" s="816"/>
      <c r="F293" s="816"/>
      <c r="G293" s="901"/>
      <c r="H293" s="901"/>
      <c r="I293" s="901"/>
      <c r="J293" s="901"/>
      <c r="K293" s="901"/>
      <c r="L293" s="901"/>
      <c r="M293" s="901"/>
      <c r="N293" s="901"/>
      <c r="O293" s="901"/>
      <c r="P293" s="901"/>
      <c r="Q293" s="901"/>
      <c r="R293" s="901"/>
      <c r="S293" s="901"/>
      <c r="T293" s="901"/>
      <c r="U293" s="901"/>
      <c r="V293" s="901"/>
      <c r="W293" s="901"/>
      <c r="X293" s="901"/>
      <c r="Y293" s="901"/>
      <c r="Z293" s="901"/>
      <c r="AA293" s="901"/>
      <c r="AB293" s="901"/>
      <c r="AC293" s="901"/>
      <c r="AD293" s="901"/>
      <c r="AE293" s="901"/>
      <c r="AF293" s="901"/>
      <c r="AG293" s="901"/>
      <c r="AH293" s="902"/>
      <c r="AI293" s="902"/>
      <c r="AJ293" s="903"/>
      <c r="AK293" s="903"/>
      <c r="AL293" s="903"/>
      <c r="AM293" s="901"/>
      <c r="AN293" s="904"/>
    </row>
    <row r="445" spans="1:12">
      <c r="A445" s="440"/>
      <c r="B445" s="440"/>
      <c r="C445" s="441"/>
      <c r="G445" s="898"/>
      <c r="H445" s="898"/>
      <c r="I445" s="898"/>
      <c r="J445" s="898"/>
      <c r="K445" s="898"/>
      <c r="L445" s="898"/>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7" tint="-0.249977111117893"/>
    <pageSetUpPr fitToPage="1"/>
  </sheetPr>
  <dimension ref="A1:T47"/>
  <sheetViews>
    <sheetView topLeftCell="B19" workbookViewId="0">
      <selection activeCell="G17" sqref="A1:G17"/>
    </sheetView>
  </sheetViews>
  <sheetFormatPr defaultColWidth="7.75" defaultRowHeight="14.25"/>
  <cols>
    <col min="1" max="1" width="5.125" style="942" hidden="1" customWidth="1"/>
    <col min="2" max="2" width="61.625" style="944" bestFit="1" customWidth="1"/>
    <col min="3" max="3" width="22.5" style="944" bestFit="1" customWidth="1"/>
    <col min="4" max="4" width="20" style="944" bestFit="1" customWidth="1"/>
    <col min="5" max="17" width="11.875" style="944" customWidth="1"/>
    <col min="18" max="18" width="20.5" style="944" bestFit="1" customWidth="1"/>
    <col min="19" max="16384" width="7.75" style="944"/>
  </cols>
  <sheetData>
    <row r="1" spans="1:18" ht="18">
      <c r="B1" s="822" t="s">
        <v>1545</v>
      </c>
      <c r="C1" s="825" t="str">
        <f>'Model Report Formatized'!E1</f>
        <v>Combined</v>
      </c>
      <c r="D1" s="943"/>
      <c r="E1" s="943"/>
      <c r="F1" s="943"/>
      <c r="G1" s="943"/>
      <c r="H1" s="943"/>
      <c r="I1" s="943"/>
      <c r="J1" s="943"/>
      <c r="K1" s="943"/>
      <c r="L1" s="943"/>
      <c r="M1" s="943"/>
      <c r="N1" s="943"/>
      <c r="O1" s="943"/>
      <c r="P1" s="943"/>
      <c r="Q1" s="943"/>
    </row>
    <row r="2" spans="1:18" ht="18">
      <c r="B2" s="783" t="s">
        <v>1475</v>
      </c>
      <c r="C2" s="943"/>
      <c r="D2" s="945">
        <v>45</v>
      </c>
      <c r="E2" s="945">
        <f t="shared" ref="E2:R2" si="0">D2+1</f>
        <v>46</v>
      </c>
      <c r="F2" s="945">
        <f t="shared" si="0"/>
        <v>47</v>
      </c>
      <c r="G2" s="945">
        <f t="shared" si="0"/>
        <v>48</v>
      </c>
      <c r="H2" s="945">
        <f t="shared" si="0"/>
        <v>49</v>
      </c>
      <c r="I2" s="945">
        <f t="shared" si="0"/>
        <v>50</v>
      </c>
      <c r="J2" s="945">
        <f t="shared" si="0"/>
        <v>51</v>
      </c>
      <c r="K2" s="945">
        <f t="shared" si="0"/>
        <v>52</v>
      </c>
      <c r="L2" s="945">
        <f t="shared" si="0"/>
        <v>53</v>
      </c>
      <c r="M2" s="945">
        <f t="shared" si="0"/>
        <v>54</v>
      </c>
      <c r="N2" s="945">
        <f t="shared" si="0"/>
        <v>55</v>
      </c>
      <c r="O2" s="945">
        <f t="shared" si="0"/>
        <v>56</v>
      </c>
      <c r="P2" s="945">
        <f t="shared" si="0"/>
        <v>57</v>
      </c>
      <c r="Q2" s="945">
        <f t="shared" si="0"/>
        <v>58</v>
      </c>
      <c r="R2" s="945">
        <f t="shared" si="0"/>
        <v>59</v>
      </c>
    </row>
    <row r="3" spans="1:18">
      <c r="B3" s="784"/>
      <c r="C3" s="784"/>
      <c r="D3" s="785" t="s">
        <v>1476</v>
      </c>
      <c r="E3" s="785" t="s">
        <v>1477</v>
      </c>
      <c r="F3" s="785" t="s">
        <v>1478</v>
      </c>
      <c r="G3" s="785" t="s">
        <v>1479</v>
      </c>
      <c r="H3" s="785" t="s">
        <v>1480</v>
      </c>
      <c r="I3" s="785" t="s">
        <v>1481</v>
      </c>
      <c r="J3" s="785" t="s">
        <v>1482</v>
      </c>
      <c r="K3" s="785" t="s">
        <v>1483</v>
      </c>
      <c r="L3" s="785" t="s">
        <v>1484</v>
      </c>
      <c r="M3" s="785" t="s">
        <v>1485</v>
      </c>
      <c r="N3" s="785" t="s">
        <v>1486</v>
      </c>
      <c r="O3" s="785" t="s">
        <v>1487</v>
      </c>
      <c r="P3" s="785" t="s">
        <v>1488</v>
      </c>
      <c r="Q3" s="785" t="s">
        <v>1489</v>
      </c>
      <c r="R3" s="785" t="s">
        <v>1490</v>
      </c>
    </row>
    <row r="4" spans="1:18" ht="57.6" customHeight="1">
      <c r="B4" s="786" t="s">
        <v>1491</v>
      </c>
      <c r="C4" s="787" t="s">
        <v>1492</v>
      </c>
      <c r="D4" s="788">
        <f>'Model Report Formatized'!E2+1</f>
        <v>43466</v>
      </c>
      <c r="E4" s="788">
        <f>D4+1</f>
        <v>43467</v>
      </c>
      <c r="F4" s="788">
        <f t="shared" ref="F4:Q4" si="1">E4+1</f>
        <v>43468</v>
      </c>
      <c r="G4" s="788">
        <f t="shared" si="1"/>
        <v>43469</v>
      </c>
      <c r="H4" s="788">
        <f t="shared" si="1"/>
        <v>43470</v>
      </c>
      <c r="I4" s="788">
        <f t="shared" si="1"/>
        <v>43471</v>
      </c>
      <c r="J4" s="788">
        <f t="shared" si="1"/>
        <v>43472</v>
      </c>
      <c r="K4" s="788">
        <f t="shared" si="1"/>
        <v>43473</v>
      </c>
      <c r="L4" s="788">
        <f t="shared" si="1"/>
        <v>43474</v>
      </c>
      <c r="M4" s="788">
        <f t="shared" si="1"/>
        <v>43475</v>
      </c>
      <c r="N4" s="788">
        <f t="shared" si="1"/>
        <v>43476</v>
      </c>
      <c r="O4" s="788">
        <f t="shared" si="1"/>
        <v>43477</v>
      </c>
      <c r="P4" s="788">
        <f t="shared" si="1"/>
        <v>43478</v>
      </c>
      <c r="Q4" s="788">
        <f t="shared" si="1"/>
        <v>43479</v>
      </c>
      <c r="R4" s="789"/>
    </row>
    <row r="5" spans="1:18">
      <c r="A5" s="942" t="s">
        <v>1493</v>
      </c>
      <c r="B5" s="946" t="s">
        <v>1494</v>
      </c>
      <c r="C5" s="946" t="s">
        <v>1495</v>
      </c>
      <c r="D5" s="947">
        <f ca="1">-SUMIFS(INDEX('Data Processing'!$1:$1048576,0,D$2),'Data Processing'!$M:$M,$A5)</f>
        <v>2.440110439999847</v>
      </c>
      <c r="E5" s="947">
        <f ca="1">-SUMIFS(INDEX('Data Processing'!$1:$1048576,0,E$2),'Data Processing'!$M:$M,$A5)</f>
        <v>0</v>
      </c>
      <c r="F5" s="947">
        <f ca="1">-SUMIFS(INDEX('Data Processing'!$1:$1048576,0,F$2),'Data Processing'!$M:$M,$A5)</f>
        <v>0</v>
      </c>
      <c r="G5" s="947">
        <f ca="1">-SUMIFS(INDEX('Data Processing'!$1:$1048576,0,G$2),'Data Processing'!$M:$M,$A5)</f>
        <v>0</v>
      </c>
      <c r="H5" s="947">
        <f ca="1">-SUMIFS(INDEX('Data Processing'!$1:$1048576,0,H$2),'Data Processing'!$M:$M,$A5)</f>
        <v>0</v>
      </c>
      <c r="I5" s="947">
        <f ca="1">-SUMIFS(INDEX('Data Processing'!$1:$1048576,0,I$2),'Data Processing'!$M:$M,$A5)</f>
        <v>0</v>
      </c>
      <c r="J5" s="947">
        <f ca="1">-SUMIFS(INDEX('Data Processing'!$1:$1048576,0,J$2),'Data Processing'!$M:$M,$A5)</f>
        <v>0</v>
      </c>
      <c r="K5" s="947">
        <f ca="1">-SUMIFS(INDEX('Data Processing'!$1:$1048576,0,K$2),'Data Processing'!$M:$M,$A5)</f>
        <v>0</v>
      </c>
      <c r="L5" s="947">
        <f ca="1">-SUMIFS(INDEX('Data Processing'!$1:$1048576,0,L$2),'Data Processing'!$M:$M,$A5)</f>
        <v>0</v>
      </c>
      <c r="M5" s="947">
        <f ca="1">-SUMIFS(INDEX('Data Processing'!$1:$1048576,0,M$2),'Data Processing'!$M:$M,$A5)</f>
        <v>0</v>
      </c>
      <c r="N5" s="947">
        <f ca="1">-SUMIFS(INDEX('Data Processing'!$1:$1048576,0,N$2),'Data Processing'!$M:$M,$A5)</f>
        <v>0</v>
      </c>
      <c r="O5" s="947">
        <f ca="1">-SUMIFS(INDEX('Data Processing'!$1:$1048576,0,O$2),'Data Processing'!$M:$M,$A5)</f>
        <v>0</v>
      </c>
      <c r="P5" s="947">
        <f ca="1">-SUMIFS(INDEX('Data Processing'!$1:$1048576,0,P$2),'Data Processing'!$M:$M,$A5)</f>
        <v>0</v>
      </c>
      <c r="Q5" s="947">
        <f ca="1">-SUMIFS(INDEX('Data Processing'!$1:$1048576,0,Q$2),'Data Processing'!$M:$M,$A5)</f>
        <v>0</v>
      </c>
      <c r="R5" s="947">
        <f ca="1">SUM(D5:Q5)</f>
        <v>2.440110439999847</v>
      </c>
    </row>
    <row r="6" spans="1:18">
      <c r="A6" s="942" t="s">
        <v>1473</v>
      </c>
      <c r="B6" s="946" t="s">
        <v>1496</v>
      </c>
      <c r="C6" s="946" t="s">
        <v>19</v>
      </c>
      <c r="D6" s="947">
        <f>-SUMIFS(INDEX('Data Processing'!$1:$1048576,0,D$2),'Data Processing'!$M:$M,$A6)</f>
        <v>0</v>
      </c>
      <c r="E6" s="947">
        <f>-SUMIFS(INDEX('Data Processing'!$1:$1048576,0,E$2),'Data Processing'!$M:$M,$A6)</f>
        <v>0</v>
      </c>
      <c r="F6" s="947">
        <f>-SUMIFS(INDEX('Data Processing'!$1:$1048576,0,F$2),'Data Processing'!$M:$M,$A6)</f>
        <v>0</v>
      </c>
      <c r="G6" s="947">
        <f>-SUMIFS(INDEX('Data Processing'!$1:$1048576,0,G$2),'Data Processing'!$M:$M,$A6)</f>
        <v>0</v>
      </c>
      <c r="H6" s="947">
        <f>-SUMIFS(INDEX('Data Processing'!$1:$1048576,0,H$2),'Data Processing'!$M:$M,$A6)</f>
        <v>0</v>
      </c>
      <c r="I6" s="947">
        <f>-SUMIFS(INDEX('Data Processing'!$1:$1048576,0,I$2),'Data Processing'!$M:$M,$A6)</f>
        <v>0</v>
      </c>
      <c r="J6" s="947">
        <f>-SUMIFS(INDEX('Data Processing'!$1:$1048576,0,J$2),'Data Processing'!$M:$M,$A6)</f>
        <v>0</v>
      </c>
      <c r="K6" s="947">
        <f>-SUMIFS(INDEX('Data Processing'!$1:$1048576,0,K$2),'Data Processing'!$M:$M,$A6)</f>
        <v>0</v>
      </c>
      <c r="L6" s="947">
        <f>-SUMIFS(INDEX('Data Processing'!$1:$1048576,0,L$2),'Data Processing'!$M:$M,$A6)</f>
        <v>0</v>
      </c>
      <c r="M6" s="947">
        <f>-SUMIFS(INDEX('Data Processing'!$1:$1048576,0,M$2),'Data Processing'!$M:$M,$A6)</f>
        <v>0</v>
      </c>
      <c r="N6" s="947">
        <f>-SUMIFS(INDEX('Data Processing'!$1:$1048576,0,N$2),'Data Processing'!$M:$M,$A6)</f>
        <v>0</v>
      </c>
      <c r="O6" s="947">
        <f>-SUMIFS(INDEX('Data Processing'!$1:$1048576,0,O$2),'Data Processing'!$M:$M,$A6)</f>
        <v>0</v>
      </c>
      <c r="P6" s="947">
        <f>-SUMIFS(INDEX('Data Processing'!$1:$1048576,0,P$2),'Data Processing'!$M:$M,$A6)</f>
        <v>0</v>
      </c>
      <c r="Q6" s="947">
        <f>-SUMIFS(INDEX('Data Processing'!$1:$1048576,0,Q$2),'Data Processing'!$M:$M,$A6)</f>
        <v>0</v>
      </c>
      <c r="R6" s="947">
        <f>SUM(D6:Q6)</f>
        <v>0</v>
      </c>
    </row>
    <row r="7" spans="1:18">
      <c r="A7" s="942" t="s">
        <v>1497</v>
      </c>
      <c r="B7" s="946" t="s">
        <v>1498</v>
      </c>
      <c r="C7" s="946" t="s">
        <v>18</v>
      </c>
      <c r="D7" s="947">
        <f ca="1">-SUMIFS(INDEX('Data Processing'!$1:$1048576,0,D$2),'Data Processing'!$M:$M,$A7)</f>
        <v>7.1970036850001406</v>
      </c>
      <c r="E7" s="947">
        <f ca="1">-SUMIFS(INDEX('Data Processing'!$1:$1048576,0,E$2),'Data Processing'!$M:$M,$A7)</f>
        <v>0</v>
      </c>
      <c r="F7" s="947">
        <f ca="1">-SUMIFS(INDEX('Data Processing'!$1:$1048576,0,F$2),'Data Processing'!$M:$M,$A7)</f>
        <v>0</v>
      </c>
      <c r="G7" s="947">
        <f ca="1">-SUMIFS(INDEX('Data Processing'!$1:$1048576,0,G$2),'Data Processing'!$M:$M,$A7)</f>
        <v>0</v>
      </c>
      <c r="H7" s="947">
        <f ca="1">-SUMIFS(INDEX('Data Processing'!$1:$1048576,0,H$2),'Data Processing'!$M:$M,$A7)</f>
        <v>0</v>
      </c>
      <c r="I7" s="947">
        <f ca="1">-SUMIFS(INDEX('Data Processing'!$1:$1048576,0,I$2),'Data Processing'!$M:$M,$A7)</f>
        <v>0</v>
      </c>
      <c r="J7" s="947">
        <f ca="1">-SUMIFS(INDEX('Data Processing'!$1:$1048576,0,J$2),'Data Processing'!$M:$M,$A7)</f>
        <v>0</v>
      </c>
      <c r="K7" s="947">
        <f ca="1">-SUMIFS(INDEX('Data Processing'!$1:$1048576,0,K$2),'Data Processing'!$M:$M,$A7)</f>
        <v>0</v>
      </c>
      <c r="L7" s="947">
        <f ca="1">-SUMIFS(INDEX('Data Processing'!$1:$1048576,0,L$2),'Data Processing'!$M:$M,$A7)</f>
        <v>30</v>
      </c>
      <c r="M7" s="947">
        <f ca="1">-SUMIFS(INDEX('Data Processing'!$1:$1048576,0,M$2),'Data Processing'!$M:$M,$A7)</f>
        <v>30</v>
      </c>
      <c r="N7" s="947">
        <f ca="1">-SUMIFS(INDEX('Data Processing'!$1:$1048576,0,N$2),'Data Processing'!$M:$M,$A7)</f>
        <v>0</v>
      </c>
      <c r="O7" s="947">
        <f ca="1">-SUMIFS(INDEX('Data Processing'!$1:$1048576,0,O$2),'Data Processing'!$M:$M,$A7)</f>
        <v>0</v>
      </c>
      <c r="P7" s="947">
        <f ca="1">-SUMIFS(INDEX('Data Processing'!$1:$1048576,0,P$2),'Data Processing'!$M:$M,$A7)</f>
        <v>0</v>
      </c>
      <c r="Q7" s="947">
        <f ca="1">-SUMIFS(INDEX('Data Processing'!$1:$1048576,0,Q$2),'Data Processing'!$M:$M,$A7)</f>
        <v>0</v>
      </c>
      <c r="R7" s="947">
        <f t="shared" ref="R7:R9" ca="1" si="2">SUM(D7:Q7)</f>
        <v>67.197003685000141</v>
      </c>
    </row>
    <row r="8" spans="1:18" ht="28.5">
      <c r="A8" s="942" t="s">
        <v>1499</v>
      </c>
      <c r="B8" s="946" t="s">
        <v>1500</v>
      </c>
      <c r="C8" s="946" t="s">
        <v>1501</v>
      </c>
      <c r="D8" s="947">
        <f ca="1">-SUMIFS(INDEX('Data Processing'!$1:$1048576,0,D$2),'Data Processing'!$M:$M,$A8)</f>
        <v>0</v>
      </c>
      <c r="E8" s="947">
        <f ca="1">-SUMIFS(INDEX('Data Processing'!$1:$1048576,0,E$2),'Data Processing'!$M:$M,$A8)</f>
        <v>2.3610762599998907</v>
      </c>
      <c r="F8" s="947">
        <f ca="1">-SUMIFS(INDEX('Data Processing'!$1:$1048576,0,F$2),'Data Processing'!$M:$M,$A8)</f>
        <v>1.6140943200002766</v>
      </c>
      <c r="G8" s="947">
        <f ca="1">-SUMIFS(INDEX('Data Processing'!$1:$1048576,0,G$2),'Data Processing'!$M:$M,$A8)</f>
        <v>1.0667339199999333</v>
      </c>
      <c r="H8" s="947">
        <f ca="1">-SUMIFS(INDEX('Data Processing'!$1:$1048576,0,H$2),'Data Processing'!$M:$M,$A8)</f>
        <v>0</v>
      </c>
      <c r="I8" s="947">
        <f ca="1">-SUMIFS(INDEX('Data Processing'!$1:$1048576,0,I$2),'Data Processing'!$M:$M,$A8)</f>
        <v>0</v>
      </c>
      <c r="J8" s="947">
        <f ca="1">-SUMIFS(INDEX('Data Processing'!$1:$1048576,0,J$2),'Data Processing'!$M:$M,$A8)</f>
        <v>38.907639329999938</v>
      </c>
      <c r="K8" s="947">
        <f ca="1">-SUMIFS(INDEX('Data Processing'!$1:$1048576,0,K$2),'Data Processing'!$M:$M,$A8)</f>
        <v>0</v>
      </c>
      <c r="L8" s="947">
        <f ca="1">-SUMIFS(INDEX('Data Processing'!$1:$1048576,0,L$2),'Data Processing'!$M:$M,$A8)</f>
        <v>35.312783150000087</v>
      </c>
      <c r="M8" s="947">
        <f ca="1">-SUMIFS(INDEX('Data Processing'!$1:$1048576,0,M$2),'Data Processing'!$M:$M,$A8)</f>
        <v>0.19453748999967502</v>
      </c>
      <c r="N8" s="947">
        <f ca="1">-SUMIFS(INDEX('Data Processing'!$1:$1048576,0,N$2),'Data Processing'!$M:$M,$A8)</f>
        <v>12.260176734999959</v>
      </c>
      <c r="O8" s="947">
        <f ca="1">-SUMIFS(INDEX('Data Processing'!$1:$1048576,0,O$2),'Data Processing'!$M:$M,$A8)</f>
        <v>0</v>
      </c>
      <c r="P8" s="947">
        <f ca="1">-SUMIFS(INDEX('Data Processing'!$1:$1048576,0,P$2),'Data Processing'!$M:$M,$A8)</f>
        <v>0</v>
      </c>
      <c r="Q8" s="947">
        <f ca="1">-SUMIFS(INDEX('Data Processing'!$1:$1048576,0,Q$2),'Data Processing'!$M:$M,$A8)</f>
        <v>16.180647840000347</v>
      </c>
      <c r="R8" s="947">
        <f t="shared" ca="1" si="2"/>
        <v>107.89768904500011</v>
      </c>
    </row>
    <row r="9" spans="1:18">
      <c r="B9" s="790" t="s">
        <v>1502</v>
      </c>
      <c r="C9" s="790"/>
      <c r="D9" s="791">
        <f ca="1">SUM(D5:D8)</f>
        <v>9.6371141249999877</v>
      </c>
      <c r="E9" s="791">
        <f t="shared" ref="E9:Q9" ca="1" si="3">SUM(E5:E8)</f>
        <v>2.3610762599998907</v>
      </c>
      <c r="F9" s="791">
        <f t="shared" ca="1" si="3"/>
        <v>1.6140943200002766</v>
      </c>
      <c r="G9" s="791">
        <f t="shared" ca="1" si="3"/>
        <v>1.0667339199999333</v>
      </c>
      <c r="H9" s="791">
        <f t="shared" ca="1" si="3"/>
        <v>0</v>
      </c>
      <c r="I9" s="791">
        <f t="shared" ca="1" si="3"/>
        <v>0</v>
      </c>
      <c r="J9" s="791">
        <f t="shared" ca="1" si="3"/>
        <v>38.907639329999938</v>
      </c>
      <c r="K9" s="791">
        <f t="shared" ca="1" si="3"/>
        <v>0</v>
      </c>
      <c r="L9" s="791">
        <f t="shared" ca="1" si="3"/>
        <v>65.312783150000087</v>
      </c>
      <c r="M9" s="791">
        <f t="shared" ca="1" si="3"/>
        <v>30.194537489999675</v>
      </c>
      <c r="N9" s="791">
        <f t="shared" ca="1" si="3"/>
        <v>12.260176734999959</v>
      </c>
      <c r="O9" s="791">
        <f t="shared" ca="1" si="3"/>
        <v>0</v>
      </c>
      <c r="P9" s="791">
        <f t="shared" ca="1" si="3"/>
        <v>0</v>
      </c>
      <c r="Q9" s="791">
        <f t="shared" ca="1" si="3"/>
        <v>16.180647840000347</v>
      </c>
      <c r="R9" s="791">
        <f t="shared" ca="1" si="2"/>
        <v>177.53480317000009</v>
      </c>
    </row>
    <row r="10" spans="1:18">
      <c r="B10" s="792"/>
      <c r="C10" s="792"/>
      <c r="D10" s="793"/>
      <c r="E10" s="793"/>
      <c r="F10" s="793"/>
      <c r="G10" s="793"/>
      <c r="H10" s="793"/>
      <c r="I10" s="793"/>
      <c r="J10" s="793"/>
      <c r="K10" s="793"/>
      <c r="L10" s="793"/>
      <c r="M10" s="793"/>
      <c r="N10" s="793"/>
      <c r="O10" s="793"/>
      <c r="P10" s="793"/>
      <c r="Q10" s="793"/>
      <c r="R10" s="793"/>
    </row>
    <row r="11" spans="1:18">
      <c r="B11" s="787" t="s">
        <v>1503</v>
      </c>
      <c r="C11" s="787"/>
      <c r="D11" s="789"/>
      <c r="E11" s="789"/>
      <c r="F11" s="789"/>
      <c r="G11" s="789"/>
      <c r="H11" s="789"/>
      <c r="I11" s="789"/>
      <c r="J11" s="789"/>
      <c r="K11" s="789"/>
      <c r="L11" s="789"/>
      <c r="M11" s="789"/>
      <c r="N11" s="789"/>
      <c r="O11" s="789"/>
      <c r="P11" s="789"/>
      <c r="Q11" s="789"/>
      <c r="R11" s="789"/>
    </row>
    <row r="12" spans="1:18">
      <c r="A12" s="942" t="s">
        <v>1504</v>
      </c>
      <c r="B12" s="946" t="s">
        <v>1505</v>
      </c>
      <c r="C12" s="946" t="s">
        <v>1506</v>
      </c>
      <c r="D12" s="947">
        <f ca="1">-SUMIFS(INDEX('Data Processing'!$1:$1048576,0,D$2),'Data Processing'!$M:$M,$A12)</f>
        <v>0</v>
      </c>
      <c r="E12" s="947">
        <f ca="1">-SUMIFS(INDEX('Data Processing'!$1:$1048576,0,E$2),'Data Processing'!$M:$M,$A12)</f>
        <v>0</v>
      </c>
      <c r="F12" s="947">
        <f ca="1">-SUMIFS(INDEX('Data Processing'!$1:$1048576,0,F$2),'Data Processing'!$M:$M,$A12)</f>
        <v>0</v>
      </c>
      <c r="G12" s="947">
        <f ca="1">-SUMIFS(INDEX('Data Processing'!$1:$1048576,0,G$2),'Data Processing'!$M:$M,$A12)</f>
        <v>0</v>
      </c>
      <c r="H12" s="947">
        <f ca="1">-SUMIFS(INDEX('Data Processing'!$1:$1048576,0,H$2),'Data Processing'!$M:$M,$A12)</f>
        <v>0</v>
      </c>
      <c r="I12" s="947">
        <f ca="1">-SUMIFS(INDEX('Data Processing'!$1:$1048576,0,I$2),'Data Processing'!$M:$M,$A12)</f>
        <v>0</v>
      </c>
      <c r="J12" s="947">
        <f ca="1">-SUMIFS(INDEX('Data Processing'!$1:$1048576,0,J$2),'Data Processing'!$M:$M,$A12)</f>
        <v>0</v>
      </c>
      <c r="K12" s="947">
        <f ca="1">-SUMIFS(INDEX('Data Processing'!$1:$1048576,0,K$2),'Data Processing'!$M:$M,$A12)</f>
        <v>0</v>
      </c>
      <c r="L12" s="947">
        <f ca="1">-SUMIFS(INDEX('Data Processing'!$1:$1048576,0,L$2),'Data Processing'!$M:$M,$A12)</f>
        <v>0</v>
      </c>
      <c r="M12" s="947">
        <f ca="1">-SUMIFS(INDEX('Data Processing'!$1:$1048576,0,M$2),'Data Processing'!$M:$M,$A12)</f>
        <v>0</v>
      </c>
      <c r="N12" s="947">
        <f ca="1">-SUMIFS(INDEX('Data Processing'!$1:$1048576,0,N$2),'Data Processing'!$M:$M,$A12)</f>
        <v>0</v>
      </c>
      <c r="O12" s="947">
        <f ca="1">-SUMIFS(INDEX('Data Processing'!$1:$1048576,0,O$2),'Data Processing'!$M:$M,$A12)</f>
        <v>0</v>
      </c>
      <c r="P12" s="947">
        <f ca="1">-SUMIFS(INDEX('Data Processing'!$1:$1048576,0,P$2),'Data Processing'!$M:$M,$A12)</f>
        <v>0</v>
      </c>
      <c r="Q12" s="947">
        <f ca="1">-SUMIFS(INDEX('Data Processing'!$1:$1048576,0,Q$2),'Data Processing'!$M:$M,$A12)</f>
        <v>0</v>
      </c>
      <c r="R12" s="947">
        <f t="shared" ref="R12:R16" ca="1" si="4">SUM(D12:Q12)</f>
        <v>0</v>
      </c>
    </row>
    <row r="13" spans="1:18" ht="28.5">
      <c r="A13" s="942" t="s">
        <v>1507</v>
      </c>
      <c r="B13" s="946" t="s">
        <v>1508</v>
      </c>
      <c r="C13" s="946" t="s">
        <v>36</v>
      </c>
      <c r="D13" s="947">
        <f ca="1">-SUMIFS(INDEX('Data Processing'!$1:$1048576,0,D$2),'Data Processing'!$M:$M,$A13)</f>
        <v>-1631.0468127250724</v>
      </c>
      <c r="E13" s="947">
        <f ca="1">-SUMIFS(INDEX('Data Processing'!$1:$1048576,0,E$2),'Data Processing'!$M:$M,$A13)</f>
        <v>-271.84977828856273</v>
      </c>
      <c r="F13" s="947">
        <f ca="1">-SUMIFS(INDEX('Data Processing'!$1:$1048576,0,F$2),'Data Processing'!$M:$M,$A13)</f>
        <v>-271.84977828856273</v>
      </c>
      <c r="G13" s="947">
        <f ca="1">-SUMIFS(INDEX('Data Processing'!$1:$1048576,0,G$2),'Data Processing'!$M:$M,$A13)</f>
        <v>-271.84977828856273</v>
      </c>
      <c r="H13" s="947">
        <f ca="1">-SUMIFS(INDEX('Data Processing'!$1:$1048576,0,H$2),'Data Processing'!$M:$M,$A13)</f>
        <v>-271.84977828856273</v>
      </c>
      <c r="I13" s="947">
        <f ca="1">-SUMIFS(INDEX('Data Processing'!$1:$1048576,0,I$2),'Data Processing'!$M:$M,$A13)</f>
        <v>-271.84977828856273</v>
      </c>
      <c r="J13" s="947">
        <f ca="1">-SUMIFS(INDEX('Data Processing'!$1:$1048576,0,J$2),'Data Processing'!$M:$M,$A13)</f>
        <v>-271.84977828856273</v>
      </c>
      <c r="K13" s="947">
        <f ca="1">-SUMIFS(INDEX('Data Processing'!$1:$1048576,0,K$2),'Data Processing'!$M:$M,$A13)</f>
        <v>-233.01409567591097</v>
      </c>
      <c r="L13" s="947">
        <f ca="1">-SUMIFS(INDEX('Data Processing'!$1:$1048576,0,L$2),'Data Processing'!$M:$M,$A13)</f>
        <v>-233.01409567591097</v>
      </c>
      <c r="M13" s="947">
        <f ca="1">-SUMIFS(INDEX('Data Processing'!$1:$1048576,0,M$2),'Data Processing'!$M:$M,$A13)</f>
        <v>-233.01409567591097</v>
      </c>
      <c r="N13" s="947">
        <f ca="1">-SUMIFS(INDEX('Data Processing'!$1:$1048576,0,N$2),'Data Processing'!$M:$M,$A13)</f>
        <v>-233.01409567591097</v>
      </c>
      <c r="O13" s="947">
        <f ca="1">-SUMIFS(INDEX('Data Processing'!$1:$1048576,0,O$2),'Data Processing'!$M:$M,$A13)</f>
        <v>-233.01409567591097</v>
      </c>
      <c r="P13" s="947">
        <f ca="1">-SUMIFS(INDEX('Data Processing'!$1:$1048576,0,P$2),'Data Processing'!$M:$M,$A13)</f>
        <v>-233.01409567591097</v>
      </c>
      <c r="Q13" s="947">
        <f ca="1">-SUMIFS(INDEX('Data Processing'!$1:$1048576,0,Q$2),'Data Processing'!$M:$M,$A13)</f>
        <v>-233.01409567591097</v>
      </c>
      <c r="R13" s="947">
        <f t="shared" ca="1" si="4"/>
        <v>-4893.2441521878245</v>
      </c>
    </row>
    <row r="14" spans="1:18">
      <c r="A14" s="942" t="s">
        <v>1509</v>
      </c>
      <c r="B14" s="946" t="s">
        <v>1510</v>
      </c>
      <c r="C14" s="946" t="s">
        <v>24</v>
      </c>
      <c r="D14" s="947">
        <f ca="1">-SUMIFS(INDEX('Data Processing'!$1:$1048576,0,D$2),'Data Processing'!$M:$M,$A14)</f>
        <v>-220.31240042143938</v>
      </c>
      <c r="E14" s="947">
        <f ca="1">-SUMIFS(INDEX('Data Processing'!$1:$1048576,0,E$2),'Data Processing'!$M:$M,$A14)</f>
        <v>-73.443414347957429</v>
      </c>
      <c r="F14" s="947">
        <f ca="1">-SUMIFS(INDEX('Data Processing'!$1:$1048576,0,F$2),'Data Processing'!$M:$M,$A14)</f>
        <v>-81.253674460788858</v>
      </c>
      <c r="G14" s="947">
        <f ca="1">-SUMIFS(INDEX('Data Processing'!$1:$1048576,0,G$2),'Data Processing'!$M:$M,$A14)</f>
        <v>-79.848793381771685</v>
      </c>
      <c r="H14" s="947">
        <f ca="1">-SUMIFS(INDEX('Data Processing'!$1:$1048576,0,H$2),'Data Processing'!$M:$M,$A14)</f>
        <v>-73.330439512693147</v>
      </c>
      <c r="I14" s="947">
        <f ca="1">-SUMIFS(INDEX('Data Processing'!$1:$1048576,0,I$2),'Data Processing'!$M:$M,$A14)</f>
        <v>-73.330439512693175</v>
      </c>
      <c r="J14" s="947">
        <f ca="1">-SUMIFS(INDEX('Data Processing'!$1:$1048576,0,J$2),'Data Processing'!$M:$M,$A14)</f>
        <v>-122.12581944387442</v>
      </c>
      <c r="K14" s="947">
        <f ca="1">-SUMIFS(INDEX('Data Processing'!$1:$1048576,0,K$2),'Data Processing'!$M:$M,$A14)</f>
        <v>-65.980674480149901</v>
      </c>
      <c r="L14" s="947">
        <f ca="1">-SUMIFS(INDEX('Data Processing'!$1:$1048576,0,L$2),'Data Processing'!$M:$M,$A14)</f>
        <v>-130.72748317385268</v>
      </c>
      <c r="M14" s="947">
        <f ca="1">-SUMIFS(INDEX('Data Processing'!$1:$1048576,0,M$2),'Data Processing'!$M:$M,$A14)</f>
        <v>-84.329025467213029</v>
      </c>
      <c r="N14" s="947">
        <f ca="1">-SUMIFS(INDEX('Data Processing'!$1:$1048576,0,N$2),'Data Processing'!$M:$M,$A14)</f>
        <v>-62.058872235344069</v>
      </c>
      <c r="O14" s="947">
        <f ca="1">-SUMIFS(INDEX('Data Processing'!$1:$1048576,0,O$2),'Data Processing'!$M:$M,$A14)</f>
        <v>-61.903134218370639</v>
      </c>
      <c r="P14" s="947">
        <f ca="1">-SUMIFS(INDEX('Data Processing'!$1:$1048576,0,P$2),'Data Processing'!$M:$M,$A14)</f>
        <v>-61.903134218371122</v>
      </c>
      <c r="Q14" s="947">
        <f ca="1">-SUMIFS(INDEX('Data Processing'!$1:$1048576,0,Q$2),'Data Processing'!$M:$M,$A14)</f>
        <v>-97.582167287980894</v>
      </c>
      <c r="R14" s="947">
        <f t="shared" ca="1" si="4"/>
        <v>-1288.1294721625004</v>
      </c>
    </row>
    <row r="15" spans="1:18" ht="28.5">
      <c r="A15" s="942" t="s">
        <v>1511</v>
      </c>
      <c r="B15" s="946" t="s">
        <v>1512</v>
      </c>
      <c r="C15" s="946" t="s">
        <v>1513</v>
      </c>
      <c r="D15" s="947">
        <f ca="1">-SUMIFS(INDEX('Data Processing'!$1:$1048576,0,D$2),'Data Processing'!$M:$M,$A15)</f>
        <v>-19.209692000000359</v>
      </c>
      <c r="E15" s="947">
        <f ca="1">-SUMIFS(INDEX('Data Processing'!$1:$1048576,0,E$2),'Data Processing'!$M:$M,$A15)</f>
        <v>-6.4032306666667864</v>
      </c>
      <c r="F15" s="947">
        <f ca="1">-SUMIFS(INDEX('Data Processing'!$1:$1048576,0,F$2),'Data Processing'!$M:$M,$A15)</f>
        <v>-6.4032306666649674</v>
      </c>
      <c r="G15" s="947">
        <f ca="1">-SUMIFS(INDEX('Data Processing'!$1:$1048576,0,G$2),'Data Processing'!$M:$M,$A15)</f>
        <v>-6.4032306666686054</v>
      </c>
      <c r="H15" s="947">
        <f ca="1">-SUMIFS(INDEX('Data Processing'!$1:$1048576,0,H$2),'Data Processing'!$M:$M,$A15)</f>
        <v>-6.4032306666667864</v>
      </c>
      <c r="I15" s="947">
        <f ca="1">-SUMIFS(INDEX('Data Processing'!$1:$1048576,0,I$2),'Data Processing'!$M:$M,$A15)</f>
        <v>-6.4032306666649674</v>
      </c>
      <c r="J15" s="947">
        <f ca="1">-SUMIFS(INDEX('Data Processing'!$1:$1048576,0,J$2),'Data Processing'!$M:$M,$A15)</f>
        <v>-6.4032306666667864</v>
      </c>
      <c r="K15" s="947">
        <f ca="1">-SUMIFS(INDEX('Data Processing'!$1:$1048576,0,K$2),'Data Processing'!$M:$M,$A15)</f>
        <v>-5.4884834285712714</v>
      </c>
      <c r="L15" s="947">
        <f ca="1">-SUMIFS(INDEX('Data Processing'!$1:$1048576,0,L$2),'Data Processing'!$M:$M,$A15)</f>
        <v>-5.4884834285712714</v>
      </c>
      <c r="M15" s="947">
        <f ca="1">-SUMIFS(INDEX('Data Processing'!$1:$1048576,0,M$2),'Data Processing'!$M:$M,$A15)</f>
        <v>-5.4884834285712714</v>
      </c>
      <c r="N15" s="947">
        <f ca="1">-SUMIFS(INDEX('Data Processing'!$1:$1048576,0,N$2),'Data Processing'!$M:$M,$A15)</f>
        <v>-5.4884834285730904</v>
      </c>
      <c r="O15" s="947">
        <f ca="1">-SUMIFS(INDEX('Data Processing'!$1:$1048576,0,O$2),'Data Processing'!$M:$M,$A15)</f>
        <v>-5.4884834285712714</v>
      </c>
      <c r="P15" s="947">
        <f ca="1">-SUMIFS(INDEX('Data Processing'!$1:$1048576,0,P$2),'Data Processing'!$M:$M,$A15)</f>
        <v>-5.4884834285712714</v>
      </c>
      <c r="Q15" s="947">
        <f ca="1">-SUMIFS(INDEX('Data Processing'!$1:$1048576,0,Q$2),'Data Processing'!$M:$M,$A15)</f>
        <v>-5.4884834285712714</v>
      </c>
      <c r="R15" s="947">
        <f t="shared" ca="1" si="4"/>
        <v>-96.048459999999977</v>
      </c>
    </row>
    <row r="16" spans="1:18">
      <c r="A16" s="942" t="s">
        <v>1514</v>
      </c>
      <c r="B16" s="946" t="s">
        <v>1515</v>
      </c>
      <c r="C16" s="946" t="s">
        <v>1516</v>
      </c>
      <c r="D16" s="947">
        <f ca="1">-SUMIFS(INDEX('Data Processing'!$1:$1048576,0,D$2),'Data Processing'!$M:$M,$A16)</f>
        <v>-352.60222759432997</v>
      </c>
      <c r="E16" s="947">
        <f ca="1">-SUMIFS(INDEX('Data Processing'!$1:$1048576,0,E$2),'Data Processing'!$M:$M,$A16)</f>
        <v>-117.53407586477665</v>
      </c>
      <c r="F16" s="947">
        <f ca="1">-SUMIFS(INDEX('Data Processing'!$1:$1048576,0,F$2),'Data Processing'!$M:$M,$A16)</f>
        <v>-117.53407586477665</v>
      </c>
      <c r="G16" s="947">
        <f ca="1">-SUMIFS(INDEX('Data Processing'!$1:$1048576,0,G$2),'Data Processing'!$M:$M,$A16)</f>
        <v>-117.53407586477665</v>
      </c>
      <c r="H16" s="947">
        <f ca="1">-SUMIFS(INDEX('Data Processing'!$1:$1048576,0,H$2),'Data Processing'!$M:$M,$A16)</f>
        <v>-117.53407586477665</v>
      </c>
      <c r="I16" s="947">
        <f ca="1">-SUMIFS(INDEX('Data Processing'!$1:$1048576,0,I$2),'Data Processing'!$M:$M,$A16)</f>
        <v>-117.53407586477665</v>
      </c>
      <c r="J16" s="947">
        <f ca="1">-SUMIFS(INDEX('Data Processing'!$1:$1048576,0,J$2),'Data Processing'!$M:$M,$A16)</f>
        <v>-117.53407586477665</v>
      </c>
      <c r="K16" s="947">
        <f ca="1">-SUMIFS(INDEX('Data Processing'!$1:$1048576,0,K$2),'Data Processing'!$M:$M,$A16)</f>
        <v>-100.74349359838</v>
      </c>
      <c r="L16" s="947">
        <f ca="1">-SUMIFS(INDEX('Data Processing'!$1:$1048576,0,L$2),'Data Processing'!$M:$M,$A16)</f>
        <v>-100.74349359838</v>
      </c>
      <c r="M16" s="947">
        <f ca="1">-SUMIFS(INDEX('Data Processing'!$1:$1048576,0,M$2),'Data Processing'!$M:$M,$A16)</f>
        <v>-100.74349359838</v>
      </c>
      <c r="N16" s="947">
        <f ca="1">-SUMIFS(INDEX('Data Processing'!$1:$1048576,0,N$2),'Data Processing'!$M:$M,$A16)</f>
        <v>-100.74349359838</v>
      </c>
      <c r="O16" s="947">
        <f ca="1">-SUMIFS(INDEX('Data Processing'!$1:$1048576,0,O$2),'Data Processing'!$M:$M,$A16)</f>
        <v>-100.74349359838</v>
      </c>
      <c r="P16" s="947">
        <f ca="1">-SUMIFS(INDEX('Data Processing'!$1:$1048576,0,P$2),'Data Processing'!$M:$M,$A16)</f>
        <v>-100.74349359838</v>
      </c>
      <c r="Q16" s="947">
        <f ca="1">-SUMIFS(INDEX('Data Processing'!$1:$1048576,0,Q$2),'Data Processing'!$M:$M,$A16)</f>
        <v>-100.74349359838</v>
      </c>
      <c r="R16" s="947">
        <f t="shared" ca="1" si="4"/>
        <v>-1763.0111379716495</v>
      </c>
    </row>
    <row r="17" spans="1:18">
      <c r="B17" s="794" t="s">
        <v>1517</v>
      </c>
      <c r="C17" s="795"/>
      <c r="D17" s="796">
        <f ca="1">SUM(D12:D16)</f>
        <v>-2223.171132740842</v>
      </c>
      <c r="E17" s="796">
        <f t="shared" ref="E17:Q17" ca="1" si="5">SUM(E12:E16)</f>
        <v>-469.23049916796361</v>
      </c>
      <c r="F17" s="796">
        <f t="shared" ca="1" si="5"/>
        <v>-477.04075928079322</v>
      </c>
      <c r="G17" s="796">
        <f t="shared" ca="1" si="5"/>
        <v>-475.63587820177969</v>
      </c>
      <c r="H17" s="796">
        <f t="shared" ca="1" si="5"/>
        <v>-469.1175243326993</v>
      </c>
      <c r="I17" s="796">
        <f t="shared" ca="1" si="5"/>
        <v>-469.11752433269754</v>
      </c>
      <c r="J17" s="796">
        <f t="shared" ca="1" si="5"/>
        <v>-517.91290426388059</v>
      </c>
      <c r="K17" s="796">
        <f t="shared" ca="1" si="5"/>
        <v>-405.22674718301215</v>
      </c>
      <c r="L17" s="796">
        <f t="shared" ca="1" si="5"/>
        <v>-469.9735558767149</v>
      </c>
      <c r="M17" s="796">
        <f t="shared" ca="1" si="5"/>
        <v>-423.57509817007525</v>
      </c>
      <c r="N17" s="796">
        <f t="shared" ca="1" si="5"/>
        <v>-401.30494493820811</v>
      </c>
      <c r="O17" s="796">
        <f t="shared" ca="1" si="5"/>
        <v>-401.14920692123286</v>
      </c>
      <c r="P17" s="796">
        <f t="shared" ca="1" si="5"/>
        <v>-401.14920692123331</v>
      </c>
      <c r="Q17" s="796">
        <f t="shared" ca="1" si="5"/>
        <v>-436.82823999084309</v>
      </c>
      <c r="R17" s="796">
        <f ca="1">SUM(D17:Q17)</f>
        <v>-8040.4332223219753</v>
      </c>
    </row>
    <row r="18" spans="1:18">
      <c r="B18" s="797"/>
      <c r="C18" s="797"/>
      <c r="D18" s="793"/>
      <c r="E18" s="793"/>
      <c r="F18" s="793"/>
      <c r="G18" s="793"/>
      <c r="H18" s="793"/>
      <c r="I18" s="793"/>
      <c r="J18" s="793"/>
      <c r="K18" s="793"/>
      <c r="L18" s="793"/>
      <c r="M18" s="793"/>
      <c r="N18" s="793"/>
      <c r="O18" s="793"/>
      <c r="P18" s="793"/>
      <c r="Q18" s="793"/>
      <c r="R18" s="793"/>
    </row>
    <row r="19" spans="1:18">
      <c r="B19" s="798" t="s">
        <v>1518</v>
      </c>
      <c r="C19" s="798"/>
      <c r="D19" s="799">
        <f ca="1">D9+D17</f>
        <v>-2213.5340186158419</v>
      </c>
      <c r="E19" s="799">
        <f ca="1">E9+E17</f>
        <v>-466.86942290796372</v>
      </c>
      <c r="F19" s="799">
        <f t="shared" ref="F19:Q19" ca="1" si="6">F9+F17</f>
        <v>-475.42666496079295</v>
      </c>
      <c r="G19" s="799">
        <f t="shared" ca="1" si="6"/>
        <v>-474.56914428177976</v>
      </c>
      <c r="H19" s="799">
        <f t="shared" ca="1" si="6"/>
        <v>-469.1175243326993</v>
      </c>
      <c r="I19" s="799">
        <f t="shared" ca="1" si="6"/>
        <v>-469.11752433269754</v>
      </c>
      <c r="J19" s="799">
        <f t="shared" ca="1" si="6"/>
        <v>-479.00526493388065</v>
      </c>
      <c r="K19" s="799">
        <f t="shared" ca="1" si="6"/>
        <v>-405.22674718301215</v>
      </c>
      <c r="L19" s="799">
        <f t="shared" ca="1" si="6"/>
        <v>-404.66077272671481</v>
      </c>
      <c r="M19" s="799">
        <f t="shared" ca="1" si="6"/>
        <v>-393.38056068007558</v>
      </c>
      <c r="N19" s="799">
        <f t="shared" ca="1" si="6"/>
        <v>-389.04476820320815</v>
      </c>
      <c r="O19" s="799">
        <f t="shared" ca="1" si="6"/>
        <v>-401.14920692123286</v>
      </c>
      <c r="P19" s="799">
        <f t="shared" ca="1" si="6"/>
        <v>-401.14920692123331</v>
      </c>
      <c r="Q19" s="799">
        <f t="shared" ca="1" si="6"/>
        <v>-420.64759215084274</v>
      </c>
      <c r="R19" s="799">
        <f ca="1">MIN(SUM(D19:Q19),0)</f>
        <v>-7862.8984191519748</v>
      </c>
    </row>
    <row r="20" spans="1:18">
      <c r="B20" s="800"/>
      <c r="C20" s="800"/>
      <c r="D20" s="800"/>
      <c r="E20" s="800"/>
      <c r="F20" s="800"/>
      <c r="G20" s="800"/>
      <c r="H20" s="800"/>
      <c r="I20" s="800"/>
      <c r="J20" s="800"/>
      <c r="K20" s="800"/>
      <c r="L20" s="800"/>
      <c r="M20" s="800"/>
      <c r="N20" s="800"/>
      <c r="O20" s="800"/>
      <c r="P20" s="800"/>
      <c r="Q20" s="800"/>
    </row>
    <row r="21" spans="1:18" ht="18">
      <c r="B21" s="783" t="s">
        <v>1519</v>
      </c>
      <c r="C21" s="783"/>
      <c r="D21" s="801"/>
      <c r="E21" s="801"/>
      <c r="F21" s="801"/>
      <c r="G21" s="801"/>
      <c r="H21" s="801"/>
      <c r="I21" s="801"/>
      <c r="J21" s="801"/>
      <c r="K21" s="801"/>
      <c r="L21" s="801"/>
      <c r="M21" s="801"/>
      <c r="N21" s="801"/>
      <c r="O21" s="801"/>
      <c r="P21" s="801"/>
      <c r="Q21" s="801"/>
    </row>
    <row r="22" spans="1:18">
      <c r="B22" s="784"/>
      <c r="C22" s="784"/>
      <c r="D22" s="802" t="s">
        <v>1476</v>
      </c>
      <c r="E22" s="802" t="s">
        <v>1477</v>
      </c>
      <c r="F22" s="802" t="s">
        <v>1478</v>
      </c>
      <c r="G22" s="802" t="s">
        <v>1479</v>
      </c>
      <c r="H22" s="802" t="s">
        <v>1480</v>
      </c>
      <c r="I22" s="802" t="s">
        <v>1481</v>
      </c>
      <c r="J22" s="802" t="s">
        <v>1482</v>
      </c>
      <c r="K22" s="802" t="s">
        <v>1483</v>
      </c>
      <c r="L22" s="802" t="s">
        <v>1484</v>
      </c>
      <c r="M22" s="802" t="s">
        <v>1485</v>
      </c>
      <c r="N22" s="802" t="s">
        <v>1486</v>
      </c>
      <c r="O22" s="802" t="s">
        <v>1487</v>
      </c>
      <c r="P22" s="802" t="s">
        <v>1488</v>
      </c>
      <c r="Q22" s="802" t="s">
        <v>1489</v>
      </c>
      <c r="R22" s="802" t="s">
        <v>1490</v>
      </c>
    </row>
    <row r="23" spans="1:18">
      <c r="B23" s="787" t="s">
        <v>1520</v>
      </c>
      <c r="C23" s="787"/>
      <c r="D23" s="789"/>
      <c r="E23" s="789"/>
      <c r="F23" s="789"/>
      <c r="G23" s="789"/>
      <c r="H23" s="789"/>
      <c r="I23" s="789"/>
      <c r="J23" s="789"/>
      <c r="K23" s="789"/>
      <c r="L23" s="789"/>
      <c r="M23" s="789"/>
      <c r="N23" s="789"/>
      <c r="O23" s="789"/>
      <c r="P23" s="789"/>
      <c r="Q23" s="789"/>
      <c r="R23" s="789"/>
    </row>
    <row r="24" spans="1:18" ht="28.5">
      <c r="A24" s="942" t="s">
        <v>1472</v>
      </c>
      <c r="B24" s="946" t="s">
        <v>1521</v>
      </c>
      <c r="C24" s="946" t="s">
        <v>17</v>
      </c>
      <c r="D24" s="947">
        <f ca="1">-SUMIFS(INDEX('Data Processing'!$1:$1048576,0,D$2),'Data Processing'!$M:$M,$A24)</f>
        <v>26.714050670000006</v>
      </c>
      <c r="E24" s="947">
        <f ca="1">-SUMIFS(INDEX('Data Processing'!$1:$1048576,0,E$2),'Data Processing'!$M:$M,$A24)</f>
        <v>138.1905815099999</v>
      </c>
      <c r="F24" s="947">
        <f ca="1">-SUMIFS(INDEX('Data Processing'!$1:$1048576,0,F$2),'Data Processing'!$M:$M,$A24)</f>
        <v>0</v>
      </c>
      <c r="G24" s="947">
        <f ca="1">-SUMIFS(INDEX('Data Processing'!$1:$1048576,0,G$2),'Data Processing'!$M:$M,$A24)</f>
        <v>0</v>
      </c>
      <c r="H24" s="947">
        <f ca="1">-SUMIFS(INDEX('Data Processing'!$1:$1048576,0,H$2),'Data Processing'!$M:$M,$A24)</f>
        <v>0</v>
      </c>
      <c r="I24" s="947">
        <f ca="1">-SUMIFS(INDEX('Data Processing'!$1:$1048576,0,I$2),'Data Processing'!$M:$M,$A24)</f>
        <v>0</v>
      </c>
      <c r="J24" s="947">
        <f ca="1">-SUMIFS(INDEX('Data Processing'!$1:$1048576,0,J$2),'Data Processing'!$M:$M,$A24)</f>
        <v>0</v>
      </c>
      <c r="K24" s="947">
        <f ca="1">-SUMIFS(INDEX('Data Processing'!$1:$1048576,0,K$2),'Data Processing'!$M:$M,$A24)</f>
        <v>0</v>
      </c>
      <c r="L24" s="947">
        <f ca="1">-SUMIFS(INDEX('Data Processing'!$1:$1048576,0,L$2),'Data Processing'!$M:$M,$A24)</f>
        <v>0</v>
      </c>
      <c r="M24" s="947">
        <f ca="1">-SUMIFS(INDEX('Data Processing'!$1:$1048576,0,M$2),'Data Processing'!$M:$M,$A24)</f>
        <v>0</v>
      </c>
      <c r="N24" s="947">
        <f ca="1">-SUMIFS(INDEX('Data Processing'!$1:$1048576,0,N$2),'Data Processing'!$M:$M,$A24)</f>
        <v>0</v>
      </c>
      <c r="O24" s="947">
        <f ca="1">-SUMIFS(INDEX('Data Processing'!$1:$1048576,0,O$2),'Data Processing'!$M:$M,$A24)</f>
        <v>0</v>
      </c>
      <c r="P24" s="947">
        <f ca="1">-SUMIFS(INDEX('Data Processing'!$1:$1048576,0,P$2),'Data Processing'!$M:$M,$A24)</f>
        <v>0</v>
      </c>
      <c r="Q24" s="947">
        <f ca="1">-SUMIFS(INDEX('Data Processing'!$1:$1048576,0,Q$2),'Data Processing'!$M:$M,$A24)</f>
        <v>0</v>
      </c>
      <c r="R24" s="947">
        <f ca="1">SUM(D24:Q24)</f>
        <v>164.90463217999991</v>
      </c>
    </row>
    <row r="25" spans="1:18" ht="28.5">
      <c r="A25" s="942" t="s">
        <v>1522</v>
      </c>
      <c r="B25" s="946" t="s">
        <v>1523</v>
      </c>
      <c r="C25" s="946" t="s">
        <v>1524</v>
      </c>
      <c r="D25" s="947">
        <f ca="1">-SUMIFS(INDEX('Data Processing'!$1:$1048576,0,D$2),'Data Processing'!$M:$M,$A25)</f>
        <v>5.0000039664155338E-9</v>
      </c>
      <c r="E25" s="947">
        <f ca="1">-SUMIFS(INDEX('Data Processing'!$1:$1048576,0,E$2),'Data Processing'!$M:$M,$A25)</f>
        <v>0</v>
      </c>
      <c r="F25" s="947">
        <f ca="1">-SUMIFS(INDEX('Data Processing'!$1:$1048576,0,F$2),'Data Processing'!$M:$M,$A25)</f>
        <v>0</v>
      </c>
      <c r="G25" s="947">
        <f ca="1">-SUMIFS(INDEX('Data Processing'!$1:$1048576,0,G$2),'Data Processing'!$M:$M,$A25)</f>
        <v>0.21017215000000533</v>
      </c>
      <c r="H25" s="947">
        <f ca="1">-SUMIFS(INDEX('Data Processing'!$1:$1048576,0,H$2),'Data Processing'!$M:$M,$A25)</f>
        <v>0</v>
      </c>
      <c r="I25" s="947">
        <f ca="1">-SUMIFS(INDEX('Data Processing'!$1:$1048576,0,I$2),'Data Processing'!$M:$M,$A25)</f>
        <v>0</v>
      </c>
      <c r="J25" s="947">
        <f ca="1">-SUMIFS(INDEX('Data Processing'!$1:$1048576,0,J$2),'Data Processing'!$M:$M,$A25)</f>
        <v>1.1821060000000045</v>
      </c>
      <c r="K25" s="947">
        <f ca="1">-SUMIFS(INDEX('Data Processing'!$1:$1048576,0,K$2),'Data Processing'!$M:$M,$A25)</f>
        <v>7.0892142849999971</v>
      </c>
      <c r="L25" s="947">
        <f ca="1">-SUMIFS(INDEX('Data Processing'!$1:$1048576,0,L$2),'Data Processing'!$M:$M,$A25)</f>
        <v>5.75</v>
      </c>
      <c r="M25" s="947">
        <f ca="1">-SUMIFS(INDEX('Data Processing'!$1:$1048576,0,M$2),'Data Processing'!$M:$M,$A25)</f>
        <v>0</v>
      </c>
      <c r="N25" s="947">
        <f ca="1">-SUMIFS(INDEX('Data Processing'!$1:$1048576,0,N$2),'Data Processing'!$M:$M,$A25)</f>
        <v>0</v>
      </c>
      <c r="O25" s="947">
        <f ca="1">-SUMIFS(INDEX('Data Processing'!$1:$1048576,0,O$2),'Data Processing'!$M:$M,$A25)</f>
        <v>0</v>
      </c>
      <c r="P25" s="947">
        <f ca="1">-SUMIFS(INDEX('Data Processing'!$1:$1048576,0,P$2),'Data Processing'!$M:$M,$A25)</f>
        <v>0</v>
      </c>
      <c r="Q25" s="947">
        <f ca="1">-SUMIFS(INDEX('Data Processing'!$1:$1048576,0,Q$2),'Data Processing'!$M:$M,$A25)</f>
        <v>15.672331705000005</v>
      </c>
      <c r="R25" s="947">
        <f ca="1">SUM(D25:Q25)</f>
        <v>29.903824145000016</v>
      </c>
    </row>
    <row r="26" spans="1:18">
      <c r="B26" s="795" t="s">
        <v>1525</v>
      </c>
      <c r="C26" s="795"/>
      <c r="D26" s="803">
        <f t="shared" ref="D26:Q26" ca="1" si="7">SUM(D24:D25)</f>
        <v>26.71405067500001</v>
      </c>
      <c r="E26" s="803">
        <f t="shared" ca="1" si="7"/>
        <v>138.1905815099999</v>
      </c>
      <c r="F26" s="803">
        <f t="shared" ca="1" si="7"/>
        <v>0</v>
      </c>
      <c r="G26" s="803">
        <f t="shared" ca="1" si="7"/>
        <v>0.21017215000000533</v>
      </c>
      <c r="H26" s="803">
        <f t="shared" ca="1" si="7"/>
        <v>0</v>
      </c>
      <c r="I26" s="803">
        <f t="shared" ca="1" si="7"/>
        <v>0</v>
      </c>
      <c r="J26" s="803">
        <f t="shared" ca="1" si="7"/>
        <v>1.1821060000000045</v>
      </c>
      <c r="K26" s="803">
        <f t="shared" ca="1" si="7"/>
        <v>7.0892142849999971</v>
      </c>
      <c r="L26" s="803">
        <f t="shared" ca="1" si="7"/>
        <v>5.75</v>
      </c>
      <c r="M26" s="803">
        <f t="shared" ca="1" si="7"/>
        <v>0</v>
      </c>
      <c r="N26" s="803">
        <f t="shared" ca="1" si="7"/>
        <v>0</v>
      </c>
      <c r="O26" s="803">
        <f t="shared" ca="1" si="7"/>
        <v>0</v>
      </c>
      <c r="P26" s="803">
        <f t="shared" ca="1" si="7"/>
        <v>0</v>
      </c>
      <c r="Q26" s="803">
        <f t="shared" ca="1" si="7"/>
        <v>15.672331705000005</v>
      </c>
      <c r="R26" s="803">
        <f ca="1">SUM(D26:Q26)</f>
        <v>194.80845632499992</v>
      </c>
    </row>
    <row r="27" spans="1:18">
      <c r="B27" s="804"/>
      <c r="C27" s="804"/>
      <c r="D27" s="793"/>
      <c r="E27" s="793"/>
      <c r="F27" s="793"/>
      <c r="G27" s="793"/>
      <c r="H27" s="793"/>
      <c r="I27" s="793"/>
      <c r="J27" s="793"/>
      <c r="K27" s="793"/>
      <c r="L27" s="793"/>
      <c r="M27" s="793"/>
      <c r="N27" s="793"/>
      <c r="O27" s="793"/>
      <c r="P27" s="793"/>
      <c r="Q27" s="793"/>
      <c r="R27" s="793"/>
    </row>
    <row r="28" spans="1:18">
      <c r="B28" s="787" t="s">
        <v>1526</v>
      </c>
      <c r="C28" s="787"/>
      <c r="D28" s="805"/>
      <c r="E28" s="805"/>
      <c r="F28" s="805"/>
      <c r="G28" s="805"/>
      <c r="H28" s="805"/>
      <c r="I28" s="805"/>
      <c r="J28" s="805"/>
      <c r="K28" s="805"/>
      <c r="L28" s="805"/>
      <c r="M28" s="805"/>
      <c r="N28" s="805"/>
      <c r="O28" s="805"/>
      <c r="P28" s="805"/>
      <c r="Q28" s="805"/>
      <c r="R28" s="805"/>
    </row>
    <row r="29" spans="1:18">
      <c r="B29" s="786" t="s">
        <v>1527</v>
      </c>
      <c r="C29" s="787"/>
      <c r="D29" s="805"/>
      <c r="E29" s="805"/>
      <c r="F29" s="805"/>
      <c r="G29" s="805"/>
      <c r="H29" s="805"/>
      <c r="I29" s="805"/>
      <c r="J29" s="805"/>
      <c r="K29" s="805"/>
      <c r="L29" s="805"/>
      <c r="M29" s="805"/>
      <c r="N29" s="805"/>
      <c r="O29" s="805"/>
      <c r="P29" s="805"/>
      <c r="Q29" s="805"/>
      <c r="R29" s="805"/>
    </row>
    <row r="30" spans="1:18" ht="42.75">
      <c r="A30" s="942" t="s">
        <v>1528</v>
      </c>
      <c r="B30" s="946" t="s">
        <v>1529</v>
      </c>
      <c r="C30" s="946" t="s">
        <v>1530</v>
      </c>
      <c r="D30" s="947">
        <f ca="1">-SUMIFS(INDEX('Data Processing'!$1:$1048576,0,D$2),'Data Processing'!$M:$M,$A30)</f>
        <v>-208.68184852475753</v>
      </c>
      <c r="E30" s="947">
        <f ca="1">-SUMIFS(INDEX('Data Processing'!$1:$1048576,0,E$2),'Data Processing'!$M:$M,$A30)</f>
        <v>-14274.780308087462</v>
      </c>
      <c r="F30" s="947">
        <f ca="1">-SUMIFS(INDEX('Data Processing'!$1:$1048576,0,F$2),'Data Processing'!$M:$M,$A30)</f>
        <v>-34.780308087459588</v>
      </c>
      <c r="G30" s="947">
        <f ca="1">-SUMIFS(INDEX('Data Processing'!$1:$1048576,0,G$2),'Data Processing'!$M:$M,$A30)</f>
        <v>-34.780308087459588</v>
      </c>
      <c r="H30" s="947">
        <f ca="1">-SUMIFS(INDEX('Data Processing'!$1:$1048576,0,H$2),'Data Processing'!$M:$M,$A30)</f>
        <v>-34.780308087459588</v>
      </c>
      <c r="I30" s="947">
        <f ca="1">-SUMIFS(INDEX('Data Processing'!$1:$1048576,0,I$2),'Data Processing'!$M:$M,$A30)</f>
        <v>-34.780308087459588</v>
      </c>
      <c r="J30" s="947">
        <f ca="1">-SUMIFS(INDEX('Data Processing'!$1:$1048576,0,J$2),'Data Processing'!$M:$M,$A30)</f>
        <v>-34.780308087459588</v>
      </c>
      <c r="K30" s="947">
        <f ca="1">-SUMIFS(INDEX('Data Processing'!$1:$1048576,0,K$2),'Data Processing'!$M:$M,$A30)</f>
        <v>-29.811692646393933</v>
      </c>
      <c r="L30" s="947">
        <f ca="1">-SUMIFS(INDEX('Data Processing'!$1:$1048576,0,L$2),'Data Processing'!$M:$M,$A30)</f>
        <v>-29.811692646393933</v>
      </c>
      <c r="M30" s="947">
        <f ca="1">-SUMIFS(INDEX('Data Processing'!$1:$1048576,0,M$2),'Data Processing'!$M:$M,$A30)</f>
        <v>-29.811692646393933</v>
      </c>
      <c r="N30" s="947">
        <f ca="1">-SUMIFS(INDEX('Data Processing'!$1:$1048576,0,N$2),'Data Processing'!$M:$M,$A30)</f>
        <v>-29.811692646393933</v>
      </c>
      <c r="O30" s="947">
        <f ca="1">-SUMIFS(INDEX('Data Processing'!$1:$1048576,0,O$2),'Data Processing'!$M:$M,$A30)</f>
        <v>-29.811692646393933</v>
      </c>
      <c r="P30" s="947">
        <f ca="1">-SUMIFS(INDEX('Data Processing'!$1:$1048576,0,P$2),'Data Processing'!$M:$M,$A30)</f>
        <v>-29.811692646393933</v>
      </c>
      <c r="Q30" s="947">
        <f ca="1">-SUMIFS(INDEX('Data Processing'!$1:$1048576,0,Q$2),'Data Processing'!$M:$M,$A30)</f>
        <v>-29.811692646393933</v>
      </c>
      <c r="R30" s="947">
        <f t="shared" ref="R30:R32" ca="1" si="8">SUM(D30:Q30)</f>
        <v>-14866.045545574274</v>
      </c>
    </row>
    <row r="31" spans="1:18">
      <c r="A31" s="942" t="s">
        <v>1531</v>
      </c>
      <c r="B31" s="946" t="s">
        <v>1532</v>
      </c>
      <c r="C31" s="946" t="s">
        <v>1406</v>
      </c>
      <c r="D31" s="947">
        <f>-SUMIFS(INDEX('Data Processing'!$1:$1048576,0,D$2),'Data Processing'!$M:$M,$A31)</f>
        <v>-150</v>
      </c>
      <c r="E31" s="947">
        <f>-SUMIFS(INDEX('Data Processing'!$1:$1048576,0,E$2),'Data Processing'!$M:$M,$A31)</f>
        <v>0</v>
      </c>
      <c r="F31" s="947">
        <f>-SUMIFS(INDEX('Data Processing'!$1:$1048576,0,F$2),'Data Processing'!$M:$M,$A31)</f>
        <v>0</v>
      </c>
      <c r="G31" s="947">
        <f>-SUMIFS(INDEX('Data Processing'!$1:$1048576,0,G$2),'Data Processing'!$M:$M,$A31)</f>
        <v>0</v>
      </c>
      <c r="H31" s="947">
        <f>-SUMIFS(INDEX('Data Processing'!$1:$1048576,0,H$2),'Data Processing'!$M:$M,$A31)</f>
        <v>0</v>
      </c>
      <c r="I31" s="947">
        <f>-SUMIFS(INDEX('Data Processing'!$1:$1048576,0,I$2),'Data Processing'!$M:$M,$A31)</f>
        <v>0</v>
      </c>
      <c r="J31" s="947">
        <f>-SUMIFS(INDEX('Data Processing'!$1:$1048576,0,J$2),'Data Processing'!$M:$M,$A31)</f>
        <v>0</v>
      </c>
      <c r="K31" s="947">
        <f>-SUMIFS(INDEX('Data Processing'!$1:$1048576,0,K$2),'Data Processing'!$M:$M,$A31)</f>
        <v>0</v>
      </c>
      <c r="L31" s="947">
        <f>-SUMIFS(INDEX('Data Processing'!$1:$1048576,0,L$2),'Data Processing'!$M:$M,$A31)</f>
        <v>0</v>
      </c>
      <c r="M31" s="947">
        <f>-SUMIFS(INDEX('Data Processing'!$1:$1048576,0,M$2),'Data Processing'!$M:$M,$A31)</f>
        <v>0</v>
      </c>
      <c r="N31" s="947">
        <f>-SUMIFS(INDEX('Data Processing'!$1:$1048576,0,N$2),'Data Processing'!$M:$M,$A31)</f>
        <v>0</v>
      </c>
      <c r="O31" s="947">
        <f>-SUMIFS(INDEX('Data Processing'!$1:$1048576,0,O$2),'Data Processing'!$M:$M,$A31)</f>
        <v>0</v>
      </c>
      <c r="P31" s="947">
        <f>-SUMIFS(INDEX('Data Processing'!$1:$1048576,0,P$2),'Data Processing'!$M:$M,$A31)</f>
        <v>0</v>
      </c>
      <c r="Q31" s="947">
        <f>-SUMIFS(INDEX('Data Processing'!$1:$1048576,0,Q$2),'Data Processing'!$M:$M,$A31)</f>
        <v>0</v>
      </c>
      <c r="R31" s="947">
        <f t="shared" si="8"/>
        <v>-150</v>
      </c>
    </row>
    <row r="32" spans="1:18">
      <c r="B32" s="795" t="s">
        <v>1533</v>
      </c>
      <c r="C32" s="795"/>
      <c r="D32" s="796">
        <f ca="1">SUM(D30:D31)</f>
        <v>-358.68184852475753</v>
      </c>
      <c r="E32" s="796">
        <f t="shared" ref="E32:Q32" ca="1" si="9">SUM(E30:E31)</f>
        <v>-14274.780308087462</v>
      </c>
      <c r="F32" s="796">
        <f t="shared" ca="1" si="9"/>
        <v>-34.780308087459588</v>
      </c>
      <c r="G32" s="796">
        <f t="shared" ca="1" si="9"/>
        <v>-34.780308087459588</v>
      </c>
      <c r="H32" s="796">
        <f t="shared" ca="1" si="9"/>
        <v>-34.780308087459588</v>
      </c>
      <c r="I32" s="796">
        <f t="shared" ca="1" si="9"/>
        <v>-34.780308087459588</v>
      </c>
      <c r="J32" s="796">
        <f t="shared" ca="1" si="9"/>
        <v>-34.780308087459588</v>
      </c>
      <c r="K32" s="796">
        <f t="shared" ca="1" si="9"/>
        <v>-29.811692646393933</v>
      </c>
      <c r="L32" s="796">
        <f t="shared" ca="1" si="9"/>
        <v>-29.811692646393933</v>
      </c>
      <c r="M32" s="796">
        <f t="shared" ca="1" si="9"/>
        <v>-29.811692646393933</v>
      </c>
      <c r="N32" s="796">
        <f t="shared" ca="1" si="9"/>
        <v>-29.811692646393933</v>
      </c>
      <c r="O32" s="796">
        <f t="shared" ca="1" si="9"/>
        <v>-29.811692646393933</v>
      </c>
      <c r="P32" s="796">
        <f t="shared" ca="1" si="9"/>
        <v>-29.811692646393933</v>
      </c>
      <c r="Q32" s="796">
        <f t="shared" ca="1" si="9"/>
        <v>-29.811692646393933</v>
      </c>
      <c r="R32" s="796">
        <f t="shared" ca="1" si="8"/>
        <v>-15016.045545574274</v>
      </c>
    </row>
    <row r="33" spans="1:20" ht="21" customHeight="1">
      <c r="A33" s="944"/>
      <c r="B33" s="806" t="s">
        <v>1534</v>
      </c>
      <c r="C33" s="790"/>
      <c r="D33" s="807">
        <f ca="1">D26+D32</f>
        <v>-331.96779784975752</v>
      </c>
      <c r="E33" s="807">
        <f t="shared" ref="E33:Q33" ca="1" si="10">E26+E32</f>
        <v>-14136.589726577462</v>
      </c>
      <c r="F33" s="807">
        <f t="shared" ca="1" si="10"/>
        <v>-34.780308087459588</v>
      </c>
      <c r="G33" s="807">
        <f t="shared" ca="1" si="10"/>
        <v>-34.570135937459582</v>
      </c>
      <c r="H33" s="807">
        <f t="shared" ca="1" si="10"/>
        <v>-34.780308087459588</v>
      </c>
      <c r="I33" s="807">
        <f t="shared" ca="1" si="10"/>
        <v>-34.780308087459588</v>
      </c>
      <c r="J33" s="807">
        <f t="shared" ca="1" si="10"/>
        <v>-33.598202087459583</v>
      </c>
      <c r="K33" s="807">
        <f t="shared" ca="1" si="10"/>
        <v>-22.722478361393936</v>
      </c>
      <c r="L33" s="807">
        <f t="shared" ca="1" si="10"/>
        <v>-24.061692646393933</v>
      </c>
      <c r="M33" s="807">
        <f t="shared" ca="1" si="10"/>
        <v>-29.811692646393933</v>
      </c>
      <c r="N33" s="807">
        <f t="shared" ca="1" si="10"/>
        <v>-29.811692646393933</v>
      </c>
      <c r="O33" s="807">
        <f t="shared" ca="1" si="10"/>
        <v>-29.811692646393933</v>
      </c>
      <c r="P33" s="807">
        <f t="shared" ca="1" si="10"/>
        <v>-29.811692646393933</v>
      </c>
      <c r="Q33" s="807">
        <f t="shared" ca="1" si="10"/>
        <v>-14.139360941393928</v>
      </c>
      <c r="R33" s="807">
        <f ca="1">R26+R32</f>
        <v>-14821.237089249275</v>
      </c>
    </row>
    <row r="34" spans="1:20">
      <c r="A34" s="944"/>
      <c r="B34" s="786" t="s">
        <v>1535</v>
      </c>
      <c r="C34" s="787"/>
      <c r="D34" s="805"/>
      <c r="E34" s="805"/>
      <c r="F34" s="805"/>
      <c r="G34" s="805"/>
      <c r="H34" s="805"/>
      <c r="I34" s="805"/>
      <c r="J34" s="805"/>
      <c r="K34" s="805"/>
      <c r="L34" s="805"/>
      <c r="M34" s="805"/>
      <c r="N34" s="805"/>
      <c r="O34" s="805"/>
      <c r="P34" s="805"/>
      <c r="Q34" s="805"/>
      <c r="R34" s="805"/>
    </row>
    <row r="35" spans="1:20">
      <c r="A35" s="944"/>
      <c r="B35" s="790" t="s">
        <v>1182</v>
      </c>
      <c r="C35" s="790"/>
      <c r="D35" s="791">
        <f ca="1">D$33</f>
        <v>-331.96779784975752</v>
      </c>
      <c r="E35" s="791">
        <f ca="1">E$33+D35</f>
        <v>-14468.557524427219</v>
      </c>
      <c r="F35" s="791">
        <f t="shared" ref="F35:Q35" ca="1" si="11">F$33+E35</f>
        <v>-14503.337832514679</v>
      </c>
      <c r="G35" s="791">
        <f t="shared" ca="1" si="11"/>
        <v>-14537.907968452138</v>
      </c>
      <c r="H35" s="791">
        <f t="shared" ca="1" si="11"/>
        <v>-14572.688276539599</v>
      </c>
      <c r="I35" s="791">
        <f t="shared" ca="1" si="11"/>
        <v>-14607.468584627059</v>
      </c>
      <c r="J35" s="791">
        <f t="shared" ca="1" si="11"/>
        <v>-14641.066786714518</v>
      </c>
      <c r="K35" s="791">
        <f t="shared" ca="1" si="11"/>
        <v>-14663.789265075913</v>
      </c>
      <c r="L35" s="791">
        <f t="shared" ca="1" si="11"/>
        <v>-14687.850957722307</v>
      </c>
      <c r="M35" s="791">
        <f t="shared" ca="1" si="11"/>
        <v>-14717.6626503687</v>
      </c>
      <c r="N35" s="791">
        <f t="shared" ca="1" si="11"/>
        <v>-14747.474343015094</v>
      </c>
      <c r="O35" s="791">
        <f t="shared" ca="1" si="11"/>
        <v>-14777.286035661487</v>
      </c>
      <c r="P35" s="791">
        <f t="shared" ca="1" si="11"/>
        <v>-14807.097728307881</v>
      </c>
      <c r="Q35" s="791">
        <f t="shared" ca="1" si="11"/>
        <v>-14821.237089249275</v>
      </c>
      <c r="R35" s="791"/>
    </row>
    <row r="36" spans="1:20">
      <c r="A36" s="944"/>
      <c r="B36" s="790" t="s">
        <v>1184</v>
      </c>
      <c r="C36" s="790"/>
      <c r="D36" s="807">
        <f ca="1">MIN(0,D35)</f>
        <v>-331.96779784975752</v>
      </c>
      <c r="E36" s="807">
        <f t="shared" ref="E36:Q36" ca="1" si="12">MIN(0,E35)</f>
        <v>-14468.557524427219</v>
      </c>
      <c r="F36" s="807">
        <f t="shared" ca="1" si="12"/>
        <v>-14503.337832514679</v>
      </c>
      <c r="G36" s="807">
        <f t="shared" ca="1" si="12"/>
        <v>-14537.907968452138</v>
      </c>
      <c r="H36" s="807">
        <f t="shared" ca="1" si="12"/>
        <v>-14572.688276539599</v>
      </c>
      <c r="I36" s="807">
        <f t="shared" ca="1" si="12"/>
        <v>-14607.468584627059</v>
      </c>
      <c r="J36" s="807">
        <f t="shared" ca="1" si="12"/>
        <v>-14641.066786714518</v>
      </c>
      <c r="K36" s="807">
        <f t="shared" ca="1" si="12"/>
        <v>-14663.789265075913</v>
      </c>
      <c r="L36" s="807">
        <f t="shared" ca="1" si="12"/>
        <v>-14687.850957722307</v>
      </c>
      <c r="M36" s="807">
        <f t="shared" ca="1" si="12"/>
        <v>-14717.6626503687</v>
      </c>
      <c r="N36" s="807">
        <f t="shared" ca="1" si="12"/>
        <v>-14747.474343015094</v>
      </c>
      <c r="O36" s="807">
        <f t="shared" ca="1" si="12"/>
        <v>-14777.286035661487</v>
      </c>
      <c r="P36" s="807">
        <f t="shared" ca="1" si="12"/>
        <v>-14807.097728307881</v>
      </c>
      <c r="Q36" s="807">
        <f t="shared" ca="1" si="12"/>
        <v>-14821.237089249275</v>
      </c>
      <c r="R36" s="807"/>
      <c r="T36" s="948"/>
    </row>
    <row r="37" spans="1:20">
      <c r="A37" s="944"/>
      <c r="B37" s="790" t="s">
        <v>1536</v>
      </c>
      <c r="C37" s="790"/>
      <c r="D37" s="983"/>
      <c r="E37" s="984"/>
      <c r="F37" s="984"/>
      <c r="G37" s="984"/>
      <c r="H37" s="984"/>
      <c r="I37" s="984"/>
      <c r="J37" s="984"/>
      <c r="K37" s="984"/>
      <c r="L37" s="984"/>
      <c r="M37" s="984"/>
      <c r="N37" s="984"/>
      <c r="O37" s="984"/>
      <c r="P37" s="984"/>
      <c r="Q37" s="985"/>
      <c r="R37" s="791">
        <f ca="1">MIN(D36:Q36,0)</f>
        <v>-14821.237089249275</v>
      </c>
    </row>
    <row r="38" spans="1:20">
      <c r="A38" s="944"/>
      <c r="B38" s="798" t="s">
        <v>1537</v>
      </c>
      <c r="C38" s="798"/>
      <c r="D38" s="986"/>
      <c r="E38" s="987"/>
      <c r="F38" s="987"/>
      <c r="G38" s="987"/>
      <c r="H38" s="987"/>
      <c r="I38" s="987"/>
      <c r="J38" s="987"/>
      <c r="K38" s="987"/>
      <c r="L38" s="987"/>
      <c r="M38" s="987"/>
      <c r="N38" s="987"/>
      <c r="O38" s="987"/>
      <c r="P38" s="987"/>
      <c r="Q38" s="988"/>
      <c r="R38" s="799">
        <f ca="1">MIN(R37,0)</f>
        <v>-14821.237089249275</v>
      </c>
    </row>
    <row r="39" spans="1:20">
      <c r="A39" s="944"/>
      <c r="B39" s="808"/>
      <c r="C39" s="808"/>
      <c r="D39" s="821"/>
      <c r="E39" s="821"/>
      <c r="F39" s="821"/>
      <c r="G39" s="821"/>
      <c r="H39" s="821"/>
      <c r="I39" s="821"/>
      <c r="J39" s="821"/>
      <c r="K39" s="821"/>
      <c r="L39" s="821"/>
      <c r="M39" s="821"/>
      <c r="N39" s="821"/>
      <c r="O39" s="821"/>
      <c r="P39" s="821"/>
      <c r="Q39" s="821"/>
    </row>
    <row r="40" spans="1:20" ht="18">
      <c r="A40" s="944"/>
      <c r="B40" s="783" t="s">
        <v>1538</v>
      </c>
      <c r="C40" s="783" t="str">
        <f>"As of " &amp; TEXT('Model Report Formatized'!E2,"mm/dd/yyyy")</f>
        <v>As of 12/31/2018</v>
      </c>
      <c r="D40" s="801"/>
      <c r="E40" s="801"/>
      <c r="F40" s="801"/>
      <c r="G40" s="801"/>
      <c r="H40" s="801"/>
      <c r="I40" s="801"/>
      <c r="J40" s="801"/>
      <c r="K40" s="801"/>
      <c r="L40" s="801"/>
      <c r="M40" s="801"/>
      <c r="N40" s="801"/>
      <c r="O40" s="801"/>
      <c r="P40" s="801"/>
      <c r="Q40" s="801"/>
    </row>
    <row r="41" spans="1:20" ht="18">
      <c r="A41" s="944"/>
      <c r="B41" s="824" t="s">
        <v>1539</v>
      </c>
      <c r="C41" s="809"/>
      <c r="D41" s="801"/>
      <c r="E41" s="810"/>
      <c r="F41" s="811"/>
      <c r="G41" s="811"/>
      <c r="H41" s="811"/>
      <c r="I41" s="811"/>
      <c r="J41" s="811"/>
      <c r="K41" s="811"/>
      <c r="L41" s="811"/>
      <c r="M41" s="811"/>
      <c r="N41" s="811"/>
      <c r="O41" s="811"/>
      <c r="P41" s="811"/>
      <c r="Q41" s="811"/>
    </row>
    <row r="42" spans="1:20">
      <c r="A42" s="944"/>
      <c r="B42" s="790" t="s">
        <v>1518</v>
      </c>
      <c r="C42" s="823">
        <f ca="1">R19</f>
        <v>-7862.8984191519748</v>
      </c>
      <c r="E42" s="801"/>
      <c r="F42" s="801"/>
      <c r="G42" s="801"/>
      <c r="H42" s="801"/>
      <c r="I42" s="801"/>
      <c r="J42" s="801"/>
      <c r="K42" s="801"/>
      <c r="L42" s="801"/>
      <c r="M42" s="801"/>
      <c r="N42" s="801"/>
      <c r="O42" s="801"/>
      <c r="P42" s="801"/>
      <c r="Q42" s="801"/>
    </row>
    <row r="43" spans="1:20">
      <c r="A43" s="944"/>
      <c r="B43" s="790" t="s">
        <v>1537</v>
      </c>
      <c r="C43" s="823">
        <f ca="1">R38</f>
        <v>-14821.237089249275</v>
      </c>
      <c r="E43" s="801"/>
      <c r="F43" s="801"/>
      <c r="G43" s="801"/>
      <c r="H43" s="801"/>
      <c r="I43" s="801"/>
      <c r="J43" s="801"/>
      <c r="K43" s="801"/>
      <c r="L43" s="801"/>
      <c r="M43" s="801"/>
      <c r="N43" s="801"/>
      <c r="O43" s="801"/>
      <c r="P43" s="801"/>
      <c r="Q43" s="801"/>
    </row>
    <row r="44" spans="1:20">
      <c r="A44" s="944"/>
      <c r="B44" s="795" t="s">
        <v>1540</v>
      </c>
      <c r="C44" s="812">
        <f ca="1">C43+C42</f>
        <v>-22684.13550840125</v>
      </c>
      <c r="E44" s="801"/>
      <c r="F44" s="801"/>
      <c r="G44" s="801"/>
      <c r="H44" s="801"/>
      <c r="I44" s="801"/>
      <c r="J44" s="801"/>
      <c r="K44" s="801"/>
      <c r="L44" s="801"/>
      <c r="M44" s="801"/>
      <c r="N44" s="801"/>
      <c r="O44" s="801"/>
      <c r="P44" s="801"/>
      <c r="Q44" s="801"/>
    </row>
    <row r="45" spans="1:20" ht="28.5">
      <c r="A45" s="944"/>
      <c r="B45" s="798" t="s">
        <v>1541</v>
      </c>
      <c r="C45" s="814">
        <f ca="1">-C44</f>
        <v>22684.13550840125</v>
      </c>
      <c r="E45" s="813"/>
      <c r="F45" s="801"/>
      <c r="G45" s="801"/>
      <c r="H45" s="801"/>
      <c r="I45" s="801"/>
      <c r="J45" s="801"/>
      <c r="K45" s="801"/>
      <c r="L45" s="801"/>
      <c r="M45" s="801"/>
      <c r="N45" s="801"/>
      <c r="O45" s="801"/>
      <c r="P45" s="801"/>
      <c r="Q45" s="801"/>
    </row>
    <row r="46" spans="1:20">
      <c r="B46" s="798" t="s">
        <v>1542</v>
      </c>
      <c r="C46" s="814">
        <f>'Model Report Formatized'!E6</f>
        <v>32995.072847883108</v>
      </c>
    </row>
    <row r="47" spans="1:20">
      <c r="B47" s="798" t="s">
        <v>1543</v>
      </c>
      <c r="C47" s="814">
        <f ca="1">C46-C45</f>
        <v>10310.937339481858</v>
      </c>
    </row>
  </sheetData>
  <mergeCells count="2">
    <mergeCell ref="D37:Q37"/>
    <mergeCell ref="D38:Q38"/>
  </mergeCells>
  <pageMargins left="0" right="0" top="0.75" bottom="0.75" header="0.3" footer="0.3"/>
  <pageSetup scale="44"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tint="-0.249977111117893"/>
    <pageSetUpPr fitToPage="1"/>
  </sheetPr>
  <dimension ref="A1:AQ124"/>
  <sheetViews>
    <sheetView workbookViewId="0">
      <selection activeCell="AE5" sqref="AE5"/>
    </sheetView>
  </sheetViews>
  <sheetFormatPr defaultColWidth="9" defaultRowHeight="14.25"/>
  <cols>
    <col min="1" max="1" width="7" style="479" customWidth="1"/>
    <col min="2" max="2" width="9.5" style="652" customWidth="1"/>
    <col min="3" max="3" width="10.75" style="479" bestFit="1" customWidth="1"/>
    <col min="4" max="4" width="35.375" style="2" customWidth="1"/>
    <col min="5" max="5" width="16.75" style="443" customWidth="1"/>
    <col min="6" max="6" width="12" style="2" customWidth="1"/>
    <col min="7" max="7" width="17.75" style="2" customWidth="1"/>
    <col min="8" max="8" width="13.75" style="443" customWidth="1"/>
    <col min="9" max="9" width="13.875" style="443" customWidth="1"/>
    <col min="10" max="10" width="13.75" style="443" customWidth="1"/>
    <col min="11" max="11" width="15" style="443" customWidth="1"/>
    <col min="12" max="12" width="28.75" style="2" customWidth="1"/>
    <col min="13" max="13" width="14" style="443" customWidth="1"/>
    <col min="14" max="22" width="13.75" style="443" customWidth="1"/>
    <col min="23" max="26" width="9" style="443"/>
    <col min="27" max="27" width="63.625" style="443" bestFit="1" customWidth="1"/>
    <col min="28" max="28" width="12.75" style="443" customWidth="1"/>
    <col min="29" max="29" width="10.25" style="443" customWidth="1"/>
    <col min="30" max="30" width="11.25" style="443" customWidth="1"/>
    <col min="31" max="31" width="13.5" style="443" customWidth="1"/>
    <col min="32" max="32" width="10.25" style="443" customWidth="1"/>
    <col min="33" max="33" width="14.75" style="443" customWidth="1"/>
    <col min="34" max="34" width="10.25" style="443" customWidth="1"/>
    <col min="35" max="35" width="18" style="443" customWidth="1"/>
    <col min="36" max="36" width="10.25" style="443" bestFit="1" customWidth="1"/>
    <col min="37" max="37" width="11.25" style="443" bestFit="1" customWidth="1"/>
    <col min="38" max="39" width="9" style="443"/>
    <col min="40" max="40" width="26" style="443" bestFit="1" customWidth="1"/>
    <col min="41" max="41" width="16.5" style="443" bestFit="1" customWidth="1"/>
    <col min="42" max="16384" width="9" style="443"/>
  </cols>
  <sheetData>
    <row r="1" spans="1:43" ht="37.5">
      <c r="D1" s="483" t="s">
        <v>1016</v>
      </c>
      <c r="E1" s="484" t="s">
        <v>1112</v>
      </c>
      <c r="G1" s="915"/>
      <c r="H1" s="645"/>
      <c r="M1" s="443" t="s">
        <v>1633</v>
      </c>
      <c r="N1" s="645">
        <f>SUM(N65:N70)</f>
        <v>13991.841290229999</v>
      </c>
      <c r="P1" s="645"/>
      <c r="S1" s="645"/>
      <c r="V1" s="645"/>
      <c r="AA1" s="443" t="s">
        <v>1633</v>
      </c>
      <c r="AD1" s="443" t="s">
        <v>1633</v>
      </c>
      <c r="AI1" s="443" t="s">
        <v>1633</v>
      </c>
      <c r="AJ1" s="645">
        <f>SUM(AI65:AI70)</f>
        <v>13991.841290229999</v>
      </c>
    </row>
    <row r="2" spans="1:43" ht="18.75">
      <c r="D2" s="483" t="s">
        <v>1240</v>
      </c>
      <c r="E2" s="648">
        <v>43465</v>
      </c>
      <c r="G2" s="934"/>
      <c r="H2" s="744"/>
      <c r="M2" s="443" t="s">
        <v>1191</v>
      </c>
      <c r="N2" s="645">
        <f>SUM(N25:N72)</f>
        <v>60150.049057160002</v>
      </c>
      <c r="O2" s="649"/>
      <c r="P2" s="645"/>
      <c r="Q2" s="649"/>
      <c r="R2" s="649"/>
      <c r="S2" s="645"/>
      <c r="T2" s="649"/>
      <c r="U2" s="649"/>
      <c r="V2" s="645"/>
      <c r="AA2" s="443" t="s">
        <v>1191</v>
      </c>
      <c r="AD2" s="443" t="s">
        <v>1191</v>
      </c>
      <c r="AI2" s="443" t="s">
        <v>1191</v>
      </c>
      <c r="AJ2" s="645">
        <f>SUM(AI25:AI72)</f>
        <v>74352.488212450029</v>
      </c>
    </row>
    <row r="3" spans="1:43">
      <c r="E3" s="654"/>
      <c r="G3" s="2" t="s">
        <v>2763</v>
      </c>
      <c r="H3" s="926">
        <f ca="1">H6/(E6-H6)</f>
        <v>0.45454398452447636</v>
      </c>
      <c r="I3" s="654"/>
      <c r="J3" s="654"/>
      <c r="M3" s="443" t="s">
        <v>1634</v>
      </c>
      <c r="N3" s="926">
        <f>N1/N2</f>
        <v>0.23261562558217849</v>
      </c>
      <c r="Q3" s="650" t="s">
        <v>1271</v>
      </c>
      <c r="T3" s="650"/>
      <c r="AA3" s="443" t="s">
        <v>1634</v>
      </c>
      <c r="AD3" s="443" t="s">
        <v>1634</v>
      </c>
      <c r="AE3" s="443" t="s">
        <v>1643</v>
      </c>
      <c r="AI3" s="443" t="s">
        <v>1634</v>
      </c>
      <c r="AJ3" s="926">
        <f>AJ1/AJ2</f>
        <v>0.18818255618091231</v>
      </c>
    </row>
    <row r="4" spans="1:43">
      <c r="E4" s="654"/>
      <c r="G4" s="2" t="s">
        <v>2762</v>
      </c>
      <c r="H4" s="926">
        <f ca="1">H6/25000</f>
        <v>0.41243749357927445</v>
      </c>
      <c r="I4" s="654"/>
      <c r="J4" s="654"/>
      <c r="M4" s="443" t="s">
        <v>1342</v>
      </c>
      <c r="N4" s="926">
        <f ca="1">O6/P6</f>
        <v>0.45454398452447636</v>
      </c>
      <c r="Q4" s="650"/>
      <c r="T4" s="650"/>
      <c r="AA4" s="443" t="s">
        <v>1342</v>
      </c>
      <c r="AD4" s="443" t="s">
        <v>1342</v>
      </c>
      <c r="AE4" s="443" t="s">
        <v>1631</v>
      </c>
      <c r="AI4" s="443" t="s">
        <v>1342</v>
      </c>
      <c r="AJ4" s="926">
        <f ca="1">AJ6/AK6</f>
        <v>0.27170871404089625</v>
      </c>
    </row>
    <row r="5" spans="1:43" s="429" customFormat="1" ht="63" customHeight="1">
      <c r="A5" s="692" t="s">
        <v>1239</v>
      </c>
      <c r="B5" s="692"/>
      <c r="C5" s="693"/>
      <c r="D5" s="694" t="s">
        <v>1212</v>
      </c>
      <c r="E5" s="694" t="str">
        <f>"Balance of "&amp;TEXT('Model Report Formatized'!E2,"MM/DD/YYYY")</f>
        <v>Balance of 12/31/2018</v>
      </c>
      <c r="F5" s="695" t="s">
        <v>1349</v>
      </c>
      <c r="G5" s="695" t="s">
        <v>1350</v>
      </c>
      <c r="H5" s="694" t="s">
        <v>1210</v>
      </c>
      <c r="I5" s="694" t="s">
        <v>1348</v>
      </c>
      <c r="J5" s="694" t="s">
        <v>1206</v>
      </c>
      <c r="K5" s="694" t="s">
        <v>1677</v>
      </c>
      <c r="L5" s="694" t="s">
        <v>1205</v>
      </c>
      <c r="M5" s="696" t="s">
        <v>1204</v>
      </c>
      <c r="N5" s="705" t="str">
        <f t="shared" ref="N5:N40" si="0">E5</f>
        <v>Balance of 12/31/2018</v>
      </c>
      <c r="O5" s="694" t="s">
        <v>1210</v>
      </c>
      <c r="P5" s="696" t="s">
        <v>1203</v>
      </c>
      <c r="Q5" s="705" t="s">
        <v>1676</v>
      </c>
      <c r="R5" s="694" t="s">
        <v>1210</v>
      </c>
      <c r="S5" s="696" t="s">
        <v>1203</v>
      </c>
      <c r="T5" s="705" t="s">
        <v>1213</v>
      </c>
      <c r="U5" s="694" t="s">
        <v>1408</v>
      </c>
      <c r="V5" s="696" t="s">
        <v>1214</v>
      </c>
      <c r="W5" s="429" t="s">
        <v>1343</v>
      </c>
      <c r="X5" s="429" t="s">
        <v>1395</v>
      </c>
      <c r="AA5" s="916" t="s">
        <v>1212</v>
      </c>
      <c r="AB5" s="917" t="str">
        <f>N5</f>
        <v>Balance of 12/31/2018</v>
      </c>
      <c r="AC5" s="856" t="str">
        <f t="shared" ref="AC5:AC71" si="1">O5</f>
        <v>Balance After 14 days</v>
      </c>
      <c r="AD5" s="858" t="str">
        <f t="shared" ref="AD5:AD71" si="2">P5</f>
        <v>Cashflow in 14 days</v>
      </c>
      <c r="AE5" s="856" t="s">
        <v>1629</v>
      </c>
      <c r="AF5" s="856" t="s">
        <v>1630</v>
      </c>
      <c r="AG5" s="856" t="s">
        <v>1632</v>
      </c>
      <c r="AH5" s="856" t="s">
        <v>1632</v>
      </c>
      <c r="AI5" s="917" t="str">
        <f>AB5</f>
        <v>Balance of 12/31/2018</v>
      </c>
      <c r="AJ5" s="856" t="s">
        <v>1210</v>
      </c>
      <c r="AK5" s="858" t="s">
        <v>1203</v>
      </c>
    </row>
    <row r="6" spans="1:43" s="656" customFormat="1" ht="31.5">
      <c r="A6" s="691">
        <f>MATCH(C6,'Data Processing'!C:C,0)</f>
        <v>3</v>
      </c>
      <c r="B6" s="678"/>
      <c r="C6" s="659" t="s">
        <v>1470</v>
      </c>
      <c r="D6" s="660" t="str">
        <f>INDEX('Data Processing'!G:G,A6)</f>
        <v>Unrestricted Fed Balance and other HQLA securites</v>
      </c>
      <c r="E6" s="661">
        <f>-INDEX('Data Processing'!O:O,$A6)</f>
        <v>32995.072847883108</v>
      </c>
      <c r="F6" s="660"/>
      <c r="G6" s="660"/>
      <c r="H6" s="661">
        <f ca="1">-INDEX('Data Processing'!AC:AC,$A6)</f>
        <v>10310.937339481861</v>
      </c>
      <c r="I6" s="661">
        <f ca="1">-INDEX('Data Processing'!AE:AE,$A6)</f>
        <v>5680.9505530107053</v>
      </c>
      <c r="J6" s="661"/>
      <c r="K6" s="661"/>
      <c r="L6" s="660"/>
      <c r="M6" s="679" t="str">
        <f>INDEX('Data Processing'!AR:AR,A6)</f>
        <v>Netflow</v>
      </c>
      <c r="N6" s="706">
        <f t="shared" si="0"/>
        <v>32995.072847883108</v>
      </c>
      <c r="O6" s="661">
        <f t="shared" ref="O6:O41" ca="1" si="3">H6</f>
        <v>10310.937339481861</v>
      </c>
      <c r="P6" s="679">
        <f ca="1">E6-H6</f>
        <v>22684.135508401247</v>
      </c>
      <c r="Q6" s="706">
        <v>23633.942531097695</v>
      </c>
      <c r="R6" s="661">
        <v>3429.0741027370864</v>
      </c>
      <c r="S6" s="679">
        <v>20204.868428360609</v>
      </c>
      <c r="T6" s="706">
        <f>N6-Q6</f>
        <v>9361.130316785413</v>
      </c>
      <c r="U6" s="661">
        <f t="shared" ref="U6:U77" ca="1" si="4">O6-R6</f>
        <v>6881.8632367447753</v>
      </c>
      <c r="V6" s="679">
        <f t="shared" ref="V6:V80" ca="1" si="5">P6-S6</f>
        <v>2479.2670800406377</v>
      </c>
      <c r="W6" s="656">
        <v>1</v>
      </c>
      <c r="X6" s="656">
        <v>1</v>
      </c>
      <c r="AA6" s="918" t="s">
        <v>1441</v>
      </c>
      <c r="AB6" s="706">
        <f t="shared" ref="AB6:AB72" si="6">N6</f>
        <v>32995.072847883108</v>
      </c>
      <c r="AC6" s="661">
        <f t="shared" ca="1" si="1"/>
        <v>10310.937339481861</v>
      </c>
      <c r="AD6" s="859">
        <f t="shared" ca="1" si="2"/>
        <v>22684.135508401247</v>
      </c>
      <c r="AE6" s="661"/>
      <c r="AF6" s="661"/>
      <c r="AG6" s="661"/>
      <c r="AH6" s="661"/>
      <c r="AI6" s="706">
        <f>AB6-SUM(AG7:AG23)+SUM(AG25:AG74)</f>
        <v>46921.168611363108</v>
      </c>
      <c r="AJ6" s="661">
        <f ca="1">AC6-SUM(AH7:AH23)+SUM(AH25:AH74)</f>
        <v>10025.00827739044</v>
      </c>
      <c r="AK6" s="859">
        <f ca="1">AI6-AJ6</f>
        <v>36896.160333972672</v>
      </c>
    </row>
    <row r="7" spans="1:43" ht="14.25" customHeight="1">
      <c r="A7" s="475">
        <f>MATCH(C7,'Data Processing'!C:C,0)</f>
        <v>5</v>
      </c>
      <c r="B7" s="680"/>
      <c r="C7" s="668">
        <v>2.1</v>
      </c>
      <c r="D7" s="663" t="str">
        <f>INDEX('Data Processing'!G:G,A7)</f>
        <v>FRB Reserve</v>
      </c>
      <c r="E7" s="664">
        <f>-INDEX('Data Processing'!O:O,$A7)</f>
        <v>424.33800000000002</v>
      </c>
      <c r="F7" s="663"/>
      <c r="G7" s="663"/>
      <c r="H7" s="664">
        <f>-INDEX('Data Processing'!AC:AC,$A7)</f>
        <v>424.33800000000002</v>
      </c>
      <c r="I7" s="664">
        <f ca="1">-INDEX('Data Processing'!AE:AE,$A7)</f>
        <v>301.40848244025739</v>
      </c>
      <c r="J7" s="664"/>
      <c r="K7" s="664"/>
      <c r="L7" s="663" t="str">
        <f>INDEX('Data Processing'!K:K,A7)</f>
        <v>Not changed in 14 days, will change based on total customer deposit balance after 14 days</v>
      </c>
      <c r="M7" s="681" t="str">
        <f>INDEX('Data Processing'!AR:AR,A7)</f>
        <v>Inflow</v>
      </c>
      <c r="N7" s="707">
        <f t="shared" ref="N7" si="7">E7</f>
        <v>424.33800000000002</v>
      </c>
      <c r="O7" s="664">
        <f t="shared" ref="O7" si="8">H7</f>
        <v>424.33800000000002</v>
      </c>
      <c r="P7" s="681">
        <f t="shared" ref="P7" si="9">E7-H7</f>
        <v>0</v>
      </c>
      <c r="Q7" s="707">
        <v>395.42899999999997</v>
      </c>
      <c r="R7" s="664">
        <v>395.42899999999997</v>
      </c>
      <c r="S7" s="681">
        <v>0</v>
      </c>
      <c r="T7" s="707">
        <f t="shared" ref="T7" si="10">N7-Q7</f>
        <v>28.909000000000049</v>
      </c>
      <c r="U7" s="664">
        <f t="shared" ref="U7" si="11">O7-R7</f>
        <v>28.909000000000049</v>
      </c>
      <c r="V7" s="681">
        <f t="shared" ref="V7" si="12">P7-S7</f>
        <v>0</v>
      </c>
      <c r="X7" s="443" t="s">
        <v>1417</v>
      </c>
      <c r="AA7" s="919" t="s">
        <v>1229</v>
      </c>
      <c r="AB7" s="707">
        <f t="shared" si="6"/>
        <v>424.33800000000002</v>
      </c>
      <c r="AC7" s="664">
        <f t="shared" si="1"/>
        <v>424.33800000000002</v>
      </c>
      <c r="AD7" s="860">
        <f t="shared" si="2"/>
        <v>0</v>
      </c>
      <c r="AE7" s="664"/>
      <c r="AF7" s="664"/>
      <c r="AG7" s="664">
        <f t="shared" ref="AG7:AG22" si="13">IF(AE7="",0,AE7-AB7)</f>
        <v>0</v>
      </c>
      <c r="AH7" s="664">
        <f t="shared" ref="AH7:AH22" si="14">IF(AF7="",0,AF7-AC7)</f>
        <v>0</v>
      </c>
      <c r="AI7" s="707">
        <f t="shared" ref="AI7:AI48" si="15">AB7+AG7</f>
        <v>424.33800000000002</v>
      </c>
      <c r="AJ7" s="664">
        <f t="shared" ref="AJ7:AJ48" si="16">AC7+AH7</f>
        <v>424.33800000000002</v>
      </c>
      <c r="AK7" s="860">
        <f t="shared" ref="AK7:AK73" si="17">AI7-AJ7</f>
        <v>0</v>
      </c>
    </row>
    <row r="8" spans="1:43" ht="14.25" customHeight="1">
      <c r="A8" s="474">
        <f>MATCH(C8,'Data Processing'!C:C,0)</f>
        <v>9</v>
      </c>
      <c r="B8" s="682" t="s">
        <v>1246</v>
      </c>
      <c r="C8" s="665">
        <v>3.1</v>
      </c>
      <c r="D8" s="666" t="str">
        <f>INDEX('Data Processing'!G:G,A8)</f>
        <v>Due From Banks (IB / Affiliates)</v>
      </c>
      <c r="E8" s="651">
        <f>-INDEX('Data Processing'!O:O,$A8)</f>
        <v>1476.8092643599998</v>
      </c>
      <c r="F8" s="667">
        <f ca="1">INDEX('Data Processing'!$I:$I,$A8)</f>
        <v>0.5</v>
      </c>
      <c r="G8" s="667">
        <f ca="1">INDEX('Data Processing'!$J:$J,$A8)</f>
        <v>0.5</v>
      </c>
      <c r="H8" s="651">
        <f ca="1">-INDEX('Data Processing'!AC:AC,$A8)</f>
        <v>1311.9046321799999</v>
      </c>
      <c r="I8" s="651">
        <f ca="1">-INDEX('Data Processing'!AE:AE,$A8)</f>
        <v>1286.9046321799999</v>
      </c>
      <c r="J8" s="651">
        <f>-SUM(INDEX('Data Processing'!CX:CX,A8):INDEX('Data Processing'!DK:DK,A8))</f>
        <v>329.80926435999999</v>
      </c>
      <c r="K8" s="651">
        <f>-SUM(INDEX('Data Processing'!CX:CX,A8):INDEX('Data Processing'!DM:DM,A8))</f>
        <v>379.80926435999999</v>
      </c>
      <c r="L8" s="666" t="str">
        <f ca="1">INDEX('Data Processing'!K:K,A8)</f>
        <v>50% of Contractual Maturity</v>
      </c>
      <c r="M8" s="683" t="str">
        <f>INDEX('Data Processing'!AR:AR,A8)</f>
        <v>Inflow</v>
      </c>
      <c r="N8" s="708">
        <f t="shared" si="0"/>
        <v>1476.8092643599998</v>
      </c>
      <c r="O8" s="651">
        <f t="shared" ca="1" si="3"/>
        <v>1311.9046321799999</v>
      </c>
      <c r="P8" s="683">
        <f t="shared" ref="P8:P77" ca="1" si="18">E8-H8</f>
        <v>164.90463217999991</v>
      </c>
      <c r="Q8" s="708">
        <v>5200</v>
      </c>
      <c r="R8" s="651">
        <v>5123.7934672299998</v>
      </c>
      <c r="S8" s="683">
        <v>76.206532770000194</v>
      </c>
      <c r="T8" s="708">
        <f t="shared" ref="T8:T77" si="19">N8-Q8</f>
        <v>-3723.1907356400002</v>
      </c>
      <c r="U8" s="651">
        <f t="shared" ca="1" si="4"/>
        <v>-3811.8888350500001</v>
      </c>
      <c r="V8" s="683">
        <f t="shared" ca="1" si="5"/>
        <v>88.698099409999713</v>
      </c>
      <c r="X8" s="443">
        <v>24</v>
      </c>
      <c r="AA8" s="920" t="s">
        <v>17</v>
      </c>
      <c r="AB8" s="708">
        <f t="shared" si="6"/>
        <v>1476.8092643599998</v>
      </c>
      <c r="AC8" s="651">
        <f t="shared" ca="1" si="1"/>
        <v>1311.9046321799999</v>
      </c>
      <c r="AD8" s="862">
        <f t="shared" ca="1" si="2"/>
        <v>164.90463217999991</v>
      </c>
      <c r="AE8" s="651">
        <f>AB8+276.34339181</f>
        <v>1753.1526561699998</v>
      </c>
      <c r="AF8" s="964">
        <f ca="1">AC8+276.34339181</f>
        <v>1588.2480239899999</v>
      </c>
      <c r="AG8" s="651">
        <f t="shared" ref="AG8" si="20">IF(AE8="",0,AE8-AB8)</f>
        <v>276.34339180999996</v>
      </c>
      <c r="AH8" s="651">
        <f t="shared" ref="AH8" ca="1" si="21">IF(AF8="",0,AF8-AC8)</f>
        <v>276.34339180999996</v>
      </c>
      <c r="AI8" s="708">
        <f t="shared" si="15"/>
        <v>1753.1526561699998</v>
      </c>
      <c r="AJ8" s="651">
        <f t="shared" ca="1" si="16"/>
        <v>1588.2480239899999</v>
      </c>
      <c r="AK8" s="862">
        <f t="shared" ca="1" si="17"/>
        <v>164.90463217999991</v>
      </c>
    </row>
    <row r="9" spans="1:43" ht="14.25" customHeight="1">
      <c r="A9" s="475">
        <f>MATCH(C9,'Data Processing'!C:C,0)</f>
        <v>10</v>
      </c>
      <c r="B9" s="680" t="s">
        <v>1246</v>
      </c>
      <c r="C9" s="668">
        <v>3.2</v>
      </c>
      <c r="D9" s="663" t="str">
        <f>INDEX('Data Processing'!G:G,A9)</f>
        <v>Due From Banks (3rd Party FI)</v>
      </c>
      <c r="E9" s="664">
        <f>-INDEX('Data Processing'!O:O,$A9)</f>
        <v>2.440110439999847</v>
      </c>
      <c r="F9" s="669">
        <f ca="1">INDEX('Data Processing'!$I:$I,$A9)</f>
        <v>1</v>
      </c>
      <c r="G9" s="669">
        <f ca="1">INDEX('Data Processing'!$J:$J,$A9)</f>
        <v>1</v>
      </c>
      <c r="H9" s="664">
        <f ca="1">-INDEX('Data Processing'!AC:AC,$A9)</f>
        <v>0</v>
      </c>
      <c r="I9" s="664">
        <f ca="1">-INDEX('Data Processing'!AE:AE,$A9)</f>
        <v>0</v>
      </c>
      <c r="J9" s="664">
        <f>-SUM(INDEX('Data Processing'!CX:CX,A9):INDEX('Data Processing'!DK:DK,A9))</f>
        <v>2.440110439999847</v>
      </c>
      <c r="K9" s="664">
        <f>-SUM(INDEX('Data Processing'!CX:CX,A9):INDEX('Data Processing'!DM:DM,A9))</f>
        <v>2.440110439999847</v>
      </c>
      <c r="L9" s="663" t="str">
        <f ca="1">INDEX('Data Processing'!K:K,A9)</f>
        <v>100% of Contractual Maturity</v>
      </c>
      <c r="M9" s="681" t="str">
        <f>INDEX('Data Processing'!AR:AR,A9)</f>
        <v>Inflow</v>
      </c>
      <c r="N9" s="707">
        <f t="shared" si="0"/>
        <v>2.440110439999847</v>
      </c>
      <c r="O9" s="664">
        <f t="shared" ca="1" si="3"/>
        <v>0</v>
      </c>
      <c r="P9" s="681">
        <f t="shared" ca="1" si="18"/>
        <v>2.440110439999847</v>
      </c>
      <c r="Q9" s="707">
        <v>72.992884140000911</v>
      </c>
      <c r="R9" s="664">
        <v>70</v>
      </c>
      <c r="S9" s="681">
        <v>2.9928841400009105</v>
      </c>
      <c r="T9" s="707">
        <f t="shared" si="19"/>
        <v>-70.552773700001069</v>
      </c>
      <c r="U9" s="664">
        <f t="shared" ca="1" si="4"/>
        <v>-70</v>
      </c>
      <c r="V9" s="681">
        <f t="shared" ca="1" si="5"/>
        <v>-0.55277370000106352</v>
      </c>
      <c r="X9" s="443">
        <v>24</v>
      </c>
      <c r="AA9" s="919" t="s">
        <v>37</v>
      </c>
      <c r="AB9" s="707">
        <f t="shared" si="6"/>
        <v>2.440110439999847</v>
      </c>
      <c r="AC9" s="664">
        <f t="shared" ca="1" si="1"/>
        <v>0</v>
      </c>
      <c r="AD9" s="860">
        <f t="shared" ca="1" si="2"/>
        <v>2.440110439999847</v>
      </c>
      <c r="AE9" s="664"/>
      <c r="AF9" s="664"/>
      <c r="AG9" s="664">
        <f t="shared" si="13"/>
        <v>0</v>
      </c>
      <c r="AH9" s="664">
        <f t="shared" si="14"/>
        <v>0</v>
      </c>
      <c r="AI9" s="707">
        <f t="shared" si="15"/>
        <v>2.440110439999847</v>
      </c>
      <c r="AJ9" s="664">
        <f t="shared" ca="1" si="16"/>
        <v>0</v>
      </c>
      <c r="AK9" s="860">
        <f t="shared" ca="1" si="17"/>
        <v>2.440110439999847</v>
      </c>
    </row>
    <row r="10" spans="1:43" ht="14.25" customHeight="1">
      <c r="A10" s="476">
        <f>MATCH(C10,'Data Processing'!C:C,0)</f>
        <v>8</v>
      </c>
      <c r="B10" s="682" t="s">
        <v>1246</v>
      </c>
      <c r="C10" s="670">
        <v>4</v>
      </c>
      <c r="D10" s="666" t="str">
        <f>INDEX('Data Processing'!G:G,A10)</f>
        <v>Non-Buffer Securities</v>
      </c>
      <c r="E10" s="651">
        <f>-INDEX('Data Processing'!O:O,$A10)</f>
        <v>3561.1634352277601</v>
      </c>
      <c r="F10" s="889">
        <f>INDEX('Data Processing'!$I:$I,$A10)</f>
        <v>0</v>
      </c>
      <c r="G10" s="667">
        <f>INDEX('Data Processing'!$J:$J,$A10)</f>
        <v>0</v>
      </c>
      <c r="H10" s="651">
        <f>-INDEX('Data Processing'!AC:AC,$A10)</f>
        <v>3561.1634352277601</v>
      </c>
      <c r="I10" s="651">
        <f>-INDEX('Data Processing'!AE:AE,$A10)</f>
        <v>3561.1634352277601</v>
      </c>
      <c r="J10" s="651">
        <f>-SUM(INDEX('Data Processing'!CX:CX,A10):INDEX('Data Processing'!DK:DK,A10))</f>
        <v>45.44109927135284</v>
      </c>
      <c r="K10" s="651">
        <f>-SUM(INDEX('Data Processing'!CX:CX,A10):INDEX('Data Processing'!DM:DM,A10))</f>
        <v>124.96302299622032</v>
      </c>
      <c r="L10" s="666" t="str">
        <f>INDEX('Data Processing'!K:K,A10)</f>
        <v>No Run-off</v>
      </c>
      <c r="M10" s="683" t="str">
        <f>INDEX('Data Processing'!AR:AR,A10)</f>
        <v>Inflow</v>
      </c>
      <c r="N10" s="708">
        <f t="shared" si="0"/>
        <v>3561.1634352277601</v>
      </c>
      <c r="O10" s="651">
        <f t="shared" si="3"/>
        <v>3561.1634352277601</v>
      </c>
      <c r="P10" s="683">
        <f t="shared" si="18"/>
        <v>0</v>
      </c>
      <c r="Q10" s="708">
        <v>3746.5480703069697</v>
      </c>
      <c r="R10" s="651">
        <v>3746.5480703069697</v>
      </c>
      <c r="S10" s="683">
        <v>0</v>
      </c>
      <c r="T10" s="708">
        <f t="shared" si="19"/>
        <v>-185.3846350792096</v>
      </c>
      <c r="U10" s="651">
        <f t="shared" si="4"/>
        <v>-185.3846350792096</v>
      </c>
      <c r="V10" s="683">
        <f t="shared" si="5"/>
        <v>0</v>
      </c>
      <c r="X10" s="443">
        <v>26</v>
      </c>
      <c r="AA10" s="920" t="s">
        <v>1468</v>
      </c>
      <c r="AB10" s="708">
        <f t="shared" si="6"/>
        <v>3561.1634352277601</v>
      </c>
      <c r="AC10" s="651">
        <f t="shared" si="1"/>
        <v>3561.1634352277601</v>
      </c>
      <c r="AD10" s="862">
        <f t="shared" si="2"/>
        <v>0</v>
      </c>
      <c r="AE10" s="651"/>
      <c r="AF10" s="651"/>
      <c r="AG10" s="651">
        <f t="shared" si="13"/>
        <v>0</v>
      </c>
      <c r="AH10" s="651">
        <f t="shared" si="14"/>
        <v>0</v>
      </c>
      <c r="AI10" s="708">
        <f t="shared" si="15"/>
        <v>3561.1634352277601</v>
      </c>
      <c r="AJ10" s="651">
        <f t="shared" si="16"/>
        <v>3561.1634352277601</v>
      </c>
      <c r="AK10" s="862">
        <f t="shared" si="17"/>
        <v>0</v>
      </c>
    </row>
    <row r="11" spans="1:43" ht="14.25" customHeight="1">
      <c r="A11" s="476">
        <f>MATCH(C11,'Data Processing'!C:C,0)</f>
        <v>7</v>
      </c>
      <c r="B11" s="682" t="s">
        <v>1246</v>
      </c>
      <c r="C11" s="665">
        <v>4.0999999999999996</v>
      </c>
      <c r="D11" s="666" t="str">
        <f>INDEX('Data Processing'!G:G,A11)</f>
        <v>Unpledged HQLA Securities Haircut</v>
      </c>
      <c r="E11" s="651">
        <f>-INDEX('Data Processing'!O:O,$A11)</f>
        <v>71.375344239133028</v>
      </c>
      <c r="F11" s="667">
        <f>INDEX('Data Processing'!$I:$I,$A11)</f>
        <v>0</v>
      </c>
      <c r="G11" s="667">
        <f>INDEX('Data Processing'!$J:$J,$A11)</f>
        <v>0</v>
      </c>
      <c r="H11" s="651">
        <f>-INDEX('Data Processing'!AC:AC,$A11)</f>
        <v>71.375344239133028</v>
      </c>
      <c r="I11" s="651">
        <f>-INDEX('Data Processing'!AE:AE,$A11)</f>
        <v>71.375344239133028</v>
      </c>
      <c r="J11" s="651">
        <f>-SUM(INDEX('Data Processing'!CX:CX,A11):INDEX('Data Processing'!DK:DK,A11))</f>
        <v>34.55890072864716</v>
      </c>
      <c r="K11" s="651">
        <f>-SUM(INDEX('Data Processing'!CX:CX,A11):INDEX('Data Processing'!DM:DM,A11))</f>
        <v>95.036977003779683</v>
      </c>
      <c r="L11" s="666" t="str">
        <f>INDEX('Data Processing'!K:K,A11)</f>
        <v>No Run-off</v>
      </c>
      <c r="M11" s="683" t="str">
        <f>INDEX('Data Processing'!AR:AR,A11)</f>
        <v>Inflow</v>
      </c>
      <c r="N11" s="708">
        <f t="shared" ref="N11" si="22">E11</f>
        <v>71.375344239133028</v>
      </c>
      <c r="O11" s="651">
        <f t="shared" ref="O11" si="23">H11</f>
        <v>71.375344239133028</v>
      </c>
      <c r="P11" s="683">
        <f t="shared" ref="P11" si="24">E11-H11</f>
        <v>0</v>
      </c>
      <c r="Q11" s="708">
        <v>67.46941593532847</v>
      </c>
      <c r="R11" s="651">
        <v>67.46941593532847</v>
      </c>
      <c r="S11" s="683">
        <v>0</v>
      </c>
      <c r="T11" s="708">
        <f t="shared" ref="T11" si="25">N11-Q11</f>
        <v>3.9059283038045578</v>
      </c>
      <c r="U11" s="651">
        <f t="shared" ref="U11" si="26">O11-R11</f>
        <v>3.9059283038045578</v>
      </c>
      <c r="V11" s="683">
        <f t="shared" ref="V11" si="27">P11-S11</f>
        <v>0</v>
      </c>
      <c r="X11" s="443">
        <v>26</v>
      </c>
      <c r="AA11" s="920" t="s">
        <v>1469</v>
      </c>
      <c r="AB11" s="708">
        <f t="shared" si="6"/>
        <v>71.375344239133028</v>
      </c>
      <c r="AC11" s="651">
        <f t="shared" si="1"/>
        <v>71.375344239133028</v>
      </c>
      <c r="AD11" s="862">
        <f t="shared" si="2"/>
        <v>0</v>
      </c>
      <c r="AE11" s="651"/>
      <c r="AF11" s="651"/>
      <c r="AG11" s="651">
        <f t="shared" si="13"/>
        <v>0</v>
      </c>
      <c r="AH11" s="651">
        <f t="shared" si="14"/>
        <v>0</v>
      </c>
      <c r="AI11" s="708">
        <f t="shared" si="15"/>
        <v>71.375344239133028</v>
      </c>
      <c r="AJ11" s="651">
        <f t="shared" si="16"/>
        <v>71.375344239133028</v>
      </c>
      <c r="AK11" s="862">
        <f t="shared" si="17"/>
        <v>0</v>
      </c>
    </row>
    <row r="12" spans="1:43" ht="14.25" customHeight="1">
      <c r="A12" s="475">
        <f>MATCH(C12,'Data Processing'!C:C,0)</f>
        <v>11</v>
      </c>
      <c r="B12" s="680" t="s">
        <v>1247</v>
      </c>
      <c r="C12" s="662" t="s">
        <v>1059</v>
      </c>
      <c r="D12" s="663" t="str">
        <f>INDEX('Data Processing'!G:G,A12)</f>
        <v xml:space="preserve"> Syndications - U.S. customers  (170)</v>
      </c>
      <c r="E12" s="664">
        <f>-INDEX('Data Processing'!O:O,$A12)</f>
        <v>5631.5663244500001</v>
      </c>
      <c r="F12" s="669">
        <f ca="1">INDEX('Data Processing'!$I:$I,$A12)</f>
        <v>0.5</v>
      </c>
      <c r="G12" s="669">
        <f ca="1">INDEX('Data Processing'!$J:$J,$A12)</f>
        <v>0.5</v>
      </c>
      <c r="H12" s="664">
        <f ca="1">-INDEX('Data Processing'!AC:AC,$A12)</f>
        <v>5601.5663244449997</v>
      </c>
      <c r="I12" s="664">
        <f ca="1">-INDEX('Data Processing'!AE:AE,$A12)</f>
        <v>5601.5663244449997</v>
      </c>
      <c r="J12" s="664">
        <f>-SUM(INDEX('Data Processing'!CX:CX,A12):INDEX('Data Processing'!DK:DK,A12))</f>
        <v>60.000000010000001</v>
      </c>
      <c r="K12" s="664">
        <f>-SUM(INDEX('Data Processing'!CX:CX,A12):INDEX('Data Processing'!DM:DM,A12))</f>
        <v>60.000000010000001</v>
      </c>
      <c r="L12" s="663" t="str">
        <f ca="1">INDEX('Data Processing'!K:K,A12)</f>
        <v>50% of Contractual Maturity</v>
      </c>
      <c r="M12" s="681" t="str">
        <f>INDEX('Data Processing'!AR:AR,A12)</f>
        <v>Inflow</v>
      </c>
      <c r="N12" s="707">
        <f t="shared" si="0"/>
        <v>5631.5663244500001</v>
      </c>
      <c r="O12" s="664">
        <f t="shared" ca="1" si="3"/>
        <v>5601.5663244449997</v>
      </c>
      <c r="P12" s="681">
        <f t="shared" ca="1" si="18"/>
        <v>30.000000005000402</v>
      </c>
      <c r="Q12" s="707">
        <v>5155.695351899999</v>
      </c>
      <c r="R12" s="664">
        <v>5149.4904384599986</v>
      </c>
      <c r="S12" s="681">
        <v>6.2049134400003823</v>
      </c>
      <c r="T12" s="707">
        <f t="shared" si="19"/>
        <v>475.87097255000117</v>
      </c>
      <c r="U12" s="664">
        <f t="shared" ca="1" si="4"/>
        <v>452.07588598500115</v>
      </c>
      <c r="V12" s="681">
        <f t="shared" ca="1" si="5"/>
        <v>23.79508656500002</v>
      </c>
      <c r="X12" s="443">
        <v>16</v>
      </c>
      <c r="AA12" s="919" t="s">
        <v>1043</v>
      </c>
      <c r="AB12" s="707">
        <f t="shared" si="6"/>
        <v>5631.5663244500001</v>
      </c>
      <c r="AC12" s="664">
        <f t="shared" ca="1" si="1"/>
        <v>5601.5663244449997</v>
      </c>
      <c r="AD12" s="860">
        <f t="shared" ca="1" si="2"/>
        <v>30.000000005000402</v>
      </c>
      <c r="AE12" s="664"/>
      <c r="AF12" s="664"/>
      <c r="AG12" s="664">
        <f t="shared" si="13"/>
        <v>0</v>
      </c>
      <c r="AH12" s="664">
        <f t="shared" si="14"/>
        <v>0</v>
      </c>
      <c r="AI12" s="707">
        <f t="shared" si="15"/>
        <v>5631.5663244500001</v>
      </c>
      <c r="AJ12" s="664">
        <f t="shared" ca="1" si="16"/>
        <v>5601.5663244449997</v>
      </c>
      <c r="AK12" s="860">
        <f t="shared" ca="1" si="17"/>
        <v>30.000000005000402</v>
      </c>
    </row>
    <row r="13" spans="1:43" ht="28.5" customHeight="1">
      <c r="A13" s="476">
        <f>MATCH(C13,'Data Processing'!C:C,0)</f>
        <v>12</v>
      </c>
      <c r="B13" s="682" t="s">
        <v>1247</v>
      </c>
      <c r="C13" s="670" t="s">
        <v>1060</v>
      </c>
      <c r="D13" s="666" t="str">
        <f>INDEX('Data Processing'!G:G,A13)</f>
        <v xml:space="preserve"> Syndications - Non U.S. customers (240)</v>
      </c>
      <c r="E13" s="651">
        <f>-INDEX('Data Processing'!O:O,$A13)</f>
        <v>1355.7736293799999</v>
      </c>
      <c r="F13" s="667">
        <f ca="1">INDEX('Data Processing'!$I:$I,$A13)</f>
        <v>0.5</v>
      </c>
      <c r="G13" s="667">
        <f ca="1">INDEX('Data Processing'!$J:$J,$A13)</f>
        <v>0.5</v>
      </c>
      <c r="H13" s="651">
        <f ca="1">-INDEX('Data Processing'!AC:AC,$A13)</f>
        <v>1355.7736293799999</v>
      </c>
      <c r="I13" s="651">
        <f ca="1">-INDEX('Data Processing'!AE:AE,$A13)</f>
        <v>1355.7736293799999</v>
      </c>
      <c r="J13" s="651">
        <f>-SUM(INDEX('Data Processing'!CX:CX,A13):INDEX('Data Processing'!DK:DK,A13))</f>
        <v>0</v>
      </c>
      <c r="K13" s="651">
        <f>-SUM(INDEX('Data Processing'!CX:CX,A13):INDEX('Data Processing'!DM:DM,A13))</f>
        <v>0</v>
      </c>
      <c r="L13" s="666" t="str">
        <f ca="1">INDEX('Data Processing'!K:K,A13)</f>
        <v>50% of Contractual Maturity</v>
      </c>
      <c r="M13" s="683" t="str">
        <f>INDEX('Data Processing'!AR:AR,A13)</f>
        <v>Inflow</v>
      </c>
      <c r="N13" s="708">
        <f t="shared" si="0"/>
        <v>1355.7736293799999</v>
      </c>
      <c r="O13" s="651">
        <f t="shared" ca="1" si="3"/>
        <v>1355.7736293799999</v>
      </c>
      <c r="P13" s="683">
        <f t="shared" ca="1" si="18"/>
        <v>0</v>
      </c>
      <c r="Q13" s="708">
        <v>2205.3257099000002</v>
      </c>
      <c r="R13" s="651">
        <v>2205.3257099000002</v>
      </c>
      <c r="S13" s="683">
        <v>0</v>
      </c>
      <c r="T13" s="708">
        <f t="shared" si="19"/>
        <v>-849.55208052000035</v>
      </c>
      <c r="U13" s="651">
        <f t="shared" ca="1" si="4"/>
        <v>-849.55208052000035</v>
      </c>
      <c r="V13" s="683">
        <f t="shared" ca="1" si="5"/>
        <v>0</v>
      </c>
      <c r="X13" s="443">
        <v>16</v>
      </c>
      <c r="AA13" s="920" t="s">
        <v>1044</v>
      </c>
      <c r="AB13" s="708">
        <f t="shared" si="6"/>
        <v>1355.7736293799999</v>
      </c>
      <c r="AC13" s="651">
        <f t="shared" ca="1" si="1"/>
        <v>1355.7736293799999</v>
      </c>
      <c r="AD13" s="862">
        <f t="shared" ca="1" si="2"/>
        <v>0</v>
      </c>
      <c r="AE13" s="651"/>
      <c r="AF13" s="651"/>
      <c r="AG13" s="651">
        <f t="shared" si="13"/>
        <v>0</v>
      </c>
      <c r="AH13" s="651">
        <f t="shared" si="14"/>
        <v>0</v>
      </c>
      <c r="AI13" s="708">
        <f t="shared" si="15"/>
        <v>1355.7736293799999</v>
      </c>
      <c r="AJ13" s="651">
        <f t="shared" ca="1" si="16"/>
        <v>1355.7736293799999</v>
      </c>
      <c r="AK13" s="862">
        <f t="shared" ca="1" si="17"/>
        <v>0</v>
      </c>
      <c r="AP13" s="443" t="s">
        <v>1644</v>
      </c>
    </row>
    <row r="14" spans="1:43" ht="14.25" customHeight="1">
      <c r="A14" s="475">
        <f>MATCH(C14,'Data Processing'!C:C,0)</f>
        <v>13</v>
      </c>
      <c r="B14" s="680" t="s">
        <v>1247</v>
      </c>
      <c r="C14" s="662" t="s">
        <v>1061</v>
      </c>
      <c r="D14" s="663" t="str">
        <f>INDEX('Data Processing'!G:G,A14)</f>
        <v>Time -Secured Non U.S. (380)</v>
      </c>
      <c r="E14" s="664">
        <f>-INDEX('Data Processing'!O:O,$A14)</f>
        <v>2136.7882296600001</v>
      </c>
      <c r="F14" s="669">
        <f ca="1">INDEX('Data Processing'!$I:$I,$A14)</f>
        <v>0.5</v>
      </c>
      <c r="G14" s="669">
        <f ca="1">INDEX('Data Processing'!$J:$J,$A14)</f>
        <v>0.5</v>
      </c>
      <c r="H14" s="664">
        <f ca="1">-INDEX('Data Processing'!AC:AC,$A14)</f>
        <v>2106.7882296600001</v>
      </c>
      <c r="I14" s="664">
        <f ca="1">-INDEX('Data Processing'!AE:AE,$A14)</f>
        <v>2106.7882296600001</v>
      </c>
      <c r="J14" s="664">
        <f>-SUM(INDEX('Data Processing'!CX:CX,A14):INDEX('Data Processing'!DK:DK,A14))</f>
        <v>60</v>
      </c>
      <c r="K14" s="664">
        <f>-SUM(INDEX('Data Processing'!CX:CX,A14):INDEX('Data Processing'!DM:DM,A14))</f>
        <v>60</v>
      </c>
      <c r="L14" s="663" t="str">
        <f ca="1">INDEX('Data Processing'!K:K,A14)</f>
        <v>50% of Contractual Maturity</v>
      </c>
      <c r="M14" s="681" t="str">
        <f>INDEX('Data Processing'!AR:AR,A14)</f>
        <v>Inflow</v>
      </c>
      <c r="N14" s="707">
        <f t="shared" si="0"/>
        <v>2136.7882296600001</v>
      </c>
      <c r="O14" s="664">
        <f t="shared" ca="1" si="3"/>
        <v>2106.7882296600001</v>
      </c>
      <c r="P14" s="681">
        <f t="shared" ca="1" si="18"/>
        <v>30</v>
      </c>
      <c r="Q14" s="707">
        <v>2511.29409364</v>
      </c>
      <c r="R14" s="664">
        <v>2511.29409364</v>
      </c>
      <c r="S14" s="681">
        <v>0</v>
      </c>
      <c r="T14" s="707">
        <f t="shared" si="19"/>
        <v>-374.50586397999996</v>
      </c>
      <c r="U14" s="664">
        <f t="shared" ca="1" si="4"/>
        <v>-404.50586397999996</v>
      </c>
      <c r="V14" s="681">
        <f t="shared" ca="1" si="5"/>
        <v>30</v>
      </c>
      <c r="X14" s="443">
        <v>16</v>
      </c>
      <c r="AA14" s="919" t="s">
        <v>1055</v>
      </c>
      <c r="AB14" s="707">
        <f t="shared" si="6"/>
        <v>2136.7882296600001</v>
      </c>
      <c r="AC14" s="664">
        <f t="shared" ca="1" si="1"/>
        <v>2106.7882296600001</v>
      </c>
      <c r="AD14" s="860">
        <f t="shared" ca="1" si="2"/>
        <v>30</v>
      </c>
      <c r="AE14" s="664"/>
      <c r="AF14" s="664"/>
      <c r="AG14" s="664">
        <f t="shared" si="13"/>
        <v>0</v>
      </c>
      <c r="AH14" s="664">
        <f t="shared" si="14"/>
        <v>0</v>
      </c>
      <c r="AI14" s="707">
        <f t="shared" si="15"/>
        <v>2136.7882296600001</v>
      </c>
      <c r="AJ14" s="664">
        <f t="shared" ca="1" si="16"/>
        <v>2106.7882296600001</v>
      </c>
      <c r="AK14" s="860">
        <f t="shared" ca="1" si="17"/>
        <v>30</v>
      </c>
      <c r="AN14" s="769"/>
      <c r="AO14" s="927">
        <v>43005</v>
      </c>
      <c r="AP14" s="927"/>
      <c r="AQ14" s="927"/>
    </row>
    <row r="15" spans="1:43" ht="14.25" customHeight="1">
      <c r="A15" s="476">
        <f>MATCH(C15,'Data Processing'!C:C,0)</f>
        <v>14</v>
      </c>
      <c r="B15" s="682" t="s">
        <v>1247</v>
      </c>
      <c r="C15" s="670" t="s">
        <v>1063</v>
      </c>
      <c r="D15" s="666" t="str">
        <f>INDEX('Data Processing'!G:G,A15)</f>
        <v>Time - unsecured U.S. (270)</v>
      </c>
      <c r="E15" s="651">
        <f>-INDEX('Data Processing'!O:O,$A15)</f>
        <v>929.72933477999993</v>
      </c>
      <c r="F15" s="667">
        <f ca="1">INDEX('Data Processing'!$I:$I,$A15)</f>
        <v>0.5</v>
      </c>
      <c r="G15" s="667">
        <f ca="1">INDEX('Data Processing'!$J:$J,$A15)</f>
        <v>0.5</v>
      </c>
      <c r="H15" s="651">
        <f ca="1">-INDEX('Data Processing'!AC:AC,$A15)</f>
        <v>929.72902574999989</v>
      </c>
      <c r="I15" s="651">
        <f ca="1">-INDEX('Data Processing'!AE:AE,$A15)</f>
        <v>929.72902574999989</v>
      </c>
      <c r="J15" s="651">
        <f>-SUM(INDEX('Data Processing'!CX:CX,A15):INDEX('Data Processing'!DK:DK,A15))</f>
        <v>6.1805999999999992E-4</v>
      </c>
      <c r="K15" s="651">
        <f>-SUM(INDEX('Data Processing'!CX:CX,A15):INDEX('Data Processing'!DM:DM,A15))</f>
        <v>6.1805999999999992E-4</v>
      </c>
      <c r="L15" s="666" t="str">
        <f ca="1">INDEX('Data Processing'!K:K,A15)</f>
        <v>50% of Contractual Maturity</v>
      </c>
      <c r="M15" s="683" t="str">
        <f>INDEX('Data Processing'!AR:AR,A15)</f>
        <v>Inflow</v>
      </c>
      <c r="N15" s="708">
        <f t="shared" si="0"/>
        <v>929.72933477999993</v>
      </c>
      <c r="O15" s="651">
        <f t="shared" ca="1" si="3"/>
        <v>929.72902574999989</v>
      </c>
      <c r="P15" s="683">
        <f t="shared" ca="1" si="18"/>
        <v>3.0903000003945635E-4</v>
      </c>
      <c r="Q15" s="708">
        <v>352.38</v>
      </c>
      <c r="R15" s="651">
        <v>352.38</v>
      </c>
      <c r="S15" s="683">
        <v>0</v>
      </c>
      <c r="T15" s="708">
        <f t="shared" si="19"/>
        <v>577.34933477999994</v>
      </c>
      <c r="U15" s="651">
        <f t="shared" ca="1" si="4"/>
        <v>577.3490257499999</v>
      </c>
      <c r="V15" s="683">
        <f t="shared" ca="1" si="5"/>
        <v>3.0903000003945635E-4</v>
      </c>
      <c r="X15" s="443">
        <v>16</v>
      </c>
      <c r="AA15" s="920" t="s">
        <v>1057</v>
      </c>
      <c r="AB15" s="708">
        <f t="shared" si="6"/>
        <v>929.72933477999993</v>
      </c>
      <c r="AC15" s="651">
        <f t="shared" ca="1" si="1"/>
        <v>929.72902574999989</v>
      </c>
      <c r="AD15" s="862">
        <f t="shared" ca="1" si="2"/>
        <v>3.0903000003945635E-4</v>
      </c>
      <c r="AE15" s="651"/>
      <c r="AF15" s="651"/>
      <c r="AG15" s="651">
        <f t="shared" si="13"/>
        <v>0</v>
      </c>
      <c r="AH15" s="651">
        <f t="shared" si="14"/>
        <v>0</v>
      </c>
      <c r="AI15" s="708">
        <f t="shared" si="15"/>
        <v>929.72933477999993</v>
      </c>
      <c r="AJ15" s="651">
        <f t="shared" ca="1" si="16"/>
        <v>929.72902574999989</v>
      </c>
      <c r="AK15" s="862">
        <f t="shared" ca="1" si="17"/>
        <v>3.0903000003945635E-4</v>
      </c>
      <c r="AN15" s="769" t="s">
        <v>1635</v>
      </c>
      <c r="AO15" s="770">
        <v>160.25315093</v>
      </c>
      <c r="AP15" s="770"/>
      <c r="AQ15" s="770">
        <f>AO15+AP15</f>
        <v>160.25315093</v>
      </c>
    </row>
    <row r="16" spans="1:43" ht="14.25" customHeight="1">
      <c r="A16" s="475">
        <f>MATCH(C16,'Data Processing'!C:C,0)</f>
        <v>15</v>
      </c>
      <c r="B16" s="680" t="s">
        <v>1247</v>
      </c>
      <c r="C16" s="662" t="s">
        <v>1064</v>
      </c>
      <c r="D16" s="663" t="str">
        <f>INDEX('Data Processing'!G:G,A16)</f>
        <v>Time - secured U.S. (310)</v>
      </c>
      <c r="E16" s="664">
        <f>-INDEX('Data Processing'!O:O,$A16)</f>
        <v>1872.3040158399999</v>
      </c>
      <c r="F16" s="669">
        <f ca="1">INDEX('Data Processing'!$I:$I,$A16)</f>
        <v>0.5</v>
      </c>
      <c r="G16" s="669">
        <f ca="1">INDEX('Data Processing'!$J:$J,$A16)</f>
        <v>0.5</v>
      </c>
      <c r="H16" s="664">
        <f ca="1">-INDEX('Data Processing'!AC:AC,$A16)</f>
        <v>1872.3040158399999</v>
      </c>
      <c r="I16" s="664">
        <f ca="1">-INDEX('Data Processing'!AE:AE,$A16)</f>
        <v>1595.48401584</v>
      </c>
      <c r="J16" s="664">
        <f>-SUM(INDEX('Data Processing'!CX:CX,A16):INDEX('Data Processing'!DK:DK,A16))</f>
        <v>0</v>
      </c>
      <c r="K16" s="664">
        <f>-SUM(INDEX('Data Processing'!CX:CX,A16):INDEX('Data Processing'!DM:DM,A16))</f>
        <v>553.64</v>
      </c>
      <c r="L16" s="663" t="str">
        <f ca="1">INDEX('Data Processing'!K:K,A16)</f>
        <v>50% of Contractual Maturity</v>
      </c>
      <c r="M16" s="681" t="str">
        <f>INDEX('Data Processing'!AR:AR,A16)</f>
        <v>Inflow</v>
      </c>
      <c r="N16" s="707">
        <f t="shared" si="0"/>
        <v>1872.3040158399999</v>
      </c>
      <c r="O16" s="664">
        <f t="shared" ca="1" si="3"/>
        <v>1872.3040158399999</v>
      </c>
      <c r="P16" s="681">
        <f t="shared" ca="1" si="18"/>
        <v>0</v>
      </c>
      <c r="Q16" s="707">
        <v>3432.1709499599997</v>
      </c>
      <c r="R16" s="664">
        <v>3429.3036024699995</v>
      </c>
      <c r="S16" s="681">
        <v>2.8673474900001565</v>
      </c>
      <c r="T16" s="707">
        <f t="shared" si="19"/>
        <v>-1559.8669341199998</v>
      </c>
      <c r="U16" s="664">
        <f t="shared" ca="1" si="4"/>
        <v>-1556.9995866299996</v>
      </c>
      <c r="V16" s="681">
        <f t="shared" ca="1" si="5"/>
        <v>-2.8673474900001565</v>
      </c>
      <c r="X16" s="443">
        <v>16</v>
      </c>
      <c r="AA16" s="919" t="s">
        <v>1056</v>
      </c>
      <c r="AB16" s="707">
        <f t="shared" si="6"/>
        <v>1872.3040158399999</v>
      </c>
      <c r="AC16" s="664">
        <f t="shared" ca="1" si="1"/>
        <v>1872.3040158399999</v>
      </c>
      <c r="AD16" s="860">
        <f t="shared" ca="1" si="2"/>
        <v>0</v>
      </c>
      <c r="AE16" s="664"/>
      <c r="AF16" s="664"/>
      <c r="AG16" s="664">
        <f t="shared" si="13"/>
        <v>0</v>
      </c>
      <c r="AH16" s="664">
        <f t="shared" si="14"/>
        <v>0</v>
      </c>
      <c r="AI16" s="707">
        <f t="shared" si="15"/>
        <v>1872.3040158399999</v>
      </c>
      <c r="AJ16" s="664">
        <f t="shared" ca="1" si="16"/>
        <v>1872.3040158399999</v>
      </c>
      <c r="AK16" s="860">
        <f t="shared" ca="1" si="17"/>
        <v>0</v>
      </c>
      <c r="AN16" s="769" t="s">
        <v>1636</v>
      </c>
      <c r="AO16" s="770">
        <v>1033.20303171</v>
      </c>
      <c r="AP16" s="770"/>
      <c r="AQ16" s="770">
        <f t="shared" ref="AQ16:AQ21" si="28">AO16+AP16</f>
        <v>1033.20303171</v>
      </c>
    </row>
    <row r="17" spans="1:43" ht="14.25" customHeight="1">
      <c r="A17" s="476">
        <f>MATCH(C17,'Data Processing'!C:C,0)</f>
        <v>16</v>
      </c>
      <c r="B17" s="682" t="s">
        <v>1247</v>
      </c>
      <c r="C17" s="665">
        <v>5.3</v>
      </c>
      <c r="D17" s="666" t="str">
        <f>INDEX('Data Processing'!G:G,A17)</f>
        <v>Mortgage (Commercial and Retail)</v>
      </c>
      <c r="E17" s="651">
        <f>-INDEX('Data Processing'!O:O,$A17)</f>
        <v>6249.8529878100026</v>
      </c>
      <c r="F17" s="667">
        <f ca="1">INDEX('Data Processing'!$I:$I,$A17)</f>
        <v>0.5</v>
      </c>
      <c r="G17" s="667">
        <f ca="1">INDEX('Data Processing'!$J:$J,$A17)</f>
        <v>0.5</v>
      </c>
      <c r="H17" s="651">
        <f ca="1">-INDEX('Data Processing'!AC:AC,$A17)</f>
        <v>6242.6562931600029</v>
      </c>
      <c r="I17" s="651">
        <f ca="1">-INDEX('Data Processing'!AE:AE,$A17)</f>
        <v>6040.3115754100027</v>
      </c>
      <c r="J17" s="651">
        <f>-SUM(INDEX('Data Processing'!CX:CX,A17):INDEX('Data Processing'!DK:DK,A17))</f>
        <v>14.393389300000001</v>
      </c>
      <c r="K17" s="651">
        <f>-SUM(INDEX('Data Processing'!CX:CX,A17):INDEX('Data Processing'!DM:DM,A17))</f>
        <v>419.08282480000003</v>
      </c>
      <c r="L17" s="666" t="str">
        <f ca="1">INDEX('Data Processing'!K:K,A17)</f>
        <v>50% of Contractual Maturity</v>
      </c>
      <c r="M17" s="683" t="str">
        <f>INDEX('Data Processing'!AR:AR,A17)</f>
        <v>Inflow</v>
      </c>
      <c r="N17" s="708">
        <f t="shared" si="0"/>
        <v>6249.8529878100026</v>
      </c>
      <c r="O17" s="651">
        <f t="shared" ca="1" si="3"/>
        <v>6242.6562931600029</v>
      </c>
      <c r="P17" s="683">
        <f t="shared" ca="1" si="18"/>
        <v>7.1966946499996993</v>
      </c>
      <c r="Q17" s="708">
        <v>8040.5270409999994</v>
      </c>
      <c r="R17" s="651">
        <v>7980.9107714099991</v>
      </c>
      <c r="S17" s="683">
        <v>59.616269590000229</v>
      </c>
      <c r="T17" s="708">
        <f t="shared" si="19"/>
        <v>-1790.6740531899968</v>
      </c>
      <c r="U17" s="651">
        <f t="shared" ca="1" si="4"/>
        <v>-1738.2544782499963</v>
      </c>
      <c r="V17" s="683">
        <f t="shared" ca="1" si="5"/>
        <v>-52.41957494000053</v>
      </c>
      <c r="X17" s="443">
        <v>16</v>
      </c>
      <c r="AA17" s="920" t="s">
        <v>1017</v>
      </c>
      <c r="AB17" s="708">
        <f t="shared" si="6"/>
        <v>6249.8529878100026</v>
      </c>
      <c r="AC17" s="651">
        <f t="shared" ca="1" si="1"/>
        <v>6242.6562931600029</v>
      </c>
      <c r="AD17" s="862">
        <f t="shared" ca="1" si="2"/>
        <v>7.1966946499996993</v>
      </c>
      <c r="AE17" s="651"/>
      <c r="AF17" s="651"/>
      <c r="AG17" s="651">
        <f t="shared" si="13"/>
        <v>0</v>
      </c>
      <c r="AH17" s="651">
        <f t="shared" si="14"/>
        <v>0</v>
      </c>
      <c r="AI17" s="708">
        <f t="shared" si="15"/>
        <v>6249.8529878100026</v>
      </c>
      <c r="AJ17" s="651">
        <f t="shared" ca="1" si="16"/>
        <v>6242.6562931600029</v>
      </c>
      <c r="AK17" s="862">
        <f t="shared" ca="1" si="17"/>
        <v>7.1966946499996993</v>
      </c>
      <c r="AN17" s="769" t="s">
        <v>1637</v>
      </c>
      <c r="AO17" s="770">
        <v>8722.8439106300011</v>
      </c>
      <c r="AP17" s="770">
        <v>1100</v>
      </c>
      <c r="AQ17" s="770">
        <f t="shared" si="28"/>
        <v>9822.8439106300011</v>
      </c>
    </row>
    <row r="18" spans="1:43" ht="14.25" customHeight="1">
      <c r="A18" s="475">
        <f>MATCH(C18,'Data Processing'!C:C,0)</f>
        <v>17</v>
      </c>
      <c r="B18" s="680" t="s">
        <v>1248</v>
      </c>
      <c r="C18" s="662" t="s">
        <v>1066</v>
      </c>
      <c r="D18" s="663" t="str">
        <f>INDEX('Data Processing'!G:G,A18)</f>
        <v>Trade Finance - IB &amp; Affiliates</v>
      </c>
      <c r="E18" s="664">
        <f>-INDEX('Data Processing'!O:O,$A18)</f>
        <v>191.75120747000003</v>
      </c>
      <c r="F18" s="669">
        <f ca="1">INDEX('Data Processing'!$I:$I,$A18)</f>
        <v>0.5</v>
      </c>
      <c r="G18" s="669">
        <f ca="1">INDEX('Data Processing'!$J:$J,$A18)</f>
        <v>0.5</v>
      </c>
      <c r="H18" s="664">
        <f ca="1">-INDEX('Data Processing'!AC:AC,$A18)</f>
        <v>161.84738332500001</v>
      </c>
      <c r="I18" s="664">
        <f ca="1">-INDEX('Data Processing'!AE:AE,$A18)</f>
        <v>147.13593123500002</v>
      </c>
      <c r="J18" s="664">
        <f>-SUM(INDEX('Data Processing'!CX:CX,A18):INDEX('Data Processing'!DK:DK,A18))</f>
        <v>59.807648290000003</v>
      </c>
      <c r="K18" s="664">
        <f>-SUM(INDEX('Data Processing'!CX:CX,A18):INDEX('Data Processing'!DM:DM,A18))</f>
        <v>89.230552470000006</v>
      </c>
      <c r="L18" s="663" t="str">
        <f ca="1">INDEX('Data Processing'!K:K,A18)</f>
        <v>50% of Contractual Maturity</v>
      </c>
      <c r="M18" s="681" t="str">
        <f>INDEX('Data Processing'!AR:AR,A18)</f>
        <v>Inflow</v>
      </c>
      <c r="N18" s="707">
        <f t="shared" si="0"/>
        <v>191.75120747000003</v>
      </c>
      <c r="O18" s="664">
        <f t="shared" ca="1" si="3"/>
        <v>161.84738332500001</v>
      </c>
      <c r="P18" s="681">
        <f t="shared" ca="1" si="18"/>
        <v>29.903824145000016</v>
      </c>
      <c r="Q18" s="707">
        <v>182.36571129999999</v>
      </c>
      <c r="R18" s="664">
        <v>181.95835789499998</v>
      </c>
      <c r="S18" s="681">
        <v>0.40735340500000916</v>
      </c>
      <c r="T18" s="707">
        <f t="shared" si="19"/>
        <v>9.3854961700000388</v>
      </c>
      <c r="U18" s="664">
        <f t="shared" ca="1" si="4"/>
        <v>-20.110974569999968</v>
      </c>
      <c r="V18" s="681">
        <f t="shared" ca="1" si="5"/>
        <v>29.496470740000007</v>
      </c>
      <c r="X18" s="443">
        <v>17</v>
      </c>
      <c r="AA18" s="919" t="s">
        <v>990</v>
      </c>
      <c r="AB18" s="707">
        <f t="shared" si="6"/>
        <v>191.75120747000003</v>
      </c>
      <c r="AC18" s="664">
        <f t="shared" ca="1" si="1"/>
        <v>161.84738332500001</v>
      </c>
      <c r="AD18" s="860">
        <f t="shared" ca="1" si="2"/>
        <v>29.903824145000016</v>
      </c>
      <c r="AE18" s="664"/>
      <c r="AF18" s="664"/>
      <c r="AG18" s="664">
        <f t="shared" si="13"/>
        <v>0</v>
      </c>
      <c r="AH18" s="664">
        <f t="shared" si="14"/>
        <v>0</v>
      </c>
      <c r="AI18" s="707">
        <f t="shared" si="15"/>
        <v>191.75120747000003</v>
      </c>
      <c r="AJ18" s="664">
        <f t="shared" ca="1" si="16"/>
        <v>161.84738332500001</v>
      </c>
      <c r="AK18" s="860">
        <f t="shared" ca="1" si="17"/>
        <v>29.903824145000016</v>
      </c>
      <c r="AN18" s="769" t="s">
        <v>1638</v>
      </c>
      <c r="AO18" s="770">
        <v>5801.7136461499995</v>
      </c>
      <c r="AP18" s="770"/>
      <c r="AQ18" s="770">
        <f t="shared" si="28"/>
        <v>5801.7136461499995</v>
      </c>
    </row>
    <row r="19" spans="1:43" ht="14.25" customHeight="1">
      <c r="A19" s="476">
        <f>MATCH(C19,'Data Processing'!C:C,0)</f>
        <v>18</v>
      </c>
      <c r="B19" s="682" t="s">
        <v>1248</v>
      </c>
      <c r="C19" s="670" t="s">
        <v>1067</v>
      </c>
      <c r="D19" s="666" t="str">
        <f>INDEX('Data Processing'!G:G,A19)</f>
        <v>Trade Finance - 3rd Parties</v>
      </c>
      <c r="E19" s="651">
        <f>-INDEX('Data Processing'!O:O,$A19)</f>
        <v>2643.1710078999999</v>
      </c>
      <c r="F19" s="667">
        <f ca="1">INDEX('Data Processing'!$I:$I,$A19)</f>
        <v>0.5</v>
      </c>
      <c r="G19" s="667">
        <f ca="1">INDEX('Data Processing'!$J:$J,$A19)</f>
        <v>0.5</v>
      </c>
      <c r="H19" s="651">
        <f ca="1">-INDEX('Data Processing'!AC:AC,$A19)</f>
        <v>2574.3165363849998</v>
      </c>
      <c r="I19" s="651">
        <f ca="1">-INDEX('Data Processing'!AE:AE,$A19)</f>
        <v>2505.7694709449997</v>
      </c>
      <c r="J19" s="651">
        <f>-SUM(INDEX('Data Processing'!CX:CX,A19):INDEX('Data Processing'!DK:DK,A19))</f>
        <v>137.70894303000003</v>
      </c>
      <c r="K19" s="651">
        <f>-SUM(INDEX('Data Processing'!CX:CX,A19):INDEX('Data Processing'!DM:DM,A19))</f>
        <v>274.80307391000002</v>
      </c>
      <c r="L19" s="666" t="str">
        <f ca="1">INDEX('Data Processing'!K:K,A19)</f>
        <v>50% of Contractual Maturity</v>
      </c>
      <c r="M19" s="683" t="str">
        <f>INDEX('Data Processing'!AR:AR,A19)</f>
        <v>Inflow</v>
      </c>
      <c r="N19" s="708">
        <f t="shared" si="0"/>
        <v>2643.1710078999999</v>
      </c>
      <c r="O19" s="651">
        <f t="shared" ca="1" si="3"/>
        <v>2574.3165363849998</v>
      </c>
      <c r="P19" s="683">
        <f t="shared" ca="1" si="18"/>
        <v>68.854471515000114</v>
      </c>
      <c r="Q19" s="708">
        <v>1751.8988910300002</v>
      </c>
      <c r="R19" s="651">
        <v>1737.6535298600002</v>
      </c>
      <c r="S19" s="683">
        <v>14.245361170000024</v>
      </c>
      <c r="T19" s="708">
        <f t="shared" si="19"/>
        <v>891.27211686999976</v>
      </c>
      <c r="U19" s="651">
        <f t="shared" ca="1" si="4"/>
        <v>836.66300652499967</v>
      </c>
      <c r="V19" s="683">
        <f t="shared" ca="1" si="5"/>
        <v>54.60911034500009</v>
      </c>
      <c r="X19" s="443">
        <v>17</v>
      </c>
      <c r="AA19" s="920" t="s">
        <v>991</v>
      </c>
      <c r="AB19" s="708">
        <f t="shared" si="6"/>
        <v>2643.1710078999999</v>
      </c>
      <c r="AC19" s="651">
        <f t="shared" ca="1" si="1"/>
        <v>2574.3165363849998</v>
      </c>
      <c r="AD19" s="862">
        <f t="shared" ca="1" si="2"/>
        <v>68.854471515000114</v>
      </c>
      <c r="AE19" s="651"/>
      <c r="AF19" s="651"/>
      <c r="AG19" s="651">
        <f t="shared" si="13"/>
        <v>0</v>
      </c>
      <c r="AH19" s="651">
        <f t="shared" si="14"/>
        <v>0</v>
      </c>
      <c r="AI19" s="708">
        <f t="shared" si="15"/>
        <v>2643.1710078999999</v>
      </c>
      <c r="AJ19" s="651">
        <f t="shared" ca="1" si="16"/>
        <v>2574.3165363849998</v>
      </c>
      <c r="AK19" s="862">
        <f t="shared" ca="1" si="17"/>
        <v>68.854471515000114</v>
      </c>
      <c r="AN19" s="769" t="s">
        <v>1639</v>
      </c>
      <c r="AO19" s="770">
        <v>7077.35992291</v>
      </c>
      <c r="AP19" s="770"/>
      <c r="AQ19" s="770">
        <f t="shared" si="28"/>
        <v>7077.35992291</v>
      </c>
    </row>
    <row r="20" spans="1:43" ht="14.25" customHeight="1">
      <c r="A20" s="475">
        <f>MATCH(C20,'Data Processing'!C:C,0)</f>
        <v>19</v>
      </c>
      <c r="B20" s="680" t="s">
        <v>1248</v>
      </c>
      <c r="C20" s="662" t="s">
        <v>1156</v>
      </c>
      <c r="D20" s="663" t="str">
        <f>INDEX('Data Processing'!G:G,A20)</f>
        <v xml:space="preserve">Trade Finance - Non FI </v>
      </c>
      <c r="E20" s="664">
        <f>-INDEX('Data Processing'!O:O,$A20)</f>
        <v>1550.08623592</v>
      </c>
      <c r="F20" s="669">
        <f ca="1">INDEX('Data Processing'!$I:$I,$A20)</f>
        <v>1</v>
      </c>
      <c r="G20" s="669">
        <f ca="1">INDEX('Data Processing'!$J:$J,$A20)</f>
        <v>1</v>
      </c>
      <c r="H20" s="664">
        <f ca="1">-INDEX('Data Processing'!AC:AC,$A20)</f>
        <v>1511.04301839</v>
      </c>
      <c r="I20" s="664">
        <f ca="1">-INDEX('Data Processing'!AE:AE,$A20)</f>
        <v>1451.03435023</v>
      </c>
      <c r="J20" s="664">
        <f>-SUM(INDEX('Data Processing'!CX:CX,A20):INDEX('Data Processing'!DK:DK,A20))</f>
        <v>39.04321753</v>
      </c>
      <c r="K20" s="664">
        <f>-SUM(INDEX('Data Processing'!CX:CX,A20):INDEX('Data Processing'!DM:DM,A20))</f>
        <v>99.051885690000006</v>
      </c>
      <c r="L20" s="663" t="str">
        <f ca="1">INDEX('Data Processing'!K:K,A20)</f>
        <v>100% of Contractual Maturity</v>
      </c>
      <c r="M20" s="681" t="str">
        <f>INDEX('Data Processing'!AR:AR,A20)</f>
        <v>Inflow</v>
      </c>
      <c r="N20" s="707">
        <f t="shared" si="0"/>
        <v>1550.08623592</v>
      </c>
      <c r="O20" s="664">
        <f t="shared" ca="1" si="3"/>
        <v>1511.04301839</v>
      </c>
      <c r="P20" s="681">
        <f t="shared" ca="1" si="18"/>
        <v>39.043217529999993</v>
      </c>
      <c r="Q20" s="707">
        <v>1704.1456013400002</v>
      </c>
      <c r="R20" s="664">
        <v>1665.1441938700002</v>
      </c>
      <c r="S20" s="681">
        <v>39.001407470000004</v>
      </c>
      <c r="T20" s="707">
        <f t="shared" si="19"/>
        <v>-154.05936542000018</v>
      </c>
      <c r="U20" s="664">
        <f t="shared" ca="1" si="4"/>
        <v>-154.10117548000017</v>
      </c>
      <c r="V20" s="681">
        <f t="shared" ca="1" si="5"/>
        <v>4.181005999998888E-2</v>
      </c>
      <c r="X20" s="443">
        <v>17</v>
      </c>
      <c r="AA20" s="919" t="s">
        <v>1065</v>
      </c>
      <c r="AB20" s="707">
        <f t="shared" si="6"/>
        <v>1550.08623592</v>
      </c>
      <c r="AC20" s="664">
        <f t="shared" ca="1" si="1"/>
        <v>1511.04301839</v>
      </c>
      <c r="AD20" s="860">
        <f t="shared" ca="1" si="2"/>
        <v>39.043217529999993</v>
      </c>
      <c r="AE20" s="664"/>
      <c r="AF20" s="664"/>
      <c r="AG20" s="664">
        <f t="shared" si="13"/>
        <v>0</v>
      </c>
      <c r="AH20" s="664">
        <f t="shared" si="14"/>
        <v>0</v>
      </c>
      <c r="AI20" s="707">
        <f t="shared" si="15"/>
        <v>1550.08623592</v>
      </c>
      <c r="AJ20" s="664">
        <f t="shared" ca="1" si="16"/>
        <v>1511.04301839</v>
      </c>
      <c r="AK20" s="860">
        <f t="shared" ca="1" si="17"/>
        <v>39.043217529999993</v>
      </c>
      <c r="AN20" s="769" t="s">
        <v>1640</v>
      </c>
      <c r="AO20" s="770">
        <v>17038.782984820005</v>
      </c>
      <c r="AP20" s="770"/>
      <c r="AQ20" s="770">
        <f t="shared" si="28"/>
        <v>17038.782984820005</v>
      </c>
    </row>
    <row r="21" spans="1:43" ht="14.25" customHeight="1">
      <c r="A21" s="476">
        <f>MATCH(C21,'Data Processing'!C:C,0)</f>
        <v>20</v>
      </c>
      <c r="B21" s="682"/>
      <c r="C21" s="670">
        <v>6</v>
      </c>
      <c r="D21" s="666" t="str">
        <f>INDEX('Data Processing'!G:G,A21)</f>
        <v>BOLI</v>
      </c>
      <c r="E21" s="651">
        <f>-INDEX('Data Processing'!O:O,$A21)</f>
        <v>177.33069579000002</v>
      </c>
      <c r="F21" s="667" t="str">
        <f>INDEX('Data Processing'!$I:$I,$A21)</f>
        <v/>
      </c>
      <c r="G21" s="667" t="str">
        <f>INDEX('Data Processing'!$J:$J,$A21)</f>
        <v/>
      </c>
      <c r="H21" s="651">
        <f>-INDEX('Data Processing'!AC:AC,$A21)</f>
        <v>177.33069579000002</v>
      </c>
      <c r="I21" s="651">
        <f>-INDEX('Data Processing'!AE:AE,$A21)</f>
        <v>177.33069579000002</v>
      </c>
      <c r="J21" s="651">
        <f>-SUM(INDEX('Data Processing'!CX:CX,A21):INDEX('Data Processing'!DK:DK,A21))</f>
        <v>16.731604560000001</v>
      </c>
      <c r="K21" s="651">
        <f>-SUM(INDEX('Data Processing'!CX:CX,A21):INDEX('Data Processing'!DM:DM,A21))</f>
        <v>16.731604560000001</v>
      </c>
      <c r="L21" s="666" t="str">
        <f>INDEX('Data Processing'!K:K,A21)</f>
        <v>No Run-off</v>
      </c>
      <c r="M21" s="683" t="str">
        <f>INDEX('Data Processing'!AR:AR,A21)</f>
        <v>Inflow</v>
      </c>
      <c r="N21" s="708">
        <f t="shared" si="0"/>
        <v>177.33069579000002</v>
      </c>
      <c r="O21" s="651">
        <f t="shared" si="3"/>
        <v>177.33069579000002</v>
      </c>
      <c r="P21" s="683">
        <f t="shared" si="18"/>
        <v>0</v>
      </c>
      <c r="Q21" s="708">
        <v>174.78245827000001</v>
      </c>
      <c r="R21" s="651">
        <v>174.78245827000001</v>
      </c>
      <c r="S21" s="683">
        <v>0</v>
      </c>
      <c r="T21" s="708">
        <f t="shared" si="19"/>
        <v>2.5482375200000149</v>
      </c>
      <c r="U21" s="651">
        <f t="shared" si="4"/>
        <v>2.5482375200000149</v>
      </c>
      <c r="V21" s="683">
        <f t="shared" si="5"/>
        <v>0</v>
      </c>
      <c r="X21" s="443" t="s">
        <v>1417</v>
      </c>
      <c r="AA21" s="920" t="s">
        <v>20</v>
      </c>
      <c r="AB21" s="708">
        <f t="shared" si="6"/>
        <v>177.33069579000002</v>
      </c>
      <c r="AC21" s="651">
        <f t="shared" si="1"/>
        <v>177.33069579000002</v>
      </c>
      <c r="AD21" s="862">
        <f t="shared" si="2"/>
        <v>0</v>
      </c>
      <c r="AE21" s="651"/>
      <c r="AF21" s="651"/>
      <c r="AG21" s="651">
        <f t="shared" si="13"/>
        <v>0</v>
      </c>
      <c r="AH21" s="651">
        <f t="shared" si="14"/>
        <v>0</v>
      </c>
      <c r="AI21" s="708">
        <f t="shared" si="15"/>
        <v>177.33069579000002</v>
      </c>
      <c r="AJ21" s="651">
        <f t="shared" si="16"/>
        <v>177.33069579000002</v>
      </c>
      <c r="AK21" s="862">
        <f t="shared" si="17"/>
        <v>0</v>
      </c>
      <c r="AN21" s="769" t="s">
        <v>1641</v>
      </c>
      <c r="AO21" s="770">
        <v>24100.595620669999</v>
      </c>
      <c r="AP21" s="770">
        <f>SUM(AG26:AG64)-15400</f>
        <v>-1197.5608447100021</v>
      </c>
      <c r="AQ21" s="770">
        <f t="shared" si="28"/>
        <v>22903.034775959997</v>
      </c>
    </row>
    <row r="22" spans="1:43" ht="14.25" customHeight="1">
      <c r="A22" s="476">
        <f>MATCH(C22,'Data Processing'!C:C,0)</f>
        <v>21</v>
      </c>
      <c r="B22" s="682" t="s">
        <v>1246</v>
      </c>
      <c r="C22" s="670">
        <v>98</v>
      </c>
      <c r="D22" s="666" t="str">
        <f>INDEX('Data Processing'!G:G,A22)</f>
        <v>REPO Assets</v>
      </c>
      <c r="E22" s="651">
        <f>-INDEX('Data Processing'!O:O,$A22)</f>
        <v>0</v>
      </c>
      <c r="F22" s="667">
        <f ca="1">INDEX('Data Processing'!$I:$I,$A22)</f>
        <v>1</v>
      </c>
      <c r="G22" s="667"/>
      <c r="H22" s="651">
        <f ca="1">-INDEX('Data Processing'!AC:AC,$A22)</f>
        <v>0</v>
      </c>
      <c r="I22" s="651">
        <f ca="1">-INDEX('Data Processing'!AE:AE,$A22)</f>
        <v>0</v>
      </c>
      <c r="J22" s="651">
        <f>-SUM(INDEX('Data Processing'!CX:CX,A22):INDEX('Data Processing'!DK:DK,A22))</f>
        <v>0</v>
      </c>
      <c r="K22" s="651">
        <f>-SUM(INDEX('Data Processing'!CX:CX,A22):INDEX('Data Processing'!DM:DM,A22))</f>
        <v>0</v>
      </c>
      <c r="L22" s="666" t="str">
        <f ca="1">INDEX('Data Processing'!K:K,A22)</f>
        <v>100% of Contractual Maturity</v>
      </c>
      <c r="M22" s="683" t="str">
        <f>INDEX('Data Processing'!AR:AR,A22)</f>
        <v>Inflow</v>
      </c>
      <c r="N22" s="708">
        <f t="shared" si="0"/>
        <v>0</v>
      </c>
      <c r="O22" s="651">
        <f t="shared" ca="1" si="3"/>
        <v>0</v>
      </c>
      <c r="P22" s="683">
        <f t="shared" ca="1" si="18"/>
        <v>0</v>
      </c>
      <c r="Q22" s="708">
        <v>0</v>
      </c>
      <c r="R22" s="651">
        <v>0</v>
      </c>
      <c r="S22" s="683">
        <v>0</v>
      </c>
      <c r="T22" s="708">
        <f t="shared" si="19"/>
        <v>0</v>
      </c>
      <c r="U22" s="651">
        <f t="shared" ca="1" si="4"/>
        <v>0</v>
      </c>
      <c r="V22" s="683">
        <f t="shared" ca="1" si="5"/>
        <v>0</v>
      </c>
      <c r="X22" s="443" t="s">
        <v>1417</v>
      </c>
      <c r="AA22" s="920" t="s">
        <v>1136</v>
      </c>
      <c r="AB22" s="708">
        <f t="shared" si="6"/>
        <v>0</v>
      </c>
      <c r="AC22" s="651">
        <f t="shared" ca="1" si="1"/>
        <v>0</v>
      </c>
      <c r="AD22" s="862">
        <f t="shared" ca="1" si="2"/>
        <v>0</v>
      </c>
      <c r="AE22" s="651"/>
      <c r="AF22" s="651"/>
      <c r="AG22" s="651">
        <f t="shared" si="13"/>
        <v>0</v>
      </c>
      <c r="AH22" s="651">
        <f t="shared" si="14"/>
        <v>0</v>
      </c>
      <c r="AI22" s="708">
        <f t="shared" si="15"/>
        <v>0</v>
      </c>
      <c r="AJ22" s="651">
        <f t="shared" ca="1" si="16"/>
        <v>0</v>
      </c>
      <c r="AK22" s="862">
        <f t="shared" ca="1" si="17"/>
        <v>0</v>
      </c>
      <c r="AN22" s="769" t="s">
        <v>1611</v>
      </c>
      <c r="AO22" s="770">
        <f>SUM(AO15:AO21)</f>
        <v>63934.752267820004</v>
      </c>
      <c r="AP22" s="770"/>
      <c r="AQ22" s="770">
        <f>SUM(AQ15:AQ21)</f>
        <v>63837.191423110002</v>
      </c>
    </row>
    <row r="23" spans="1:43" ht="14.25" customHeight="1">
      <c r="A23" s="475">
        <f>MATCH(C23,'Data Processing'!C:C,0)</f>
        <v>22</v>
      </c>
      <c r="B23" s="680"/>
      <c r="C23" s="662">
        <v>7</v>
      </c>
      <c r="D23" s="663" t="str">
        <f>INDEX('Data Processing'!G:G,A23)</f>
        <v>Other Assets</v>
      </c>
      <c r="E23" s="664">
        <f>-INDEX('Data Processing'!O:O,$A23)</f>
        <v>-81.621511070000054</v>
      </c>
      <c r="F23" s="669" t="str">
        <f>INDEX('Data Processing'!$I:$I,$A23)</f>
        <v/>
      </c>
      <c r="G23" s="669"/>
      <c r="H23" s="664">
        <f>-INDEX('Data Processing'!AC:AC,$A23)</f>
        <v>-81.621511070000054</v>
      </c>
      <c r="I23" s="664">
        <f>-INDEX('Data Processing'!AE:AE,$A23)</f>
        <v>-81.621511070000054</v>
      </c>
      <c r="J23" s="664">
        <f>-SUM(INDEX('Data Processing'!CX:CX,A23):INDEX('Data Processing'!DK:DK,A23))</f>
        <v>-135.33330534000012</v>
      </c>
      <c r="K23" s="664">
        <f>-SUM(INDEX('Data Processing'!CX:CX,A23):INDEX('Data Processing'!DM:DM,A23))</f>
        <v>-135.33330534000012</v>
      </c>
      <c r="L23" s="663" t="str">
        <f>INDEX('Data Processing'!K:K,A23)</f>
        <v>No Run-off</v>
      </c>
      <c r="M23" s="681" t="str">
        <f>INDEX('Data Processing'!AR:AR,A23)</f>
        <v>Inflow</v>
      </c>
      <c r="N23" s="707">
        <f t="shared" si="0"/>
        <v>-81.621511070000054</v>
      </c>
      <c r="O23" s="664">
        <f t="shared" si="3"/>
        <v>-81.621511070000054</v>
      </c>
      <c r="P23" s="681">
        <f t="shared" si="18"/>
        <v>0</v>
      </c>
      <c r="Q23" s="707">
        <v>-59.07140299999994</v>
      </c>
      <c r="R23" s="664">
        <v>-59.07140299999994</v>
      </c>
      <c r="S23" s="681">
        <v>0</v>
      </c>
      <c r="T23" s="707">
        <f t="shared" si="19"/>
        <v>-22.550108070000114</v>
      </c>
      <c r="U23" s="664">
        <f t="shared" si="4"/>
        <v>-22.550108070000114</v>
      </c>
      <c r="V23" s="681">
        <f t="shared" si="5"/>
        <v>0</v>
      </c>
      <c r="X23" s="443" t="s">
        <v>1417</v>
      </c>
      <c r="AA23" s="919" t="s">
        <v>21</v>
      </c>
      <c r="AB23" s="707">
        <f t="shared" si="6"/>
        <v>-81.621511070000054</v>
      </c>
      <c r="AC23" s="664">
        <f t="shared" si="1"/>
        <v>-81.621511070000054</v>
      </c>
      <c r="AD23" s="860">
        <f t="shared" si="2"/>
        <v>0</v>
      </c>
      <c r="AE23" s="664"/>
      <c r="AF23" s="664"/>
      <c r="AG23" s="664"/>
      <c r="AH23" s="664"/>
      <c r="AI23" s="707">
        <f t="shared" si="15"/>
        <v>-81.621511070000054</v>
      </c>
      <c r="AJ23" s="664">
        <f t="shared" si="16"/>
        <v>-81.621511070000054</v>
      </c>
      <c r="AK23" s="860">
        <f t="shared" si="17"/>
        <v>0</v>
      </c>
      <c r="AN23" s="769"/>
      <c r="AO23" s="929"/>
      <c r="AP23" s="769"/>
      <c r="AQ23" s="769"/>
    </row>
    <row r="24" spans="1:43" ht="15" customHeight="1">
      <c r="A24" s="698"/>
      <c r="B24" s="699"/>
      <c r="C24" s="700"/>
      <c r="D24" s="701" t="s">
        <v>22</v>
      </c>
      <c r="E24" s="702">
        <f>SUM(E6:E23)</f>
        <v>61187.931160080007</v>
      </c>
      <c r="F24" s="701"/>
      <c r="G24" s="701"/>
      <c r="H24" s="702">
        <f t="shared" ref="H24:K24" ca="1" si="29">SUM(H6:H23)</f>
        <v>38131.452392183761</v>
      </c>
      <c r="I24" s="702">
        <f t="shared" ca="1" si="29"/>
        <v>32731.104184712858</v>
      </c>
      <c r="J24" s="702">
        <f t="shared" ref="J24" si="30">SUM(J6:J23)</f>
        <v>664.60149023999963</v>
      </c>
      <c r="K24" s="702">
        <f t="shared" si="29"/>
        <v>2039.4566289599998</v>
      </c>
      <c r="L24" s="701"/>
      <c r="M24" s="703" t="s">
        <v>1201</v>
      </c>
      <c r="N24" s="709">
        <f t="shared" si="0"/>
        <v>61187.931160080007</v>
      </c>
      <c r="O24" s="702">
        <f t="shared" ca="1" si="3"/>
        <v>38131.452392183761</v>
      </c>
      <c r="P24" s="703">
        <f t="shared" ca="1" si="18"/>
        <v>23056.478767896246</v>
      </c>
      <c r="Q24" s="709">
        <v>58567.896306819988</v>
      </c>
      <c r="R24" s="702">
        <v>37881.794846205419</v>
      </c>
      <c r="S24" s="703">
        <v>20686.101460614569</v>
      </c>
      <c r="T24" s="709">
        <f t="shared" si="19"/>
        <v>2620.0348532600183</v>
      </c>
      <c r="U24" s="702">
        <f ca="1">O24-R24</f>
        <v>249.65754597834166</v>
      </c>
      <c r="V24" s="703">
        <f t="shared" ca="1" si="5"/>
        <v>2370.3773072816766</v>
      </c>
      <c r="AA24" s="921" t="s">
        <v>22</v>
      </c>
      <c r="AB24" s="709">
        <f t="shared" si="6"/>
        <v>61187.931160080007</v>
      </c>
      <c r="AC24" s="702">
        <f t="shared" ca="1" si="1"/>
        <v>38131.452392183761</v>
      </c>
      <c r="AD24" s="866">
        <f t="shared" ca="1" si="2"/>
        <v>23056.478767896246</v>
      </c>
      <c r="AE24" s="702"/>
      <c r="AF24" s="702"/>
      <c r="AG24" s="702"/>
      <c r="AH24" s="702"/>
      <c r="AI24" s="709">
        <f>SUM(AI6:AI23)</f>
        <v>75390.370315370033</v>
      </c>
      <c r="AJ24" s="702">
        <f t="shared" ca="1" si="16"/>
        <v>38131.452392183761</v>
      </c>
      <c r="AK24" s="866">
        <f t="shared" ca="1" si="17"/>
        <v>37258.917923186273</v>
      </c>
      <c r="AN24" s="769" t="s">
        <v>1642</v>
      </c>
      <c r="AO24" s="928">
        <v>0.24584460222161958</v>
      </c>
      <c r="AP24" s="928"/>
      <c r="AQ24" s="928">
        <f>SUM(AQ15:AQ18)/SUM(AQ22)</f>
        <v>0.26345165513236585</v>
      </c>
    </row>
    <row r="25" spans="1:43" ht="14.25" customHeight="1">
      <c r="A25" s="697">
        <f>MATCH(C25,'Data Processing'!C:C,0)</f>
        <v>23</v>
      </c>
      <c r="B25" s="680" t="s">
        <v>1246</v>
      </c>
      <c r="C25" s="662" t="s">
        <v>994</v>
      </c>
      <c r="D25" s="663" t="str">
        <f>INDEX('Data Processing'!G:G,A25)</f>
        <v>Due to Interbranch - Demand</v>
      </c>
      <c r="E25" s="664">
        <f>INDEX('Data Processing'!O:O,$A25)</f>
        <v>19.421565280000003</v>
      </c>
      <c r="F25" s="715">
        <f ca="1">INDEX('Data Processing'!$I:$I,$A25)</f>
        <v>9.600000000000003E-2</v>
      </c>
      <c r="G25" s="671">
        <f ca="1">INDEX('Data Processing'!$J:$J,$A25)</f>
        <v>0.12000000000000002</v>
      </c>
      <c r="H25" s="664">
        <f ca="1">INDEX('Data Processing'!AC:AC,$A25)</f>
        <v>17.557095013120005</v>
      </c>
      <c r="I25" s="664">
        <f ca="1">INDEX('Data Processing'!AE:AE,$A25)</f>
        <v>17.090977446400004</v>
      </c>
      <c r="J25" s="664">
        <f>SUM(INDEX('Data Processing'!CX:CX,A25):INDEX('Data Processing'!DK:DK,A25))</f>
        <v>19.421565280000003</v>
      </c>
      <c r="K25" s="664">
        <f>SUM(INDEX('Data Processing'!CX:CX,A25):INDEX('Data Processing'!DM:DM,A25))</f>
        <v>19.421565280000003</v>
      </c>
      <c r="L25" s="663" t="str">
        <f ca="1">INDEX('Data Processing'!K:K,A25)</f>
        <v>9.6% of Current Balance</v>
      </c>
      <c r="M25" s="681" t="str">
        <f>INDEX('Data Processing'!AR:AR,A25)</f>
        <v>Outflow</v>
      </c>
      <c r="N25" s="707">
        <f t="shared" si="0"/>
        <v>19.421565280000003</v>
      </c>
      <c r="O25" s="664">
        <f t="shared" ca="1" si="3"/>
        <v>17.557095013120005</v>
      </c>
      <c r="P25" s="681">
        <f t="shared" ca="1" si="18"/>
        <v>1.864470266879998</v>
      </c>
      <c r="Q25" s="707">
        <v>52.681352049999994</v>
      </c>
      <c r="R25" s="664">
        <v>47.623942253199992</v>
      </c>
      <c r="S25" s="681">
        <v>5.0574097968000018</v>
      </c>
      <c r="T25" s="707">
        <f t="shared" si="19"/>
        <v>-33.259786769999991</v>
      </c>
      <c r="U25" s="664">
        <f t="shared" ca="1" si="4"/>
        <v>-30.066847240079987</v>
      </c>
      <c r="V25" s="681">
        <f t="shared" ca="1" si="5"/>
        <v>-3.1929395299200038</v>
      </c>
      <c r="W25" s="443">
        <v>9</v>
      </c>
      <c r="X25" s="443">
        <v>9</v>
      </c>
      <c r="Z25" s="645"/>
      <c r="AA25" s="919" t="s">
        <v>1290</v>
      </c>
      <c r="AB25" s="707">
        <f t="shared" si="6"/>
        <v>19.421565280000003</v>
      </c>
      <c r="AC25" s="664">
        <f t="shared" ca="1" si="1"/>
        <v>17.557095013120005</v>
      </c>
      <c r="AD25" s="860">
        <f t="shared" ca="1" si="2"/>
        <v>1.864470266879998</v>
      </c>
      <c r="AE25" s="664"/>
      <c r="AF25" s="664"/>
      <c r="AG25" s="664">
        <f t="shared" ref="AG25:AG47" si="31">IF(AE25="",0,AE25-AB25)</f>
        <v>0</v>
      </c>
      <c r="AH25" s="664">
        <f t="shared" ref="AH25:AH47" si="32">IF(AF25="",0,AF25-AC25)</f>
        <v>0</v>
      </c>
      <c r="AI25" s="707">
        <f t="shared" si="15"/>
        <v>19.421565280000003</v>
      </c>
      <c r="AJ25" s="664">
        <f t="shared" ca="1" si="16"/>
        <v>17.557095013120005</v>
      </c>
      <c r="AK25" s="860">
        <f t="shared" ca="1" si="17"/>
        <v>1.864470266879998</v>
      </c>
    </row>
    <row r="26" spans="1:43" ht="28.5" customHeight="1">
      <c r="A26" s="476">
        <f>MATCH(C26,'Data Processing'!C:C,0)</f>
        <v>24</v>
      </c>
      <c r="B26" s="682" t="s">
        <v>1246</v>
      </c>
      <c r="C26" s="670" t="s">
        <v>995</v>
      </c>
      <c r="D26" s="666" t="str">
        <f>INDEX('Data Processing'!G:G,A26)</f>
        <v>Due to Interbranch - Investment (Exclude Large IB)</v>
      </c>
      <c r="E26" s="651">
        <f>INDEX('Data Processing'!O:O,$A26)</f>
        <v>2158.1261872099999</v>
      </c>
      <c r="F26" s="716">
        <f ca="1">INDEX('Data Processing'!$I:$I,$A26)</f>
        <v>9.600000000000003E-2</v>
      </c>
      <c r="G26" s="672">
        <f ca="1">INDEX('Data Processing'!$J:$J,$A26)</f>
        <v>0.12000000000000002</v>
      </c>
      <c r="H26" s="651">
        <f ca="1">INDEX('Data Processing'!AC:AC,$A26)</f>
        <v>1950.9460732378398</v>
      </c>
      <c r="I26" s="651">
        <f ca="1">INDEX('Data Processing'!AE:AE,$A26)</f>
        <v>1899.1510447447999</v>
      </c>
      <c r="J26" s="651">
        <f>SUM(INDEX('Data Processing'!CX:CX,A26):INDEX('Data Processing'!DK:DK,A26))</f>
        <v>2158.1261872099999</v>
      </c>
      <c r="K26" s="651">
        <f>SUM(INDEX('Data Processing'!CX:CX,A26):INDEX('Data Processing'!DM:DM,A26))</f>
        <v>2158.1261872099999</v>
      </c>
      <c r="L26" s="666" t="str">
        <f ca="1">INDEX('Data Processing'!K:K,A26)</f>
        <v>9.6% of Current Balance</v>
      </c>
      <c r="M26" s="683" t="str">
        <f>INDEX('Data Processing'!AR:AR,A26)</f>
        <v>Outflow</v>
      </c>
      <c r="N26" s="708">
        <f t="shared" si="0"/>
        <v>2158.1261872099999</v>
      </c>
      <c r="O26" s="651">
        <f t="shared" ca="1" si="3"/>
        <v>1950.9460732378398</v>
      </c>
      <c r="P26" s="683">
        <f t="shared" ca="1" si="18"/>
        <v>207.18011397216014</v>
      </c>
      <c r="Q26" s="708">
        <v>1731.6043747900037</v>
      </c>
      <c r="R26" s="651">
        <v>1565.3703548101632</v>
      </c>
      <c r="S26" s="683">
        <v>166.23401997984047</v>
      </c>
      <c r="T26" s="708">
        <f t="shared" si="19"/>
        <v>426.52181241999619</v>
      </c>
      <c r="U26" s="651">
        <f t="shared" ca="1" si="4"/>
        <v>385.57571842767652</v>
      </c>
      <c r="V26" s="683">
        <f t="shared" ca="1" si="5"/>
        <v>40.946093992319675</v>
      </c>
      <c r="W26" s="443">
        <v>9</v>
      </c>
      <c r="X26" s="443">
        <v>9</v>
      </c>
      <c r="Z26" s="645"/>
      <c r="AA26" s="920" t="s">
        <v>1410</v>
      </c>
      <c r="AB26" s="708">
        <f t="shared" si="6"/>
        <v>2158.1261872099999</v>
      </c>
      <c r="AC26" s="651">
        <f t="shared" ca="1" si="1"/>
        <v>1950.9460732378398</v>
      </c>
      <c r="AD26" s="862">
        <f t="shared" ca="1" si="2"/>
        <v>207.18011397216014</v>
      </c>
      <c r="AE26" s="708"/>
      <c r="AF26" s="651">
        <f ca="1">AE26*(1-F26)</f>
        <v>0</v>
      </c>
      <c r="AG26" s="651">
        <f t="shared" si="31"/>
        <v>0</v>
      </c>
      <c r="AH26" s="651">
        <f>IF(AE26="",0,AF26-AC26)</f>
        <v>0</v>
      </c>
      <c r="AI26" s="708">
        <f t="shared" si="15"/>
        <v>2158.1261872099999</v>
      </c>
      <c r="AJ26" s="651">
        <f t="shared" ca="1" si="16"/>
        <v>1950.9460732378398</v>
      </c>
      <c r="AK26" s="862">
        <f t="shared" ca="1" si="17"/>
        <v>207.18011397216014</v>
      </c>
      <c r="AN26" s="958" t="s">
        <v>1246</v>
      </c>
      <c r="AO26" s="960">
        <f ca="1">SUMIFS($AJ$25:$AJ$74,$B$25:$B$74,AN26)</f>
        <v>22454.14550661925</v>
      </c>
    </row>
    <row r="27" spans="1:43" s="656" customFormat="1" ht="31.5" customHeight="1">
      <c r="A27" s="658">
        <f>MATCH(C27,'Data Processing'!C:C,0)</f>
        <v>25</v>
      </c>
      <c r="B27" s="684" t="s">
        <v>1246</v>
      </c>
      <c r="C27" s="673" t="s">
        <v>1288</v>
      </c>
      <c r="D27" s="674" t="str">
        <f>INDEX('Data Processing'!G:G,A27)</f>
        <v>Due to Interbranch - Investment (H.O.)</v>
      </c>
      <c r="E27" s="675">
        <f>INDEX('Data Processing'!O:O,$A27)</f>
        <v>2019.1058597900001</v>
      </c>
      <c r="F27" s="717">
        <f ca="1">INDEX('Data Processing'!$I:$I,$A27)</f>
        <v>0.15653914737194896</v>
      </c>
      <c r="G27" s="676">
        <f ca="1">INDEX('Data Processing'!$J:$J,$A27)</f>
        <v>0.19567393421493617</v>
      </c>
      <c r="H27" s="675">
        <f ca="1">INDEX('Data Processing'!AC:AC,$A27)</f>
        <v>1703.0367500447674</v>
      </c>
      <c r="I27" s="675">
        <f ca="1">INDEX('Data Processing'!AE:AE,$A27)</f>
        <v>1624.0194726084594</v>
      </c>
      <c r="J27" s="675">
        <f>SUM(INDEX('Data Processing'!CX:CX,A27):INDEX('Data Processing'!DK:DK,A27))</f>
        <v>2019.1058597900001</v>
      </c>
      <c r="K27" s="675">
        <f>SUM(INDEX('Data Processing'!CX:CX,A27):INDEX('Data Processing'!DM:DM,A27))</f>
        <v>2019.1058597900001</v>
      </c>
      <c r="L27" s="674" t="str">
        <f ca="1">INDEX('Data Processing'!K:K,A27)</f>
        <v>15.7% of Current Balance</v>
      </c>
      <c r="M27" s="685" t="str">
        <f>INDEX('Data Processing'!AR:AR,A27)</f>
        <v>Outflow</v>
      </c>
      <c r="N27" s="710">
        <f t="shared" si="0"/>
        <v>2019.1058597900001</v>
      </c>
      <c r="O27" s="675">
        <f t="shared" ca="1" si="3"/>
        <v>1703.0367500447674</v>
      </c>
      <c r="P27" s="685">
        <f t="shared" ca="1" si="18"/>
        <v>316.06910974523271</v>
      </c>
      <c r="Q27" s="710">
        <v>2000</v>
      </c>
      <c r="R27" s="675">
        <v>1686.1614633617799</v>
      </c>
      <c r="S27" s="685">
        <v>313.83853663822015</v>
      </c>
      <c r="T27" s="710">
        <f t="shared" si="19"/>
        <v>19.105859790000068</v>
      </c>
      <c r="U27" s="675">
        <f t="shared" ca="1" si="4"/>
        <v>16.875286682987507</v>
      </c>
      <c r="V27" s="685">
        <f t="shared" ca="1" si="5"/>
        <v>2.2305731070125603</v>
      </c>
      <c r="W27" s="656">
        <v>8</v>
      </c>
      <c r="X27" s="656">
        <v>8</v>
      </c>
      <c r="Z27" s="645"/>
      <c r="AA27" s="922" t="s">
        <v>1297</v>
      </c>
      <c r="AB27" s="710">
        <f t="shared" si="6"/>
        <v>2019.1058597900001</v>
      </c>
      <c r="AC27" s="675">
        <f t="shared" ca="1" si="1"/>
        <v>1703.0367500447674</v>
      </c>
      <c r="AD27" s="868">
        <f t="shared" ca="1" si="2"/>
        <v>316.06910974523271</v>
      </c>
      <c r="AE27" s="675"/>
      <c r="AF27" s="675">
        <f ca="1">AE27*(1-F27)</f>
        <v>0</v>
      </c>
      <c r="AG27" s="675">
        <f t="shared" si="31"/>
        <v>0</v>
      </c>
      <c r="AH27" s="675">
        <f>IF(AE27="",0,AF27-AC27)</f>
        <v>0</v>
      </c>
      <c r="AI27" s="710">
        <f t="shared" si="15"/>
        <v>2019.1058597900001</v>
      </c>
      <c r="AJ27" s="675">
        <f t="shared" ca="1" si="16"/>
        <v>1703.0367500447674</v>
      </c>
      <c r="AK27" s="868">
        <f t="shared" ca="1" si="17"/>
        <v>316.06910974523271</v>
      </c>
      <c r="AN27" s="959" t="s">
        <v>1249</v>
      </c>
      <c r="AO27" s="960">
        <f t="shared" ref="AO27:AO28" ca="1" si="33">SUMIFS($AJ$25:$AJ$74,$B$25:$B$74,AN27)</f>
        <v>8820.4161437830771</v>
      </c>
    </row>
    <row r="28" spans="1:43" s="656" customFormat="1" ht="31.5" customHeight="1">
      <c r="A28" s="658">
        <f>MATCH(C28,'Data Processing'!C:C,0)</f>
        <v>26</v>
      </c>
      <c r="B28" s="684" t="s">
        <v>1246</v>
      </c>
      <c r="C28" s="673" t="s">
        <v>1409</v>
      </c>
      <c r="D28" s="674" t="str">
        <f>INDEX('Data Processing'!G:G,A28)</f>
        <v>Due to Interbranch - Investment (MACAU)</v>
      </c>
      <c r="E28" s="675">
        <f>INDEX('Data Processing'!O:O,$A28)</f>
        <v>460.71168785000003</v>
      </c>
      <c r="F28" s="717">
        <f ca="1">INDEX('Data Processing'!$I:$I,$A28)</f>
        <v>9.600000000000003E-2</v>
      </c>
      <c r="G28" s="676">
        <f ca="1">INDEX('Data Processing'!$J:$J,$A28)</f>
        <v>0.12000000000000002</v>
      </c>
      <c r="H28" s="675">
        <f ca="1">INDEX('Data Processing'!AC:AC,$A28)</f>
        <v>416.48336581640001</v>
      </c>
      <c r="I28" s="675">
        <f ca="1">INDEX('Data Processing'!AE:AE,$A28)</f>
        <v>405.42628530800005</v>
      </c>
      <c r="J28" s="675">
        <f>SUM(INDEX('Data Processing'!CX:CX,A28):INDEX('Data Processing'!DK:DK,A28))</f>
        <v>460.71168785000003</v>
      </c>
      <c r="K28" s="675">
        <f>SUM(INDEX('Data Processing'!CX:CX,A28):INDEX('Data Processing'!DM:DM,A28))</f>
        <v>460.71168785000003</v>
      </c>
      <c r="L28" s="674" t="str">
        <f ca="1">INDEX('Data Processing'!K:K,A28)</f>
        <v>9.6% of Current Balance</v>
      </c>
      <c r="M28" s="685" t="str">
        <f>INDEX('Data Processing'!AR:AR,A28)</f>
        <v>Outflow</v>
      </c>
      <c r="N28" s="710">
        <f t="shared" ref="N28" si="34">E28</f>
        <v>460.71168785000003</v>
      </c>
      <c r="O28" s="675">
        <f t="shared" ref="O28" ca="1" si="35">H28</f>
        <v>416.48336581640001</v>
      </c>
      <c r="P28" s="685">
        <f t="shared" ref="P28" ca="1" si="36">E28-H28</f>
        <v>44.228322033600023</v>
      </c>
      <c r="Q28" s="710">
        <v>579.55498291999993</v>
      </c>
      <c r="R28" s="675">
        <v>523.91770455967992</v>
      </c>
      <c r="S28" s="685">
        <v>55.637278360320011</v>
      </c>
      <c r="T28" s="710">
        <f t="shared" ref="T28" si="37">N28-Q28</f>
        <v>-118.8432950699999</v>
      </c>
      <c r="U28" s="675">
        <f t="shared" ref="U28" ca="1" si="38">O28-R28</f>
        <v>-107.43433874327991</v>
      </c>
      <c r="V28" s="685">
        <f t="shared" ref="V28" ca="1" si="39">P28-S28</f>
        <v>-11.408956326719988</v>
      </c>
      <c r="W28" s="656">
        <v>8</v>
      </c>
      <c r="X28" s="656" t="s">
        <v>1414</v>
      </c>
      <c r="Z28" s="645"/>
      <c r="AA28" s="922" t="s">
        <v>1411</v>
      </c>
      <c r="AB28" s="710">
        <f t="shared" si="6"/>
        <v>460.71168785000003</v>
      </c>
      <c r="AC28" s="675">
        <f t="shared" ca="1" si="1"/>
        <v>416.48336581640001</v>
      </c>
      <c r="AD28" s="868">
        <f t="shared" ca="1" si="2"/>
        <v>44.228322033600023</v>
      </c>
      <c r="AE28" s="710">
        <v>460.66203177999995</v>
      </c>
      <c r="AF28" s="675">
        <f ca="1">AE28*(1-F28)</f>
        <v>416.43847672911994</v>
      </c>
      <c r="AG28" s="675">
        <f t="shared" si="31"/>
        <v>-4.9656070000082764E-2</v>
      </c>
      <c r="AH28" s="675">
        <f ca="1">IF(AE28="",0,AF28-AC28)</f>
        <v>-4.4889087280068907E-2</v>
      </c>
      <c r="AI28" s="710">
        <f t="shared" si="15"/>
        <v>460.66203177999995</v>
      </c>
      <c r="AJ28" s="675">
        <f t="shared" ca="1" si="16"/>
        <v>416.43847672911994</v>
      </c>
      <c r="AK28" s="868">
        <f t="shared" ca="1" si="17"/>
        <v>44.223555050880009</v>
      </c>
      <c r="AN28" s="959" t="s">
        <v>1247</v>
      </c>
      <c r="AO28" s="960">
        <f t="shared" ca="1" si="33"/>
        <v>5201.478539070532</v>
      </c>
    </row>
    <row r="29" spans="1:43" s="656" customFormat="1" ht="31.5" customHeight="1">
      <c r="A29" s="658">
        <f>MATCH(C29,'Data Processing'!C:C,0)</f>
        <v>27</v>
      </c>
      <c r="B29" s="684" t="s">
        <v>1246</v>
      </c>
      <c r="C29" s="673" t="s">
        <v>1419</v>
      </c>
      <c r="D29" s="674" t="str">
        <f>INDEX('Data Processing'!G:G,A29)</f>
        <v>Due to Interbranch - Investment (LUXEMBOURG)</v>
      </c>
      <c r="E29" s="675">
        <f>INDEX('Data Processing'!O:O,$A29)</f>
        <v>170.26193140000001</v>
      </c>
      <c r="F29" s="717">
        <f ca="1">INDEX('Data Processing'!$I:$I,$A29)</f>
        <v>9.600000000000003E-2</v>
      </c>
      <c r="G29" s="676">
        <f ca="1">INDEX('Data Processing'!$J:$J,$A29)</f>
        <v>0.12000000000000002</v>
      </c>
      <c r="H29" s="675">
        <f ca="1">INDEX('Data Processing'!AC:AC,$A29)</f>
        <v>153.9167859856</v>
      </c>
      <c r="I29" s="675">
        <f ca="1">INDEX('Data Processing'!AE:AE,$A29)</f>
        <v>149.830499632</v>
      </c>
      <c r="J29" s="675">
        <f>SUM(INDEX('Data Processing'!CX:CX,A29):INDEX('Data Processing'!DK:DK,A29))</f>
        <v>170.26193140000001</v>
      </c>
      <c r="K29" s="675">
        <f>SUM(INDEX('Data Processing'!CX:CX,A29):INDEX('Data Processing'!DM:DM,A29))</f>
        <v>170.26193140000001</v>
      </c>
      <c r="L29" s="674" t="str">
        <f ca="1">INDEX('Data Processing'!K:K,A29)</f>
        <v>9.6% of Current Balance</v>
      </c>
      <c r="M29" s="685" t="str">
        <f>INDEX('Data Processing'!AR:AR,A29)</f>
        <v>Outflow</v>
      </c>
      <c r="N29" s="710">
        <f t="shared" ref="N29" si="40">E29</f>
        <v>170.26193140000001</v>
      </c>
      <c r="O29" s="675">
        <f t="shared" ref="O29" ca="1" si="41">H29</f>
        <v>153.9167859856</v>
      </c>
      <c r="P29" s="685">
        <f t="shared" ref="P29" ca="1" si="42">E29-H29</f>
        <v>16.345145414400008</v>
      </c>
      <c r="Q29" s="710">
        <v>100</v>
      </c>
      <c r="R29" s="675">
        <v>90.399999999999977</v>
      </c>
      <c r="S29" s="685">
        <v>9.6000000000000227</v>
      </c>
      <c r="T29" s="710">
        <f t="shared" ref="T29" si="43">N29-Q29</f>
        <v>70.261931400000009</v>
      </c>
      <c r="U29" s="675">
        <f t="shared" ref="U29" ca="1" si="44">O29-R29</f>
        <v>63.516785985600023</v>
      </c>
      <c r="V29" s="685">
        <f t="shared" ref="V29" ca="1" si="45">P29-S29</f>
        <v>6.7451454143999854</v>
      </c>
      <c r="W29" s="656">
        <v>8</v>
      </c>
      <c r="X29" s="656" t="s">
        <v>1422</v>
      </c>
      <c r="Z29" s="645"/>
      <c r="AA29" s="922" t="s">
        <v>1420</v>
      </c>
      <c r="AB29" s="710">
        <f t="shared" si="6"/>
        <v>170.26193140000001</v>
      </c>
      <c r="AC29" s="675">
        <f t="shared" ca="1" si="1"/>
        <v>153.9167859856</v>
      </c>
      <c r="AD29" s="868">
        <f t="shared" ca="1" si="2"/>
        <v>16.345145414400008</v>
      </c>
      <c r="AE29" s="710"/>
      <c r="AF29" s="675">
        <f ca="1">AE29*(1-F29)</f>
        <v>0</v>
      </c>
      <c r="AG29" s="675">
        <f t="shared" si="31"/>
        <v>0</v>
      </c>
      <c r="AH29" s="675">
        <f>IF(AE29="",0,AF29-AC29)</f>
        <v>0</v>
      </c>
      <c r="AI29" s="710">
        <f t="shared" si="15"/>
        <v>170.26193140000001</v>
      </c>
      <c r="AJ29" s="675">
        <f t="shared" ca="1" si="16"/>
        <v>153.9167859856</v>
      </c>
      <c r="AK29" s="868">
        <f t="shared" ca="1" si="17"/>
        <v>16.345145414400008</v>
      </c>
    </row>
    <row r="30" spans="1:43" ht="28.5" customHeight="1">
      <c r="A30" s="476">
        <f>MATCH(C30,'Data Processing'!C:C,0)</f>
        <v>28</v>
      </c>
      <c r="B30" s="682" t="s">
        <v>1246</v>
      </c>
      <c r="C30" s="670" t="s">
        <v>996</v>
      </c>
      <c r="D30" s="666" t="str">
        <f>INDEX('Data Processing'!G:G,A30)</f>
        <v>Due to Interbranch - Call Loans (Exclude HO)</v>
      </c>
      <c r="E30" s="651">
        <f>INDEX('Data Processing'!O:O,$A30)</f>
        <v>460.84183000000002</v>
      </c>
      <c r="F30" s="716">
        <f ca="1">INDEX('Data Processing'!$I:$I,$A30)</f>
        <v>1</v>
      </c>
      <c r="G30" s="672">
        <f ca="1">INDEX('Data Processing'!$J:$J,$A30)</f>
        <v>1</v>
      </c>
      <c r="H30" s="651">
        <f ca="1">INDEX('Data Processing'!AC:AC,$A30)</f>
        <v>460.84183000000002</v>
      </c>
      <c r="I30" s="651">
        <f ca="1">INDEX('Data Processing'!AE:AE,$A30)</f>
        <v>460</v>
      </c>
      <c r="J30" s="651">
        <f>SUM(INDEX('Data Processing'!CX:CX,A30):INDEX('Data Processing'!DK:DK,A30))</f>
        <v>0</v>
      </c>
      <c r="K30" s="651">
        <f>SUM(INDEX('Data Processing'!CX:CX,A30):INDEX('Data Processing'!DM:DM,A30))</f>
        <v>0.84182999999999997</v>
      </c>
      <c r="L30" s="666" t="str">
        <f ca="1">INDEX('Data Processing'!K:K,A30)</f>
        <v>100% of Contractual Maturity</v>
      </c>
      <c r="M30" s="683" t="str">
        <f>INDEX('Data Processing'!AR:AR,A30)</f>
        <v>Outflow</v>
      </c>
      <c r="N30" s="708">
        <f t="shared" si="0"/>
        <v>460.84183000000002</v>
      </c>
      <c r="O30" s="651">
        <f t="shared" ca="1" si="3"/>
        <v>460.84183000000002</v>
      </c>
      <c r="P30" s="683">
        <f t="shared" ca="1" si="18"/>
        <v>0</v>
      </c>
      <c r="Q30" s="708">
        <v>460</v>
      </c>
      <c r="R30" s="651">
        <v>460</v>
      </c>
      <c r="S30" s="683">
        <v>0</v>
      </c>
      <c r="T30" s="708">
        <f t="shared" si="19"/>
        <v>0.84183000000001584</v>
      </c>
      <c r="U30" s="651">
        <f t="shared" ca="1" si="4"/>
        <v>0.84183000000001584</v>
      </c>
      <c r="V30" s="683">
        <f t="shared" ca="1" si="5"/>
        <v>0</v>
      </c>
      <c r="W30" s="443">
        <v>3</v>
      </c>
      <c r="X30" s="443">
        <v>3</v>
      </c>
      <c r="Z30" s="645"/>
      <c r="AA30" s="920" t="s">
        <v>1291</v>
      </c>
      <c r="AB30" s="708">
        <f t="shared" si="6"/>
        <v>460.84183000000002</v>
      </c>
      <c r="AC30" s="651">
        <f t="shared" ca="1" si="1"/>
        <v>460.84183000000002</v>
      </c>
      <c r="AD30" s="862">
        <f t="shared" ca="1" si="2"/>
        <v>0</v>
      </c>
      <c r="AE30" s="651"/>
      <c r="AF30" s="651"/>
      <c r="AG30" s="651">
        <f t="shared" si="31"/>
        <v>0</v>
      </c>
      <c r="AH30" s="651">
        <f t="shared" si="32"/>
        <v>0</v>
      </c>
      <c r="AI30" s="708">
        <f t="shared" si="15"/>
        <v>460.84183000000002</v>
      </c>
      <c r="AJ30" s="651">
        <f t="shared" ca="1" si="16"/>
        <v>460.84183000000002</v>
      </c>
      <c r="AK30" s="862">
        <f t="shared" ca="1" si="17"/>
        <v>0</v>
      </c>
    </row>
    <row r="31" spans="1:43" ht="14.25" customHeight="1">
      <c r="A31" s="475">
        <f>MATCH(C31,'Data Processing'!C:C,0)</f>
        <v>29</v>
      </c>
      <c r="B31" s="680" t="s">
        <v>1246</v>
      </c>
      <c r="C31" s="662" t="s">
        <v>1230</v>
      </c>
      <c r="D31" s="663" t="str">
        <f>INDEX('Data Processing'!G:G,A31)</f>
        <v>Due to Interbranch - Call Loans (H.O.)</v>
      </c>
      <c r="E31" s="664">
        <f>INDEX('Data Processing'!O:O,$A31)</f>
        <v>19377</v>
      </c>
      <c r="F31" s="715">
        <f ca="1">INDEX('Data Processing'!$I:$I,$A31)</f>
        <v>1</v>
      </c>
      <c r="G31" s="671">
        <f ca="1">INDEX('Data Processing'!$J:$J,$A31)</f>
        <v>1</v>
      </c>
      <c r="H31" s="664">
        <f ca="1">INDEX('Data Processing'!AC:AC,$A31)</f>
        <v>5137</v>
      </c>
      <c r="I31" s="664">
        <f ca="1">INDEX('Data Processing'!AE:AE,$A31)</f>
        <v>5137</v>
      </c>
      <c r="J31" s="664">
        <f>SUM(INDEX('Data Processing'!CX:CX,A31):INDEX('Data Processing'!DK:DK,A31))</f>
        <v>14240</v>
      </c>
      <c r="K31" s="664">
        <f>SUM(INDEX('Data Processing'!CX:CX,A31):INDEX('Data Processing'!DM:DM,A31))</f>
        <v>14240</v>
      </c>
      <c r="L31" s="663" t="str">
        <f ca="1">INDEX('Data Processing'!K:K,A31)</f>
        <v>100% of Contractual Maturity</v>
      </c>
      <c r="M31" s="681" t="str">
        <f>INDEX('Data Processing'!AR:AR,A31)</f>
        <v>Outflow</v>
      </c>
      <c r="N31" s="707">
        <f t="shared" si="0"/>
        <v>19377</v>
      </c>
      <c r="O31" s="664">
        <f t="shared" ca="1" si="3"/>
        <v>5137</v>
      </c>
      <c r="P31" s="681">
        <f t="shared" ca="1" si="18"/>
        <v>14240</v>
      </c>
      <c r="Q31" s="707">
        <v>16370.384783199999</v>
      </c>
      <c r="R31" s="664">
        <v>4677</v>
      </c>
      <c r="S31" s="681">
        <v>11693.384783199999</v>
      </c>
      <c r="T31" s="707">
        <f t="shared" si="19"/>
        <v>3006.6152168000008</v>
      </c>
      <c r="U31" s="664">
        <f t="shared" ca="1" si="4"/>
        <v>460</v>
      </c>
      <c r="V31" s="681">
        <f t="shared" ca="1" si="5"/>
        <v>2546.6152168000008</v>
      </c>
      <c r="W31" s="443">
        <v>2</v>
      </c>
      <c r="X31" s="443">
        <v>2</v>
      </c>
      <c r="Z31" s="645"/>
      <c r="AA31" s="919" t="s">
        <v>1296</v>
      </c>
      <c r="AB31" s="707">
        <f t="shared" si="6"/>
        <v>19377</v>
      </c>
      <c r="AC31" s="664">
        <f t="shared" ca="1" si="1"/>
        <v>5137</v>
      </c>
      <c r="AD31" s="860">
        <f t="shared" ca="1" si="2"/>
        <v>14240</v>
      </c>
      <c r="AE31" s="664">
        <f>16217.43480058+AB31-2000</f>
        <v>33594.434800579998</v>
      </c>
      <c r="AF31" s="664"/>
      <c r="AG31" s="664">
        <f t="shared" si="31"/>
        <v>14217.434800579998</v>
      </c>
      <c r="AH31" s="664">
        <f t="shared" si="32"/>
        <v>0</v>
      </c>
      <c r="AI31" s="707">
        <f t="shared" si="15"/>
        <v>33594.434800579998</v>
      </c>
      <c r="AJ31" s="664">
        <f ca="1">AC31+AH31</f>
        <v>5137</v>
      </c>
      <c r="AK31" s="860">
        <f t="shared" ca="1" si="17"/>
        <v>28457.434800579998</v>
      </c>
    </row>
    <row r="32" spans="1:43" ht="14.25" customHeight="1">
      <c r="A32" s="476">
        <f>MATCH(C32,'Data Processing'!C:C,0)</f>
        <v>30</v>
      </c>
      <c r="B32" s="682" t="s">
        <v>1246</v>
      </c>
      <c r="C32" s="670" t="s">
        <v>1287</v>
      </c>
      <c r="D32" s="666" t="str">
        <f>INDEX('Data Processing'!G:G,A32)</f>
        <v>Due to Interbranch - Trade Finance</v>
      </c>
      <c r="E32" s="651">
        <f>INDEX('Data Processing'!O:O,$A32)</f>
        <v>0</v>
      </c>
      <c r="F32" s="716">
        <f ca="1">INDEX('Data Processing'!$I:$I,$A32)</f>
        <v>1</v>
      </c>
      <c r="G32" s="672">
        <f ca="1">INDEX('Data Processing'!$J:$J,$A32)</f>
        <v>1</v>
      </c>
      <c r="H32" s="651">
        <f ca="1">INDEX('Data Processing'!AC:AC,$A32)</f>
        <v>0</v>
      </c>
      <c r="I32" s="651">
        <f ca="1">INDEX('Data Processing'!AE:AE,$A32)</f>
        <v>0</v>
      </c>
      <c r="J32" s="651">
        <f>SUM(INDEX('Data Processing'!CX:CX,A32):INDEX('Data Processing'!DK:DK,A32))</f>
        <v>0</v>
      </c>
      <c r="K32" s="651">
        <f>SUM(INDEX('Data Processing'!CX:CX,A32):INDEX('Data Processing'!DM:DM,A32))</f>
        <v>0</v>
      </c>
      <c r="L32" s="666" t="str">
        <f ca="1">INDEX('Data Processing'!K:K,A32)</f>
        <v>100% of Contractual Maturity</v>
      </c>
      <c r="M32" s="683" t="str">
        <f>INDEX('Data Processing'!AR:AR,A32)</f>
        <v>Outflow</v>
      </c>
      <c r="N32" s="708">
        <f t="shared" si="0"/>
        <v>0</v>
      </c>
      <c r="O32" s="651">
        <f t="shared" ca="1" si="3"/>
        <v>0</v>
      </c>
      <c r="P32" s="683">
        <f t="shared" ca="1" si="18"/>
        <v>0</v>
      </c>
      <c r="Q32" s="708">
        <v>0</v>
      </c>
      <c r="R32" s="651">
        <v>0</v>
      </c>
      <c r="S32" s="683">
        <v>0</v>
      </c>
      <c r="T32" s="708">
        <f t="shared" si="19"/>
        <v>0</v>
      </c>
      <c r="U32" s="651">
        <f t="shared" ca="1" si="4"/>
        <v>0</v>
      </c>
      <c r="V32" s="683">
        <f t="shared" ca="1" si="5"/>
        <v>0</v>
      </c>
      <c r="W32" s="443">
        <v>3</v>
      </c>
      <c r="X32" s="443">
        <v>3</v>
      </c>
      <c r="Z32" s="645"/>
      <c r="AA32" s="920" t="s">
        <v>1298</v>
      </c>
      <c r="AB32" s="708">
        <f t="shared" si="6"/>
        <v>0</v>
      </c>
      <c r="AC32" s="651">
        <f t="shared" ca="1" si="1"/>
        <v>0</v>
      </c>
      <c r="AD32" s="862">
        <f t="shared" ca="1" si="2"/>
        <v>0</v>
      </c>
      <c r="AE32" s="651"/>
      <c r="AF32" s="651"/>
      <c r="AG32" s="651">
        <f t="shared" si="31"/>
        <v>0</v>
      </c>
      <c r="AH32" s="651">
        <f t="shared" si="32"/>
        <v>0</v>
      </c>
      <c r="AI32" s="708">
        <f t="shared" si="15"/>
        <v>0</v>
      </c>
      <c r="AJ32" s="651">
        <f t="shared" ca="1" si="16"/>
        <v>0</v>
      </c>
      <c r="AK32" s="862">
        <f t="shared" ca="1" si="17"/>
        <v>0</v>
      </c>
    </row>
    <row r="33" spans="1:37" ht="13.5" customHeight="1">
      <c r="A33" s="475">
        <f>MATCH(C33,'Data Processing'!C:C,0)</f>
        <v>31</v>
      </c>
      <c r="B33" s="680" t="s">
        <v>1246</v>
      </c>
      <c r="C33" s="662" t="s">
        <v>1161</v>
      </c>
      <c r="D33" s="663" t="str">
        <f>INDEX('Data Processing'!G:G,A33)</f>
        <v>Due to Affiliate - Demand - US</v>
      </c>
      <c r="E33" s="664">
        <f>INDEX('Data Processing'!O:O,$A33)</f>
        <v>8.3589006299999991</v>
      </c>
      <c r="F33" s="715">
        <f ca="1">INDEX('Data Processing'!$I:$I,$A33)</f>
        <v>0.12</v>
      </c>
      <c r="G33" s="671">
        <f ca="1">INDEX('Data Processing'!$J:$J,$A33)</f>
        <v>0.15000000000000002</v>
      </c>
      <c r="H33" s="664">
        <f ca="1">INDEX('Data Processing'!AC:AC,$A33)</f>
        <v>7.3558325543999992</v>
      </c>
      <c r="I33" s="664">
        <f ca="1">INDEX('Data Processing'!AE:AE,$A33)</f>
        <v>7.1050655354999996</v>
      </c>
      <c r="J33" s="664">
        <f>SUM(INDEX('Data Processing'!CX:CX,A33):INDEX('Data Processing'!DK:DK,A33))</f>
        <v>8.3589006299999991</v>
      </c>
      <c r="K33" s="664">
        <f>SUM(INDEX('Data Processing'!CX:CX,A33):INDEX('Data Processing'!DM:DM,A33))</f>
        <v>8.3589006299999991</v>
      </c>
      <c r="L33" s="663" t="str">
        <f ca="1">INDEX('Data Processing'!K:K,A33)</f>
        <v>12% of Current Balance</v>
      </c>
      <c r="M33" s="681" t="str">
        <f>INDEX('Data Processing'!AR:AR,A33)</f>
        <v>Outflow</v>
      </c>
      <c r="N33" s="707">
        <f t="shared" si="0"/>
        <v>8.3589006299999991</v>
      </c>
      <c r="O33" s="664">
        <f t="shared" ca="1" si="3"/>
        <v>7.3558325543999992</v>
      </c>
      <c r="P33" s="681">
        <f t="shared" ca="1" si="18"/>
        <v>1.0030680755999999</v>
      </c>
      <c r="Q33" s="707">
        <v>9.3090848699999995</v>
      </c>
      <c r="R33" s="664">
        <v>8.1919946855999992</v>
      </c>
      <c r="S33" s="681">
        <v>1.1170901844000003</v>
      </c>
      <c r="T33" s="707">
        <f t="shared" si="19"/>
        <v>-0.95018424000000046</v>
      </c>
      <c r="U33" s="664">
        <f t="shared" ca="1" si="4"/>
        <v>-0.83616213120000005</v>
      </c>
      <c r="V33" s="681">
        <f t="shared" ca="1" si="5"/>
        <v>-0.11402210880000041</v>
      </c>
      <c r="W33" s="443">
        <v>10</v>
      </c>
      <c r="X33" s="443">
        <v>10</v>
      </c>
      <c r="Z33" s="645"/>
      <c r="AA33" s="919" t="s">
        <v>1304</v>
      </c>
      <c r="AB33" s="707">
        <f t="shared" si="6"/>
        <v>8.3589006299999991</v>
      </c>
      <c r="AC33" s="664">
        <f t="shared" ca="1" si="1"/>
        <v>7.3558325543999992</v>
      </c>
      <c r="AD33" s="860">
        <f t="shared" ca="1" si="2"/>
        <v>1.0030680755999999</v>
      </c>
      <c r="AE33" s="664"/>
      <c r="AF33" s="664"/>
      <c r="AG33" s="664">
        <f t="shared" si="31"/>
        <v>0</v>
      </c>
      <c r="AH33" s="664">
        <f t="shared" si="32"/>
        <v>0</v>
      </c>
      <c r="AI33" s="707">
        <f t="shared" si="15"/>
        <v>8.3589006299999991</v>
      </c>
      <c r="AJ33" s="664">
        <f t="shared" ca="1" si="16"/>
        <v>7.3558325543999992</v>
      </c>
      <c r="AK33" s="860">
        <f t="shared" ca="1" si="17"/>
        <v>1.0030680755999999</v>
      </c>
    </row>
    <row r="34" spans="1:37" ht="14.25" customHeight="1">
      <c r="A34" s="476">
        <f>MATCH(C34,'Data Processing'!C:C,0)</f>
        <v>32</v>
      </c>
      <c r="B34" s="682" t="s">
        <v>1246</v>
      </c>
      <c r="C34" s="670" t="s">
        <v>1162</v>
      </c>
      <c r="D34" s="666" t="str">
        <f>INDEX('Data Processing'!G:G,A34)</f>
        <v>Due to Affiliate - Demand - Non-US</v>
      </c>
      <c r="E34" s="651">
        <f>INDEX('Data Processing'!O:O,$A34)</f>
        <v>9.7052584900000003</v>
      </c>
      <c r="F34" s="716">
        <f ca="1">INDEX('Data Processing'!$I:$I,$A34)</f>
        <v>0.12</v>
      </c>
      <c r="G34" s="672">
        <f ca="1">INDEX('Data Processing'!$J:$J,$A34)</f>
        <v>0.15000000000000002</v>
      </c>
      <c r="H34" s="651">
        <f ca="1">INDEX('Data Processing'!AC:AC,$A34)</f>
        <v>8.5406274712000005</v>
      </c>
      <c r="I34" s="651">
        <f ca="1">INDEX('Data Processing'!AE:AE,$A34)</f>
        <v>8.2494697165000002</v>
      </c>
      <c r="J34" s="651">
        <f>SUM(INDEX('Data Processing'!CX:CX,A34):INDEX('Data Processing'!DK:DK,A34))</f>
        <v>9.7052584900000003</v>
      </c>
      <c r="K34" s="651">
        <f>SUM(INDEX('Data Processing'!CX:CX,A34):INDEX('Data Processing'!DM:DM,A34))</f>
        <v>9.7052584900000003</v>
      </c>
      <c r="L34" s="666" t="str">
        <f ca="1">INDEX('Data Processing'!K:K,A34)</f>
        <v>12% of Current Balance</v>
      </c>
      <c r="M34" s="683" t="str">
        <f>INDEX('Data Processing'!AR:AR,A34)</f>
        <v>Outflow</v>
      </c>
      <c r="N34" s="708">
        <f t="shared" si="0"/>
        <v>9.7052584900000003</v>
      </c>
      <c r="O34" s="651">
        <f t="shared" ca="1" si="3"/>
        <v>8.5406274712000005</v>
      </c>
      <c r="P34" s="683">
        <f t="shared" ca="1" si="18"/>
        <v>1.1646310187999998</v>
      </c>
      <c r="Q34" s="708">
        <v>9.3702616400000007</v>
      </c>
      <c r="R34" s="651">
        <v>8.2458302432000004</v>
      </c>
      <c r="S34" s="683">
        <v>1.1244313968000004</v>
      </c>
      <c r="T34" s="708">
        <f t="shared" si="19"/>
        <v>0.33499684999999957</v>
      </c>
      <c r="U34" s="651">
        <f t="shared" ca="1" si="4"/>
        <v>0.29479722800000019</v>
      </c>
      <c r="V34" s="683">
        <f t="shared" ca="1" si="5"/>
        <v>4.019962199999938E-2</v>
      </c>
      <c r="W34" s="443">
        <v>10</v>
      </c>
      <c r="X34" s="443">
        <v>10</v>
      </c>
      <c r="Z34" s="645"/>
      <c r="AA34" s="920" t="s">
        <v>1305</v>
      </c>
      <c r="AB34" s="708">
        <f t="shared" si="6"/>
        <v>9.7052584900000003</v>
      </c>
      <c r="AC34" s="651">
        <f t="shared" ca="1" si="1"/>
        <v>8.5406274712000005</v>
      </c>
      <c r="AD34" s="862">
        <f t="shared" ca="1" si="2"/>
        <v>1.1646310187999998</v>
      </c>
      <c r="AE34" s="651"/>
      <c r="AF34" s="651"/>
      <c r="AG34" s="651">
        <f t="shared" si="31"/>
        <v>0</v>
      </c>
      <c r="AH34" s="651">
        <f t="shared" si="32"/>
        <v>0</v>
      </c>
      <c r="AI34" s="708">
        <f t="shared" si="15"/>
        <v>9.7052584900000003</v>
      </c>
      <c r="AJ34" s="651">
        <f t="shared" ca="1" si="16"/>
        <v>8.5406274712000005</v>
      </c>
      <c r="AK34" s="862">
        <f t="shared" ca="1" si="17"/>
        <v>1.1646310187999998</v>
      </c>
    </row>
    <row r="35" spans="1:37" ht="14.25" customHeight="1">
      <c r="A35" s="475">
        <f>MATCH(C35,'Data Processing'!C:C,0)</f>
        <v>33</v>
      </c>
      <c r="B35" s="680" t="s">
        <v>1246</v>
      </c>
      <c r="C35" s="662" t="s">
        <v>1163</v>
      </c>
      <c r="D35" s="663" t="str">
        <f>INDEX('Data Processing'!G:G,A35)</f>
        <v>Due to Affiliate - Investment - US</v>
      </c>
      <c r="E35" s="664">
        <f>INDEX('Data Processing'!O:O,$A35)</f>
        <v>1.3937934699999999</v>
      </c>
      <c r="F35" s="715">
        <f ca="1">INDEX('Data Processing'!$I:$I,$A35)</f>
        <v>0.12</v>
      </c>
      <c r="G35" s="671">
        <f ca="1">INDEX('Data Processing'!$J:$J,$A35)</f>
        <v>0.15000000000000002</v>
      </c>
      <c r="H35" s="664">
        <f ca="1">INDEX('Data Processing'!AC:AC,$A35)</f>
        <v>1.2265382535999998</v>
      </c>
      <c r="I35" s="664">
        <f ca="1">INDEX('Data Processing'!AE:AE,$A35)</f>
        <v>1.1847244494999998</v>
      </c>
      <c r="J35" s="664">
        <f>SUM(INDEX('Data Processing'!CX:CX,A35):INDEX('Data Processing'!DK:DK,A35))</f>
        <v>1.3937934699999999</v>
      </c>
      <c r="K35" s="664">
        <f>SUM(INDEX('Data Processing'!CX:CX,A35):INDEX('Data Processing'!DM:DM,A35))</f>
        <v>1.3937934699999999</v>
      </c>
      <c r="L35" s="663" t="str">
        <f ca="1">INDEX('Data Processing'!K:K,A35)</f>
        <v>12% of Current Balance</v>
      </c>
      <c r="M35" s="681" t="str">
        <f>INDEX('Data Processing'!AR:AR,A35)</f>
        <v>Outflow</v>
      </c>
      <c r="N35" s="707">
        <f t="shared" si="0"/>
        <v>1.3937934699999999</v>
      </c>
      <c r="O35" s="664">
        <f t="shared" ca="1" si="3"/>
        <v>1.2265382535999998</v>
      </c>
      <c r="P35" s="681">
        <f t="shared" ca="1" si="18"/>
        <v>0.16725521640000007</v>
      </c>
      <c r="Q35" s="707">
        <v>0</v>
      </c>
      <c r="R35" s="664">
        <v>0</v>
      </c>
      <c r="S35" s="681">
        <v>0</v>
      </c>
      <c r="T35" s="707">
        <f t="shared" si="19"/>
        <v>1.3937934699999999</v>
      </c>
      <c r="U35" s="664">
        <f t="shared" ca="1" si="4"/>
        <v>1.2265382535999998</v>
      </c>
      <c r="V35" s="681">
        <f t="shared" ca="1" si="5"/>
        <v>0.16725521640000007</v>
      </c>
      <c r="W35" s="443">
        <v>10</v>
      </c>
      <c r="X35" s="443">
        <v>10</v>
      </c>
      <c r="Z35" s="645"/>
      <c r="AA35" s="919" t="s">
        <v>1306</v>
      </c>
      <c r="AB35" s="707">
        <f t="shared" si="6"/>
        <v>1.3937934699999999</v>
      </c>
      <c r="AC35" s="664">
        <f t="shared" ca="1" si="1"/>
        <v>1.2265382535999998</v>
      </c>
      <c r="AD35" s="860">
        <f t="shared" ca="1" si="2"/>
        <v>0.16725521640000007</v>
      </c>
      <c r="AE35" s="664"/>
      <c r="AF35" s="664"/>
      <c r="AG35" s="664">
        <f t="shared" si="31"/>
        <v>0</v>
      </c>
      <c r="AH35" s="664">
        <f t="shared" si="32"/>
        <v>0</v>
      </c>
      <c r="AI35" s="707">
        <f t="shared" si="15"/>
        <v>1.3937934699999999</v>
      </c>
      <c r="AJ35" s="664">
        <f t="shared" ca="1" si="16"/>
        <v>1.2265382535999998</v>
      </c>
      <c r="AK35" s="860">
        <f t="shared" ca="1" si="17"/>
        <v>0.16725521640000007</v>
      </c>
    </row>
    <row r="36" spans="1:37" ht="14.25" customHeight="1">
      <c r="A36" s="476">
        <f>MATCH(C36,'Data Processing'!C:C,0)</f>
        <v>34</v>
      </c>
      <c r="B36" s="682" t="s">
        <v>1246</v>
      </c>
      <c r="C36" s="670" t="s">
        <v>997</v>
      </c>
      <c r="D36" s="666" t="str">
        <f>INDEX('Data Processing'!G:G,A36)</f>
        <v>Due to Affiliate - Investment - Non-US</v>
      </c>
      <c r="E36" s="651">
        <f>INDEX('Data Processing'!O:O,$A36)</f>
        <v>316.77946496999999</v>
      </c>
      <c r="F36" s="716">
        <f ca="1">INDEX('Data Processing'!$I:$I,$A36)</f>
        <v>0.12</v>
      </c>
      <c r="G36" s="672">
        <f ca="1">INDEX('Data Processing'!$J:$J,$A36)</f>
        <v>0.15000000000000002</v>
      </c>
      <c r="H36" s="651">
        <f ca="1">INDEX('Data Processing'!AC:AC,$A36)</f>
        <v>278.7659291736</v>
      </c>
      <c r="I36" s="651">
        <f ca="1">INDEX('Data Processing'!AE:AE,$A36)</f>
        <v>269.2625452245</v>
      </c>
      <c r="J36" s="651">
        <f>SUM(INDEX('Data Processing'!CX:CX,A36):INDEX('Data Processing'!DK:DK,A36))</f>
        <v>316.77946496999999</v>
      </c>
      <c r="K36" s="651">
        <f>SUM(INDEX('Data Processing'!CX:CX,A36):INDEX('Data Processing'!DM:DM,A36))</f>
        <v>316.77946496999999</v>
      </c>
      <c r="L36" s="666" t="str">
        <f ca="1">INDEX('Data Processing'!K:K,A36)</f>
        <v>12% of Current Balance</v>
      </c>
      <c r="M36" s="683" t="str">
        <f>INDEX('Data Processing'!AR:AR,A36)</f>
        <v>Outflow</v>
      </c>
      <c r="N36" s="708">
        <f t="shared" si="0"/>
        <v>316.77946496999999</v>
      </c>
      <c r="O36" s="651">
        <f t="shared" ca="1" si="3"/>
        <v>278.7659291736</v>
      </c>
      <c r="P36" s="683">
        <f t="shared" ca="1" si="18"/>
        <v>38.013535796399992</v>
      </c>
      <c r="Q36" s="708">
        <v>176.13465489000009</v>
      </c>
      <c r="R36" s="651">
        <v>154.99849630320008</v>
      </c>
      <c r="S36" s="683">
        <v>21.136158586800008</v>
      </c>
      <c r="T36" s="708">
        <f t="shared" si="19"/>
        <v>140.6448100799999</v>
      </c>
      <c r="U36" s="651">
        <f t="shared" ca="1" si="4"/>
        <v>123.76743287039992</v>
      </c>
      <c r="V36" s="683">
        <f t="shared" ca="1" si="5"/>
        <v>16.877377209599985</v>
      </c>
      <c r="W36" s="443">
        <v>10</v>
      </c>
      <c r="X36" s="443">
        <v>10</v>
      </c>
      <c r="Z36" s="645"/>
      <c r="AA36" s="920" t="s">
        <v>1307</v>
      </c>
      <c r="AB36" s="708">
        <f t="shared" si="6"/>
        <v>316.77946496999999</v>
      </c>
      <c r="AC36" s="651">
        <f t="shared" ca="1" si="1"/>
        <v>278.7659291736</v>
      </c>
      <c r="AD36" s="862">
        <f t="shared" ca="1" si="2"/>
        <v>38.013535796399992</v>
      </c>
      <c r="AE36" s="708"/>
      <c r="AF36" s="651"/>
      <c r="AG36" s="651">
        <f t="shared" si="31"/>
        <v>0</v>
      </c>
      <c r="AH36" s="651">
        <f t="shared" si="32"/>
        <v>0</v>
      </c>
      <c r="AI36" s="708">
        <f t="shared" si="15"/>
        <v>316.77946496999999</v>
      </c>
      <c r="AJ36" s="651">
        <f t="shared" ca="1" si="16"/>
        <v>278.7659291736</v>
      </c>
      <c r="AK36" s="862">
        <f t="shared" ca="1" si="17"/>
        <v>38.013535796399992</v>
      </c>
    </row>
    <row r="37" spans="1:37" s="656" customFormat="1" ht="31.5" customHeight="1">
      <c r="A37" s="658">
        <f>MATCH(C37,'Data Processing'!C:C,0)</f>
        <v>35</v>
      </c>
      <c r="B37" s="684" t="s">
        <v>1246</v>
      </c>
      <c r="C37" s="673" t="s">
        <v>1351</v>
      </c>
      <c r="D37" s="674" t="str">
        <f>INDEX('Data Processing'!G:G,A37)</f>
        <v>Due to Affiliate - Investment - BOC HK LTD</v>
      </c>
      <c r="E37" s="675">
        <f>INDEX('Data Processing'!O:O,$A37)</f>
        <v>8.2450289999999996E-2</v>
      </c>
      <c r="F37" s="717">
        <f ca="1">INDEX('Data Processing'!$I:$I,$A37)</f>
        <v>0.12</v>
      </c>
      <c r="G37" s="676">
        <f ca="1">INDEX('Data Processing'!$J:$J,$A37)</f>
        <v>0.15000000000000002</v>
      </c>
      <c r="H37" s="675">
        <f ca="1">INDEX('Data Processing'!AC:AC,$A37)</f>
        <v>7.2556255200000003E-2</v>
      </c>
      <c r="I37" s="675">
        <f ca="1">INDEX('Data Processing'!AE:AE,$A37)</f>
        <v>7.0082746499999987E-2</v>
      </c>
      <c r="J37" s="675">
        <f>SUM(INDEX('Data Processing'!CX:CX,A37):INDEX('Data Processing'!DK:DK,A37))</f>
        <v>8.2450289999999996E-2</v>
      </c>
      <c r="K37" s="675">
        <f>SUM(INDEX('Data Processing'!CX:CX,A37):INDEX('Data Processing'!DM:DM,A37))</f>
        <v>8.2450289999999996E-2</v>
      </c>
      <c r="L37" s="674" t="str">
        <f ca="1">INDEX('Data Processing'!K:K,A37)</f>
        <v>12% of Current Balance</v>
      </c>
      <c r="M37" s="685" t="str">
        <f>INDEX('Data Processing'!AR:AR,A37)</f>
        <v>Outflow</v>
      </c>
      <c r="N37" s="710">
        <f t="shared" ref="N37" si="46">E37</f>
        <v>8.2450289999999996E-2</v>
      </c>
      <c r="O37" s="675">
        <f t="shared" ref="O37" ca="1" si="47">H37</f>
        <v>7.2556255200000003E-2</v>
      </c>
      <c r="P37" s="685">
        <f t="shared" ca="1" si="18"/>
        <v>9.8940347999999928E-3</v>
      </c>
      <c r="Q37" s="710">
        <v>916.54325154999992</v>
      </c>
      <c r="R37" s="675">
        <v>806.55806136399997</v>
      </c>
      <c r="S37" s="685">
        <v>109.98519018599995</v>
      </c>
      <c r="T37" s="710">
        <f t="shared" si="19"/>
        <v>-916.46080125999993</v>
      </c>
      <c r="U37" s="675">
        <f t="shared" ca="1" si="4"/>
        <v>-806.4855051088</v>
      </c>
      <c r="V37" s="685">
        <f t="shared" ca="1" si="5"/>
        <v>-109.97529615119996</v>
      </c>
      <c r="W37" s="656">
        <v>10</v>
      </c>
      <c r="X37" s="656" t="s">
        <v>1396</v>
      </c>
      <c r="Z37" s="645"/>
      <c r="AA37" s="922" t="s">
        <v>1352</v>
      </c>
      <c r="AB37" s="710">
        <f t="shared" si="6"/>
        <v>8.2450289999999996E-2</v>
      </c>
      <c r="AC37" s="675">
        <f t="shared" ca="1" si="1"/>
        <v>7.2556255200000003E-2</v>
      </c>
      <c r="AD37" s="868">
        <f t="shared" ca="1" si="2"/>
        <v>9.8940347999999928E-3</v>
      </c>
      <c r="AE37" s="710">
        <v>0</v>
      </c>
      <c r="AF37" s="675">
        <f ca="1">AE37*(1-F37)</f>
        <v>0</v>
      </c>
      <c r="AG37" s="675">
        <f>IF(AE37="",0,AE37-AB37)</f>
        <v>-8.2450289999999996E-2</v>
      </c>
      <c r="AH37" s="675">
        <f ca="1">IF(AE37="",0,AF37-AC37)</f>
        <v>-7.2556255200000003E-2</v>
      </c>
      <c r="AI37" s="710">
        <f t="shared" si="15"/>
        <v>0</v>
      </c>
      <c r="AJ37" s="675">
        <f t="shared" ca="1" si="16"/>
        <v>0</v>
      </c>
      <c r="AK37" s="868">
        <f t="shared" ca="1" si="17"/>
        <v>0</v>
      </c>
    </row>
    <row r="38" spans="1:37" ht="14.25" customHeight="1">
      <c r="A38" s="476">
        <f>MATCH(C38,'Data Processing'!C:C,0)</f>
        <v>36</v>
      </c>
      <c r="B38" s="682" t="s">
        <v>1246</v>
      </c>
      <c r="C38" s="670" t="s">
        <v>1164</v>
      </c>
      <c r="D38" s="666" t="str">
        <f>INDEX('Data Processing'!G:G,A38)</f>
        <v>Due to Affiliate - Draft</v>
      </c>
      <c r="E38" s="651">
        <f>INDEX('Data Processing'!O:O,$A38)</f>
        <v>0</v>
      </c>
      <c r="F38" s="716">
        <f ca="1">INDEX('Data Processing'!$I:$I,$A38)</f>
        <v>0.12</v>
      </c>
      <c r="G38" s="672">
        <f ca="1">INDEX('Data Processing'!$J:$J,$A38)</f>
        <v>0.15000000000000002</v>
      </c>
      <c r="H38" s="651">
        <f ca="1">INDEX('Data Processing'!AC:AC,$A38)</f>
        <v>0</v>
      </c>
      <c r="I38" s="651">
        <f ca="1">INDEX('Data Processing'!AE:AE,$A38)</f>
        <v>0</v>
      </c>
      <c r="J38" s="651">
        <f>SUM(INDEX('Data Processing'!CX:CX,A38):INDEX('Data Processing'!DK:DK,A38))</f>
        <v>0</v>
      </c>
      <c r="K38" s="651">
        <f>SUM(INDEX('Data Processing'!CX:CX,A38):INDEX('Data Processing'!DM:DM,A38))</f>
        <v>0</v>
      </c>
      <c r="L38" s="666" t="str">
        <f ca="1">INDEX('Data Processing'!K:K,A38)</f>
        <v>12% of Current Balance</v>
      </c>
      <c r="M38" s="683" t="str">
        <f>INDEX('Data Processing'!AR:AR,A38)</f>
        <v>Outflow</v>
      </c>
      <c r="N38" s="708">
        <f t="shared" si="0"/>
        <v>0</v>
      </c>
      <c r="O38" s="651">
        <f t="shared" ca="1" si="3"/>
        <v>0</v>
      </c>
      <c r="P38" s="683">
        <f t="shared" ca="1" si="18"/>
        <v>0</v>
      </c>
      <c r="Q38" s="708">
        <v>0</v>
      </c>
      <c r="R38" s="651">
        <v>0</v>
      </c>
      <c r="S38" s="683">
        <v>0</v>
      </c>
      <c r="T38" s="708">
        <f t="shared" si="19"/>
        <v>0</v>
      </c>
      <c r="U38" s="651">
        <f t="shared" ca="1" si="4"/>
        <v>0</v>
      </c>
      <c r="V38" s="683">
        <f t="shared" ca="1" si="5"/>
        <v>0</v>
      </c>
      <c r="Z38" s="645"/>
      <c r="AA38" s="920" t="s">
        <v>1628</v>
      </c>
      <c r="AB38" s="708">
        <f t="shared" si="6"/>
        <v>0</v>
      </c>
      <c r="AC38" s="651">
        <f t="shared" ca="1" si="1"/>
        <v>0</v>
      </c>
      <c r="AD38" s="862">
        <f t="shared" ca="1" si="2"/>
        <v>0</v>
      </c>
      <c r="AE38" s="651"/>
      <c r="AF38" s="651"/>
      <c r="AG38" s="651">
        <f t="shared" si="31"/>
        <v>0</v>
      </c>
      <c r="AH38" s="651">
        <f t="shared" si="32"/>
        <v>0</v>
      </c>
      <c r="AI38" s="708">
        <f t="shared" si="15"/>
        <v>0</v>
      </c>
      <c r="AJ38" s="651">
        <f t="shared" ca="1" si="16"/>
        <v>0</v>
      </c>
      <c r="AK38" s="862">
        <f t="shared" ca="1" si="17"/>
        <v>0</v>
      </c>
    </row>
    <row r="39" spans="1:37" ht="14.25" customHeight="1">
      <c r="A39" s="475">
        <f>MATCH(C39,'Data Processing'!C:C,0)</f>
        <v>37</v>
      </c>
      <c r="B39" s="680" t="s">
        <v>1246</v>
      </c>
      <c r="C39" s="662" t="s">
        <v>1165</v>
      </c>
      <c r="D39" s="663" t="str">
        <f>INDEX('Data Processing'!G:G,A39)</f>
        <v>Due to Affiliate - Call Loans</v>
      </c>
      <c r="E39" s="664">
        <f>INDEX('Data Processing'!O:O,$A39)</f>
        <v>0</v>
      </c>
      <c r="F39" s="715">
        <f ca="1">INDEX('Data Processing'!$I:$I,$A39)</f>
        <v>1</v>
      </c>
      <c r="G39" s="671">
        <f ca="1">INDEX('Data Processing'!$J:$J,$A39)</f>
        <v>1</v>
      </c>
      <c r="H39" s="664">
        <f ca="1">INDEX('Data Processing'!AC:AC,$A39)</f>
        <v>0</v>
      </c>
      <c r="I39" s="664">
        <f ca="1">INDEX('Data Processing'!AE:AE,$A39)</f>
        <v>0</v>
      </c>
      <c r="J39" s="664">
        <f>SUM(INDEX('Data Processing'!CX:CX,A39):INDEX('Data Processing'!DK:DK,A39))</f>
        <v>0</v>
      </c>
      <c r="K39" s="664">
        <f>SUM(INDEX('Data Processing'!CX:CX,A39):INDEX('Data Processing'!DM:DM,A39))</f>
        <v>0</v>
      </c>
      <c r="L39" s="663" t="str">
        <f ca="1">INDEX('Data Processing'!K:K,A39)</f>
        <v>100% of Contractual Maturity</v>
      </c>
      <c r="M39" s="681" t="str">
        <f>INDEX('Data Processing'!AR:AR,A39)</f>
        <v>Outflow</v>
      </c>
      <c r="N39" s="707">
        <f t="shared" si="0"/>
        <v>0</v>
      </c>
      <c r="O39" s="664">
        <f t="shared" ca="1" si="3"/>
        <v>0</v>
      </c>
      <c r="P39" s="681">
        <f t="shared" ca="1" si="18"/>
        <v>0</v>
      </c>
      <c r="Q39" s="707">
        <v>0</v>
      </c>
      <c r="R39" s="664">
        <v>0</v>
      </c>
      <c r="S39" s="681">
        <v>0</v>
      </c>
      <c r="T39" s="707">
        <f t="shared" si="19"/>
        <v>0</v>
      </c>
      <c r="U39" s="664">
        <f t="shared" ca="1" si="4"/>
        <v>0</v>
      </c>
      <c r="V39" s="681">
        <f t="shared" ca="1" si="5"/>
        <v>0</v>
      </c>
      <c r="Z39" s="645"/>
      <c r="AA39" s="919" t="s">
        <v>1308</v>
      </c>
      <c r="AB39" s="707">
        <f t="shared" si="6"/>
        <v>0</v>
      </c>
      <c r="AC39" s="664">
        <f t="shared" ca="1" si="1"/>
        <v>0</v>
      </c>
      <c r="AD39" s="860">
        <f t="shared" ca="1" si="2"/>
        <v>0</v>
      </c>
      <c r="AE39" s="664"/>
      <c r="AF39" s="664"/>
      <c r="AG39" s="664">
        <f t="shared" si="31"/>
        <v>0</v>
      </c>
      <c r="AH39" s="664">
        <f t="shared" si="32"/>
        <v>0</v>
      </c>
      <c r="AI39" s="707">
        <f t="shared" si="15"/>
        <v>0</v>
      </c>
      <c r="AJ39" s="664">
        <f t="shared" ca="1" si="16"/>
        <v>0</v>
      </c>
      <c r="AK39" s="860">
        <f t="shared" ca="1" si="17"/>
        <v>0</v>
      </c>
    </row>
    <row r="40" spans="1:37" ht="14.25" customHeight="1">
      <c r="A40" s="476">
        <f>MATCH(C40,'Data Processing'!C:C,0)</f>
        <v>39</v>
      </c>
      <c r="B40" s="682" t="s">
        <v>1249</v>
      </c>
      <c r="C40" s="670" t="s">
        <v>1299</v>
      </c>
      <c r="D40" s="666" t="str">
        <f>INDEX('Data Processing'!G:G,A40)</f>
        <v>Due to Banks - Demand</v>
      </c>
      <c r="E40" s="651">
        <f>INDEX('Data Processing'!O:O,$A40)</f>
        <v>174.70603417999999</v>
      </c>
      <c r="F40" s="716">
        <f ca="1">INDEX('Data Processing'!$I:$I,$A40)</f>
        <v>0.18400000000000016</v>
      </c>
      <c r="G40" s="672">
        <f ca="1">INDEX('Data Processing'!$J:$J,$A40)</f>
        <v>0.23000000000000015</v>
      </c>
      <c r="H40" s="651">
        <f ca="1">INDEX('Data Processing'!AC:AC,$A40)</f>
        <v>142.56012389087999</v>
      </c>
      <c r="I40" s="651">
        <f ca="1">INDEX('Data Processing'!AE:AE,$A40)</f>
        <v>134.52364631859999</v>
      </c>
      <c r="J40" s="651">
        <f>SUM(INDEX('Data Processing'!CX:CX,A40):INDEX('Data Processing'!DK:DK,A40))</f>
        <v>174.70603417999999</v>
      </c>
      <c r="K40" s="651">
        <f>SUM(INDEX('Data Processing'!CX:CX,A40):INDEX('Data Processing'!DM:DM,A40))</f>
        <v>174.70603417999999</v>
      </c>
      <c r="L40" s="666" t="str">
        <f ca="1">INDEX('Data Processing'!K:K,A40)</f>
        <v>18.4% of Current Balance</v>
      </c>
      <c r="M40" s="683" t="str">
        <f>INDEX('Data Processing'!AR:AR,A40)</f>
        <v>Outflow</v>
      </c>
      <c r="N40" s="708">
        <f t="shared" si="0"/>
        <v>174.70603417999999</v>
      </c>
      <c r="O40" s="651">
        <f t="shared" ca="1" si="3"/>
        <v>142.56012389087999</v>
      </c>
      <c r="P40" s="683">
        <f t="shared" ca="1" si="18"/>
        <v>32.145910289119996</v>
      </c>
      <c r="Q40" s="708">
        <v>62.316694929999997</v>
      </c>
      <c r="R40" s="651">
        <v>50.850423062879997</v>
      </c>
      <c r="S40" s="683">
        <v>11.46627186712</v>
      </c>
      <c r="T40" s="708">
        <f t="shared" si="19"/>
        <v>112.38933924999999</v>
      </c>
      <c r="U40" s="651">
        <f t="shared" ca="1" si="4"/>
        <v>91.709700827999995</v>
      </c>
      <c r="V40" s="683">
        <f t="shared" ca="1" si="5"/>
        <v>20.679638421999996</v>
      </c>
      <c r="W40" s="443">
        <v>11</v>
      </c>
      <c r="X40" s="443">
        <v>11</v>
      </c>
      <c r="Z40" s="645"/>
      <c r="AA40" s="920" t="s">
        <v>1309</v>
      </c>
      <c r="AB40" s="708">
        <f t="shared" si="6"/>
        <v>174.70603417999999</v>
      </c>
      <c r="AC40" s="651">
        <f t="shared" ca="1" si="1"/>
        <v>142.56012389087999</v>
      </c>
      <c r="AD40" s="862">
        <f t="shared" ca="1" si="2"/>
        <v>32.145910289119996</v>
      </c>
      <c r="AE40" s="651"/>
      <c r="AF40" s="651"/>
      <c r="AG40" s="651">
        <f t="shared" si="31"/>
        <v>0</v>
      </c>
      <c r="AH40" s="651">
        <f t="shared" si="32"/>
        <v>0</v>
      </c>
      <c r="AI40" s="708">
        <f t="shared" si="15"/>
        <v>174.70603417999999</v>
      </c>
      <c r="AJ40" s="651">
        <f t="shared" ca="1" si="16"/>
        <v>142.56012389087999</v>
      </c>
      <c r="AK40" s="862">
        <f t="shared" ca="1" si="17"/>
        <v>32.145910289119996</v>
      </c>
    </row>
    <row r="41" spans="1:37" ht="14.25" customHeight="1">
      <c r="A41" s="475">
        <f>MATCH(C41,'Data Processing'!C:C,0)</f>
        <v>40</v>
      </c>
      <c r="B41" s="680" t="s">
        <v>1249</v>
      </c>
      <c r="C41" s="662" t="s">
        <v>1300</v>
      </c>
      <c r="D41" s="663" t="str">
        <f>INDEX('Data Processing'!G:G,A41)</f>
        <v>Due to Banks - Call Loans</v>
      </c>
      <c r="E41" s="664">
        <f>INDEX('Data Processing'!O:O,$A41)</f>
        <v>0</v>
      </c>
      <c r="F41" s="715">
        <f ca="1">INDEX('Data Processing'!$I:$I,$A41)</f>
        <v>1</v>
      </c>
      <c r="G41" s="671">
        <f ca="1">INDEX('Data Processing'!$J:$J,$A41)</f>
        <v>1</v>
      </c>
      <c r="H41" s="664">
        <f ca="1">INDEX('Data Processing'!AC:AC,$A41)</f>
        <v>0</v>
      </c>
      <c r="I41" s="664">
        <f ca="1">INDEX('Data Processing'!AE:AE,$A41)</f>
        <v>0</v>
      </c>
      <c r="J41" s="664">
        <f>SUM(INDEX('Data Processing'!CX:CX,A41):INDEX('Data Processing'!DK:DK,A41))</f>
        <v>0</v>
      </c>
      <c r="K41" s="664">
        <f>SUM(INDEX('Data Processing'!CX:CX,A41):INDEX('Data Processing'!DM:DM,A41))</f>
        <v>0</v>
      </c>
      <c r="L41" s="663" t="str">
        <f ca="1">INDEX('Data Processing'!K:K,A41)</f>
        <v>100% of Contractual Maturity</v>
      </c>
      <c r="M41" s="681" t="str">
        <f>INDEX('Data Processing'!AR:AR,A41)</f>
        <v>Outflow</v>
      </c>
      <c r="N41" s="707">
        <f t="shared" ref="N41:N77" si="48">E41</f>
        <v>0</v>
      </c>
      <c r="O41" s="664">
        <f t="shared" ca="1" si="3"/>
        <v>0</v>
      </c>
      <c r="P41" s="681">
        <f t="shared" ca="1" si="18"/>
        <v>0</v>
      </c>
      <c r="Q41" s="707">
        <v>0</v>
      </c>
      <c r="R41" s="664">
        <v>0</v>
      </c>
      <c r="S41" s="681">
        <v>0</v>
      </c>
      <c r="T41" s="707">
        <f t="shared" si="19"/>
        <v>0</v>
      </c>
      <c r="U41" s="664">
        <f t="shared" ca="1" si="4"/>
        <v>0</v>
      </c>
      <c r="V41" s="681">
        <f t="shared" ca="1" si="5"/>
        <v>0</v>
      </c>
      <c r="Z41" s="645"/>
      <c r="AA41" s="919" t="s">
        <v>1314</v>
      </c>
      <c r="AB41" s="707">
        <f t="shared" si="6"/>
        <v>0</v>
      </c>
      <c r="AC41" s="664">
        <f t="shared" ca="1" si="1"/>
        <v>0</v>
      </c>
      <c r="AD41" s="860">
        <f t="shared" ca="1" si="2"/>
        <v>0</v>
      </c>
      <c r="AE41" s="664"/>
      <c r="AF41" s="664"/>
      <c r="AG41" s="664">
        <f t="shared" si="31"/>
        <v>0</v>
      </c>
      <c r="AH41" s="664">
        <f t="shared" si="32"/>
        <v>0</v>
      </c>
      <c r="AI41" s="707">
        <f t="shared" si="15"/>
        <v>0</v>
      </c>
      <c r="AJ41" s="664">
        <f t="shared" ca="1" si="16"/>
        <v>0</v>
      </c>
      <c r="AK41" s="860">
        <f t="shared" ca="1" si="17"/>
        <v>0</v>
      </c>
    </row>
    <row r="42" spans="1:37" ht="14.25" customHeight="1">
      <c r="A42" s="476">
        <f>MATCH(C42,'Data Processing'!C:C,0)</f>
        <v>41</v>
      </c>
      <c r="B42" s="682" t="s">
        <v>1249</v>
      </c>
      <c r="C42" s="670" t="s">
        <v>1301</v>
      </c>
      <c r="D42" s="666" t="str">
        <f>INDEX('Data Processing'!G:G,A42)</f>
        <v>Blocked Account</v>
      </c>
      <c r="E42" s="651">
        <f>INDEX('Data Processing'!O:O,$A42)</f>
        <v>1.4091577800000004</v>
      </c>
      <c r="F42" s="716">
        <f ca="1">INDEX('Data Processing'!$I:$I,$A42)</f>
        <v>0.18400000000000014</v>
      </c>
      <c r="G42" s="672">
        <f ca="1">INDEX('Data Processing'!$J:$J,$A42)</f>
        <v>0.23000000000000012</v>
      </c>
      <c r="H42" s="651">
        <f ca="1">INDEX('Data Processing'!AC:AC,$A42)</f>
        <v>1.1498727484800002</v>
      </c>
      <c r="I42" s="651">
        <f ca="1">INDEX('Data Processing'!AE:AE,$A42)</f>
        <v>1.0850514906000002</v>
      </c>
      <c r="J42" s="651">
        <f>SUM(INDEX('Data Processing'!CX:CX,A42):INDEX('Data Processing'!DK:DK,A42))</f>
        <v>1.4091577800000004</v>
      </c>
      <c r="K42" s="651">
        <f>SUM(INDEX('Data Processing'!CX:CX,A42):INDEX('Data Processing'!DM:DM,A42))</f>
        <v>1.4091577800000004</v>
      </c>
      <c r="L42" s="666" t="str">
        <f ca="1">INDEX('Data Processing'!K:K,A42)</f>
        <v>18.4% of Current Balance</v>
      </c>
      <c r="M42" s="683" t="str">
        <f>INDEX('Data Processing'!AR:AR,A42)</f>
        <v>Outflow</v>
      </c>
      <c r="N42" s="708">
        <f t="shared" si="48"/>
        <v>1.4091577800000004</v>
      </c>
      <c r="O42" s="651">
        <f t="shared" ref="O42:O77" ca="1" si="49">H42</f>
        <v>1.1498727484800002</v>
      </c>
      <c r="P42" s="683">
        <f t="shared" ca="1" si="18"/>
        <v>0.25928503152000015</v>
      </c>
      <c r="Q42" s="708">
        <v>1.7037728099999998</v>
      </c>
      <c r="R42" s="651">
        <v>1.3902786129599998</v>
      </c>
      <c r="S42" s="683">
        <v>0.31349419704000003</v>
      </c>
      <c r="T42" s="708">
        <f t="shared" si="19"/>
        <v>-0.29461502999999944</v>
      </c>
      <c r="U42" s="651">
        <f t="shared" ca="1" si="4"/>
        <v>-0.24040586447999956</v>
      </c>
      <c r="V42" s="683">
        <f t="shared" ca="1" si="5"/>
        <v>-5.420916551999988E-2</v>
      </c>
      <c r="W42" s="443">
        <v>11</v>
      </c>
      <c r="X42" s="443">
        <v>11</v>
      </c>
      <c r="Z42" s="645"/>
      <c r="AA42" s="920" t="s">
        <v>1311</v>
      </c>
      <c r="AB42" s="708">
        <f t="shared" si="6"/>
        <v>1.4091577800000004</v>
      </c>
      <c r="AC42" s="651">
        <f t="shared" ca="1" si="1"/>
        <v>1.1498727484800002</v>
      </c>
      <c r="AD42" s="862">
        <f t="shared" ca="1" si="2"/>
        <v>0.25928503152000015</v>
      </c>
      <c r="AE42" s="651"/>
      <c r="AF42" s="651"/>
      <c r="AG42" s="651">
        <f t="shared" si="31"/>
        <v>0</v>
      </c>
      <c r="AH42" s="651">
        <f t="shared" si="32"/>
        <v>0</v>
      </c>
      <c r="AI42" s="708">
        <f t="shared" si="15"/>
        <v>1.4091577800000004</v>
      </c>
      <c r="AJ42" s="651">
        <f t="shared" ca="1" si="16"/>
        <v>1.1498727484800002</v>
      </c>
      <c r="AK42" s="862">
        <f t="shared" ca="1" si="17"/>
        <v>0.25928503152000015</v>
      </c>
    </row>
    <row r="43" spans="1:37" ht="14.25" customHeight="1">
      <c r="A43" s="475">
        <f>MATCH(C43,'Data Processing'!C:C,0)</f>
        <v>42</v>
      </c>
      <c r="B43" s="680" t="s">
        <v>1249</v>
      </c>
      <c r="C43" s="662" t="s">
        <v>1302</v>
      </c>
      <c r="D43" s="663" t="str">
        <f>INDEX('Data Processing'!G:G,A43)</f>
        <v>Due to Non-Bank FI (Exclude Large FI)</v>
      </c>
      <c r="E43" s="664">
        <f>INDEX('Data Processing'!O:O,$A43)</f>
        <v>366.42940659000016</v>
      </c>
      <c r="F43" s="715">
        <f ca="1">INDEX('Data Processing'!$I:$I,$A43)</f>
        <v>0.18400000000000016</v>
      </c>
      <c r="G43" s="671">
        <f ca="1">INDEX('Data Processing'!$J:$J,$A43)</f>
        <v>0.23000000000000015</v>
      </c>
      <c r="H43" s="664">
        <f ca="1">INDEX('Data Processing'!AC:AC,$A43)</f>
        <v>299.0063957774401</v>
      </c>
      <c r="I43" s="664">
        <f ca="1">INDEX('Data Processing'!AE:AE,$A43)</f>
        <v>282.15064307430009</v>
      </c>
      <c r="J43" s="664">
        <f>SUM(INDEX('Data Processing'!CX:CX,A43):INDEX('Data Processing'!DK:DK,A43))</f>
        <v>366.42940659000016</v>
      </c>
      <c r="K43" s="664">
        <f>SUM(INDEX('Data Processing'!CX:CX,A43):INDEX('Data Processing'!DM:DM,A43))</f>
        <v>366.42940659000016</v>
      </c>
      <c r="L43" s="663" t="str">
        <f ca="1">INDEX('Data Processing'!K:K,A43)</f>
        <v>18.4% of Current Balance</v>
      </c>
      <c r="M43" s="681" t="str">
        <f>INDEX('Data Processing'!AR:AR,A43)</f>
        <v>Outflow</v>
      </c>
      <c r="N43" s="707">
        <f t="shared" si="48"/>
        <v>366.42940659000016</v>
      </c>
      <c r="O43" s="664">
        <f t="shared" ca="1" si="49"/>
        <v>299.0063957774401</v>
      </c>
      <c r="P43" s="681">
        <f t="shared" ca="1" si="18"/>
        <v>67.423010812560051</v>
      </c>
      <c r="Q43" s="707">
        <v>102.04399158</v>
      </c>
      <c r="R43" s="664">
        <v>83.267897129279987</v>
      </c>
      <c r="S43" s="681">
        <v>18.776094450720009</v>
      </c>
      <c r="T43" s="707">
        <f t="shared" si="19"/>
        <v>264.38541501000014</v>
      </c>
      <c r="U43" s="664">
        <f t="shared" ca="1" si="4"/>
        <v>215.73849864816012</v>
      </c>
      <c r="V43" s="681">
        <f t="shared" ca="1" si="5"/>
        <v>48.646916361840042</v>
      </c>
      <c r="W43" s="443">
        <v>11</v>
      </c>
      <c r="X43" s="443">
        <v>11</v>
      </c>
      <c r="Z43" s="645"/>
      <c r="AA43" s="919" t="s">
        <v>1327</v>
      </c>
      <c r="AB43" s="707">
        <f t="shared" si="6"/>
        <v>366.42940659000016</v>
      </c>
      <c r="AC43" s="664">
        <f t="shared" ca="1" si="1"/>
        <v>299.0063957774401</v>
      </c>
      <c r="AD43" s="860">
        <f t="shared" ca="1" si="2"/>
        <v>67.423010812560051</v>
      </c>
      <c r="AE43" s="664"/>
      <c r="AF43" s="664"/>
      <c r="AG43" s="664">
        <f t="shared" si="31"/>
        <v>0</v>
      </c>
      <c r="AH43" s="664">
        <f t="shared" si="32"/>
        <v>0</v>
      </c>
      <c r="AI43" s="707">
        <f t="shared" si="15"/>
        <v>366.42940659000016</v>
      </c>
      <c r="AJ43" s="664">
        <f t="shared" ca="1" si="16"/>
        <v>299.0063957774401</v>
      </c>
      <c r="AK43" s="860">
        <f t="shared" ca="1" si="17"/>
        <v>67.423010812560051</v>
      </c>
    </row>
    <row r="44" spans="1:37" s="656" customFormat="1" ht="31.5" customHeight="1">
      <c r="A44" s="658">
        <f>MATCH(C44,'Data Processing'!C:C,0)</f>
        <v>43</v>
      </c>
      <c r="B44" s="684" t="s">
        <v>1249</v>
      </c>
      <c r="C44" s="673" t="s">
        <v>1269</v>
      </c>
      <c r="D44" s="674" t="str">
        <f>INDEX('Data Processing'!G:G,A44)</f>
        <v>Due to Non-Bank Large FI - Best Investment</v>
      </c>
      <c r="E44" s="675">
        <f>INDEX('Data Processing'!O:O,$A44)</f>
        <v>5.7349952499999999</v>
      </c>
      <c r="F44" s="717">
        <f ca="1">INDEX('Data Processing'!$I:$I,$A44)</f>
        <v>0.18400000000000016</v>
      </c>
      <c r="G44" s="676">
        <f ca="1">INDEX('Data Processing'!$J:$J,$A44)</f>
        <v>0.23000000000000015</v>
      </c>
      <c r="H44" s="675">
        <f ca="1">INDEX('Data Processing'!AC:AC,$A44)</f>
        <v>4.6797561239999999</v>
      </c>
      <c r="I44" s="675">
        <f ca="1">INDEX('Data Processing'!AE:AE,$A44)</f>
        <v>4.4159463424999998</v>
      </c>
      <c r="J44" s="675">
        <f>SUM(INDEX('Data Processing'!CX:CX,A44):INDEX('Data Processing'!DK:DK,A44))</f>
        <v>5.7349952499999999</v>
      </c>
      <c r="K44" s="675">
        <f>SUM(INDEX('Data Processing'!CX:CX,A44):INDEX('Data Processing'!DM:DM,A44))</f>
        <v>5.7349952499999999</v>
      </c>
      <c r="L44" s="674" t="str">
        <f ca="1">INDEX('Data Processing'!K:K,A44)</f>
        <v>18.4% of Current Balance</v>
      </c>
      <c r="M44" s="685" t="str">
        <f>INDEX('Data Processing'!AR:AR,A44)</f>
        <v>Outflow</v>
      </c>
      <c r="N44" s="710">
        <f t="shared" si="48"/>
        <v>5.7349952499999999</v>
      </c>
      <c r="O44" s="675">
        <f t="shared" ca="1" si="49"/>
        <v>4.6797561239999999</v>
      </c>
      <c r="P44" s="685">
        <f t="shared" ca="1" si="18"/>
        <v>1.055239126</v>
      </c>
      <c r="Q44" s="710">
        <v>7.890453439999999</v>
      </c>
      <c r="R44" s="675">
        <v>6.4386100070399994</v>
      </c>
      <c r="S44" s="685">
        <v>1.4518434329599996</v>
      </c>
      <c r="T44" s="710">
        <f t="shared" si="19"/>
        <v>-2.1554581899999992</v>
      </c>
      <c r="U44" s="675">
        <f t="shared" ca="1" si="4"/>
        <v>-1.7588538830399996</v>
      </c>
      <c r="V44" s="685">
        <f t="shared" ca="1" si="5"/>
        <v>-0.3966043069599996</v>
      </c>
      <c r="X44" s="656" t="s">
        <v>1397</v>
      </c>
      <c r="Z44" s="645"/>
      <c r="AA44" s="922" t="s">
        <v>1328</v>
      </c>
      <c r="AB44" s="710">
        <f t="shared" si="6"/>
        <v>5.7349952499999999</v>
      </c>
      <c r="AC44" s="675">
        <f t="shared" ca="1" si="1"/>
        <v>4.6797561239999999</v>
      </c>
      <c r="AD44" s="868">
        <f t="shared" ca="1" si="2"/>
        <v>1.055239126</v>
      </c>
      <c r="AE44" s="675"/>
      <c r="AF44" s="675"/>
      <c r="AG44" s="675">
        <f t="shared" si="31"/>
        <v>0</v>
      </c>
      <c r="AH44" s="675">
        <f t="shared" si="32"/>
        <v>0</v>
      </c>
      <c r="AI44" s="710">
        <f t="shared" si="15"/>
        <v>5.7349952499999999</v>
      </c>
      <c r="AJ44" s="675">
        <f t="shared" ca="1" si="16"/>
        <v>4.6797561239999999</v>
      </c>
      <c r="AK44" s="868">
        <f t="shared" ca="1" si="17"/>
        <v>1.055239126</v>
      </c>
    </row>
    <row r="45" spans="1:37" s="656" customFormat="1" ht="31.5" customHeight="1">
      <c r="A45" s="658">
        <f>MATCH(C45,'Data Processing'!C:C,0)</f>
        <v>44</v>
      </c>
      <c r="B45" s="684" t="s">
        <v>1247</v>
      </c>
      <c r="C45" s="673" t="s">
        <v>1316</v>
      </c>
      <c r="D45" s="674" t="str">
        <f>INDEX('Data Processing'!G:G,A45)</f>
        <v>Due to Non-Bank Large FI - GIFS Capital</v>
      </c>
      <c r="E45" s="675">
        <f>INDEX('Data Processing'!O:O,$A45)</f>
        <v>1201.8187905699999</v>
      </c>
      <c r="F45" s="717">
        <f ca="1">INDEX('Data Processing'!$I:$I,$A45)</f>
        <v>0.45053121576925453</v>
      </c>
      <c r="G45" s="676">
        <f ca="1">INDEX('Data Processing'!$J:$J,$A45)</f>
        <v>0.47615894433952843</v>
      </c>
      <c r="H45" s="675">
        <f ca="1">INDEX('Data Processing'!AC:AC,$A45)</f>
        <v>660.36190972016277</v>
      </c>
      <c r="I45" s="675">
        <f ca="1">INDEX('Data Processing'!AE:AE,$A45)</f>
        <v>629.56202396478</v>
      </c>
      <c r="J45" s="675">
        <f>SUM(INDEX('Data Processing'!CX:CX,A45):INDEX('Data Processing'!DK:DK,A45))</f>
        <v>1201.8187905699999</v>
      </c>
      <c r="K45" s="675">
        <f>SUM(INDEX('Data Processing'!CX:CX,A45):INDEX('Data Processing'!DM:DM,A45))</f>
        <v>1201.8187905699999</v>
      </c>
      <c r="L45" s="674" t="str">
        <f ca="1">INDEX('Data Processing'!K:K,A45)</f>
        <v>45.1% of Current Balance</v>
      </c>
      <c r="M45" s="685" t="str">
        <f>INDEX('Data Processing'!AR:AR,A45)</f>
        <v>Outflow</v>
      </c>
      <c r="N45" s="710">
        <f t="shared" si="48"/>
        <v>1201.8187905699999</v>
      </c>
      <c r="O45" s="675">
        <f t="shared" ca="1" si="49"/>
        <v>660.36190972016277</v>
      </c>
      <c r="P45" s="685">
        <f t="shared" ca="1" si="18"/>
        <v>541.45688084983715</v>
      </c>
      <c r="Q45" s="710">
        <v>1581.0970355900001</v>
      </c>
      <c r="R45" s="675">
        <v>565.44054669777722</v>
      </c>
      <c r="S45" s="685">
        <v>1015.6564888922229</v>
      </c>
      <c r="T45" s="710">
        <f t="shared" si="19"/>
        <v>-379.27824502000021</v>
      </c>
      <c r="U45" s="675">
        <f t="shared" ca="1" si="4"/>
        <v>94.921363022385549</v>
      </c>
      <c r="V45" s="685">
        <f t="shared" ca="1" si="5"/>
        <v>-474.19960804238576</v>
      </c>
      <c r="X45" s="656" t="s">
        <v>1320</v>
      </c>
      <c r="Z45" s="645"/>
      <c r="AA45" s="922" t="s">
        <v>1329</v>
      </c>
      <c r="AB45" s="710">
        <f t="shared" si="6"/>
        <v>1201.8187905699999</v>
      </c>
      <c r="AC45" s="675">
        <f t="shared" ca="1" si="1"/>
        <v>660.36190972016277</v>
      </c>
      <c r="AD45" s="868">
        <f t="shared" ca="1" si="2"/>
        <v>541.45688084983715</v>
      </c>
      <c r="AE45" s="675"/>
      <c r="AF45" s="675"/>
      <c r="AG45" s="675">
        <f t="shared" si="31"/>
        <v>0</v>
      </c>
      <c r="AH45" s="675">
        <f t="shared" si="32"/>
        <v>0</v>
      </c>
      <c r="AI45" s="710">
        <f t="shared" si="15"/>
        <v>1201.8187905699999</v>
      </c>
      <c r="AJ45" s="675">
        <f t="shared" ca="1" si="16"/>
        <v>660.36190972016277</v>
      </c>
      <c r="AK45" s="868">
        <f t="shared" ca="1" si="17"/>
        <v>541.45688084983715</v>
      </c>
    </row>
    <row r="46" spans="1:37" s="656" customFormat="1" ht="31.5" customHeight="1">
      <c r="A46" s="658">
        <f>MATCH(C46,'Data Processing'!C:C,0)</f>
        <v>45</v>
      </c>
      <c r="B46" s="684" t="s">
        <v>1249</v>
      </c>
      <c r="C46" s="673" t="s">
        <v>1446</v>
      </c>
      <c r="D46" s="674" t="str">
        <f>INDEX('Data Processing'!G:G,A46)</f>
        <v>Due to Non-Bank Large FI - CIC INTERNATIONAL CO., LIMITED</v>
      </c>
      <c r="E46" s="675">
        <f>INDEX('Data Processing'!O:O,$A46)</f>
        <v>159.46774133000002</v>
      </c>
      <c r="F46" s="717">
        <f ca="1">INDEX('Data Processing'!$I:$I,$A46)</f>
        <v>0.18400000000000016</v>
      </c>
      <c r="G46" s="676">
        <f ca="1">INDEX('Data Processing'!$J:$J,$A46)</f>
        <v>0.23000000000000015</v>
      </c>
      <c r="H46" s="675">
        <f ca="1">INDEX('Data Processing'!AC:AC,$A46)</f>
        <v>130.12567692528</v>
      </c>
      <c r="I46" s="675">
        <f ca="1">INDEX('Data Processing'!AE:AE,$A46)</f>
        <v>122.79016082410001</v>
      </c>
      <c r="J46" s="675">
        <f>SUM(INDEX('Data Processing'!CX:CX,A46):INDEX('Data Processing'!DK:DK,A46))</f>
        <v>159.46774133000002</v>
      </c>
      <c r="K46" s="675">
        <f>SUM(INDEX('Data Processing'!CX:CX,A46):INDEX('Data Processing'!DM:DM,A46))</f>
        <v>159.46774133000002</v>
      </c>
      <c r="L46" s="674" t="str">
        <f ca="1">INDEX('Data Processing'!K:K,A46)</f>
        <v>18.4% of Current Balance</v>
      </c>
      <c r="M46" s="685" t="str">
        <f>INDEX('Data Processing'!AR:AR,A46)</f>
        <v>Outflow</v>
      </c>
      <c r="N46" s="710">
        <f t="shared" ref="N46" si="50">E46</f>
        <v>159.46774133000002</v>
      </c>
      <c r="O46" s="675">
        <f t="shared" ref="O46" ca="1" si="51">H46</f>
        <v>130.12567692528</v>
      </c>
      <c r="P46" s="685">
        <f t="shared" ref="P46" ca="1" si="52">E46-H46</f>
        <v>29.34206440472002</v>
      </c>
      <c r="Q46" s="710">
        <v>241.27755216</v>
      </c>
      <c r="R46" s="675">
        <v>193.12771297795769</v>
      </c>
      <c r="S46" s="685">
        <v>48.149839182042314</v>
      </c>
      <c r="T46" s="710">
        <f t="shared" ref="T46" si="53">N46-Q46</f>
        <v>-81.809810829999975</v>
      </c>
      <c r="U46" s="675">
        <f t="shared" ref="U46" ca="1" si="54">O46-R46</f>
        <v>-63.002036052677681</v>
      </c>
      <c r="V46" s="685">
        <f t="shared" ref="V46" ca="1" si="55">P46-S46</f>
        <v>-18.807774777322294</v>
      </c>
      <c r="X46" s="656" t="s">
        <v>1448</v>
      </c>
      <c r="Z46" s="645"/>
      <c r="AA46" s="922" t="s">
        <v>1447</v>
      </c>
      <c r="AB46" s="710">
        <f t="shared" si="6"/>
        <v>159.46774133000002</v>
      </c>
      <c r="AC46" s="675">
        <f t="shared" ca="1" si="1"/>
        <v>130.12567692528</v>
      </c>
      <c r="AD46" s="868">
        <f t="shared" ca="1" si="2"/>
        <v>29.34206440472002</v>
      </c>
      <c r="AE46" s="710">
        <v>159.39388700999999</v>
      </c>
      <c r="AF46" s="675">
        <f ca="1">AE46*(1-F46)</f>
        <v>130.06541180015995</v>
      </c>
      <c r="AG46" s="675">
        <f>IF(AE46="",0,AE46-AB46)</f>
        <v>-7.3854320000037887E-2</v>
      </c>
      <c r="AH46" s="675">
        <f ca="1">IF(AE46="",0,AF46-AC46)</f>
        <v>-6.0265125120054108E-2</v>
      </c>
      <c r="AI46" s="710">
        <f t="shared" si="15"/>
        <v>159.39388700999999</v>
      </c>
      <c r="AJ46" s="675">
        <f t="shared" ca="1" si="16"/>
        <v>130.06541180015995</v>
      </c>
      <c r="AK46" s="868">
        <f t="shared" ca="1" si="17"/>
        <v>29.328475209840036</v>
      </c>
    </row>
    <row r="47" spans="1:37" s="656" customFormat="1" ht="15.75" customHeight="1">
      <c r="A47" s="657">
        <f>MATCH(C47,'Data Processing'!C:C,0)</f>
        <v>46</v>
      </c>
      <c r="B47" s="678" t="s">
        <v>1249</v>
      </c>
      <c r="C47" s="659" t="s">
        <v>1168</v>
      </c>
      <c r="D47" s="660" t="str">
        <f>INDEX('Data Processing'!G:G,A47)</f>
        <v>Due to Banks - Investment - CME</v>
      </c>
      <c r="E47" s="661">
        <f>INDEX('Data Processing'!O:O,$A47)</f>
        <v>500.91083754000005</v>
      </c>
      <c r="F47" s="718">
        <f ca="1">INDEX('Data Processing'!$I:$I,$A47)</f>
        <v>0.39999999999999991</v>
      </c>
      <c r="G47" s="677">
        <f ca="1">INDEX('Data Processing'!$J:$J,$A47)</f>
        <v>0.39999999999999991</v>
      </c>
      <c r="H47" s="661">
        <f ca="1">INDEX('Data Processing'!AC:AC,$A47)</f>
        <v>300.54650252400006</v>
      </c>
      <c r="I47" s="661">
        <f ca="1">INDEX('Data Processing'!AE:AE,$A47)</f>
        <v>300.54650252400006</v>
      </c>
      <c r="J47" s="661">
        <f>SUM(INDEX('Data Processing'!CX:CX,A47):INDEX('Data Processing'!DK:DK,A47))</f>
        <v>500.91083754000005</v>
      </c>
      <c r="K47" s="661">
        <f>SUM(INDEX('Data Processing'!CX:CX,A47):INDEX('Data Processing'!DM:DM,A47))</f>
        <v>500.91083754000005</v>
      </c>
      <c r="L47" s="660" t="str">
        <f ca="1">INDEX('Data Processing'!K:K,A47)</f>
        <v>40% of Current Balance</v>
      </c>
      <c r="M47" s="679" t="str">
        <f>INDEX('Data Processing'!AR:AR,A47)</f>
        <v>Outflow</v>
      </c>
      <c r="N47" s="706">
        <f t="shared" si="48"/>
        <v>500.91083754000005</v>
      </c>
      <c r="O47" s="661">
        <f t="shared" ca="1" si="49"/>
        <v>300.54650252400006</v>
      </c>
      <c r="P47" s="679">
        <f t="shared" ca="1" si="18"/>
        <v>200.36433501599998</v>
      </c>
      <c r="Q47" s="706">
        <v>500</v>
      </c>
      <c r="R47" s="661">
        <v>300</v>
      </c>
      <c r="S47" s="679">
        <v>200</v>
      </c>
      <c r="T47" s="706">
        <f t="shared" si="19"/>
        <v>0.91083754000004546</v>
      </c>
      <c r="U47" s="661">
        <f t="shared" ca="1" si="4"/>
        <v>0.54650252400006138</v>
      </c>
      <c r="V47" s="679">
        <f t="shared" ca="1" si="5"/>
        <v>0.36433501599998408</v>
      </c>
      <c r="X47" s="656" t="s">
        <v>1321</v>
      </c>
      <c r="Z47" s="645"/>
      <c r="AA47" s="918" t="s">
        <v>1330</v>
      </c>
      <c r="AB47" s="706">
        <f t="shared" si="6"/>
        <v>500.91083754000005</v>
      </c>
      <c r="AC47" s="661">
        <f t="shared" ca="1" si="1"/>
        <v>300.54650252400006</v>
      </c>
      <c r="AD47" s="859">
        <f t="shared" ca="1" si="2"/>
        <v>200.36433501599998</v>
      </c>
      <c r="AE47" s="661"/>
      <c r="AF47" s="661"/>
      <c r="AG47" s="661">
        <f t="shared" si="31"/>
        <v>0</v>
      </c>
      <c r="AH47" s="661">
        <f t="shared" si="32"/>
        <v>0</v>
      </c>
      <c r="AI47" s="706">
        <f t="shared" si="15"/>
        <v>500.91083754000005</v>
      </c>
      <c r="AJ47" s="661">
        <f t="shared" ca="1" si="16"/>
        <v>300.54650252400006</v>
      </c>
      <c r="AK47" s="859">
        <f t="shared" ca="1" si="17"/>
        <v>200.36433501599998</v>
      </c>
    </row>
    <row r="48" spans="1:37" ht="28.5" customHeight="1">
      <c r="A48" s="475">
        <f>MATCH(C48,'Data Processing'!C:C,0)</f>
        <v>47</v>
      </c>
      <c r="B48" s="680" t="s">
        <v>1249</v>
      </c>
      <c r="C48" s="662" t="s">
        <v>1169</v>
      </c>
      <c r="D48" s="663" t="str">
        <f>INDEX('Data Processing'!G:G,A48)</f>
        <v>Due to Banks - Investment - Non-US (Exclude Large FI)</v>
      </c>
      <c r="E48" s="664">
        <f>INDEX('Data Processing'!O:O,$A48)</f>
        <v>1633.1261072200041</v>
      </c>
      <c r="F48" s="715">
        <f ca="1">INDEX('Data Processing'!$I:$I,$A48)</f>
        <v>0.18400000000000016</v>
      </c>
      <c r="G48" s="671">
        <f ca="1">INDEX('Data Processing'!$J:$J,$A48)</f>
        <v>0.23000000000000015</v>
      </c>
      <c r="H48" s="664">
        <f ca="1">INDEX('Data Processing'!AC:AC,$A48)</f>
        <v>1332.6309034915232</v>
      </c>
      <c r="I48" s="664">
        <f ca="1">INDEX('Data Processing'!AE:AE,$A48)</f>
        <v>1257.5071025594032</v>
      </c>
      <c r="J48" s="664">
        <f>SUM(INDEX('Data Processing'!CX:CX,A48):INDEX('Data Processing'!DK:DK,A48))</f>
        <v>1633.1261072200041</v>
      </c>
      <c r="K48" s="664">
        <f>SUM(INDEX('Data Processing'!CX:CX,A48):INDEX('Data Processing'!DM:DM,A48))</f>
        <v>1633.1261072200041</v>
      </c>
      <c r="L48" s="663" t="str">
        <f ca="1">INDEX('Data Processing'!K:K,A48)</f>
        <v>18.4% of Current Balance</v>
      </c>
      <c r="M48" s="681" t="str">
        <f>INDEX('Data Processing'!AR:AR,A48)</f>
        <v>Outflow</v>
      </c>
      <c r="N48" s="707">
        <f t="shared" si="48"/>
        <v>1633.1261072200041</v>
      </c>
      <c r="O48" s="664">
        <f t="shared" ca="1" si="49"/>
        <v>1332.6309034915232</v>
      </c>
      <c r="P48" s="681">
        <f t="shared" ca="1" si="18"/>
        <v>300.49520372848087</v>
      </c>
      <c r="Q48" s="707">
        <v>2107.7173019699976</v>
      </c>
      <c r="R48" s="664">
        <v>1719.8973184075178</v>
      </c>
      <c r="S48" s="681">
        <v>387.81998356247982</v>
      </c>
      <c r="T48" s="707">
        <f t="shared" si="19"/>
        <v>-474.59119474999352</v>
      </c>
      <c r="U48" s="664">
        <f t="shared" ca="1" si="4"/>
        <v>-387.26641491599457</v>
      </c>
      <c r="V48" s="681">
        <f t="shared" ca="1" si="5"/>
        <v>-87.324779833998946</v>
      </c>
      <c r="W48" s="443">
        <v>11</v>
      </c>
      <c r="X48" s="443">
        <v>11</v>
      </c>
      <c r="Z48" s="645"/>
      <c r="AA48" s="919" t="s">
        <v>1331</v>
      </c>
      <c r="AB48" s="707">
        <f t="shared" si="6"/>
        <v>1633.1261072200041</v>
      </c>
      <c r="AC48" s="664">
        <f t="shared" ca="1" si="1"/>
        <v>1332.6309034915232</v>
      </c>
      <c r="AD48" s="860">
        <f t="shared" ca="1" si="2"/>
        <v>300.49520372848087</v>
      </c>
      <c r="AE48" s="664"/>
      <c r="AF48" s="664">
        <f ca="1">AE48*(1-F48)</f>
        <v>0</v>
      </c>
      <c r="AG48" s="664">
        <f>IF(AE48="",0,AE48-AB48)</f>
        <v>0</v>
      </c>
      <c r="AH48" s="664">
        <f t="shared" ref="AH48:AH53" si="56">IF(AE48="",0,AF48-AC48)</f>
        <v>0</v>
      </c>
      <c r="AI48" s="707">
        <f t="shared" si="15"/>
        <v>1633.1261072200041</v>
      </c>
      <c r="AJ48" s="664">
        <f t="shared" ca="1" si="16"/>
        <v>1332.6309034915232</v>
      </c>
      <c r="AK48" s="860">
        <f t="shared" ca="1" si="17"/>
        <v>300.49520372848087</v>
      </c>
    </row>
    <row r="49" spans="1:37" s="656" customFormat="1" ht="15.75" customHeight="1">
      <c r="A49" s="657">
        <f>MATCH(C49,'Data Processing'!C:C,0)</f>
        <v>48</v>
      </c>
      <c r="B49" s="678" t="s">
        <v>1249</v>
      </c>
      <c r="C49" s="659" t="s">
        <v>1317</v>
      </c>
      <c r="D49" s="660" t="str">
        <f>INDEX('Data Processing'!G:G,A49)</f>
        <v>Due to Banks - Investment - PBOC</v>
      </c>
      <c r="E49" s="661">
        <f>INDEX('Data Processing'!O:O,$A49)</f>
        <v>5144.4813025600006</v>
      </c>
      <c r="F49" s="718">
        <f ca="1">INDEX('Data Processing'!$I:$I,$A49)</f>
        <v>0.36800000000000033</v>
      </c>
      <c r="G49" s="677">
        <f ca="1">INDEX('Data Processing'!$J:$J,$A49)</f>
        <v>0.4600000000000003</v>
      </c>
      <c r="H49" s="661">
        <f ca="1">INDEX('Data Processing'!AC:AC,$A49)</f>
        <v>3251.3121832179199</v>
      </c>
      <c r="I49" s="661">
        <f ca="1">INDEX('Data Processing'!AE:AE,$A49)</f>
        <v>2778.0199033823997</v>
      </c>
      <c r="J49" s="661">
        <f>SUM(INDEX('Data Processing'!CX:CX,A49):INDEX('Data Processing'!DK:DK,A49))</f>
        <v>5144.4813025600006</v>
      </c>
      <c r="K49" s="661">
        <f>SUM(INDEX('Data Processing'!CX:CX,A49):INDEX('Data Processing'!DM:DM,A49))</f>
        <v>5144.4813025600006</v>
      </c>
      <c r="L49" s="660" t="str">
        <f ca="1">INDEX('Data Processing'!K:K,A49)</f>
        <v>36.8% of Current Balance</v>
      </c>
      <c r="M49" s="679" t="str">
        <f>INDEX('Data Processing'!AR:AR,A49)</f>
        <v>Outflow</v>
      </c>
      <c r="N49" s="706">
        <f t="shared" si="48"/>
        <v>5144.4813025600006</v>
      </c>
      <c r="O49" s="661">
        <f t="shared" ca="1" si="49"/>
        <v>3251.3121832179199</v>
      </c>
      <c r="P49" s="679">
        <f t="shared" ca="1" si="18"/>
        <v>1893.1691193420806</v>
      </c>
      <c r="Q49" s="706">
        <v>2413.96096442</v>
      </c>
      <c r="R49" s="661">
        <v>1525.6233295134391</v>
      </c>
      <c r="S49" s="679">
        <v>888.33763490656088</v>
      </c>
      <c r="T49" s="706">
        <f t="shared" si="19"/>
        <v>2730.5203381400006</v>
      </c>
      <c r="U49" s="661">
        <f t="shared" ca="1" si="4"/>
        <v>1725.6888537044808</v>
      </c>
      <c r="V49" s="679">
        <f t="shared" ca="1" si="5"/>
        <v>1004.8314844355198</v>
      </c>
      <c r="X49" s="656" t="s">
        <v>1322</v>
      </c>
      <c r="Z49" s="645"/>
      <c r="AA49" s="918" t="s">
        <v>1332</v>
      </c>
      <c r="AB49" s="706">
        <f t="shared" si="6"/>
        <v>5144.4813025600006</v>
      </c>
      <c r="AC49" s="661">
        <f t="shared" ca="1" si="1"/>
        <v>3251.3121832179199</v>
      </c>
      <c r="AD49" s="859">
        <f t="shared" ca="1" si="2"/>
        <v>1893.1691193420806</v>
      </c>
      <c r="AE49" s="706">
        <v>5139.2391828</v>
      </c>
      <c r="AF49" s="661">
        <f ca="1">AE49*(1-F49)</f>
        <v>3247.9991635295983</v>
      </c>
      <c r="AG49" s="661">
        <f>IF(AE49="",0,AE49-AB49)</f>
        <v>-5.2421197600006053</v>
      </c>
      <c r="AH49" s="661">
        <f t="shared" ca="1" si="56"/>
        <v>-3.313019688321674</v>
      </c>
      <c r="AI49" s="706">
        <f>AB49+AG49</f>
        <v>5139.2391828</v>
      </c>
      <c r="AJ49" s="661">
        <f t="shared" ref="AJ49:AJ77" ca="1" si="57">AC49+AH49</f>
        <v>3247.9991635295983</v>
      </c>
      <c r="AK49" s="859">
        <f t="shared" ca="1" si="17"/>
        <v>1891.2400192704017</v>
      </c>
    </row>
    <row r="50" spans="1:37" s="656" customFormat="1" ht="31.5" customHeight="1">
      <c r="A50" s="657">
        <f>MATCH(C50,'Data Processing'!C:C,0)</f>
        <v>49</v>
      </c>
      <c r="B50" s="678" t="s">
        <v>1249</v>
      </c>
      <c r="C50" s="659" t="s">
        <v>1318</v>
      </c>
      <c r="D50" s="660" t="str">
        <f>INDEX('Data Processing'!G:G,A50)</f>
        <v>Due to Banks - Investment - CDB &amp; CDB S</v>
      </c>
      <c r="E50" s="661">
        <f>INDEX('Data Processing'!O:O,$A50)</f>
        <v>4707.2802759200003</v>
      </c>
      <c r="F50" s="718">
        <f ca="1">INDEX('Data Processing'!$I:$I,$A50)</f>
        <v>0.36800000000000033</v>
      </c>
      <c r="G50" s="677">
        <f ca="1">INDEX('Data Processing'!$J:$J,$A50)</f>
        <v>0.4600000000000003</v>
      </c>
      <c r="H50" s="661">
        <f ca="1">INDEX('Data Processing'!AC:AC,$A50)</f>
        <v>2975.0011343814404</v>
      </c>
      <c r="I50" s="661">
        <f ca="1">INDEX('Data Processing'!AE:AE,$A50)</f>
        <v>2541.9313489968004</v>
      </c>
      <c r="J50" s="661">
        <f>SUM(INDEX('Data Processing'!CX:CX,A50):INDEX('Data Processing'!DK:DK,A50))</f>
        <v>4707.2802759200003</v>
      </c>
      <c r="K50" s="661">
        <f>SUM(INDEX('Data Processing'!CX:CX,A50):INDEX('Data Processing'!DM:DM,A50))</f>
        <v>4707.2802759200003</v>
      </c>
      <c r="L50" s="660" t="str">
        <f ca="1">INDEX('Data Processing'!K:K,A50)</f>
        <v>36.8% of Current Balance</v>
      </c>
      <c r="M50" s="679" t="str">
        <f>INDEX('Data Processing'!AR:AR,A50)</f>
        <v>Outflow</v>
      </c>
      <c r="N50" s="706">
        <f t="shared" si="48"/>
        <v>4707.2802759200003</v>
      </c>
      <c r="O50" s="661">
        <f t="shared" ca="1" si="49"/>
        <v>2975.0011343814404</v>
      </c>
      <c r="P50" s="679">
        <f t="shared" ca="1" si="18"/>
        <v>1732.27914153856</v>
      </c>
      <c r="Q50" s="706">
        <v>2988.2971495699999</v>
      </c>
      <c r="R50" s="661">
        <v>1888.6037985282389</v>
      </c>
      <c r="S50" s="679">
        <v>1099.6933510417609</v>
      </c>
      <c r="T50" s="706">
        <f t="shared" si="19"/>
        <v>1718.9831263500005</v>
      </c>
      <c r="U50" s="661">
        <f t="shared" ca="1" si="4"/>
        <v>1086.3973358532014</v>
      </c>
      <c r="V50" s="679">
        <f t="shared" ca="1" si="5"/>
        <v>632.58579049679906</v>
      </c>
      <c r="X50" s="656" t="s">
        <v>1398</v>
      </c>
      <c r="Z50" s="645"/>
      <c r="AA50" s="918" t="s">
        <v>1333</v>
      </c>
      <c r="AB50" s="706">
        <f t="shared" si="6"/>
        <v>4707.2802759200003</v>
      </c>
      <c r="AC50" s="661">
        <f t="shared" ca="1" si="1"/>
        <v>2975.0011343814404</v>
      </c>
      <c r="AD50" s="859">
        <f t="shared" ca="1" si="2"/>
        <v>1732.27914153856</v>
      </c>
      <c r="AE50" s="706">
        <v>4698.0696345100005</v>
      </c>
      <c r="AF50" s="661">
        <f t="shared" ref="AF50:AF52" ca="1" si="58">AE50*(1-F50)</f>
        <v>2969.1800090103188</v>
      </c>
      <c r="AG50" s="661">
        <f t="shared" ref="AG50:AG74" si="59">IF(AE50="",0,AE50-AB50)</f>
        <v>-9.2106414099998801</v>
      </c>
      <c r="AH50" s="661">
        <f t="shared" ca="1" si="56"/>
        <v>-5.8211253711215249</v>
      </c>
      <c r="AI50" s="706">
        <f t="shared" ref="AI50:AI77" si="60">AB50+AG50</f>
        <v>4698.0696345100005</v>
      </c>
      <c r="AJ50" s="661">
        <f t="shared" ca="1" si="57"/>
        <v>2969.1800090103188</v>
      </c>
      <c r="AK50" s="859">
        <f t="shared" ca="1" si="17"/>
        <v>1728.8896254996816</v>
      </c>
    </row>
    <row r="51" spans="1:37" s="656" customFormat="1" ht="31.5" customHeight="1">
      <c r="A51" s="657">
        <f>MATCH(C51,'Data Processing'!C:C,0)</f>
        <v>50</v>
      </c>
      <c r="B51" s="678" t="s">
        <v>1249</v>
      </c>
      <c r="C51" s="659" t="s">
        <v>1319</v>
      </c>
      <c r="D51" s="660" t="str">
        <f>INDEX('Data Processing'!G:G,A51)</f>
        <v>Due to Banks - Investment - CDB HK</v>
      </c>
      <c r="E51" s="661">
        <f>INDEX('Data Processing'!O:O,$A51)</f>
        <v>93.106070770000002</v>
      </c>
      <c r="F51" s="718">
        <f ca="1">INDEX('Data Processing'!$I:$I,$A51)</f>
        <v>0.18400000000000016</v>
      </c>
      <c r="G51" s="677">
        <f ca="1">INDEX('Data Processing'!$J:$J,$A51)</f>
        <v>0.23000000000000015</v>
      </c>
      <c r="H51" s="661">
        <f ca="1">INDEX('Data Processing'!AC:AC,$A51)</f>
        <v>75.974553748320005</v>
      </c>
      <c r="I51" s="661">
        <f ca="1">INDEX('Data Processing'!AE:AE,$A51)</f>
        <v>71.691674492900006</v>
      </c>
      <c r="J51" s="661">
        <f>SUM(INDEX('Data Processing'!CX:CX,A51):INDEX('Data Processing'!DK:DK,A51))</f>
        <v>93.106070770000002</v>
      </c>
      <c r="K51" s="661">
        <f>SUM(INDEX('Data Processing'!CX:CX,A51):INDEX('Data Processing'!DM:DM,A51))</f>
        <v>93.106070770000002</v>
      </c>
      <c r="L51" s="660" t="str">
        <f ca="1">INDEX('Data Processing'!K:K,A51)</f>
        <v>18.4% of Current Balance</v>
      </c>
      <c r="M51" s="679" t="str">
        <f>INDEX('Data Processing'!AR:AR,A51)</f>
        <v>Outflow</v>
      </c>
      <c r="N51" s="706">
        <f t="shared" ref="N51" si="61">E51</f>
        <v>93.106070770000002</v>
      </c>
      <c r="O51" s="661">
        <f t="shared" ref="O51" ca="1" si="62">H51</f>
        <v>75.974553748320005</v>
      </c>
      <c r="P51" s="679">
        <f t="shared" ref="P51" ca="1" si="63">E51-H51</f>
        <v>17.131517021679997</v>
      </c>
      <c r="Q51" s="706">
        <v>403.71137383999996</v>
      </c>
      <c r="R51" s="661">
        <v>317.83112474015439</v>
      </c>
      <c r="S51" s="679">
        <v>85.880249099845571</v>
      </c>
      <c r="T51" s="706">
        <f t="shared" ref="T51" si="64">N51-Q51</f>
        <v>-310.60530306999999</v>
      </c>
      <c r="U51" s="661">
        <f t="shared" ref="U51" ca="1" si="65">O51-R51</f>
        <v>-241.85657099183439</v>
      </c>
      <c r="V51" s="679">
        <f t="shared" ref="V51" ca="1" si="66">P51-S51</f>
        <v>-68.748732078165574</v>
      </c>
      <c r="X51" s="656" t="s">
        <v>1399</v>
      </c>
      <c r="Z51" s="645"/>
      <c r="AA51" s="918" t="s">
        <v>1334</v>
      </c>
      <c r="AB51" s="706">
        <f t="shared" ref="AB51" si="67">N51</f>
        <v>93.106070770000002</v>
      </c>
      <c r="AC51" s="661">
        <f t="shared" ref="AC51" ca="1" si="68">O51</f>
        <v>75.974553748320005</v>
      </c>
      <c r="AD51" s="859">
        <f t="shared" ref="AD51" ca="1" si="69">P51</f>
        <v>17.131517021679997</v>
      </c>
      <c r="AE51" s="706">
        <v>92.846647260000012</v>
      </c>
      <c r="AF51" s="661">
        <f t="shared" ref="AF51" ca="1" si="70">AE51*(1-F51)</f>
        <v>75.762864164159993</v>
      </c>
      <c r="AG51" s="661">
        <f t="shared" ref="AG51" si="71">IF(AE51="",0,AE51-AB51)</f>
        <v>-0.25942350999999064</v>
      </c>
      <c r="AH51" s="661">
        <f t="shared" ca="1" si="56"/>
        <v>-0.2116895841600126</v>
      </c>
      <c r="AI51" s="706">
        <f t="shared" ref="AI51" si="72">AB51+AG51</f>
        <v>92.846647260000012</v>
      </c>
      <c r="AJ51" s="661">
        <f t="shared" ref="AJ51" ca="1" si="73">AC51+AH51</f>
        <v>75.762864164159993</v>
      </c>
      <c r="AK51" s="859">
        <f t="shared" ref="AK51" ca="1" si="74">AI51-AJ51</f>
        <v>17.083783095840019</v>
      </c>
    </row>
    <row r="52" spans="1:37" s="656" customFormat="1" ht="31.5" customHeight="1">
      <c r="A52" s="657">
        <f>MATCH(C52,'Data Processing'!C:C,0)</f>
        <v>51</v>
      </c>
      <c r="B52" s="678" t="s">
        <v>1249</v>
      </c>
      <c r="C52" s="659" t="s">
        <v>2766</v>
      </c>
      <c r="D52" s="660" t="str">
        <f>INDEX('Data Processing'!G:G,A52)</f>
        <v>Due to Banks - Investment - BANK OF COMM. CO. LTD.</v>
      </c>
      <c r="E52" s="661">
        <f>INDEX('Data Processing'!O:O,$A52)</f>
        <v>16.90850859</v>
      </c>
      <c r="F52" s="718">
        <f ca="1">INDEX('Data Processing'!$I:$I,$A52)</f>
        <v>0.18400000000000016</v>
      </c>
      <c r="G52" s="677">
        <f ca="1">INDEX('Data Processing'!$J:$J,$A52)</f>
        <v>0.23000000000000015</v>
      </c>
      <c r="H52" s="661">
        <f ca="1">INDEX('Data Processing'!AC:AC,$A52)</f>
        <v>13.79734300944</v>
      </c>
      <c r="I52" s="661">
        <f ca="1">INDEX('Data Processing'!AE:AE,$A52)</f>
        <v>13.019551614300001</v>
      </c>
      <c r="J52" s="661">
        <f>SUM(INDEX('Data Processing'!CX:CX,A52):INDEX('Data Processing'!DK:DK,A52))</f>
        <v>16.90850859</v>
      </c>
      <c r="K52" s="661">
        <f>SUM(INDEX('Data Processing'!CX:CX,A52):INDEX('Data Processing'!DM:DM,A52))</f>
        <v>16.90850859</v>
      </c>
      <c r="L52" s="660" t="str">
        <f ca="1">INDEX('Data Processing'!K:K,A52)</f>
        <v>18.4% of Current Balance</v>
      </c>
      <c r="M52" s="679" t="str">
        <f>INDEX('Data Processing'!AR:AR,A52)</f>
        <v>Outflow</v>
      </c>
      <c r="N52" s="706">
        <f t="shared" si="48"/>
        <v>16.90850859</v>
      </c>
      <c r="O52" s="661">
        <f t="shared" ca="1" si="49"/>
        <v>13.79734300944</v>
      </c>
      <c r="P52" s="679">
        <f t="shared" ca="1" si="18"/>
        <v>3.1111655805599998</v>
      </c>
      <c r="Q52" s="706">
        <v>403.71137383999996</v>
      </c>
      <c r="R52" s="661">
        <v>317.83112474015439</v>
      </c>
      <c r="S52" s="679">
        <v>85.880249099845571</v>
      </c>
      <c r="T52" s="706">
        <f t="shared" si="19"/>
        <v>-386.80286524999997</v>
      </c>
      <c r="U52" s="661">
        <f t="shared" ca="1" si="4"/>
        <v>-304.0337817307144</v>
      </c>
      <c r="V52" s="679">
        <f t="shared" ca="1" si="5"/>
        <v>-82.769083519285573</v>
      </c>
      <c r="X52" s="656" t="s">
        <v>2772</v>
      </c>
      <c r="Z52" s="645"/>
      <c r="AA52" s="918" t="s">
        <v>2767</v>
      </c>
      <c r="AB52" s="706">
        <f t="shared" si="6"/>
        <v>16.90850859</v>
      </c>
      <c r="AC52" s="661">
        <f t="shared" ca="1" si="1"/>
        <v>13.79734300944</v>
      </c>
      <c r="AD52" s="859">
        <f t="shared" ca="1" si="2"/>
        <v>3.1111655805599998</v>
      </c>
      <c r="AE52" s="706"/>
      <c r="AF52" s="661">
        <f t="shared" ca="1" si="58"/>
        <v>0</v>
      </c>
      <c r="AG52" s="661">
        <f t="shared" si="59"/>
        <v>0</v>
      </c>
      <c r="AH52" s="661">
        <f t="shared" si="56"/>
        <v>0</v>
      </c>
      <c r="AI52" s="706">
        <f t="shared" si="60"/>
        <v>16.90850859</v>
      </c>
      <c r="AJ52" s="661">
        <f t="shared" ca="1" si="57"/>
        <v>13.79734300944</v>
      </c>
      <c r="AK52" s="859">
        <f t="shared" ca="1" si="17"/>
        <v>3.1111655805599998</v>
      </c>
    </row>
    <row r="53" spans="1:37" s="656" customFormat="1" ht="31.5" customHeight="1">
      <c r="A53" s="657">
        <f>MATCH(C53,'Data Processing'!C:C,0)</f>
        <v>52</v>
      </c>
      <c r="B53" s="678" t="s">
        <v>1249</v>
      </c>
      <c r="C53" s="659" t="s">
        <v>2798</v>
      </c>
      <c r="D53" s="660" t="str">
        <f>INDEX('Data Processing'!G:G,A53)</f>
        <v>Due to Banks - Investment - CHINA EXIMBANK</v>
      </c>
      <c r="E53" s="661">
        <f>INDEX('Data Processing'!O:O,$A53)</f>
        <v>378.11120232999997</v>
      </c>
      <c r="F53" s="718">
        <f ca="1">INDEX('Data Processing'!$I:$I,$A53)</f>
        <v>0.19838417635994554</v>
      </c>
      <c r="G53" s="677">
        <f ca="1">INDEX('Data Processing'!$J:$J,$A53)</f>
        <v>0.24798022044993195</v>
      </c>
      <c r="H53" s="661">
        <f ca="1">INDEX('Data Processing'!AC:AC,$A53)</f>
        <v>303.0999228832942</v>
      </c>
      <c r="I53" s="661">
        <f ca="1">INDEX('Data Processing'!AE:AE,$A53)</f>
        <v>284.34710302161773</v>
      </c>
      <c r="J53" s="661">
        <f>SUM(INDEX('Data Processing'!CX:CX,A53):INDEX('Data Processing'!DK:DK,A53))</f>
        <v>378.11120232999997</v>
      </c>
      <c r="K53" s="661">
        <f>SUM(INDEX('Data Processing'!CX:CX,A53):INDEX('Data Processing'!DM:DM,A53))</f>
        <v>378.11120232999997</v>
      </c>
      <c r="L53" s="660" t="str">
        <f ca="1">INDEX('Data Processing'!K:K,A53)</f>
        <v>19.8% of Current Balance</v>
      </c>
      <c r="M53" s="679" t="str">
        <f>INDEX('Data Processing'!AR:AR,A53)</f>
        <v>Outflow</v>
      </c>
      <c r="N53" s="706">
        <f t="shared" ref="N53" si="75">E53</f>
        <v>378.11120232999997</v>
      </c>
      <c r="O53" s="661">
        <f t="shared" ref="O53" ca="1" si="76">H53</f>
        <v>303.0999228832942</v>
      </c>
      <c r="P53" s="679">
        <f t="shared" ref="P53" ca="1" si="77">E53-H53</f>
        <v>75.011279446705771</v>
      </c>
      <c r="Q53" s="706">
        <v>403.71137383999996</v>
      </c>
      <c r="R53" s="661">
        <v>317.83112474015439</v>
      </c>
      <c r="S53" s="679">
        <v>85.880249099845571</v>
      </c>
      <c r="T53" s="706">
        <f t="shared" ref="T53" si="78">N53-Q53</f>
        <v>-25.600171509999996</v>
      </c>
      <c r="U53" s="661">
        <f t="shared" ref="U53" ca="1" si="79">O53-R53</f>
        <v>-14.731201856860196</v>
      </c>
      <c r="V53" s="679">
        <f t="shared" ref="V53" ca="1" si="80">P53-S53</f>
        <v>-10.8689696531398</v>
      </c>
      <c r="X53" s="656" t="s">
        <v>2800</v>
      </c>
      <c r="Z53" s="645"/>
      <c r="AA53" s="918" t="s">
        <v>2799</v>
      </c>
      <c r="AB53" s="706">
        <f t="shared" ref="AB53" si="81">N53</f>
        <v>378.11120232999997</v>
      </c>
      <c r="AC53" s="661">
        <f t="shared" ref="AC53" ca="1" si="82">O53</f>
        <v>303.0999228832942</v>
      </c>
      <c r="AD53" s="859">
        <f t="shared" ref="AD53" ca="1" si="83">P53</f>
        <v>75.011279446705771</v>
      </c>
      <c r="AE53" s="706">
        <v>378.03370239999998</v>
      </c>
      <c r="AF53" s="661">
        <f t="shared" ref="AF53" ca="1" si="84">AE53*(1-F53)</f>
        <v>303.03779771307524</v>
      </c>
      <c r="AG53" s="661">
        <f t="shared" ref="AG53" si="85">IF(AE53="",0,AE53-AB53)</f>
        <v>-7.7499929999987671E-2</v>
      </c>
      <c r="AH53" s="661">
        <f t="shared" ca="1" si="56"/>
        <v>-6.2125170218962467E-2</v>
      </c>
      <c r="AI53" s="706">
        <f t="shared" ref="AI53" si="86">AB53+AG53</f>
        <v>378.03370239999998</v>
      </c>
      <c r="AJ53" s="661">
        <f t="shared" ref="AJ53" ca="1" si="87">AC53+AH53</f>
        <v>303.03779771307524</v>
      </c>
      <c r="AK53" s="859">
        <f t="shared" ref="AK53" ca="1" si="88">AI53-AJ53</f>
        <v>74.995904686924746</v>
      </c>
    </row>
    <row r="54" spans="1:37" ht="14.25" customHeight="1">
      <c r="A54" s="475">
        <f>MATCH(C54,'Data Processing'!C:C,0)</f>
        <v>53</v>
      </c>
      <c r="B54" s="680" t="s">
        <v>1249</v>
      </c>
      <c r="C54" s="662" t="s">
        <v>1232</v>
      </c>
      <c r="D54" s="663" t="str">
        <f>INDEX('Data Processing'!G:G,A54)</f>
        <v>Due to Banks - Time Deposit</v>
      </c>
      <c r="E54" s="664">
        <f>INDEX('Data Processing'!O:O,$A54)</f>
        <v>0</v>
      </c>
      <c r="F54" s="715">
        <f ca="1">INDEX('Data Processing'!$I:$I,$A54)</f>
        <v>1</v>
      </c>
      <c r="G54" s="671">
        <f ca="1">INDEX('Data Processing'!$J:$J,$A54)</f>
        <v>1</v>
      </c>
      <c r="H54" s="664">
        <f ca="1">INDEX('Data Processing'!AC:AC,$A54)</f>
        <v>0</v>
      </c>
      <c r="I54" s="664">
        <f ca="1">INDEX('Data Processing'!AE:AE,$A54)</f>
        <v>0</v>
      </c>
      <c r="J54" s="664">
        <f>SUM(INDEX('Data Processing'!CX:CX,A54):INDEX('Data Processing'!DK:DK,A54))</f>
        <v>0</v>
      </c>
      <c r="K54" s="664">
        <f>SUM(INDEX('Data Processing'!CX:CX,A54):INDEX('Data Processing'!DM:DM,A54))</f>
        <v>0</v>
      </c>
      <c r="L54" s="663" t="str">
        <f ca="1">INDEX('Data Processing'!K:K,A54)</f>
        <v>100% of Contractual Maturity</v>
      </c>
      <c r="M54" s="681" t="str">
        <f>INDEX('Data Processing'!AR:AR,A54)</f>
        <v>Outflow</v>
      </c>
      <c r="N54" s="707">
        <f t="shared" si="48"/>
        <v>0</v>
      </c>
      <c r="O54" s="664">
        <f t="shared" ca="1" si="49"/>
        <v>0</v>
      </c>
      <c r="P54" s="681">
        <f t="shared" ca="1" si="18"/>
        <v>0</v>
      </c>
      <c r="Q54" s="707">
        <v>2000</v>
      </c>
      <c r="R54" s="664">
        <v>2000</v>
      </c>
      <c r="S54" s="681">
        <v>0</v>
      </c>
      <c r="T54" s="707">
        <f t="shared" si="19"/>
        <v>-2000</v>
      </c>
      <c r="U54" s="664">
        <f t="shared" ca="1" si="4"/>
        <v>-2000</v>
      </c>
      <c r="V54" s="681">
        <f t="shared" ca="1" si="5"/>
        <v>0</v>
      </c>
      <c r="W54" s="443">
        <v>5</v>
      </c>
      <c r="X54" s="443">
        <v>5</v>
      </c>
      <c r="Z54" s="645"/>
      <c r="AA54" s="919" t="s">
        <v>1312</v>
      </c>
      <c r="AB54" s="707">
        <f t="shared" si="6"/>
        <v>0</v>
      </c>
      <c r="AC54" s="664">
        <f t="shared" ca="1" si="1"/>
        <v>0</v>
      </c>
      <c r="AD54" s="860">
        <f t="shared" ca="1" si="2"/>
        <v>0</v>
      </c>
      <c r="AE54" s="664"/>
      <c r="AF54" s="664">
        <f>AE54</f>
        <v>0</v>
      </c>
      <c r="AG54" s="664">
        <f t="shared" si="59"/>
        <v>0</v>
      </c>
      <c r="AH54" s="664">
        <f t="shared" ref="AH54:AH74" ca="1" si="89">IF(AF54="",0,AF54-AC54)</f>
        <v>0</v>
      </c>
      <c r="AI54" s="707">
        <f t="shared" si="60"/>
        <v>0</v>
      </c>
      <c r="AJ54" s="664">
        <f t="shared" ca="1" si="57"/>
        <v>0</v>
      </c>
      <c r="AK54" s="860">
        <f t="shared" ca="1" si="17"/>
        <v>0</v>
      </c>
    </row>
    <row r="55" spans="1:37" ht="14.25" customHeight="1">
      <c r="A55" s="475">
        <f>MATCH(C55,'Data Processing'!C:C,0)</f>
        <v>54</v>
      </c>
      <c r="B55" s="680" t="s">
        <v>1249</v>
      </c>
      <c r="C55" s="662" t="s">
        <v>1313</v>
      </c>
      <c r="D55" s="663" t="str">
        <f>INDEX('Data Processing'!G:G,A55)</f>
        <v>Eurofund Borrowed</v>
      </c>
      <c r="E55" s="664">
        <f>INDEX('Data Processing'!O:O,$A55)</f>
        <v>0</v>
      </c>
      <c r="F55" s="715">
        <f ca="1">INDEX('Data Processing'!$I:$I,$A55)</f>
        <v>1</v>
      </c>
      <c r="G55" s="671">
        <f ca="1">INDEX('Data Processing'!$J:$J,$A55)</f>
        <v>1</v>
      </c>
      <c r="H55" s="664">
        <f ca="1">INDEX('Data Processing'!AC:AC,$A55)</f>
        <v>0</v>
      </c>
      <c r="I55" s="664">
        <f ca="1">INDEX('Data Processing'!AE:AE,$A55)</f>
        <v>0</v>
      </c>
      <c r="J55" s="664">
        <f>SUM(INDEX('Data Processing'!CX:CX,A55):INDEX('Data Processing'!DK:DK,A55))</f>
        <v>0</v>
      </c>
      <c r="K55" s="664">
        <f>SUM(INDEX('Data Processing'!CX:CX,A55):INDEX('Data Processing'!DM:DM,A55))</f>
        <v>0</v>
      </c>
      <c r="L55" s="663" t="str">
        <f ca="1">INDEX('Data Processing'!K:K,A55)</f>
        <v>100% of Contractual Maturity</v>
      </c>
      <c r="M55" s="681" t="str">
        <f>INDEX('Data Processing'!AR:AR,A55)</f>
        <v>Outflow</v>
      </c>
      <c r="N55" s="707">
        <f t="shared" si="48"/>
        <v>0</v>
      </c>
      <c r="O55" s="664">
        <f t="shared" ca="1" si="49"/>
        <v>0</v>
      </c>
      <c r="P55" s="681">
        <f t="shared" ca="1" si="18"/>
        <v>0</v>
      </c>
      <c r="Q55" s="707">
        <v>0</v>
      </c>
      <c r="R55" s="664">
        <v>0</v>
      </c>
      <c r="S55" s="681">
        <v>0</v>
      </c>
      <c r="T55" s="707">
        <f t="shared" si="19"/>
        <v>0</v>
      </c>
      <c r="U55" s="664">
        <f t="shared" ca="1" si="4"/>
        <v>0</v>
      </c>
      <c r="V55" s="681">
        <f t="shared" ca="1" si="5"/>
        <v>0</v>
      </c>
      <c r="Z55" s="645"/>
      <c r="AA55" s="919" t="s">
        <v>1310</v>
      </c>
      <c r="AB55" s="707">
        <f t="shared" si="6"/>
        <v>0</v>
      </c>
      <c r="AC55" s="664">
        <f t="shared" ca="1" si="1"/>
        <v>0</v>
      </c>
      <c r="AD55" s="860">
        <f t="shared" ca="1" si="2"/>
        <v>0</v>
      </c>
      <c r="AE55" s="664"/>
      <c r="AF55" s="664"/>
      <c r="AG55" s="664">
        <f t="shared" si="59"/>
        <v>0</v>
      </c>
      <c r="AH55" s="664">
        <f t="shared" si="89"/>
        <v>0</v>
      </c>
      <c r="AI55" s="707">
        <f t="shared" si="60"/>
        <v>0</v>
      </c>
      <c r="AJ55" s="664">
        <f t="shared" ca="1" si="57"/>
        <v>0</v>
      </c>
      <c r="AK55" s="860">
        <f t="shared" ca="1" si="17"/>
        <v>0</v>
      </c>
    </row>
    <row r="56" spans="1:37" ht="14.25" customHeight="1">
      <c r="A56" s="475">
        <f>MATCH(C56,'Data Processing'!C:C,0)</f>
        <v>38</v>
      </c>
      <c r="B56" s="680" t="s">
        <v>1246</v>
      </c>
      <c r="C56" s="662" t="s">
        <v>1315</v>
      </c>
      <c r="D56" s="663" t="str">
        <f>INDEX('Data Processing'!G:G,A56)</f>
        <v>Federal Fund Purchased</v>
      </c>
      <c r="E56" s="664">
        <f>INDEX('Data Processing'!O:O,$A56)</f>
        <v>0</v>
      </c>
      <c r="F56" s="715">
        <f ca="1">INDEX('Data Processing'!$I:$I,$A56)</f>
        <v>1</v>
      </c>
      <c r="G56" s="671">
        <f ca="1">INDEX('Data Processing'!$J:$J,$A56)</f>
        <v>1</v>
      </c>
      <c r="H56" s="664">
        <f ca="1">INDEX('Data Processing'!AC:AC,$A56)</f>
        <v>0</v>
      </c>
      <c r="I56" s="664">
        <f ca="1">INDEX('Data Processing'!AE:AE,$A56)</f>
        <v>0</v>
      </c>
      <c r="J56" s="664">
        <f>SUM(INDEX('Data Processing'!CX:CX,A56):INDEX('Data Processing'!DK:DK,A56))</f>
        <v>0</v>
      </c>
      <c r="K56" s="664">
        <f>SUM(INDEX('Data Processing'!CX:CX,A56):INDEX('Data Processing'!DM:DM,A56))</f>
        <v>0</v>
      </c>
      <c r="L56" s="663" t="str">
        <f ca="1">INDEX('Data Processing'!K:K,A56)</f>
        <v>100% of Contractual Maturity</v>
      </c>
      <c r="M56" s="681" t="str">
        <f>INDEX('Data Processing'!AR:AR,A56)</f>
        <v>Outflow</v>
      </c>
      <c r="N56" s="707">
        <f t="shared" si="48"/>
        <v>0</v>
      </c>
      <c r="O56" s="664">
        <f t="shared" ca="1" si="49"/>
        <v>0</v>
      </c>
      <c r="P56" s="681">
        <f t="shared" ca="1" si="18"/>
        <v>0</v>
      </c>
      <c r="Q56" s="707">
        <v>0</v>
      </c>
      <c r="R56" s="664">
        <v>0</v>
      </c>
      <c r="S56" s="681">
        <v>0</v>
      </c>
      <c r="T56" s="707">
        <f t="shared" si="19"/>
        <v>0</v>
      </c>
      <c r="U56" s="664">
        <f t="shared" ca="1" si="4"/>
        <v>0</v>
      </c>
      <c r="V56" s="681">
        <f t="shared" ca="1" si="5"/>
        <v>0</v>
      </c>
      <c r="Z56" s="645"/>
      <c r="AA56" s="919" t="s">
        <v>1295</v>
      </c>
      <c r="AB56" s="707">
        <f t="shared" si="6"/>
        <v>0</v>
      </c>
      <c r="AC56" s="664">
        <f t="shared" ca="1" si="1"/>
        <v>0</v>
      </c>
      <c r="AD56" s="860">
        <f t="shared" ca="1" si="2"/>
        <v>0</v>
      </c>
      <c r="AE56" s="664"/>
      <c r="AF56" s="664"/>
      <c r="AG56" s="664">
        <f t="shared" si="59"/>
        <v>0</v>
      </c>
      <c r="AH56" s="664">
        <f t="shared" si="89"/>
        <v>0</v>
      </c>
      <c r="AI56" s="707">
        <f t="shared" si="60"/>
        <v>0</v>
      </c>
      <c r="AJ56" s="664">
        <f t="shared" ca="1" si="57"/>
        <v>0</v>
      </c>
      <c r="AK56" s="860">
        <f t="shared" ca="1" si="17"/>
        <v>0</v>
      </c>
    </row>
    <row r="57" spans="1:37" ht="14.25" customHeight="1">
      <c r="A57" s="476">
        <f>MATCH(C57,'Data Processing'!C:C,0)</f>
        <v>55</v>
      </c>
      <c r="B57" s="682" t="s">
        <v>1250</v>
      </c>
      <c r="C57" s="665">
        <v>9.1</v>
      </c>
      <c r="D57" s="666" t="str">
        <f>INDEX('Data Processing'!G:G,A57)</f>
        <v>Demand,MM &amp; Savings - Retail</v>
      </c>
      <c r="E57" s="651">
        <f>INDEX('Data Processing'!O:O,$A57)</f>
        <v>116.28780820000011</v>
      </c>
      <c r="F57" s="716">
        <f ca="1">INDEX('Data Processing'!$I:$I,$A57)</f>
        <v>5.9999999999999991E-2</v>
      </c>
      <c r="G57" s="672">
        <f ca="1">INDEX('Data Processing'!$J:$J,$A57)</f>
        <v>9.9999999999999992E-2</v>
      </c>
      <c r="H57" s="651">
        <f ca="1">INDEX('Data Processing'!AC:AC,$A57)</f>
        <v>109.31053970800011</v>
      </c>
      <c r="I57" s="651">
        <f ca="1">INDEX('Data Processing'!AE:AE,$A57)</f>
        <v>104.65902738000011</v>
      </c>
      <c r="J57" s="651">
        <f>SUM(INDEX('Data Processing'!CX:CX,A57):INDEX('Data Processing'!DK:DK,A57))</f>
        <v>116.28780820000011</v>
      </c>
      <c r="K57" s="651">
        <f>SUM(INDEX('Data Processing'!CX:CX,A57):INDEX('Data Processing'!DM:DM,A57))</f>
        <v>116.28780820000011</v>
      </c>
      <c r="L57" s="666" t="str">
        <f ca="1">INDEX('Data Processing'!K:K,A57)</f>
        <v>6% of Current Balance</v>
      </c>
      <c r="M57" s="683" t="str">
        <f>INDEX('Data Processing'!AR:AR,A57)</f>
        <v>Outflow</v>
      </c>
      <c r="N57" s="708">
        <f t="shared" si="48"/>
        <v>116.28780820000011</v>
      </c>
      <c r="O57" s="651">
        <f t="shared" ca="1" si="49"/>
        <v>109.31053970800011</v>
      </c>
      <c r="P57" s="683">
        <f t="shared" ca="1" si="18"/>
        <v>6.9772684920000074</v>
      </c>
      <c r="Q57" s="708">
        <v>117.39137562999993</v>
      </c>
      <c r="R57" s="651">
        <v>110.34789309219994</v>
      </c>
      <c r="S57" s="683">
        <v>7.0434825377999886</v>
      </c>
      <c r="T57" s="708">
        <f t="shared" si="19"/>
        <v>-1.1035674299998135</v>
      </c>
      <c r="U57" s="651">
        <f t="shared" ca="1" si="4"/>
        <v>-1.0373533841998324</v>
      </c>
      <c r="V57" s="683">
        <f t="shared" ca="1" si="5"/>
        <v>-6.6214045799981136E-2</v>
      </c>
      <c r="X57" s="443">
        <v>12</v>
      </c>
      <c r="Z57" s="645"/>
      <c r="AA57" s="920" t="s">
        <v>1109</v>
      </c>
      <c r="AB57" s="708">
        <f t="shared" si="6"/>
        <v>116.28780820000011</v>
      </c>
      <c r="AC57" s="651">
        <f t="shared" ca="1" si="1"/>
        <v>109.31053970800011</v>
      </c>
      <c r="AD57" s="862">
        <f t="shared" ca="1" si="2"/>
        <v>6.9772684920000074</v>
      </c>
      <c r="AE57" s="651"/>
      <c r="AF57" s="651"/>
      <c r="AG57" s="651">
        <f t="shared" si="59"/>
        <v>0</v>
      </c>
      <c r="AH57" s="651">
        <f t="shared" si="89"/>
        <v>0</v>
      </c>
      <c r="AI57" s="708">
        <f t="shared" si="60"/>
        <v>116.28780820000011</v>
      </c>
      <c r="AJ57" s="651">
        <f t="shared" ca="1" si="57"/>
        <v>109.31053970800011</v>
      </c>
      <c r="AK57" s="862">
        <f t="shared" ca="1" si="17"/>
        <v>6.9772684920000074</v>
      </c>
    </row>
    <row r="58" spans="1:37" ht="28.5" customHeight="1">
      <c r="A58" s="475">
        <f>MATCH(C58,'Data Processing'!C:C,0)</f>
        <v>56</v>
      </c>
      <c r="B58" s="680" t="s">
        <v>1247</v>
      </c>
      <c r="C58" s="662" t="s">
        <v>1171</v>
      </c>
      <c r="D58" s="663" t="str">
        <f>INDEX('Data Processing'!G:G,A58)</f>
        <v>Demand,MM &amp; Savings - Corporates (Exclude Large Corporates)</v>
      </c>
      <c r="E58" s="664">
        <f>INDEX('Data Processing'!O:O,$A58)</f>
        <v>2583.6036079000005</v>
      </c>
      <c r="F58" s="715">
        <f ca="1">INDEX('Data Processing'!$I:$I,$A58)</f>
        <v>9.600000000000003E-2</v>
      </c>
      <c r="G58" s="671">
        <f ca="1">INDEX('Data Processing'!$J:$J,$A58)</f>
        <v>0.16000000000000003</v>
      </c>
      <c r="H58" s="664">
        <f ca="1">INDEX('Data Processing'!AC:AC,$A58)</f>
        <v>2335.5776615416003</v>
      </c>
      <c r="I58" s="664">
        <f ca="1">INDEX('Data Processing'!AE:AE,$A58)</f>
        <v>2170.2270306360001</v>
      </c>
      <c r="J58" s="664">
        <f>SUM(INDEX('Data Processing'!CX:CX,A58):INDEX('Data Processing'!DK:DK,A58))</f>
        <v>2583.6036079000005</v>
      </c>
      <c r="K58" s="664">
        <f>SUM(INDEX('Data Processing'!CX:CX,A58):INDEX('Data Processing'!DM:DM,A58))</f>
        <v>2583.6036079000005</v>
      </c>
      <c r="L58" s="663" t="str">
        <f ca="1">INDEX('Data Processing'!K:K,A58)</f>
        <v>9.6% of Current Balance</v>
      </c>
      <c r="M58" s="681" t="str">
        <f>INDEX('Data Processing'!AR:AR,A58)</f>
        <v>Outflow</v>
      </c>
      <c r="N58" s="707">
        <f t="shared" si="48"/>
        <v>2583.6036079000005</v>
      </c>
      <c r="O58" s="664">
        <f t="shared" ca="1" si="49"/>
        <v>2335.5776615416003</v>
      </c>
      <c r="P58" s="681">
        <f t="shared" ca="1" si="18"/>
        <v>248.02594635840023</v>
      </c>
      <c r="Q58" s="707">
        <v>2467.7996315900004</v>
      </c>
      <c r="R58" s="664">
        <v>2200.5776832581796</v>
      </c>
      <c r="S58" s="681">
        <v>267.22194833182084</v>
      </c>
      <c r="T58" s="707">
        <f t="shared" si="19"/>
        <v>115.80397631000005</v>
      </c>
      <c r="U58" s="664">
        <f t="shared" ca="1" si="4"/>
        <v>134.99997828342066</v>
      </c>
      <c r="V58" s="681">
        <f t="shared" ca="1" si="5"/>
        <v>-19.196001973420607</v>
      </c>
      <c r="X58" s="443">
        <v>13</v>
      </c>
      <c r="Z58" s="645"/>
      <c r="AA58" s="919" t="s">
        <v>1335</v>
      </c>
      <c r="AB58" s="707">
        <f t="shared" si="6"/>
        <v>2583.6036079000005</v>
      </c>
      <c r="AC58" s="664">
        <f t="shared" ca="1" si="1"/>
        <v>2335.5776615416003</v>
      </c>
      <c r="AD58" s="860">
        <f t="shared" ca="1" si="2"/>
        <v>248.02594635840023</v>
      </c>
      <c r="AE58" s="707"/>
      <c r="AF58" s="664"/>
      <c r="AG58" s="664">
        <f t="shared" si="59"/>
        <v>0</v>
      </c>
      <c r="AH58" s="664">
        <f t="shared" si="89"/>
        <v>0</v>
      </c>
      <c r="AI58" s="707">
        <f t="shared" si="60"/>
        <v>2583.6036079000005</v>
      </c>
      <c r="AJ58" s="664">
        <f t="shared" ca="1" si="57"/>
        <v>2335.5776615416003</v>
      </c>
      <c r="AK58" s="860">
        <f t="shared" ca="1" si="17"/>
        <v>248.02594635840023</v>
      </c>
    </row>
    <row r="59" spans="1:37" s="656" customFormat="1" ht="31.5" customHeight="1">
      <c r="A59" s="657">
        <f>MATCH(C59,'Data Processing'!C:C,0)</f>
        <v>57</v>
      </c>
      <c r="B59" s="678" t="s">
        <v>1247</v>
      </c>
      <c r="C59" s="659" t="s">
        <v>1449</v>
      </c>
      <c r="D59" s="660" t="str">
        <f>INDEX('Data Processing'!G:G,A59)</f>
        <v>Demand,MM &amp; Savings - Large Corporates - Verizon</v>
      </c>
      <c r="E59" s="661">
        <f>INDEX('Data Processing'!O:O,$A59)</f>
        <v>0</v>
      </c>
      <c r="F59" s="718">
        <f ca="1">INDEX('Data Processing'!$I:$I,$A59)</f>
        <v>9.600000000000003E-2</v>
      </c>
      <c r="G59" s="677">
        <f ca="1">INDEX('Data Processing'!$J:$J,$A59)</f>
        <v>0.16000000000000003</v>
      </c>
      <c r="H59" s="661">
        <f ca="1">INDEX('Data Processing'!AC:AC,$A59)</f>
        <v>0</v>
      </c>
      <c r="I59" s="661">
        <f ca="1">INDEX('Data Processing'!AE:AE,$A59)</f>
        <v>0</v>
      </c>
      <c r="J59" s="661">
        <f>SUM(INDEX('Data Processing'!CX:CX,A59):INDEX('Data Processing'!DK:DK,A59))</f>
        <v>0</v>
      </c>
      <c r="K59" s="661">
        <f>SUM(INDEX('Data Processing'!CX:CX,A59):INDEX('Data Processing'!DM:DM,A59))</f>
        <v>0</v>
      </c>
      <c r="L59" s="660" t="str">
        <f ca="1">INDEX('Data Processing'!K:K,A59)</f>
        <v>9.6% of Current Balance</v>
      </c>
      <c r="M59" s="679" t="str">
        <f>INDEX('Data Processing'!AR:AR,A59)</f>
        <v>Outflow</v>
      </c>
      <c r="N59" s="706">
        <f t="shared" ref="N59" si="90">E59</f>
        <v>0</v>
      </c>
      <c r="O59" s="661">
        <f t="shared" ref="O59" ca="1" si="91">H59</f>
        <v>0</v>
      </c>
      <c r="P59" s="679">
        <f t="shared" ref="P59" ca="1" si="92">E59-H59</f>
        <v>0</v>
      </c>
      <c r="Q59" s="706">
        <v>0</v>
      </c>
      <c r="R59" s="661">
        <v>0</v>
      </c>
      <c r="S59" s="679">
        <v>0</v>
      </c>
      <c r="T59" s="706">
        <f t="shared" ref="T59" si="93">N59-Q59</f>
        <v>0</v>
      </c>
      <c r="U59" s="661">
        <f t="shared" ref="U59" ca="1" si="94">O59-R59</f>
        <v>0</v>
      </c>
      <c r="V59" s="679">
        <f t="shared" ref="V59" ca="1" si="95">P59-S59</f>
        <v>0</v>
      </c>
      <c r="X59" s="656" t="s">
        <v>1443</v>
      </c>
      <c r="Z59" s="645"/>
      <c r="AA59" s="918" t="s">
        <v>1450</v>
      </c>
      <c r="AB59" s="706">
        <f t="shared" si="6"/>
        <v>0</v>
      </c>
      <c r="AC59" s="661">
        <f t="shared" ca="1" si="1"/>
        <v>0</v>
      </c>
      <c r="AD59" s="859">
        <f t="shared" ca="1" si="2"/>
        <v>0</v>
      </c>
      <c r="AE59" s="661"/>
      <c r="AF59" s="661"/>
      <c r="AG59" s="661">
        <f t="shared" si="59"/>
        <v>0</v>
      </c>
      <c r="AH59" s="661">
        <f t="shared" si="89"/>
        <v>0</v>
      </c>
      <c r="AI59" s="706">
        <f t="shared" si="60"/>
        <v>0</v>
      </c>
      <c r="AJ59" s="661">
        <f t="shared" ca="1" si="57"/>
        <v>0</v>
      </c>
      <c r="AK59" s="859">
        <f t="shared" ca="1" si="17"/>
        <v>0</v>
      </c>
    </row>
    <row r="60" spans="1:37" s="656" customFormat="1" ht="31.5" customHeight="1">
      <c r="A60" s="657">
        <f>MATCH(C60,'Data Processing'!C:C,0)</f>
        <v>58</v>
      </c>
      <c r="B60" s="678" t="s">
        <v>1247</v>
      </c>
      <c r="C60" s="659" t="s">
        <v>2801</v>
      </c>
      <c r="D60" s="660" t="str">
        <f>INDEX('Data Processing'!G:G,A60)</f>
        <v>Demand,MM &amp; Savings - Large Corporates - KEMPS LANDING CAPITAL</v>
      </c>
      <c r="E60" s="661">
        <f>INDEX('Data Processing'!O:O,$A60)</f>
        <v>1101.9382160099999</v>
      </c>
      <c r="F60" s="718">
        <f ca="1">INDEX('Data Processing'!$I:$I,$A60)</f>
        <v>0.25377755664941259</v>
      </c>
      <c r="G60" s="677">
        <f ca="1">INDEX('Data Processing'!$J:$J,$A60)</f>
        <v>0.31722206388550134</v>
      </c>
      <c r="H60" s="661">
        <f ca="1">INDEX('Data Processing'!AC:AC,$A60)</f>
        <v>822.29102797236953</v>
      </c>
      <c r="I60" s="661">
        <f ca="1">INDEX('Data Processing'!AE:AE,$A60)</f>
        <v>752.37910085300041</v>
      </c>
      <c r="J60" s="661">
        <f>SUM(INDEX('Data Processing'!CX:CX,A60):INDEX('Data Processing'!DK:DK,A60))</f>
        <v>1101.9382160099999</v>
      </c>
      <c r="K60" s="661">
        <f>SUM(INDEX('Data Processing'!CX:CX,A60):INDEX('Data Processing'!DM:DM,A60))</f>
        <v>1101.9382160099999</v>
      </c>
      <c r="L60" s="660" t="str">
        <f ca="1">INDEX('Data Processing'!K:K,A60)</f>
        <v>25.4% of Current Balance</v>
      </c>
      <c r="M60" s="679" t="str">
        <f>INDEX('Data Processing'!AR:AR,A60)</f>
        <v>Outflow</v>
      </c>
      <c r="N60" s="706">
        <f t="shared" ref="N60" si="96">E60</f>
        <v>1101.9382160099999</v>
      </c>
      <c r="O60" s="661">
        <f t="shared" ref="O60" ca="1" si="97">H60</f>
        <v>822.29102797236953</v>
      </c>
      <c r="P60" s="679">
        <f t="shared" ref="P60" ca="1" si="98">E60-H60</f>
        <v>279.64718803763037</v>
      </c>
      <c r="Q60" s="706">
        <v>0</v>
      </c>
      <c r="R60" s="661">
        <v>0</v>
      </c>
      <c r="S60" s="679">
        <v>0</v>
      </c>
      <c r="T60" s="706">
        <f t="shared" ref="T60" si="99">N60-Q60</f>
        <v>1101.9382160099999</v>
      </c>
      <c r="U60" s="661">
        <f t="shared" ref="U60" ca="1" si="100">O60-R60</f>
        <v>822.29102797236953</v>
      </c>
      <c r="V60" s="679">
        <f t="shared" ref="V60" ca="1" si="101">P60-S60</f>
        <v>279.64718803763037</v>
      </c>
      <c r="X60" s="656" t="s">
        <v>2809</v>
      </c>
      <c r="Z60" s="645"/>
      <c r="AA60" s="918" t="s">
        <v>2802</v>
      </c>
      <c r="AB60" s="706">
        <f t="shared" ref="AB60" si="102">N60</f>
        <v>1101.9382160099999</v>
      </c>
      <c r="AC60" s="661">
        <f t="shared" ref="AC60" ca="1" si="103">O60</f>
        <v>822.29102797236953</v>
      </c>
      <c r="AD60" s="859">
        <f t="shared" ref="AD60" ca="1" si="104">P60</f>
        <v>279.64718803763037</v>
      </c>
      <c r="AE60" s="661"/>
      <c r="AF60" s="661"/>
      <c r="AG60" s="661">
        <f t="shared" ref="AG60" si="105">IF(AE60="",0,AE60-AB60)</f>
        <v>0</v>
      </c>
      <c r="AH60" s="661">
        <f t="shared" ref="AH60" si="106">IF(AF60="",0,AF60-AC60)</f>
        <v>0</v>
      </c>
      <c r="AI60" s="706">
        <f t="shared" ref="AI60" si="107">AB60+AG60</f>
        <v>1101.9382160099999</v>
      </c>
      <c r="AJ60" s="661">
        <f t="shared" ref="AJ60" ca="1" si="108">AC60+AH60</f>
        <v>822.29102797236953</v>
      </c>
      <c r="AK60" s="859">
        <f t="shared" ref="AK60" ca="1" si="109">AI60-AJ60</f>
        <v>279.64718803763037</v>
      </c>
    </row>
    <row r="61" spans="1:37" s="656" customFormat="1" ht="31.5" customHeight="1">
      <c r="A61" s="657">
        <f>MATCH(C61,'Data Processing'!C:C,0)</f>
        <v>60</v>
      </c>
      <c r="B61" s="678" t="s">
        <v>1247</v>
      </c>
      <c r="C61" s="659" t="s">
        <v>1325</v>
      </c>
      <c r="D61" s="660" t="str">
        <f>INDEX('Data Processing'!G:G,A61)</f>
        <v>Demand,MM &amp; Savings - Large Corporates - Uber Tech.</v>
      </c>
      <c r="E61" s="661">
        <f>INDEX('Data Processing'!O:O,$A61)</f>
        <v>0</v>
      </c>
      <c r="F61" s="718">
        <f ca="1">INDEX('Data Processing'!$I:$I,$A61)</f>
        <v>9.600000000000003E-2</v>
      </c>
      <c r="G61" s="677">
        <f ca="1">INDEX('Data Processing'!$J:$J,$A61)</f>
        <v>0.16000000000000003</v>
      </c>
      <c r="H61" s="661">
        <f ca="1">INDEX('Data Processing'!AC:AC,$A61)</f>
        <v>0</v>
      </c>
      <c r="I61" s="661">
        <f ca="1">INDEX('Data Processing'!AE:AE,$A61)</f>
        <v>0</v>
      </c>
      <c r="J61" s="661">
        <f>SUM(INDEX('Data Processing'!CX:CX,A61):INDEX('Data Processing'!DK:DK,A61))</f>
        <v>0</v>
      </c>
      <c r="K61" s="661">
        <f>SUM(INDEX('Data Processing'!CX:CX,A61):INDEX('Data Processing'!DM:DM,A61))</f>
        <v>0</v>
      </c>
      <c r="L61" s="660" t="str">
        <f ca="1">INDEX('Data Processing'!K:K,A61)</f>
        <v>9.6% of Current Balance</v>
      </c>
      <c r="M61" s="679" t="str">
        <f>INDEX('Data Processing'!AR:AR,A61)</f>
        <v>Outflow</v>
      </c>
      <c r="N61" s="706">
        <f t="shared" si="48"/>
        <v>0</v>
      </c>
      <c r="O61" s="661">
        <f t="shared" ca="1" si="49"/>
        <v>0</v>
      </c>
      <c r="P61" s="679">
        <f t="shared" ca="1" si="18"/>
        <v>0</v>
      </c>
      <c r="Q61" s="706">
        <v>205.89809306999999</v>
      </c>
      <c r="R61" s="661">
        <v>183.6027296686681</v>
      </c>
      <c r="S61" s="679">
        <v>22.295363401331883</v>
      </c>
      <c r="T61" s="706">
        <f t="shared" si="19"/>
        <v>-205.89809306999999</v>
      </c>
      <c r="U61" s="661">
        <f t="shared" ca="1" si="4"/>
        <v>-183.6027296686681</v>
      </c>
      <c r="V61" s="679">
        <f t="shared" ca="1" si="5"/>
        <v>-22.295363401331883</v>
      </c>
      <c r="X61" s="656" t="s">
        <v>1326</v>
      </c>
      <c r="Z61" s="645"/>
      <c r="AA61" s="918" t="s">
        <v>1336</v>
      </c>
      <c r="AB61" s="706">
        <f t="shared" si="6"/>
        <v>0</v>
      </c>
      <c r="AC61" s="661">
        <f t="shared" ca="1" si="1"/>
        <v>0</v>
      </c>
      <c r="AD61" s="859">
        <f t="shared" ca="1" si="2"/>
        <v>0</v>
      </c>
      <c r="AE61" s="661"/>
      <c r="AF61" s="661"/>
      <c r="AG61" s="661">
        <f t="shared" si="59"/>
        <v>0</v>
      </c>
      <c r="AH61" s="661">
        <f t="shared" si="89"/>
        <v>0</v>
      </c>
      <c r="AI61" s="706">
        <f t="shared" si="60"/>
        <v>0</v>
      </c>
      <c r="AJ61" s="661">
        <f t="shared" ca="1" si="57"/>
        <v>0</v>
      </c>
      <c r="AK61" s="859">
        <f t="shared" ca="1" si="17"/>
        <v>0</v>
      </c>
    </row>
    <row r="62" spans="1:37" ht="14.25" customHeight="1">
      <c r="A62" s="476">
        <f>MATCH(C62,'Data Processing'!C:C,0)</f>
        <v>59</v>
      </c>
      <c r="B62" s="682" t="s">
        <v>1247</v>
      </c>
      <c r="C62" s="670" t="s">
        <v>1337</v>
      </c>
      <c r="D62" s="666" t="str">
        <f>INDEX('Data Processing'!G:G,A62)</f>
        <v>ESCROW Deposits</v>
      </c>
      <c r="E62" s="651">
        <f>INDEX('Data Processing'!O:O,$A62)</f>
        <v>147.44580615999999</v>
      </c>
      <c r="F62" s="716">
        <f ca="1">INDEX('Data Processing'!$I:$I,$A62)</f>
        <v>8.0000000000000016E-2</v>
      </c>
      <c r="G62" s="672">
        <f ca="1">INDEX('Data Processing'!$J:$J,$A62)</f>
        <v>0.16000000000000003</v>
      </c>
      <c r="H62" s="651">
        <f ca="1">INDEX('Data Processing'!AC:AC,$A62)</f>
        <v>135.65014166719999</v>
      </c>
      <c r="I62" s="651">
        <f ca="1">INDEX('Data Processing'!AE:AE,$A62)</f>
        <v>123.85447717439999</v>
      </c>
      <c r="J62" s="651">
        <f>SUM(INDEX('Data Processing'!CX:CX,A62):INDEX('Data Processing'!DK:DK,A62))</f>
        <v>147.44580615999999</v>
      </c>
      <c r="K62" s="651">
        <f>SUM(INDEX('Data Processing'!CX:CX,A62):INDEX('Data Processing'!DM:DM,A62))</f>
        <v>147.44580615999999</v>
      </c>
      <c r="L62" s="666" t="str">
        <f ca="1">INDEX('Data Processing'!K:K,A62)</f>
        <v>8% of Current Balance</v>
      </c>
      <c r="M62" s="683" t="str">
        <f>INDEX('Data Processing'!AR:AR,A62)</f>
        <v>Outflow</v>
      </c>
      <c r="N62" s="708">
        <f t="shared" si="48"/>
        <v>147.44580615999999</v>
      </c>
      <c r="O62" s="651">
        <f t="shared" ca="1" si="49"/>
        <v>135.65014166719999</v>
      </c>
      <c r="P62" s="683">
        <f t="shared" ca="1" si="18"/>
        <v>11.7956644928</v>
      </c>
      <c r="Q62" s="708">
        <v>132.57314982</v>
      </c>
      <c r="R62" s="651">
        <v>121.9672978344</v>
      </c>
      <c r="S62" s="683">
        <v>10.605851985599998</v>
      </c>
      <c r="T62" s="708">
        <f t="shared" si="19"/>
        <v>14.872656339999992</v>
      </c>
      <c r="U62" s="651">
        <f t="shared" ca="1" si="4"/>
        <v>13.682843832799989</v>
      </c>
      <c r="V62" s="683">
        <f t="shared" ca="1" si="5"/>
        <v>1.1898125072000028</v>
      </c>
      <c r="X62" s="443" t="s">
        <v>1339</v>
      </c>
      <c r="Z62" s="645"/>
      <c r="AA62" s="920" t="s">
        <v>1338</v>
      </c>
      <c r="AB62" s="708">
        <f t="shared" si="6"/>
        <v>147.44580615999999</v>
      </c>
      <c r="AC62" s="651">
        <f t="shared" ca="1" si="1"/>
        <v>135.65014166719999</v>
      </c>
      <c r="AD62" s="862">
        <f t="shared" ca="1" si="2"/>
        <v>11.7956644928</v>
      </c>
      <c r="AE62" s="651"/>
      <c r="AF62" s="651"/>
      <c r="AG62" s="651">
        <f t="shared" si="59"/>
        <v>0</v>
      </c>
      <c r="AH62" s="651">
        <f t="shared" si="89"/>
        <v>0</v>
      </c>
      <c r="AI62" s="708">
        <f t="shared" si="60"/>
        <v>147.44580615999999</v>
      </c>
      <c r="AJ62" s="651">
        <f t="shared" ca="1" si="57"/>
        <v>135.65014166719999</v>
      </c>
      <c r="AK62" s="862">
        <f t="shared" ca="1" si="17"/>
        <v>11.7956644928</v>
      </c>
    </row>
    <row r="63" spans="1:37" ht="14.25" customHeight="1">
      <c r="A63" s="475">
        <f>MATCH(C63,'Data Processing'!C:C,0)</f>
        <v>61</v>
      </c>
      <c r="B63" s="680" t="s">
        <v>1250</v>
      </c>
      <c r="C63" s="662">
        <v>9.3000000000000007</v>
      </c>
      <c r="D63" s="663" t="str">
        <f>INDEX('Data Processing'!G:G,A63)</f>
        <v>Time Deposits - Retail</v>
      </c>
      <c r="E63" s="664">
        <f>INDEX('Data Processing'!O:O,$A63)</f>
        <v>174.09592567000021</v>
      </c>
      <c r="F63" s="715">
        <f ca="1">INDEX('Data Processing'!$I:$I,$A63)</f>
        <v>0.06</v>
      </c>
      <c r="G63" s="671">
        <f ca="1">INDEX('Data Processing'!$J:$J,$A63)</f>
        <v>0.1</v>
      </c>
      <c r="H63" s="664">
        <f ca="1">INDEX('Data Processing'!AC:AC,$A63)</f>
        <v>168.1857003990923</v>
      </c>
      <c r="I63" s="664">
        <f ca="1">INDEX('Data Processing'!AE:AE,$A63)</f>
        <v>163.68120499515226</v>
      </c>
      <c r="J63" s="664">
        <f>SUM(INDEX('Data Processing'!CX:CX,A63):INDEX('Data Processing'!DK:DK,A63))</f>
        <v>0.86864962999999995</v>
      </c>
      <c r="K63" s="664">
        <f>SUM(INDEX('Data Processing'!CX:CX,A63):INDEX('Data Processing'!DM:DM,A63))</f>
        <v>7.7542037800000001</v>
      </c>
      <c r="L63" s="663" t="str">
        <f ca="1">INDEX('Data Processing'!K:K,A63)</f>
        <v>6% of Contractual Maturity</v>
      </c>
      <c r="M63" s="681" t="str">
        <f>INDEX('Data Processing'!AR:AR,A63)</f>
        <v>Outflow</v>
      </c>
      <c r="N63" s="707">
        <f t="shared" si="48"/>
        <v>174.09592567000021</v>
      </c>
      <c r="O63" s="664">
        <f t="shared" ca="1" si="49"/>
        <v>168.1857003990923</v>
      </c>
      <c r="P63" s="681">
        <f t="shared" ca="1" si="18"/>
        <v>5.9102252709079153</v>
      </c>
      <c r="Q63" s="707">
        <v>185.48865198000013</v>
      </c>
      <c r="R63" s="664">
        <v>178.84231615639604</v>
      </c>
      <c r="S63" s="681">
        <v>6.6463358236040904</v>
      </c>
      <c r="T63" s="707">
        <f t="shared" si="19"/>
        <v>-11.392726309999915</v>
      </c>
      <c r="U63" s="664">
        <f t="shared" ca="1" si="4"/>
        <v>-10.65661575730374</v>
      </c>
      <c r="V63" s="681">
        <f t="shared" ca="1" si="5"/>
        <v>-0.73611055269617509</v>
      </c>
      <c r="W63" s="443">
        <v>7</v>
      </c>
      <c r="X63" s="443">
        <v>7</v>
      </c>
      <c r="Z63" s="645"/>
      <c r="AA63" s="919" t="s">
        <v>1110</v>
      </c>
      <c r="AB63" s="707">
        <f t="shared" si="6"/>
        <v>174.09592567000021</v>
      </c>
      <c r="AC63" s="664">
        <f t="shared" ca="1" si="1"/>
        <v>168.1857003990923</v>
      </c>
      <c r="AD63" s="860">
        <f t="shared" ca="1" si="2"/>
        <v>5.9102252709079153</v>
      </c>
      <c r="AE63" s="664"/>
      <c r="AF63" s="664"/>
      <c r="AG63" s="664">
        <f t="shared" si="59"/>
        <v>0</v>
      </c>
      <c r="AH63" s="664">
        <f t="shared" si="89"/>
        <v>0</v>
      </c>
      <c r="AI63" s="707">
        <f t="shared" si="60"/>
        <v>174.09592567000021</v>
      </c>
      <c r="AJ63" s="664">
        <f t="shared" ca="1" si="57"/>
        <v>168.1857003990923</v>
      </c>
      <c r="AK63" s="860">
        <f t="shared" ca="1" si="17"/>
        <v>5.9102252709079153</v>
      </c>
    </row>
    <row r="64" spans="1:37" ht="28.5" customHeight="1">
      <c r="A64" s="476">
        <f>MATCH(C64,'Data Processing'!C:C,0)</f>
        <v>62</v>
      </c>
      <c r="B64" s="682" t="s">
        <v>1284</v>
      </c>
      <c r="C64" s="670">
        <v>9.4</v>
      </c>
      <c r="D64" s="666" t="str">
        <f>INDEX('Data Processing'!G:G,A64)</f>
        <v>Time Deposits - Corporates</v>
      </c>
      <c r="E64" s="651">
        <f>INDEX('Data Processing'!O:O,$A64)</f>
        <v>2649.5570429800018</v>
      </c>
      <c r="F64" s="716">
        <f ca="1">INDEX('Data Processing'!$I:$I,$A64)</f>
        <v>0.24</v>
      </c>
      <c r="G64" s="672">
        <f ca="1">INDEX('Data Processing'!$J:$J,$A64)</f>
        <v>0.4</v>
      </c>
      <c r="H64" s="651">
        <f ca="1">INDEX('Data Processing'!AC:AC,$A64)</f>
        <v>2177.0035808830398</v>
      </c>
      <c r="I64" s="651">
        <f ca="1">INDEX('Data Processing'!AE:AE,$A64)</f>
        <v>1870.6005534815981</v>
      </c>
      <c r="J64" s="651">
        <f>SUM(INDEX('Data Processing'!CX:CX,A64):INDEX('Data Processing'!DK:DK,A64))</f>
        <v>1010.89519989</v>
      </c>
      <c r="K64" s="651">
        <f>SUM(INDEX('Data Processing'!CX:CX,A64):INDEX('Data Processing'!DM:DM,A64))</f>
        <v>1443.7884288400001</v>
      </c>
      <c r="L64" s="666" t="str">
        <f ca="1">INDEX('Data Processing'!K:K,A64)</f>
        <v>24% of Contractual Maturity</v>
      </c>
      <c r="M64" s="683" t="str">
        <f>INDEX('Data Processing'!AR:AR,A64)</f>
        <v>Outflow</v>
      </c>
      <c r="N64" s="708">
        <f t="shared" si="48"/>
        <v>2649.5570429800018</v>
      </c>
      <c r="O64" s="651">
        <f t="shared" ca="1" si="49"/>
        <v>2177.0035808830398</v>
      </c>
      <c r="P64" s="683">
        <f t="shared" ca="1" si="18"/>
        <v>472.55346209696199</v>
      </c>
      <c r="Q64" s="708">
        <v>6394.7211955800058</v>
      </c>
      <c r="R64" s="651">
        <v>5587.3185739535311</v>
      </c>
      <c r="S64" s="683">
        <v>807.40262162647468</v>
      </c>
      <c r="T64" s="708">
        <f t="shared" si="19"/>
        <v>-3745.1641526000039</v>
      </c>
      <c r="U64" s="651">
        <f t="shared" ca="1" si="4"/>
        <v>-3410.3149930704913</v>
      </c>
      <c r="V64" s="683">
        <f t="shared" ca="1" si="5"/>
        <v>-334.84915952951269</v>
      </c>
      <c r="W64" s="443">
        <v>6</v>
      </c>
      <c r="X64" s="443">
        <v>6</v>
      </c>
      <c r="Z64" s="645"/>
      <c r="AA64" s="920" t="s">
        <v>1238</v>
      </c>
      <c r="AB64" s="708">
        <f t="shared" si="6"/>
        <v>2649.5570429800018</v>
      </c>
      <c r="AC64" s="651">
        <f t="shared" ca="1" si="1"/>
        <v>2177.0035808830398</v>
      </c>
      <c r="AD64" s="862">
        <f t="shared" ca="1" si="2"/>
        <v>472.55346209696199</v>
      </c>
      <c r="AE64" s="708"/>
      <c r="AF64" s="651"/>
      <c r="AG64" s="651">
        <f t="shared" si="59"/>
        <v>0</v>
      </c>
      <c r="AH64" s="651">
        <f t="shared" si="89"/>
        <v>0</v>
      </c>
      <c r="AI64" s="708">
        <f t="shared" si="60"/>
        <v>2649.5570429800018</v>
      </c>
      <c r="AJ64" s="651">
        <f t="shared" ca="1" si="57"/>
        <v>2177.0035808830398</v>
      </c>
      <c r="AK64" s="862">
        <f t="shared" ca="1" si="17"/>
        <v>472.55346209696199</v>
      </c>
    </row>
    <row r="65" spans="1:37" ht="28.5" customHeight="1">
      <c r="A65" s="475">
        <f>MATCH(C65,'Data Processing'!C:C,0)</f>
        <v>63</v>
      </c>
      <c r="B65" s="680" t="s">
        <v>1246</v>
      </c>
      <c r="C65" s="662" t="s">
        <v>1227</v>
      </c>
      <c r="D65" s="663" t="str">
        <f>INDEX('Data Processing'!G:G,A65)</f>
        <v>FDIC Sweep Deposits - Retail - Custodial IND</v>
      </c>
      <c r="E65" s="664">
        <f>INDEX('Data Processing'!O:O,$A65)</f>
        <v>2989.0659873999998</v>
      </c>
      <c r="F65" s="715">
        <f ca="1">INDEX('Data Processing'!$I:$I,$A65)</f>
        <v>5.9999999999999991E-2</v>
      </c>
      <c r="G65" s="671">
        <f ca="1">INDEX('Data Processing'!$J:$J,$A65)</f>
        <v>9.9999999999999992E-2</v>
      </c>
      <c r="H65" s="664">
        <f ca="1">INDEX('Data Processing'!AC:AC,$A65)</f>
        <v>2809.7220281559999</v>
      </c>
      <c r="I65" s="664">
        <f ca="1">INDEX('Data Processing'!AE:AE,$A65)</f>
        <v>2690.1593886599999</v>
      </c>
      <c r="J65" s="664">
        <f>SUM(INDEX('Data Processing'!CX:CX,A65):INDEX('Data Processing'!DK:DK,A65))</f>
        <v>2989.0659873999998</v>
      </c>
      <c r="K65" s="664">
        <f>SUM(INDEX('Data Processing'!CX:CX,A65):INDEX('Data Processing'!DM:DM,A65))</f>
        <v>2989.0659873999998</v>
      </c>
      <c r="L65" s="663" t="str">
        <f ca="1">INDEX('Data Processing'!K:K,A65)</f>
        <v>6% of Current Balance</v>
      </c>
      <c r="M65" s="681" t="str">
        <f>INDEX('Data Processing'!AR:AR,A65)</f>
        <v>Outflow</v>
      </c>
      <c r="N65" s="707">
        <f t="shared" si="48"/>
        <v>2989.0659873999998</v>
      </c>
      <c r="O65" s="664">
        <f t="shared" ca="1" si="49"/>
        <v>2809.7220281559999</v>
      </c>
      <c r="P65" s="681">
        <f t="shared" ca="1" si="18"/>
        <v>179.34395924399996</v>
      </c>
      <c r="Q65" s="707">
        <v>4243.0504662900003</v>
      </c>
      <c r="R65" s="664">
        <v>3988.4674383126003</v>
      </c>
      <c r="S65" s="681">
        <v>254.58302797739998</v>
      </c>
      <c r="T65" s="707">
        <f t="shared" si="19"/>
        <v>-1253.9844788900004</v>
      </c>
      <c r="U65" s="664">
        <f t="shared" ca="1" si="4"/>
        <v>-1178.7454101566004</v>
      </c>
      <c r="V65" s="681">
        <f t="shared" ca="1" si="5"/>
        <v>-75.239068733400018</v>
      </c>
      <c r="X65" s="443">
        <v>20</v>
      </c>
      <c r="Z65" s="645"/>
      <c r="AA65" s="919" t="s">
        <v>1292</v>
      </c>
      <c r="AB65" s="707">
        <f t="shared" si="6"/>
        <v>2989.0659873999998</v>
      </c>
      <c r="AC65" s="664">
        <f t="shared" ca="1" si="1"/>
        <v>2809.7220281559999</v>
      </c>
      <c r="AD65" s="860">
        <f t="shared" ca="1" si="2"/>
        <v>179.34395924399996</v>
      </c>
      <c r="AE65" s="664"/>
      <c r="AF65" s="664"/>
      <c r="AG65" s="664">
        <f t="shared" si="59"/>
        <v>0</v>
      </c>
      <c r="AH65" s="664">
        <f t="shared" si="89"/>
        <v>0</v>
      </c>
      <c r="AI65" s="707">
        <f t="shared" si="60"/>
        <v>2989.0659873999998</v>
      </c>
      <c r="AJ65" s="664">
        <f t="shared" ca="1" si="57"/>
        <v>2809.7220281559999</v>
      </c>
      <c r="AK65" s="860">
        <f t="shared" ca="1" si="17"/>
        <v>179.34395924399996</v>
      </c>
    </row>
    <row r="66" spans="1:37" ht="28.5" customHeight="1">
      <c r="A66" s="476">
        <f>MATCH(C66,'Data Processing'!C:C,0)</f>
        <v>64</v>
      </c>
      <c r="B66" s="682" t="s">
        <v>1247</v>
      </c>
      <c r="C66" s="670" t="s">
        <v>1228</v>
      </c>
      <c r="D66" s="666" t="str">
        <f>INDEX('Data Processing'!G:G,A66)</f>
        <v>FDIC Sweep Deposits - Retail - ICS/CEDARS</v>
      </c>
      <c r="E66" s="651">
        <f>INDEX('Data Processing'!O:O,$A66)</f>
        <v>1327.2317001799997</v>
      </c>
      <c r="F66" s="716">
        <f ca="1">INDEX('Data Processing'!$I:$I,$A66)</f>
        <v>5.9999999999999991E-2</v>
      </c>
      <c r="G66" s="672">
        <f ca="1">INDEX('Data Processing'!$J:$J,$A66)</f>
        <v>9.9999999999999992E-2</v>
      </c>
      <c r="H66" s="651">
        <f ca="1">INDEX('Data Processing'!AC:AC,$A66)</f>
        <v>1247.5977981691997</v>
      </c>
      <c r="I66" s="651">
        <f ca="1">INDEX('Data Processing'!AE:AE,$A66)</f>
        <v>1194.5085301619997</v>
      </c>
      <c r="J66" s="651">
        <f>SUM(INDEX('Data Processing'!CX:CX,A66):INDEX('Data Processing'!DK:DK,A66))</f>
        <v>1327.2317001799997</v>
      </c>
      <c r="K66" s="651">
        <f>SUM(INDEX('Data Processing'!CX:CX,A66):INDEX('Data Processing'!DM:DM,A66))</f>
        <v>1327.2317001799997</v>
      </c>
      <c r="L66" s="666" t="str">
        <f ca="1">INDEX('Data Processing'!K:K,A66)</f>
        <v>6% of Current Balance</v>
      </c>
      <c r="M66" s="683" t="str">
        <f>INDEX('Data Processing'!AR:AR,A66)</f>
        <v>Outflow</v>
      </c>
      <c r="N66" s="708">
        <f t="shared" si="48"/>
        <v>1327.2317001799997</v>
      </c>
      <c r="O66" s="651">
        <f t="shared" ca="1" si="49"/>
        <v>1247.5977981691997</v>
      </c>
      <c r="P66" s="683">
        <f t="shared" ca="1" si="18"/>
        <v>79.633902010800057</v>
      </c>
      <c r="Q66" s="708">
        <v>1245.9683182599999</v>
      </c>
      <c r="R66" s="651">
        <v>1171.2102191643999</v>
      </c>
      <c r="S66" s="683">
        <v>74.758099095600073</v>
      </c>
      <c r="T66" s="708">
        <f t="shared" si="19"/>
        <v>81.263381919999802</v>
      </c>
      <c r="U66" s="651">
        <f t="shared" ca="1" si="4"/>
        <v>76.387579004799818</v>
      </c>
      <c r="V66" s="683">
        <f t="shared" ca="1" si="5"/>
        <v>4.8758029151999835</v>
      </c>
      <c r="X66" s="443">
        <v>19</v>
      </c>
      <c r="Z66" s="645"/>
      <c r="AA66" s="920" t="s">
        <v>1293</v>
      </c>
      <c r="AB66" s="708">
        <f t="shared" si="6"/>
        <v>1327.2317001799997</v>
      </c>
      <c r="AC66" s="651">
        <f t="shared" ca="1" si="1"/>
        <v>1247.5977981691997</v>
      </c>
      <c r="AD66" s="862">
        <f t="shared" ca="1" si="2"/>
        <v>79.633902010800057</v>
      </c>
      <c r="AE66" s="651"/>
      <c r="AF66" s="651"/>
      <c r="AG66" s="651">
        <f t="shared" si="59"/>
        <v>0</v>
      </c>
      <c r="AH66" s="651">
        <f t="shared" si="89"/>
        <v>0</v>
      </c>
      <c r="AI66" s="708">
        <f t="shared" si="60"/>
        <v>1327.2317001799997</v>
      </c>
      <c r="AJ66" s="651">
        <f t="shared" ca="1" si="57"/>
        <v>1247.5977981691997</v>
      </c>
      <c r="AK66" s="862">
        <f t="shared" ca="1" si="17"/>
        <v>79.633902010800057</v>
      </c>
    </row>
    <row r="67" spans="1:37" ht="14.25" customHeight="1">
      <c r="A67" s="475">
        <f>MATCH(C67,'Data Processing'!C:C,0)</f>
        <v>65</v>
      </c>
      <c r="B67" s="680" t="s">
        <v>1250</v>
      </c>
      <c r="C67" s="662" t="s">
        <v>1286</v>
      </c>
      <c r="D67" s="663" t="str">
        <f>INDEX('Data Processing'!G:G,A67)</f>
        <v>FDIC Sweep Deposits - Retail - MMDA</v>
      </c>
      <c r="E67" s="664">
        <f>INDEX('Data Processing'!O:O,$A67)</f>
        <v>70.697602650000007</v>
      </c>
      <c r="F67" s="715">
        <f ca="1">INDEX('Data Processing'!$I:$I,$A67)</f>
        <v>5.9999999999999991E-2</v>
      </c>
      <c r="G67" s="671">
        <f ca="1">INDEX('Data Processing'!$J:$J,$A67)</f>
        <v>9.9999999999999992E-2</v>
      </c>
      <c r="H67" s="664">
        <f ca="1">INDEX('Data Processing'!AC:AC,$A67)</f>
        <v>66.455746491000014</v>
      </c>
      <c r="I67" s="664">
        <f ca="1">INDEX('Data Processing'!AE:AE,$A67)</f>
        <v>63.627842385000008</v>
      </c>
      <c r="J67" s="664">
        <f>SUM(INDEX('Data Processing'!CX:CX,A67):INDEX('Data Processing'!DK:DK,A67))</f>
        <v>70.697602650000007</v>
      </c>
      <c r="K67" s="664">
        <f>SUM(INDEX('Data Processing'!CX:CX,A67):INDEX('Data Processing'!DM:DM,A67))</f>
        <v>70.697602650000007</v>
      </c>
      <c r="L67" s="663" t="str">
        <f ca="1">INDEX('Data Processing'!K:K,A67)</f>
        <v>6% of Current Balance</v>
      </c>
      <c r="M67" s="681" t="str">
        <f>INDEX('Data Processing'!AR:AR,A67)</f>
        <v>Outflow</v>
      </c>
      <c r="N67" s="707">
        <f t="shared" si="48"/>
        <v>70.697602650000007</v>
      </c>
      <c r="O67" s="664">
        <f t="shared" ca="1" si="49"/>
        <v>66.455746491000014</v>
      </c>
      <c r="P67" s="681">
        <f t="shared" ca="1" si="18"/>
        <v>4.2418561589999939</v>
      </c>
      <c r="Q67" s="707">
        <v>70.55984402</v>
      </c>
      <c r="R67" s="664">
        <v>66.326253378800004</v>
      </c>
      <c r="S67" s="681">
        <v>4.2335906411999957</v>
      </c>
      <c r="T67" s="707">
        <f t="shared" si="19"/>
        <v>0.13775863000000754</v>
      </c>
      <c r="U67" s="664">
        <f t="shared" ca="1" si="4"/>
        <v>0.12949311220000936</v>
      </c>
      <c r="V67" s="681">
        <f t="shared" ca="1" si="5"/>
        <v>8.2655177999981788E-3</v>
      </c>
      <c r="X67" s="443">
        <v>21</v>
      </c>
      <c r="Z67" s="645"/>
      <c r="AA67" s="919" t="s">
        <v>1294</v>
      </c>
      <c r="AB67" s="707">
        <f t="shared" si="6"/>
        <v>70.697602650000007</v>
      </c>
      <c r="AC67" s="664">
        <f t="shared" ca="1" si="1"/>
        <v>66.455746491000014</v>
      </c>
      <c r="AD67" s="860">
        <f t="shared" ca="1" si="2"/>
        <v>4.2418561589999939</v>
      </c>
      <c r="AE67" s="664"/>
      <c r="AF67" s="664"/>
      <c r="AG67" s="664">
        <f t="shared" si="59"/>
        <v>0</v>
      </c>
      <c r="AH67" s="664">
        <f t="shared" si="89"/>
        <v>0</v>
      </c>
      <c r="AI67" s="707">
        <f t="shared" si="60"/>
        <v>70.697602650000007</v>
      </c>
      <c r="AJ67" s="664">
        <f t="shared" ca="1" si="57"/>
        <v>66.455746491000014</v>
      </c>
      <c r="AK67" s="860">
        <f t="shared" ca="1" si="17"/>
        <v>4.2418561589999939</v>
      </c>
    </row>
    <row r="68" spans="1:37" ht="14.25" customHeight="1">
      <c r="A68" s="476">
        <f>MATCH(C68,'Data Processing'!C:C,0)</f>
        <v>66</v>
      </c>
      <c r="B68" s="682" t="s">
        <v>1250</v>
      </c>
      <c r="C68" s="670" t="s">
        <v>1285</v>
      </c>
      <c r="D68" s="666" t="str">
        <f>INDEX('Data Processing'!G:G,A68)</f>
        <v>FDIC Sweep Deposits - Non-Retail</v>
      </c>
      <c r="E68" s="651">
        <f>INDEX('Data Processing'!O:O,$A68)</f>
        <v>0</v>
      </c>
      <c r="F68" s="716">
        <f ca="1">INDEX('Data Processing'!$I:$I,$A68)</f>
        <v>5.9999999999999991E-2</v>
      </c>
      <c r="G68" s="672">
        <f ca="1">INDEX('Data Processing'!$J:$J,$A68)</f>
        <v>9.9999999999999992E-2</v>
      </c>
      <c r="H68" s="651">
        <f ca="1">INDEX('Data Processing'!AC:AC,$A68)</f>
        <v>0</v>
      </c>
      <c r="I68" s="651">
        <f ca="1">INDEX('Data Processing'!AE:AE,$A68)</f>
        <v>0</v>
      </c>
      <c r="J68" s="651">
        <f>SUM(INDEX('Data Processing'!CX:CX,A68):INDEX('Data Processing'!DK:DK,A68))</f>
        <v>0</v>
      </c>
      <c r="K68" s="651">
        <f>SUM(INDEX('Data Processing'!CX:CX,A68):INDEX('Data Processing'!DM:DM,A68))</f>
        <v>0</v>
      </c>
      <c r="L68" s="666"/>
      <c r="M68" s="683" t="str">
        <f>INDEX('Data Processing'!AR:AR,A68)</f>
        <v>Outflow</v>
      </c>
      <c r="N68" s="708">
        <f t="shared" si="48"/>
        <v>0</v>
      </c>
      <c r="O68" s="651">
        <f t="shared" ca="1" si="49"/>
        <v>0</v>
      </c>
      <c r="P68" s="683">
        <f t="shared" ca="1" si="18"/>
        <v>0</v>
      </c>
      <c r="Q68" s="708">
        <v>0</v>
      </c>
      <c r="R68" s="651">
        <v>0</v>
      </c>
      <c r="S68" s="683">
        <v>0</v>
      </c>
      <c r="T68" s="708">
        <f t="shared" si="19"/>
        <v>0</v>
      </c>
      <c r="U68" s="651">
        <f t="shared" ca="1" si="4"/>
        <v>0</v>
      </c>
      <c r="V68" s="683">
        <f t="shared" ca="1" si="5"/>
        <v>0</v>
      </c>
      <c r="Z68" s="645"/>
      <c r="AA68" s="920" t="s">
        <v>1245</v>
      </c>
      <c r="AB68" s="708">
        <f t="shared" si="6"/>
        <v>0</v>
      </c>
      <c r="AC68" s="651">
        <f t="shared" ca="1" si="1"/>
        <v>0</v>
      </c>
      <c r="AD68" s="862">
        <f t="shared" ca="1" si="2"/>
        <v>0</v>
      </c>
      <c r="AE68" s="651"/>
      <c r="AF68" s="651"/>
      <c r="AG68" s="651">
        <f t="shared" si="59"/>
        <v>0</v>
      </c>
      <c r="AH68" s="651">
        <f t="shared" si="89"/>
        <v>0</v>
      </c>
      <c r="AI68" s="708">
        <f t="shared" si="60"/>
        <v>0</v>
      </c>
      <c r="AJ68" s="651">
        <f t="shared" ca="1" si="57"/>
        <v>0</v>
      </c>
      <c r="AK68" s="862">
        <f t="shared" ca="1" si="17"/>
        <v>0</v>
      </c>
    </row>
    <row r="69" spans="1:37" ht="14.25" customHeight="1">
      <c r="A69" s="475">
        <f>MATCH(C69,'Data Processing'!C:C,0)</f>
        <v>67</v>
      </c>
      <c r="B69" s="680" t="s">
        <v>1246</v>
      </c>
      <c r="C69" s="662">
        <v>10.199999999999999</v>
      </c>
      <c r="D69" s="663" t="str">
        <f>INDEX('Data Processing'!G:G,A69)</f>
        <v>Brokered CDs</v>
      </c>
      <c r="E69" s="664">
        <f>INDEX('Data Processing'!O:O,$A69)</f>
        <v>9604.8459999999995</v>
      </c>
      <c r="F69" s="715">
        <f ca="1">INDEX('Data Processing'!$I:$I,$A69)</f>
        <v>1</v>
      </c>
      <c r="G69" s="671">
        <f ca="1">INDEX('Data Processing'!$J:$J,$A69)</f>
        <v>1</v>
      </c>
      <c r="H69" s="664">
        <f ca="1">INDEX('Data Processing'!AC:AC,$A69)</f>
        <v>9508.7975399999996</v>
      </c>
      <c r="I69" s="664">
        <f ca="1">INDEX('Data Processing'!AE:AE,$A69)</f>
        <v>7109.9493299999995</v>
      </c>
      <c r="J69" s="664">
        <f>SUM(INDEX('Data Processing'!CX:CX,A69):INDEX('Data Processing'!DK:DK,A69))</f>
        <v>0</v>
      </c>
      <c r="K69" s="664">
        <f>SUM(INDEX('Data Processing'!CX:CX,A69):INDEX('Data Processing'!DM:DM,A69))</f>
        <v>2423.0790000000002</v>
      </c>
      <c r="L69" s="663" t="str">
        <f ca="1">INDEX('Data Processing'!K:K,A69)</f>
        <v>100% of Contractual Maturity</v>
      </c>
      <c r="M69" s="681" t="str">
        <f>INDEX('Data Processing'!AR:AR,A69)</f>
        <v>Outflow</v>
      </c>
      <c r="N69" s="707">
        <f t="shared" si="48"/>
        <v>9604.8459999999995</v>
      </c>
      <c r="O69" s="664">
        <f t="shared" ca="1" si="49"/>
        <v>9508.7975399999996</v>
      </c>
      <c r="P69" s="681">
        <f t="shared" ca="1" si="18"/>
        <v>96.048459999999977</v>
      </c>
      <c r="Q69" s="707">
        <v>7452.6260000000002</v>
      </c>
      <c r="R69" s="664">
        <v>7298.3304900000003</v>
      </c>
      <c r="S69" s="681">
        <v>154.29550999999992</v>
      </c>
      <c r="T69" s="707">
        <f t="shared" si="19"/>
        <v>2152.2199999999993</v>
      </c>
      <c r="U69" s="664">
        <f t="shared" ca="1" si="4"/>
        <v>2210.4670499999993</v>
      </c>
      <c r="V69" s="681">
        <f t="shared" ca="1" si="5"/>
        <v>-58.247049999999945</v>
      </c>
      <c r="X69" s="443">
        <v>14</v>
      </c>
      <c r="Z69" s="645"/>
      <c r="AA69" s="919" t="s">
        <v>25</v>
      </c>
      <c r="AB69" s="707">
        <f t="shared" si="6"/>
        <v>9604.8459999999995</v>
      </c>
      <c r="AC69" s="664">
        <f t="shared" ca="1" si="1"/>
        <v>9508.7975399999996</v>
      </c>
      <c r="AD69" s="860">
        <f t="shared" ca="1" si="2"/>
        <v>96.048459999999977</v>
      </c>
      <c r="AE69" s="664"/>
      <c r="AF69" s="664"/>
      <c r="AG69" s="664">
        <f t="shared" si="59"/>
        <v>0</v>
      </c>
      <c r="AH69" s="664">
        <f t="shared" si="89"/>
        <v>0</v>
      </c>
      <c r="AI69" s="707">
        <f t="shared" si="60"/>
        <v>9604.8459999999995</v>
      </c>
      <c r="AJ69" s="664">
        <f t="shared" ca="1" si="57"/>
        <v>9508.7975399999996</v>
      </c>
      <c r="AK69" s="860">
        <f t="shared" ca="1" si="17"/>
        <v>96.048459999999977</v>
      </c>
    </row>
    <row r="70" spans="1:37" ht="14.25" customHeight="1">
      <c r="A70" s="476">
        <f>MATCH(C70,'Data Processing'!C:C,0)</f>
        <v>68</v>
      </c>
      <c r="B70" s="682" t="s">
        <v>1246</v>
      </c>
      <c r="C70" s="670">
        <v>10.3</v>
      </c>
      <c r="D70" s="666" t="str">
        <f>INDEX('Data Processing'!G:G,A70)</f>
        <v>Yankee CDs</v>
      </c>
      <c r="E70" s="651">
        <f>INDEX('Data Processing'!O:O,$A70)</f>
        <v>0</v>
      </c>
      <c r="F70" s="716">
        <f>INDEX('Data Processing'!$I:$I,$A70)</f>
        <v>1</v>
      </c>
      <c r="G70" s="672">
        <f>INDEX('Data Processing'!$J:$J,$A70)</f>
        <v>1</v>
      </c>
      <c r="H70" s="651">
        <f ca="1">INDEX('Data Processing'!AC:AC,$A70)</f>
        <v>0</v>
      </c>
      <c r="I70" s="651">
        <f ca="1">INDEX('Data Processing'!AE:AE,$A70)</f>
        <v>0</v>
      </c>
      <c r="J70" s="651">
        <f>SUM(INDEX('Data Processing'!CX:CX,A70):INDEX('Data Processing'!DK:DK,A70))</f>
        <v>0</v>
      </c>
      <c r="K70" s="651">
        <f>SUM(INDEX('Data Processing'!CX:CX,A70):INDEX('Data Processing'!DM:DM,A70))</f>
        <v>0</v>
      </c>
      <c r="L70" s="666" t="str">
        <f>INDEX('Data Processing'!K:K,A70)</f>
        <v>100% of Contractual Maturity</v>
      </c>
      <c r="M70" s="683" t="str">
        <f>INDEX('Data Processing'!AR:AR,A70)</f>
        <v>Outflow</v>
      </c>
      <c r="N70" s="708">
        <f t="shared" si="48"/>
        <v>0</v>
      </c>
      <c r="O70" s="651">
        <f t="shared" ca="1" si="49"/>
        <v>0</v>
      </c>
      <c r="P70" s="683">
        <f t="shared" ca="1" si="18"/>
        <v>0</v>
      </c>
      <c r="Q70" s="708">
        <v>0</v>
      </c>
      <c r="R70" s="651">
        <v>0</v>
      </c>
      <c r="S70" s="683">
        <v>0</v>
      </c>
      <c r="T70" s="708">
        <f t="shared" si="19"/>
        <v>0</v>
      </c>
      <c r="U70" s="651">
        <f t="shared" ca="1" si="4"/>
        <v>0</v>
      </c>
      <c r="V70" s="683">
        <f t="shared" ca="1" si="5"/>
        <v>0</v>
      </c>
      <c r="X70" s="443">
        <v>14</v>
      </c>
      <c r="Z70" s="645"/>
      <c r="AA70" s="920" t="s">
        <v>1172</v>
      </c>
      <c r="AB70" s="708">
        <f t="shared" si="6"/>
        <v>0</v>
      </c>
      <c r="AC70" s="651">
        <f t="shared" ca="1" si="1"/>
        <v>0</v>
      </c>
      <c r="AD70" s="862">
        <f t="shared" ca="1" si="2"/>
        <v>0</v>
      </c>
      <c r="AE70" s="651"/>
      <c r="AF70" s="651"/>
      <c r="AG70" s="651">
        <f t="shared" si="59"/>
        <v>0</v>
      </c>
      <c r="AH70" s="651">
        <f t="shared" si="89"/>
        <v>0</v>
      </c>
      <c r="AI70" s="708">
        <f t="shared" si="60"/>
        <v>0</v>
      </c>
      <c r="AJ70" s="651">
        <f t="shared" ca="1" si="57"/>
        <v>0</v>
      </c>
      <c r="AK70" s="862">
        <f t="shared" ca="1" si="17"/>
        <v>0</v>
      </c>
    </row>
    <row r="71" spans="1:37" ht="14.25" customHeight="1">
      <c r="A71" s="475">
        <f>MATCH(C71,'Data Processing'!C:C,0)</f>
        <v>69</v>
      </c>
      <c r="B71" s="680" t="s">
        <v>1246</v>
      </c>
      <c r="C71" s="662">
        <v>11</v>
      </c>
      <c r="D71" s="663" t="str">
        <f>INDEX('Data Processing'!G:G,A71)</f>
        <v>Bond Issuance</v>
      </c>
      <c r="E71" s="664">
        <f>INDEX('Data Processing'!O:O,$A71)</f>
        <v>0</v>
      </c>
      <c r="F71" s="715">
        <f>INDEX('Data Processing'!$I:$I,$A71)</f>
        <v>1</v>
      </c>
      <c r="G71" s="671">
        <f>INDEX('Data Processing'!$J:$J,$A71)</f>
        <v>1</v>
      </c>
      <c r="H71" s="664">
        <f ca="1">INDEX('Data Processing'!AC:AC,$A71)</f>
        <v>0</v>
      </c>
      <c r="I71" s="664">
        <f ca="1">INDEX('Data Processing'!AE:AE,$A71)</f>
        <v>0</v>
      </c>
      <c r="J71" s="664">
        <f>SUM(INDEX('Data Processing'!CX:CX,A71):INDEX('Data Processing'!DK:DK,A71))</f>
        <v>0</v>
      </c>
      <c r="K71" s="664">
        <f>SUM(INDEX('Data Processing'!CX:CX,A71):INDEX('Data Processing'!DM:DM,A71))</f>
        <v>0</v>
      </c>
      <c r="L71" s="663" t="str">
        <f>INDEX('Data Processing'!K:K,A71)</f>
        <v>100% of Contractual Maturity</v>
      </c>
      <c r="M71" s="681" t="str">
        <f>INDEX('Data Processing'!AR:AR,A71)</f>
        <v>Outflow</v>
      </c>
      <c r="N71" s="707">
        <f t="shared" si="48"/>
        <v>0</v>
      </c>
      <c r="O71" s="664">
        <f t="shared" ca="1" si="49"/>
        <v>0</v>
      </c>
      <c r="P71" s="681">
        <f t="shared" ca="1" si="18"/>
        <v>0</v>
      </c>
      <c r="Q71" s="707">
        <v>240.94336956000001</v>
      </c>
      <c r="R71" s="664">
        <v>233.71506847320001</v>
      </c>
      <c r="S71" s="681">
        <v>7.2283010868000019</v>
      </c>
      <c r="T71" s="707">
        <f t="shared" si="19"/>
        <v>-240.94336956000001</v>
      </c>
      <c r="U71" s="664">
        <f t="shared" ca="1" si="4"/>
        <v>-233.71506847320001</v>
      </c>
      <c r="V71" s="681">
        <f t="shared" ca="1" si="5"/>
        <v>-7.2283010868000019</v>
      </c>
      <c r="X71" s="443">
        <v>15</v>
      </c>
      <c r="Z71" s="645"/>
      <c r="AA71" s="919" t="s">
        <v>1243</v>
      </c>
      <c r="AB71" s="707">
        <f t="shared" si="6"/>
        <v>0</v>
      </c>
      <c r="AC71" s="664">
        <f t="shared" ca="1" si="1"/>
        <v>0</v>
      </c>
      <c r="AD71" s="860">
        <f t="shared" ca="1" si="2"/>
        <v>0</v>
      </c>
      <c r="AE71" s="664"/>
      <c r="AF71" s="664"/>
      <c r="AG71" s="664">
        <f t="shared" si="59"/>
        <v>0</v>
      </c>
      <c r="AH71" s="664">
        <f t="shared" si="89"/>
        <v>0</v>
      </c>
      <c r="AI71" s="707">
        <f t="shared" si="60"/>
        <v>0</v>
      </c>
      <c r="AJ71" s="664">
        <f t="shared" ca="1" si="57"/>
        <v>0</v>
      </c>
      <c r="AK71" s="860">
        <f t="shared" ca="1" si="17"/>
        <v>0</v>
      </c>
    </row>
    <row r="72" spans="1:37" ht="14.25" customHeight="1">
      <c r="A72" s="476">
        <f>MATCH(C72,'Data Processing'!C:C,0)</f>
        <v>70</v>
      </c>
      <c r="B72" s="682"/>
      <c r="C72" s="670">
        <v>99</v>
      </c>
      <c r="D72" s="666" t="str">
        <f>INDEX('Data Processing'!G:G,A72)</f>
        <v>REPO Liabilities</v>
      </c>
      <c r="E72" s="651">
        <f>INDEX('Data Processing'!O:O,$A72)</f>
        <v>0</v>
      </c>
      <c r="F72" s="716">
        <f ca="1">INDEX('Data Processing'!$I:$I,$A72)</f>
        <v>1</v>
      </c>
      <c r="G72" s="672"/>
      <c r="H72" s="651">
        <f ca="1">INDEX('Data Processing'!AC:AC,$A72)</f>
        <v>0</v>
      </c>
      <c r="I72" s="651">
        <f ca="1">INDEX('Data Processing'!AE:AE,$A72)</f>
        <v>0</v>
      </c>
      <c r="J72" s="651">
        <f>SUM(INDEX('Data Processing'!CX:CX,A72):INDEX('Data Processing'!DK:DK,A72))</f>
        <v>0</v>
      </c>
      <c r="K72" s="651">
        <f>SUM(INDEX('Data Processing'!CX:CX,A72):INDEX('Data Processing'!DM:DM,A72))</f>
        <v>0</v>
      </c>
      <c r="L72" s="666" t="str">
        <f ca="1">INDEX('Data Processing'!K:K,A72)</f>
        <v>100% of Contractual Maturity</v>
      </c>
      <c r="M72" s="683" t="str">
        <f>INDEX('Data Processing'!AR:AR,A72)</f>
        <v>Outflow</v>
      </c>
      <c r="N72" s="708">
        <f t="shared" si="48"/>
        <v>0</v>
      </c>
      <c r="O72" s="651">
        <f t="shared" ca="1" si="49"/>
        <v>0</v>
      </c>
      <c r="P72" s="683">
        <f t="shared" ca="1" si="18"/>
        <v>0</v>
      </c>
      <c r="Q72" s="708">
        <v>0</v>
      </c>
      <c r="R72" s="651">
        <v>0</v>
      </c>
      <c r="S72" s="683">
        <v>0</v>
      </c>
      <c r="T72" s="708">
        <f t="shared" si="19"/>
        <v>0</v>
      </c>
      <c r="U72" s="651">
        <f t="shared" ca="1" si="4"/>
        <v>0</v>
      </c>
      <c r="V72" s="683">
        <f t="shared" ca="1" si="5"/>
        <v>0</v>
      </c>
      <c r="Z72" s="645"/>
      <c r="AA72" s="920" t="s">
        <v>1137</v>
      </c>
      <c r="AB72" s="708">
        <f t="shared" si="6"/>
        <v>0</v>
      </c>
      <c r="AC72" s="651">
        <f t="shared" ref="AC72:AC77" ca="1" si="110">O72</f>
        <v>0</v>
      </c>
      <c r="AD72" s="862">
        <f t="shared" ref="AD72:AD77" ca="1" si="111">P72</f>
        <v>0</v>
      </c>
      <c r="AE72" s="651"/>
      <c r="AF72" s="651"/>
      <c r="AG72" s="651">
        <f t="shared" si="59"/>
        <v>0</v>
      </c>
      <c r="AH72" s="651">
        <f t="shared" si="89"/>
        <v>0</v>
      </c>
      <c r="AI72" s="708">
        <f t="shared" si="60"/>
        <v>0</v>
      </c>
      <c r="AJ72" s="651">
        <f t="shared" ca="1" si="57"/>
        <v>0</v>
      </c>
      <c r="AK72" s="862">
        <f t="shared" ca="1" si="17"/>
        <v>0</v>
      </c>
    </row>
    <row r="73" spans="1:37" ht="14.25" customHeight="1">
      <c r="A73" s="476">
        <f>MATCH(C73,'Data Processing'!C:C,0)</f>
        <v>71</v>
      </c>
      <c r="B73" s="682"/>
      <c r="C73" s="670">
        <v>13</v>
      </c>
      <c r="D73" s="666" t="str">
        <f>INDEX('Data Processing'!G:G,A73)</f>
        <v>Other Liabilities</v>
      </c>
      <c r="E73" s="651">
        <f>INDEX('Data Processing'!O:O,$A73)</f>
        <v>411.85919435999989</v>
      </c>
      <c r="F73" s="716" t="str">
        <f>INDEX('Data Processing'!$I:$I,$A73)</f>
        <v/>
      </c>
      <c r="G73" s="672"/>
      <c r="H73" s="651">
        <f>INDEX('Data Processing'!AC:AC,$A73)</f>
        <v>411.85919435999989</v>
      </c>
      <c r="I73" s="651">
        <f>INDEX('Data Processing'!AE:AE,$A73)</f>
        <v>411.85919435999989</v>
      </c>
      <c r="J73" s="651">
        <f>SUM(INDEX('Data Processing'!CX:CX,A73):INDEX('Data Processing'!DK:DK,A73))</f>
        <v>409.1259800599999</v>
      </c>
      <c r="K73" s="651">
        <f>SUM(INDEX('Data Processing'!CX:CX,A73):INDEX('Data Processing'!DM:DM,A73))</f>
        <v>409.1259800599999</v>
      </c>
      <c r="L73" s="666" t="str">
        <f>INDEX('Data Processing'!K:K,A73)</f>
        <v>No Run-off</v>
      </c>
      <c r="M73" s="683" t="str">
        <f>INDEX('Data Processing'!AR:AR,A73)</f>
        <v>Outflow</v>
      </c>
      <c r="N73" s="708">
        <f t="shared" si="48"/>
        <v>411.85919435999989</v>
      </c>
      <c r="O73" s="651">
        <f t="shared" si="49"/>
        <v>411.85919435999989</v>
      </c>
      <c r="P73" s="683">
        <f t="shared" si="18"/>
        <v>0</v>
      </c>
      <c r="Q73" s="708">
        <v>328.51563277999992</v>
      </c>
      <c r="R73" s="651">
        <v>328.51563277999992</v>
      </c>
      <c r="S73" s="683">
        <v>0</v>
      </c>
      <c r="T73" s="708">
        <f t="shared" si="19"/>
        <v>83.343561579999971</v>
      </c>
      <c r="U73" s="651">
        <f t="shared" si="4"/>
        <v>83.343561579999971</v>
      </c>
      <c r="V73" s="683">
        <f t="shared" si="5"/>
        <v>0</v>
      </c>
      <c r="X73" s="443">
        <v>27</v>
      </c>
      <c r="Z73" s="645"/>
      <c r="AA73" s="920" t="s">
        <v>27</v>
      </c>
      <c r="AB73" s="708">
        <f t="shared" ref="AB73:AB77" si="112">N73</f>
        <v>411.85919435999989</v>
      </c>
      <c r="AC73" s="651">
        <f t="shared" si="110"/>
        <v>411.85919435999989</v>
      </c>
      <c r="AD73" s="862">
        <f t="shared" si="111"/>
        <v>0</v>
      </c>
      <c r="AE73" s="651"/>
      <c r="AF73" s="651"/>
      <c r="AG73" s="651">
        <f t="shared" si="59"/>
        <v>0</v>
      </c>
      <c r="AH73" s="651">
        <f t="shared" si="89"/>
        <v>0</v>
      </c>
      <c r="AI73" s="708">
        <f t="shared" si="60"/>
        <v>411.85919435999989</v>
      </c>
      <c r="AJ73" s="651">
        <f t="shared" si="57"/>
        <v>411.85919435999989</v>
      </c>
      <c r="AK73" s="862">
        <f t="shared" si="17"/>
        <v>0</v>
      </c>
    </row>
    <row r="74" spans="1:37" ht="14.25" customHeight="1">
      <c r="A74" s="475">
        <f>MATCH(C74,'Data Processing'!C:C,0)</f>
        <v>72</v>
      </c>
      <c r="B74" s="680"/>
      <c r="C74" s="662">
        <v>14</v>
      </c>
      <c r="D74" s="663" t="str">
        <f>INDEX('Data Processing'!G:G,A74)</f>
        <v>Equity</v>
      </c>
      <c r="E74" s="664">
        <f>INDEX('Data Processing'!O:O,$A74)</f>
        <v>626.0229084099991</v>
      </c>
      <c r="F74" s="715" t="str">
        <f>INDEX('Data Processing'!$I:$I,$A74)</f>
        <v/>
      </c>
      <c r="G74" s="671"/>
      <c r="H74" s="664">
        <f>INDEX('Data Processing'!AC:AC,$A74)</f>
        <v>626.0229084099991</v>
      </c>
      <c r="I74" s="664">
        <f>INDEX('Data Processing'!AE:AE,$A74)</f>
        <v>626.0229084099991</v>
      </c>
      <c r="J74" s="664">
        <f>SUM(INDEX('Data Processing'!CX:CX,A74):INDEX('Data Processing'!DK:DK,A74))</f>
        <v>626.0229084099991</v>
      </c>
      <c r="K74" s="664">
        <f>SUM(INDEX('Data Processing'!CX:CX,A74):INDEX('Data Processing'!DM:DM,A74))</f>
        <v>626.0229084099991</v>
      </c>
      <c r="L74" s="663" t="str">
        <f>INDEX('Data Processing'!K:K,A74)</f>
        <v>No Run-off</v>
      </c>
      <c r="M74" s="681" t="str">
        <f>INDEX('Data Processing'!AR:AR,A74)</f>
        <v>Outflow</v>
      </c>
      <c r="N74" s="707">
        <f t="shared" si="48"/>
        <v>626.0229084099991</v>
      </c>
      <c r="O74" s="664">
        <f t="shared" si="49"/>
        <v>626.0229084099991</v>
      </c>
      <c r="P74" s="681">
        <f t="shared" si="18"/>
        <v>0</v>
      </c>
      <c r="Q74" s="707">
        <v>666.76154160999988</v>
      </c>
      <c r="R74" s="664">
        <v>666.76154160999988</v>
      </c>
      <c r="S74" s="681">
        <v>0</v>
      </c>
      <c r="T74" s="707">
        <f t="shared" si="19"/>
        <v>-40.738633200000777</v>
      </c>
      <c r="U74" s="664">
        <f t="shared" si="4"/>
        <v>-40.738633200000777</v>
      </c>
      <c r="V74" s="681">
        <f t="shared" si="5"/>
        <v>0</v>
      </c>
      <c r="X74" s="443">
        <v>27</v>
      </c>
      <c r="Z74" s="645"/>
      <c r="AA74" s="919" t="s">
        <v>26</v>
      </c>
      <c r="AB74" s="707">
        <f t="shared" si="112"/>
        <v>626.0229084099991</v>
      </c>
      <c r="AC74" s="664">
        <f t="shared" si="110"/>
        <v>626.0229084099991</v>
      </c>
      <c r="AD74" s="860">
        <f t="shared" si="111"/>
        <v>0</v>
      </c>
      <c r="AE74" s="664"/>
      <c r="AF74" s="664"/>
      <c r="AG74" s="664">
        <f t="shared" si="59"/>
        <v>0</v>
      </c>
      <c r="AH74" s="664">
        <f t="shared" si="89"/>
        <v>0</v>
      </c>
      <c r="AI74" s="707">
        <f t="shared" si="60"/>
        <v>626.0229084099991</v>
      </c>
      <c r="AJ74" s="664">
        <f t="shared" si="57"/>
        <v>626.0229084099991</v>
      </c>
      <c r="AK74" s="860">
        <f t="shared" ref="AK74:AK77" si="113">AI74-AJ74</f>
        <v>0</v>
      </c>
    </row>
    <row r="75" spans="1:37" ht="15">
      <c r="A75" s="698"/>
      <c r="B75" s="699"/>
      <c r="C75" s="700"/>
      <c r="D75" s="701" t="s">
        <v>1689</v>
      </c>
      <c r="E75" s="702">
        <f>SUM(E25:E74)</f>
        <v>61187.931159929998</v>
      </c>
      <c r="F75" s="719"/>
      <c r="G75" s="701"/>
      <c r="H75" s="702">
        <f ca="1">SUM(H25:H74)</f>
        <v>40044.4635300054</v>
      </c>
      <c r="I75" s="702">
        <f ca="1">SUM(I25:I74)</f>
        <v>35681.509414515596</v>
      </c>
      <c r="J75" s="702">
        <f>SUM(J25:J74)</f>
        <v>44170.620996500002</v>
      </c>
      <c r="K75" s="702">
        <f>SUM(K25:K74)</f>
        <v>47034.320609600007</v>
      </c>
      <c r="L75" s="701"/>
      <c r="M75" s="703" t="s">
        <v>1202</v>
      </c>
      <c r="N75" s="709">
        <f t="shared" si="48"/>
        <v>61187.931159929998</v>
      </c>
      <c r="O75" s="702">
        <f t="shared" ca="1" si="49"/>
        <v>40044.4635300054</v>
      </c>
      <c r="P75" s="703">
        <f t="shared" ca="1" si="18"/>
        <v>21143.467629924598</v>
      </c>
      <c r="Q75" s="709">
        <v>58567.896306410003</v>
      </c>
      <c r="R75" s="702">
        <v>40537.231062161489</v>
      </c>
      <c r="S75" s="703">
        <v>18030.665244248514</v>
      </c>
      <c r="T75" s="709">
        <f t="shared" si="19"/>
        <v>2620.0348535199955</v>
      </c>
      <c r="U75" s="702">
        <f ca="1">O75-R75</f>
        <v>-492.76753215608915</v>
      </c>
      <c r="V75" s="703">
        <f t="shared" ca="1" si="5"/>
        <v>3112.8023856760847</v>
      </c>
      <c r="Z75" s="645"/>
      <c r="AA75" s="921" t="s">
        <v>28</v>
      </c>
      <c r="AB75" s="709">
        <f t="shared" si="112"/>
        <v>61187.931159929998</v>
      </c>
      <c r="AC75" s="702">
        <f t="shared" ca="1" si="110"/>
        <v>40044.4635300054</v>
      </c>
      <c r="AD75" s="866">
        <f t="shared" ca="1" si="111"/>
        <v>21143.467629924598</v>
      </c>
      <c r="AE75" s="702"/>
      <c r="AF75" s="702"/>
      <c r="AG75" s="702"/>
      <c r="AH75" s="702"/>
      <c r="AI75" s="709">
        <f>SUM(AI25:AI74)</f>
        <v>75390.370315220032</v>
      </c>
      <c r="AJ75" s="702">
        <f t="shared" ca="1" si="57"/>
        <v>40044.4635300054</v>
      </c>
      <c r="AK75" s="866">
        <f t="shared" ca="1" si="113"/>
        <v>35345.906785214633</v>
      </c>
    </row>
    <row r="76" spans="1:37">
      <c r="A76" s="697">
        <f>MATCH(C76,'Data Processing'!C:C,0)</f>
        <v>73</v>
      </c>
      <c r="B76" s="680"/>
      <c r="C76" s="662">
        <v>15</v>
      </c>
      <c r="D76" s="663" t="str">
        <f>INDEX('Data Processing'!G:G,A76)</f>
        <v>Loan Commitments</v>
      </c>
      <c r="E76" s="664">
        <f>INDEX('Data Processing'!O:O,$A76)</f>
        <v>17243.170592639999</v>
      </c>
      <c r="F76" s="715">
        <f ca="1">INDEX('Data Processing'!$I:$I,$A76)</f>
        <v>8.6999999999999994E-2</v>
      </c>
      <c r="G76" s="671">
        <f ca="1">INDEX('Data Processing'!$J:$J,$A76)</f>
        <v>0.14499999999999999</v>
      </c>
      <c r="H76" s="664">
        <f ca="1">INDEX('Data Processing'!AC:AC,$A76)</f>
        <v>15743.014751080318</v>
      </c>
      <c r="I76" s="664">
        <f ca="1">INDEX('Data Processing'!AE:AE,$A76)</f>
        <v>14742.910856707198</v>
      </c>
      <c r="J76" s="664"/>
      <c r="K76" s="664" t="s">
        <v>1030</v>
      </c>
      <c r="L76" s="663" t="str">
        <f ca="1">INDEX('Data Processing'!K:K,A76)</f>
        <v>8.7% of Current Balance</v>
      </c>
      <c r="M76" s="681" t="str">
        <f>INDEX('Data Processing'!AR:AR,A76)</f>
        <v>OB Outflow</v>
      </c>
      <c r="N76" s="707">
        <f t="shared" si="48"/>
        <v>17243.170592639999</v>
      </c>
      <c r="O76" s="664">
        <f t="shared" ca="1" si="49"/>
        <v>15743.014751080318</v>
      </c>
      <c r="P76" s="681">
        <f t="shared" ca="1" si="18"/>
        <v>1500.155841559681</v>
      </c>
      <c r="Q76" s="707">
        <v>18558.10231084</v>
      </c>
      <c r="R76" s="664">
        <v>16238.339521984999</v>
      </c>
      <c r="S76" s="681">
        <v>2319.7627888550014</v>
      </c>
      <c r="T76" s="707">
        <f t="shared" si="19"/>
        <v>-1314.9317182000013</v>
      </c>
      <c r="U76" s="664">
        <f t="shared" ca="1" si="4"/>
        <v>-495.32477090468092</v>
      </c>
      <c r="V76" s="681">
        <f t="shared" ca="1" si="5"/>
        <v>-819.60694729532042</v>
      </c>
      <c r="X76" s="443">
        <v>22</v>
      </c>
      <c r="Z76" s="645"/>
      <c r="AA76" s="919" t="s">
        <v>39</v>
      </c>
      <c r="AB76" s="707">
        <f t="shared" si="112"/>
        <v>17243.170592639999</v>
      </c>
      <c r="AC76" s="664">
        <f t="shared" ca="1" si="110"/>
        <v>15743.014751080318</v>
      </c>
      <c r="AD76" s="860">
        <f t="shared" ca="1" si="111"/>
        <v>1500.155841559681</v>
      </c>
      <c r="AE76" s="664"/>
      <c r="AF76" s="664"/>
      <c r="AG76" s="664">
        <f t="shared" ref="AG76:AG77" si="114">IF(AE76="",0,AE76-AB76)</f>
        <v>0</v>
      </c>
      <c r="AH76" s="664">
        <f t="shared" ref="AH76:AH77" si="115">IF(AF76="",0,AF76-AC76)</f>
        <v>0</v>
      </c>
      <c r="AI76" s="707">
        <f t="shared" si="60"/>
        <v>17243.170592639999</v>
      </c>
      <c r="AJ76" s="664">
        <f t="shared" ca="1" si="57"/>
        <v>15743.014751080318</v>
      </c>
      <c r="AK76" s="860">
        <f t="shared" ca="1" si="113"/>
        <v>1500.155841559681</v>
      </c>
    </row>
    <row r="77" spans="1:37">
      <c r="A77" s="476">
        <f>MATCH(C77,'Data Processing'!C:C,0)</f>
        <v>74</v>
      </c>
      <c r="B77" s="682"/>
      <c r="C77" s="665">
        <v>16</v>
      </c>
      <c r="D77" s="666" t="str">
        <f>INDEX('Data Processing'!G:G,A77)</f>
        <v>Credit Enhancement Facility - CPDP</v>
      </c>
      <c r="E77" s="651">
        <f>INDEX('Data Processing'!O:O,$A77)</f>
        <v>560</v>
      </c>
      <c r="F77" s="716">
        <f ca="1">INDEX('Data Processing'!$I:$I,$A77)</f>
        <v>0.40399999999999991</v>
      </c>
      <c r="G77" s="672">
        <f ca="1">INDEX('Data Processing'!$J:$J,$A77)</f>
        <v>0.42699999999999982</v>
      </c>
      <c r="H77" s="651">
        <f ca="1">INDEX('Data Processing'!AC:AC,$A77)</f>
        <v>333.76</v>
      </c>
      <c r="I77" s="651">
        <f ca="1">INDEX('Data Processing'!AE:AE,$A77)</f>
        <v>320.88</v>
      </c>
      <c r="J77" s="651"/>
      <c r="K77" s="651" t="s">
        <v>1030</v>
      </c>
      <c r="L77" s="666" t="str">
        <f ca="1">INDEX('Data Processing'!K:K,A77)</f>
        <v>40.4% of Current Balance</v>
      </c>
      <c r="M77" s="683" t="str">
        <f>INDEX('Data Processing'!AR:AR,A77)</f>
        <v>OB Outflow</v>
      </c>
      <c r="N77" s="708">
        <f t="shared" si="48"/>
        <v>560</v>
      </c>
      <c r="O77" s="651">
        <f t="shared" ca="1" si="49"/>
        <v>333.76</v>
      </c>
      <c r="P77" s="683">
        <f t="shared" ca="1" si="18"/>
        <v>226.24</v>
      </c>
      <c r="Q77" s="708">
        <v>706.43664028000001</v>
      </c>
      <c r="R77" s="651">
        <v>557.37850918091999</v>
      </c>
      <c r="S77" s="683">
        <v>149.05813109908001</v>
      </c>
      <c r="T77" s="708">
        <f t="shared" si="19"/>
        <v>-146.43664028000001</v>
      </c>
      <c r="U77" s="651">
        <f t="shared" ca="1" si="4"/>
        <v>-223.61850918092</v>
      </c>
      <c r="V77" s="683">
        <f t="shared" ca="1" si="5"/>
        <v>77.181868900919994</v>
      </c>
      <c r="X77" s="443">
        <v>23</v>
      </c>
      <c r="Z77" s="645"/>
      <c r="AA77" s="920" t="s">
        <v>1576</v>
      </c>
      <c r="AB77" s="708">
        <f t="shared" si="112"/>
        <v>560</v>
      </c>
      <c r="AC77" s="651">
        <f t="shared" ca="1" si="110"/>
        <v>333.76</v>
      </c>
      <c r="AD77" s="862">
        <f t="shared" ca="1" si="111"/>
        <v>226.24</v>
      </c>
      <c r="AE77" s="651"/>
      <c r="AF77" s="651"/>
      <c r="AG77" s="651">
        <f t="shared" si="114"/>
        <v>0</v>
      </c>
      <c r="AH77" s="651">
        <f t="shared" si="115"/>
        <v>0</v>
      </c>
      <c r="AI77" s="708">
        <f t="shared" si="60"/>
        <v>560</v>
      </c>
      <c r="AJ77" s="651">
        <f t="shared" ca="1" si="57"/>
        <v>333.76</v>
      </c>
      <c r="AK77" s="862">
        <f t="shared" ca="1" si="113"/>
        <v>226.24</v>
      </c>
    </row>
    <row r="78" spans="1:37">
      <c r="A78" s="864">
        <f>MATCH(C78,'Data Processing'!C:C,0)</f>
        <v>75</v>
      </c>
      <c r="B78" s="682"/>
      <c r="C78" s="665">
        <v>16.100000000000001</v>
      </c>
      <c r="D78" s="666" t="str">
        <f>INDEX('Data Processing'!G:G,A78)</f>
        <v>Credit Enhancement Facility - 80/20</v>
      </c>
      <c r="E78" s="651">
        <f>INDEX('Data Processing'!O:O,$A78)</f>
        <v>1122.824177</v>
      </c>
      <c r="F78" s="716">
        <f ca="1">INDEX('Data Processing'!$I:$I,$A78)</f>
        <v>3.261E-2</v>
      </c>
      <c r="G78" s="672">
        <f ca="1">INDEX('Data Processing'!$J:$J,$A78)</f>
        <v>5.4350000000000009E-2</v>
      </c>
      <c r="H78" s="651">
        <f ca="1">INDEX('Data Processing'!AC:AC,$A78)</f>
        <v>1086.2088805880301</v>
      </c>
      <c r="I78" s="651">
        <f ca="1">INDEX('Data Processing'!AE:AE,$A78)</f>
        <v>1061.79868298005</v>
      </c>
      <c r="J78" s="651"/>
      <c r="K78" s="651" t="s">
        <v>1030</v>
      </c>
      <c r="L78" s="666" t="str">
        <f ca="1">INDEX('Data Processing'!K:K,A78)</f>
        <v>3.3% of Current Balance</v>
      </c>
      <c r="M78" s="683" t="str">
        <f>INDEX('Data Processing'!AR:AR,A78)</f>
        <v>OB Outflow</v>
      </c>
      <c r="N78" s="708">
        <f t="shared" ref="N78" si="116">E78</f>
        <v>1122.824177</v>
      </c>
      <c r="O78" s="651">
        <f t="shared" ref="O78" ca="1" si="117">H78</f>
        <v>1086.2088805880301</v>
      </c>
      <c r="P78" s="683">
        <f t="shared" ref="P78" ca="1" si="118">E78-H78</f>
        <v>36.615296411969894</v>
      </c>
      <c r="Q78" s="708">
        <v>706.43664028000001</v>
      </c>
      <c r="R78" s="651">
        <v>557.37850918091999</v>
      </c>
      <c r="S78" s="683">
        <v>149.05813109908001</v>
      </c>
      <c r="T78" s="708">
        <f t="shared" ref="T78" si="119">N78-Q78</f>
        <v>416.38753671999996</v>
      </c>
      <c r="U78" s="651">
        <f t="shared" ref="U78" ca="1" si="120">O78-R78</f>
        <v>528.83037140711008</v>
      </c>
      <c r="V78" s="683">
        <f t="shared" ref="V78" ca="1" si="121">P78-S78</f>
        <v>-112.44283468711012</v>
      </c>
      <c r="X78" s="443">
        <v>25</v>
      </c>
      <c r="Z78" s="645"/>
      <c r="AA78" s="920" t="s">
        <v>1576</v>
      </c>
      <c r="AB78" s="708">
        <f t="shared" ref="AB78" si="122">N78</f>
        <v>1122.824177</v>
      </c>
      <c r="AC78" s="651">
        <f t="shared" ref="AC78" ca="1" si="123">O78</f>
        <v>1086.2088805880301</v>
      </c>
      <c r="AD78" s="862">
        <f t="shared" ref="AD78" ca="1" si="124">P78</f>
        <v>36.615296411969894</v>
      </c>
      <c r="AE78" s="651"/>
      <c r="AF78" s="651"/>
      <c r="AG78" s="651">
        <f t="shared" ref="AG78" si="125">IF(AE78="",0,AE78-AB78)</f>
        <v>0</v>
      </c>
      <c r="AH78" s="651">
        <f t="shared" ref="AH78" si="126">IF(AF78="",0,AF78-AC78)</f>
        <v>0</v>
      </c>
      <c r="AI78" s="708">
        <f t="shared" ref="AI78" si="127">AB78+AG78</f>
        <v>1122.824177</v>
      </c>
      <c r="AJ78" s="651">
        <f t="shared" ref="AJ78" ca="1" si="128">AC78+AH78</f>
        <v>1086.2088805880301</v>
      </c>
      <c r="AK78" s="862">
        <f t="shared" ref="AK78" ca="1" si="129">AI78-AJ78</f>
        <v>36.615296411969894</v>
      </c>
    </row>
    <row r="79" spans="1:37">
      <c r="A79" s="697">
        <f>MATCH(C79,'Data Processing'!C:C,0)</f>
        <v>76</v>
      </c>
      <c r="B79" s="680"/>
      <c r="C79" s="668">
        <v>17</v>
      </c>
      <c r="D79" s="663" t="str">
        <f>INDEX('Data Processing'!G:G,A79)</f>
        <v>Stand By LC</v>
      </c>
      <c r="E79" s="664">
        <f>INDEX('Data Processing'!O:O,$A79)</f>
        <v>1276.1819958300009</v>
      </c>
      <c r="F79" s="715">
        <f ca="1">INDEX('Data Processing'!$I:$I,$A79)</f>
        <v>0</v>
      </c>
      <c r="G79" s="671">
        <f ca="1">INDEX('Data Processing'!$J:$J,$A79)</f>
        <v>0</v>
      </c>
      <c r="H79" s="664">
        <f ca="1">INDEX('Data Processing'!AC:AC,$A79)</f>
        <v>1276.1819958300009</v>
      </c>
      <c r="I79" s="664">
        <f ca="1">INDEX('Data Processing'!AE:AE,$A79)</f>
        <v>1276.1819958300009</v>
      </c>
      <c r="J79" s="664"/>
      <c r="K79" s="664" t="s">
        <v>1030</v>
      </c>
      <c r="L79" s="663" t="str">
        <f ca="1">INDEX('Data Processing'!K:K,A79)</f>
        <v>0% of Current Balance</v>
      </c>
      <c r="M79" s="681" t="str">
        <f>INDEX('Data Processing'!AR:AR,A79)</f>
        <v>OB Outflow</v>
      </c>
      <c r="N79" s="707">
        <f t="shared" ref="N79" si="130">E79</f>
        <v>1276.1819958300009</v>
      </c>
      <c r="O79" s="664">
        <f t="shared" ref="O79" ca="1" si="131">H79</f>
        <v>1276.1819958300009</v>
      </c>
      <c r="P79" s="681">
        <f t="shared" ref="P79" ca="1" si="132">E79-H79</f>
        <v>0</v>
      </c>
      <c r="Q79" s="707">
        <v>706.43664028000001</v>
      </c>
      <c r="R79" s="664">
        <v>557.37850918091999</v>
      </c>
      <c r="S79" s="681">
        <v>149.05813109908001</v>
      </c>
      <c r="T79" s="707">
        <f t="shared" ref="T79" si="133">N79-Q79</f>
        <v>569.74535555000091</v>
      </c>
      <c r="U79" s="664">
        <f t="shared" ref="U79" ca="1" si="134">O79-R79</f>
        <v>718.80348664908092</v>
      </c>
      <c r="V79" s="681">
        <f t="shared" ref="V79" ca="1" si="135">P79-S79</f>
        <v>-149.05813109908001</v>
      </c>
      <c r="X79" s="443">
        <v>28</v>
      </c>
      <c r="Z79" s="645"/>
      <c r="AA79" s="919" t="s">
        <v>1576</v>
      </c>
      <c r="AB79" s="707">
        <f t="shared" ref="AB79" si="136">N79</f>
        <v>1276.1819958300009</v>
      </c>
      <c r="AC79" s="664">
        <f t="shared" ref="AC79" ca="1" si="137">O79</f>
        <v>1276.1819958300009</v>
      </c>
      <c r="AD79" s="860">
        <f t="shared" ref="AD79" ca="1" si="138">P79</f>
        <v>0</v>
      </c>
      <c r="AE79" s="664"/>
      <c r="AF79" s="664"/>
      <c r="AG79" s="664">
        <f t="shared" ref="AG79" si="139">IF(AE79="",0,AE79-AB79)</f>
        <v>0</v>
      </c>
      <c r="AH79" s="664">
        <f t="shared" ref="AH79" si="140">IF(AF79="",0,AF79-AC79)</f>
        <v>0</v>
      </c>
      <c r="AI79" s="707">
        <f t="shared" ref="AI79" si="141">AB79+AG79</f>
        <v>1276.1819958300009</v>
      </c>
      <c r="AJ79" s="664">
        <f t="shared" ref="AJ79" ca="1" si="142">AC79+AH79</f>
        <v>1276.1819958300009</v>
      </c>
      <c r="AK79" s="860">
        <f t="shared" ref="AK79" ca="1" si="143">AI79-AJ79</f>
        <v>0</v>
      </c>
    </row>
    <row r="80" spans="1:37">
      <c r="A80" s="477"/>
      <c r="B80" s="686"/>
      <c r="C80" s="687"/>
      <c r="D80" s="688" t="s">
        <v>1207</v>
      </c>
      <c r="E80" s="689"/>
      <c r="F80" s="688"/>
      <c r="G80" s="688"/>
      <c r="H80" s="689"/>
      <c r="I80" s="689"/>
      <c r="J80" s="689"/>
      <c r="K80" s="689"/>
      <c r="L80" s="688"/>
      <c r="M80" s="704" t="s">
        <v>1241</v>
      </c>
      <c r="N80" s="711"/>
      <c r="O80" s="689"/>
      <c r="P80" s="690">
        <v>150</v>
      </c>
      <c r="Q80" s="711"/>
      <c r="R80" s="689"/>
      <c r="S80" s="690">
        <v>150</v>
      </c>
      <c r="T80" s="711"/>
      <c r="U80" s="689"/>
      <c r="V80" s="690">
        <f t="shared" si="5"/>
        <v>0</v>
      </c>
      <c r="Z80" s="645"/>
      <c r="AA80" s="923" t="s">
        <v>1207</v>
      </c>
      <c r="AB80" s="924"/>
      <c r="AC80" s="872"/>
      <c r="AD80" s="925">
        <v>150</v>
      </c>
      <c r="AE80" s="872"/>
      <c r="AF80" s="872"/>
      <c r="AG80" s="872"/>
      <c r="AH80" s="872"/>
      <c r="AI80" s="924"/>
      <c r="AJ80" s="872"/>
      <c r="AK80" s="925">
        <v>150</v>
      </c>
    </row>
    <row r="83" spans="4:16" ht="51" customHeight="1">
      <c r="D83" s="781"/>
      <c r="E83" s="972"/>
      <c r="F83" s="781"/>
      <c r="G83" s="781"/>
      <c r="H83" s="878"/>
      <c r="I83" s="877"/>
      <c r="J83" s="877"/>
      <c r="K83" s="877"/>
      <c r="L83" s="781"/>
      <c r="M83" s="877"/>
      <c r="N83" s="877"/>
      <c r="O83" s="877"/>
      <c r="P83" s="877"/>
    </row>
    <row r="84" spans="4:16">
      <c r="D84" s="781"/>
      <c r="E84" s="911"/>
      <c r="F84" s="912"/>
      <c r="G84" s="781"/>
      <c r="H84" s="877"/>
      <c r="I84" s="877"/>
      <c r="J84" s="877"/>
      <c r="K84" s="877"/>
      <c r="L84" s="781"/>
      <c r="M84" s="877"/>
      <c r="N84" s="877"/>
      <c r="O84" s="877"/>
      <c r="P84" s="877"/>
    </row>
    <row r="85" spans="4:16">
      <c r="D85" s="781"/>
      <c r="E85" s="911"/>
      <c r="F85" s="912"/>
      <c r="G85" s="781"/>
      <c r="H85" s="879"/>
      <c r="I85" s="877"/>
      <c r="J85" s="877"/>
      <c r="K85" s="877"/>
      <c r="L85" s="781"/>
      <c r="M85" s="877"/>
      <c r="N85" s="877"/>
      <c r="O85" s="877"/>
      <c r="P85" s="877"/>
    </row>
    <row r="86" spans="4:16">
      <c r="D86" s="781"/>
      <c r="E86" s="911"/>
      <c r="F86" s="912"/>
      <c r="G86" s="781"/>
      <c r="H86" s="877"/>
      <c r="I86" s="877"/>
      <c r="J86" s="877"/>
      <c r="K86" s="877"/>
      <c r="L86" s="781"/>
      <c r="M86" s="877"/>
      <c r="N86" s="877"/>
      <c r="O86" s="877"/>
      <c r="P86" s="877"/>
    </row>
    <row r="87" spans="4:16">
      <c r="D87" s="781"/>
      <c r="E87" s="911"/>
      <c r="F87" s="912"/>
      <c r="G87" s="781"/>
      <c r="H87" s="879"/>
      <c r="I87" s="879"/>
      <c r="J87" s="879"/>
      <c r="K87" s="877"/>
      <c r="L87" s="781"/>
      <c r="M87" s="877"/>
      <c r="N87" s="877"/>
      <c r="O87" s="877"/>
      <c r="P87" s="877"/>
    </row>
    <row r="88" spans="4:16">
      <c r="D88" s="781"/>
      <c r="E88" s="911"/>
      <c r="F88" s="912"/>
      <c r="G88" s="781"/>
      <c r="H88" s="877"/>
      <c r="I88" s="877"/>
      <c r="J88" s="877"/>
      <c r="K88" s="877"/>
      <c r="L88" s="781"/>
      <c r="M88" s="877"/>
      <c r="N88" s="877"/>
      <c r="O88" s="877"/>
      <c r="P88" s="877"/>
    </row>
    <row r="89" spans="4:16">
      <c r="D89" s="781"/>
      <c r="E89" s="911"/>
      <c r="F89" s="912"/>
      <c r="G89" s="781"/>
      <c r="H89" s="877"/>
      <c r="I89" s="877"/>
      <c r="J89" s="877"/>
      <c r="K89" s="877"/>
      <c r="L89" s="781"/>
      <c r="M89" s="877"/>
      <c r="N89" s="877"/>
      <c r="O89" s="877"/>
      <c r="P89" s="877"/>
    </row>
    <row r="90" spans="4:16">
      <c r="D90" s="781"/>
      <c r="E90" s="911"/>
      <c r="F90" s="912"/>
      <c r="G90" s="781"/>
      <c r="H90" s="877"/>
      <c r="I90" s="877"/>
      <c r="J90" s="877"/>
      <c r="K90" s="877"/>
      <c r="L90" s="781"/>
      <c r="M90" s="877"/>
      <c r="N90" s="877"/>
      <c r="O90" s="877"/>
      <c r="P90" s="877"/>
    </row>
    <row r="91" spans="4:16">
      <c r="D91" s="781"/>
      <c r="E91" s="911"/>
      <c r="F91" s="912"/>
      <c r="G91" s="781"/>
      <c r="H91" s="877"/>
      <c r="I91" s="877"/>
      <c r="J91" s="877"/>
      <c r="K91" s="877"/>
      <c r="L91" s="781"/>
      <c r="M91" s="877"/>
      <c r="N91" s="877"/>
      <c r="O91" s="877"/>
      <c r="P91" s="877"/>
    </row>
    <row r="92" spans="4:16">
      <c r="D92" s="781"/>
      <c r="E92" s="911"/>
      <c r="F92" s="912"/>
      <c r="G92" s="781"/>
      <c r="H92" s="877"/>
      <c r="I92" s="877"/>
      <c r="J92" s="877"/>
      <c r="K92" s="877"/>
      <c r="L92" s="781"/>
      <c r="M92" s="877"/>
      <c r="N92" s="877"/>
      <c r="O92" s="877"/>
      <c r="P92" s="877"/>
    </row>
    <row r="93" spans="4:16">
      <c r="D93" s="781"/>
      <c r="E93" s="877"/>
      <c r="F93" s="781"/>
      <c r="G93" s="781"/>
      <c r="H93" s="877"/>
      <c r="I93" s="877"/>
      <c r="J93" s="877"/>
      <c r="K93" s="877"/>
      <c r="L93" s="781"/>
      <c r="M93" s="877"/>
      <c r="N93" s="877"/>
      <c r="O93" s="877"/>
      <c r="P93" s="877"/>
    </row>
    <row r="94" spans="4:16">
      <c r="D94" s="781"/>
      <c r="E94" s="877"/>
      <c r="F94" s="781"/>
      <c r="G94" s="781"/>
      <c r="H94" s="877"/>
      <c r="I94" s="877"/>
      <c r="J94" s="877"/>
      <c r="K94" s="877"/>
      <c r="L94" s="781"/>
      <c r="M94" s="877"/>
      <c r="N94" s="877"/>
      <c r="O94" s="877"/>
      <c r="P94" s="877"/>
    </row>
    <row r="95" spans="4:16">
      <c r="D95" s="781"/>
      <c r="E95" s="877"/>
      <c r="F95" s="781"/>
      <c r="G95" s="781"/>
      <c r="H95" s="877"/>
      <c r="I95" s="877"/>
      <c r="J95" s="877"/>
      <c r="K95" s="877"/>
      <c r="L95" s="781"/>
      <c r="M95" s="877"/>
      <c r="N95" s="877"/>
      <c r="O95" s="877"/>
      <c r="P95" s="877"/>
    </row>
    <row r="96" spans="4:16">
      <c r="D96" s="880"/>
      <c r="E96" s="877"/>
      <c r="F96" s="781"/>
      <c r="G96" s="781"/>
      <c r="H96" s="877"/>
      <c r="I96" s="877"/>
      <c r="J96" s="877"/>
      <c r="K96" s="877"/>
      <c r="L96" s="781"/>
      <c r="M96" s="877"/>
      <c r="N96" s="877"/>
      <c r="O96" s="877"/>
      <c r="P96" s="877"/>
    </row>
    <row r="97" spans="1:16">
      <c r="D97" s="880"/>
      <c r="E97" s="877"/>
      <c r="F97" s="881"/>
      <c r="G97" s="781"/>
      <c r="H97" s="877"/>
      <c r="I97" s="877"/>
      <c r="J97" s="877"/>
      <c r="K97" s="877"/>
      <c r="L97" s="781"/>
      <c r="M97" s="877"/>
      <c r="N97" s="877"/>
      <c r="O97" s="877"/>
      <c r="P97" s="877"/>
    </row>
    <row r="98" spans="1:16">
      <c r="D98" s="781"/>
      <c r="E98" s="877"/>
      <c r="F98" s="781"/>
      <c r="G98" s="781"/>
      <c r="H98" s="877"/>
      <c r="I98" s="877"/>
      <c r="J98" s="877"/>
      <c r="K98" s="877"/>
      <c r="L98" s="781"/>
      <c r="M98" s="877"/>
      <c r="N98" s="877"/>
      <c r="O98" s="877"/>
      <c r="P98" s="877"/>
    </row>
    <row r="99" spans="1:16">
      <c r="D99" s="781"/>
      <c r="E99" s="877"/>
      <c r="F99" s="781"/>
      <c r="G99" s="781"/>
      <c r="H99" s="877"/>
      <c r="I99" s="877"/>
      <c r="J99" s="877"/>
      <c r="K99" s="877"/>
      <c r="L99" s="781"/>
      <c r="M99" s="877"/>
      <c r="N99" s="877"/>
      <c r="O99" s="877"/>
      <c r="P99" s="877"/>
    </row>
    <row r="100" spans="1:16" s="647" customFormat="1" ht="15">
      <c r="A100" s="478"/>
      <c r="B100" s="653"/>
      <c r="C100" s="478"/>
      <c r="D100" s="779"/>
      <c r="E100" s="882"/>
      <c r="F100" s="779"/>
      <c r="G100" s="779"/>
      <c r="H100" s="882"/>
      <c r="I100" s="882"/>
      <c r="J100" s="882"/>
      <c r="K100" s="882"/>
      <c r="L100" s="779"/>
      <c r="M100" s="882"/>
      <c r="N100" s="882"/>
      <c r="O100" s="882"/>
      <c r="P100" s="882"/>
    </row>
    <row r="101" spans="1:16">
      <c r="D101" s="781"/>
      <c r="E101" s="877"/>
      <c r="F101" s="781"/>
      <c r="G101" s="781"/>
      <c r="H101" s="877"/>
      <c r="I101" s="877"/>
      <c r="J101" s="877"/>
      <c r="K101" s="877"/>
      <c r="L101" s="781"/>
      <c r="M101" s="877"/>
      <c r="N101" s="877"/>
      <c r="O101" s="877"/>
      <c r="P101" s="877"/>
    </row>
    <row r="102" spans="1:16">
      <c r="D102" s="781"/>
      <c r="E102" s="877"/>
      <c r="F102" s="781"/>
      <c r="G102" s="781"/>
      <c r="H102" s="877"/>
      <c r="I102" s="877"/>
      <c r="J102" s="877"/>
      <c r="K102" s="877"/>
      <c r="L102" s="781"/>
      <c r="M102" s="877"/>
      <c r="N102" s="877"/>
      <c r="O102" s="877"/>
      <c r="P102" s="877"/>
    </row>
    <row r="103" spans="1:16" ht="34.5" customHeight="1">
      <c r="D103" s="781"/>
      <c r="E103" s="877"/>
      <c r="F103" s="781"/>
      <c r="G103" s="781"/>
      <c r="H103" s="877"/>
      <c r="I103" s="877"/>
      <c r="J103" s="877"/>
      <c r="K103" s="877"/>
      <c r="L103" s="781"/>
      <c r="M103" s="877"/>
      <c r="N103" s="877"/>
      <c r="O103" s="877"/>
      <c r="P103" s="877"/>
    </row>
    <row r="104" spans="1:16">
      <c r="D104" s="781"/>
      <c r="E104" s="877"/>
      <c r="F104" s="781"/>
      <c r="G104" s="781"/>
      <c r="H104" s="877"/>
      <c r="I104" s="877"/>
      <c r="J104" s="877"/>
      <c r="K104" s="877"/>
      <c r="L104" s="781"/>
      <c r="M104" s="877"/>
      <c r="N104" s="877"/>
      <c r="O104" s="877"/>
      <c r="P104" s="877"/>
    </row>
    <row r="105" spans="1:16">
      <c r="D105" s="781"/>
      <c r="E105" s="877"/>
      <c r="F105" s="781"/>
      <c r="G105" s="781"/>
      <c r="H105" s="877"/>
      <c r="I105" s="877"/>
      <c r="J105" s="877"/>
      <c r="K105" s="877"/>
      <c r="L105" s="781"/>
      <c r="M105" s="877"/>
      <c r="N105" s="877"/>
      <c r="O105" s="877"/>
      <c r="P105" s="877"/>
    </row>
    <row r="106" spans="1:16">
      <c r="D106" s="781"/>
      <c r="E106" s="877"/>
      <c r="F106" s="781"/>
      <c r="G106" s="781"/>
      <c r="H106" s="877"/>
      <c r="I106" s="877"/>
      <c r="J106" s="877"/>
      <c r="K106" s="877"/>
      <c r="L106" s="781"/>
      <c r="M106" s="877"/>
      <c r="N106" s="877"/>
      <c r="O106" s="877"/>
      <c r="P106" s="877"/>
    </row>
    <row r="107" spans="1:16">
      <c r="D107" s="781"/>
      <c r="E107" s="877"/>
      <c r="F107" s="781"/>
      <c r="G107" s="781"/>
      <c r="H107" s="877"/>
      <c r="I107" s="877"/>
      <c r="J107" s="877"/>
      <c r="K107" s="877"/>
      <c r="L107" s="781"/>
      <c r="M107" s="877"/>
      <c r="N107" s="877"/>
      <c r="O107" s="877"/>
      <c r="P107" s="877"/>
    </row>
    <row r="108" spans="1:16">
      <c r="D108" s="781"/>
      <c r="E108" s="877"/>
      <c r="F108" s="781"/>
      <c r="G108" s="781"/>
      <c r="H108" s="877"/>
      <c r="I108" s="877"/>
      <c r="J108" s="877"/>
      <c r="K108" s="877"/>
      <c r="L108" s="781"/>
      <c r="M108" s="877"/>
      <c r="N108" s="877"/>
      <c r="O108" s="877"/>
      <c r="P108" s="877"/>
    </row>
    <row r="109" spans="1:16">
      <c r="D109" s="781"/>
      <c r="E109" s="877"/>
      <c r="F109" s="781"/>
      <c r="G109" s="781"/>
      <c r="H109" s="877"/>
      <c r="I109" s="877"/>
      <c r="J109" s="877"/>
      <c r="K109" s="877"/>
      <c r="L109" s="781"/>
      <c r="M109" s="877"/>
      <c r="N109" s="877"/>
      <c r="O109" s="877"/>
      <c r="P109" s="877"/>
    </row>
    <row r="124" spans="1:12" s="647" customFormat="1" ht="15">
      <c r="A124" s="478"/>
      <c r="B124" s="653"/>
      <c r="C124" s="478"/>
      <c r="D124" s="436"/>
      <c r="F124" s="436"/>
      <c r="G124" s="436"/>
      <c r="L124" s="436"/>
    </row>
  </sheetData>
  <pageMargins left="0.25" right="0.25" top="0.75" bottom="0.75" header="0.3" footer="0.3"/>
  <pageSetup scale="44"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Assumptions!$AN$1:$AN$6</xm:f>
          </x14:formula1>
          <xm:sqref>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tint="-0.249977111117893"/>
  </sheetPr>
  <dimension ref="A1:G23"/>
  <sheetViews>
    <sheetView workbookViewId="0">
      <selection activeCell="D18" sqref="D18:D23"/>
    </sheetView>
  </sheetViews>
  <sheetFormatPr defaultColWidth="30.375" defaultRowHeight="14.25"/>
  <sheetData>
    <row r="1" spans="1:3" ht="18">
      <c r="A1" s="783" t="s">
        <v>1538</v>
      </c>
      <c r="B1" s="783"/>
    </row>
    <row r="2" spans="1:3">
      <c r="A2" s="809" t="s">
        <v>1242</v>
      </c>
      <c r="B2" s="809" t="str">
        <f>'Model Report Formatized'!E1</f>
        <v>Combined</v>
      </c>
    </row>
    <row r="3" spans="1:3" ht="28.5" customHeight="1">
      <c r="A3" s="989" t="s">
        <v>1539</v>
      </c>
      <c r="B3" s="990"/>
    </row>
    <row r="4" spans="1:3" ht="28.5">
      <c r="A4" s="790" t="s">
        <v>1518</v>
      </c>
      <c r="B4" s="823">
        <f ca="1">DailyCashflow!C42</f>
        <v>-7862.8984191519748</v>
      </c>
    </row>
    <row r="5" spans="1:3" ht="28.5">
      <c r="A5" s="790" t="s">
        <v>1537</v>
      </c>
      <c r="B5" s="823">
        <f ca="1">DailyCashflow!C43</f>
        <v>-14821.237089249275</v>
      </c>
    </row>
    <row r="6" spans="1:3">
      <c r="A6" s="795" t="s">
        <v>1540</v>
      </c>
      <c r="B6" s="823">
        <f ca="1">DailyCashflow!C44</f>
        <v>-22684.13550840125</v>
      </c>
    </row>
    <row r="7" spans="1:3" ht="42.75">
      <c r="A7" s="831" t="s">
        <v>1541</v>
      </c>
      <c r="B7" s="832">
        <f ca="1">DailyCashflow!C45</f>
        <v>22684.13550840125</v>
      </c>
    </row>
    <row r="8" spans="1:3">
      <c r="A8" s="831" t="s">
        <v>1542</v>
      </c>
      <c r="B8" s="832">
        <f>DailyCashflow!C46</f>
        <v>32995.072847883108</v>
      </c>
    </row>
    <row r="9" spans="1:3">
      <c r="A9" s="831" t="s">
        <v>1543</v>
      </c>
      <c r="B9" s="832">
        <f ca="1">DailyCashflow!C47</f>
        <v>10310.937339481858</v>
      </c>
    </row>
    <row r="14" spans="1:3" ht="18">
      <c r="A14" s="783" t="s">
        <v>1544</v>
      </c>
      <c r="C14" s="783" t="str">
        <f>"As of " &amp; TEXT('Model Report Formatized'!E2,"mm/dd/yyyy")</f>
        <v>As of 12/31/2018</v>
      </c>
    </row>
    <row r="17" spans="1:7">
      <c r="A17" s="815" t="s">
        <v>1242</v>
      </c>
      <c r="B17" s="815" t="s">
        <v>1112</v>
      </c>
      <c r="C17" s="815" t="s">
        <v>1113</v>
      </c>
      <c r="D17" s="815" t="s">
        <v>1111</v>
      </c>
      <c r="E17" s="8"/>
      <c r="G17" s="8"/>
    </row>
    <row r="18" spans="1:7" ht="28.5">
      <c r="A18" s="826" t="s">
        <v>1518</v>
      </c>
      <c r="B18" s="827">
        <v>-7862.8984191519748</v>
      </c>
      <c r="C18" s="827">
        <v>-6417.604496061489</v>
      </c>
      <c r="D18" s="827">
        <v>-3778.2224986378646</v>
      </c>
    </row>
    <row r="19" spans="1:7" ht="28.5">
      <c r="A19" s="826" t="s">
        <v>1537</v>
      </c>
      <c r="B19" s="827">
        <v>-14821.237089249275</v>
      </c>
      <c r="C19" s="827">
        <v>-14366.830952151111</v>
      </c>
      <c r="D19" s="827">
        <v>-14696.716972915887</v>
      </c>
    </row>
    <row r="20" spans="1:7">
      <c r="A20" s="828" t="s">
        <v>1540</v>
      </c>
      <c r="B20" s="827">
        <v>-22684.13550840125</v>
      </c>
      <c r="C20" s="827">
        <v>-20784.4354482126</v>
      </c>
      <c r="D20" s="827">
        <v>-18474.939471553753</v>
      </c>
    </row>
    <row r="21" spans="1:7" ht="42.75">
      <c r="A21" s="829" t="s">
        <v>1541</v>
      </c>
      <c r="B21" s="830">
        <v>22684.13550840125</v>
      </c>
      <c r="C21" s="830">
        <v>20784.4354482126</v>
      </c>
      <c r="D21" s="830">
        <v>18474.939471553753</v>
      </c>
    </row>
    <row r="22" spans="1:7">
      <c r="A22" s="829" t="s">
        <v>1542</v>
      </c>
      <c r="B22" s="830">
        <v>32995.072847883108</v>
      </c>
      <c r="C22" s="830">
        <v>33012.389832313784</v>
      </c>
      <c r="D22" s="830">
        <v>33024.761897953853</v>
      </c>
    </row>
    <row r="23" spans="1:7">
      <c r="A23" s="829" t="s">
        <v>1543</v>
      </c>
      <c r="B23" s="830">
        <v>10310.937339481858</v>
      </c>
      <c r="C23" s="830">
        <v>12227.954384101184</v>
      </c>
      <c r="D23" s="830">
        <v>14549.8224264001</v>
      </c>
    </row>
  </sheetData>
  <mergeCells count="1">
    <mergeCell ref="A3:B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ScenarioRun">
                <anchor moveWithCells="1" sizeWithCells="1">
                  <from>
                    <xdr:col>2</xdr:col>
                    <xdr:colOff>1438275</xdr:colOff>
                    <xdr:row>2</xdr:row>
                    <xdr:rowOff>66675</xdr:rowOff>
                  </from>
                  <to>
                    <xdr:col>3</xdr:col>
                    <xdr:colOff>47625</xdr:colOff>
                    <xdr:row>3</xdr:row>
                    <xdr:rowOff>238125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sheetPr>
  <dimension ref="A1:I54"/>
  <sheetViews>
    <sheetView workbookViewId="0">
      <selection activeCell="B11" sqref="B11"/>
    </sheetView>
  </sheetViews>
  <sheetFormatPr defaultColWidth="8.75" defaultRowHeight="14.25"/>
  <cols>
    <col min="1" max="1" width="38.625" style="6" customWidth="1"/>
    <col min="2" max="2" width="16.375" style="6" bestFit="1" customWidth="1"/>
    <col min="3" max="3" width="13.25" style="6" bestFit="1" customWidth="1"/>
    <col min="4" max="4" width="13.875" style="6" bestFit="1" customWidth="1"/>
    <col min="5" max="5" width="16.5" style="6" bestFit="1" customWidth="1"/>
    <col min="6" max="7" width="13.75" style="6" bestFit="1" customWidth="1"/>
    <col min="8" max="8" width="10.75" style="6" bestFit="1" customWidth="1"/>
    <col min="9" max="9" width="11.125" style="6" bestFit="1" customWidth="1"/>
    <col min="10" max="11" width="11.25" style="6" bestFit="1" customWidth="1"/>
    <col min="12" max="12" width="10.75" style="6" bestFit="1" customWidth="1"/>
    <col min="13" max="13" width="11.125" style="6" bestFit="1" customWidth="1"/>
    <col min="14" max="16384" width="8.75" style="6"/>
  </cols>
  <sheetData>
    <row r="1" spans="1:7">
      <c r="A1" s="41" t="s">
        <v>1139</v>
      </c>
      <c r="B1" s="6" t="s">
        <v>1117</v>
      </c>
      <c r="C1" s="6" t="s">
        <v>1118</v>
      </c>
    </row>
    <row r="2" spans="1:7">
      <c r="A2" s="16" t="s">
        <v>1242</v>
      </c>
      <c r="B2" s="6" t="str">
        <f>'Model Report Formatized'!$E$1</f>
        <v>Combined</v>
      </c>
      <c r="C2" s="6" t="str">
        <f>'Model Report Formatized'!$E$1</f>
        <v>Combined</v>
      </c>
    </row>
    <row r="3" spans="1:7">
      <c r="A3" s="17" t="s">
        <v>1240</v>
      </c>
      <c r="B3" s="8">
        <f>'Model Report Formatized'!$E$2</f>
        <v>43465</v>
      </c>
      <c r="C3" s="8">
        <f>'Model Report Formatized'!$E$2</f>
        <v>43465</v>
      </c>
    </row>
    <row r="4" spans="1:7">
      <c r="A4" s="7" t="s">
        <v>1005</v>
      </c>
      <c r="B4" s="19">
        <f>-'Data Processing'!O3</f>
        <v>32995.072847883108</v>
      </c>
      <c r="C4" s="19">
        <f ca="1">B8</f>
        <v>10497.552635893871</v>
      </c>
      <c r="D4" s="19"/>
    </row>
    <row r="5" spans="1:7">
      <c r="A5" s="7" t="s">
        <v>1018</v>
      </c>
      <c r="B5" s="19">
        <f ca="1">-SUM('Data Processing'!AS4:BF22)</f>
        <v>372.34325949499998</v>
      </c>
      <c r="C5" s="19">
        <f ca="1">-SUM('Data Processing'!BG4:BH22)</f>
        <v>895.45506780255801</v>
      </c>
    </row>
    <row r="6" spans="1:7">
      <c r="A6" s="7" t="s">
        <v>1019</v>
      </c>
      <c r="B6" s="19">
        <f ca="1">-SUM('Data Processing'!AS23:BF72)</f>
        <v>-21143.467629924555</v>
      </c>
      <c r="C6" s="19">
        <f ca="1">-SUM('Data Processing'!BG23:BH72)</f>
        <v>-4362.9541154897979</v>
      </c>
    </row>
    <row r="7" spans="1:7">
      <c r="A7" s="7" t="s">
        <v>1068</v>
      </c>
      <c r="B7" s="19">
        <f ca="1">-SUM('Data Processing'!AS73:BF74)</f>
        <v>-1726.3958415596815</v>
      </c>
      <c r="C7" s="19">
        <f ca="1">-SUM('Data Processing'!BG73:BH74)</f>
        <v>-1012.9838943731197</v>
      </c>
    </row>
    <row r="8" spans="1:7">
      <c r="A8" s="18" t="s">
        <v>1114</v>
      </c>
      <c r="B8" s="19">
        <f ca="1">B4+B5+B6+B7</f>
        <v>10497.552635893871</v>
      </c>
      <c r="C8" s="19">
        <f ca="1">C4+C5+C6+C7</f>
        <v>6017.0696938335113</v>
      </c>
    </row>
    <row r="9" spans="1:7">
      <c r="A9" s="42" t="s">
        <v>1140</v>
      </c>
      <c r="B9" s="20"/>
      <c r="C9" s="22"/>
    </row>
    <row r="10" spans="1:7">
      <c r="A10" s="24" t="s">
        <v>1141</v>
      </c>
      <c r="B10" s="25">
        <f ca="1">B8-'Data Processing'!$AS$78</f>
        <v>10347.552635893871</v>
      </c>
      <c r="C10" s="25">
        <f ca="1">C8-'Data Processing'!$AS$78</f>
        <v>5867.0696938335113</v>
      </c>
      <c r="F10" s="33"/>
    </row>
    <row r="11" spans="1:7">
      <c r="A11" s="21" t="s">
        <v>1135</v>
      </c>
      <c r="B11" s="655">
        <f ca="1">B10-'Model Report Formatized'!H6</f>
        <v>36.615296412010139</v>
      </c>
      <c r="C11" s="22">
        <f ca="1">'Data Processing'!AE3+C10</f>
        <v>186.119140822806</v>
      </c>
    </row>
    <row r="12" spans="1:7">
      <c r="A12" s="21"/>
      <c r="B12" s="20"/>
      <c r="C12" s="22"/>
    </row>
    <row r="13" spans="1:7">
      <c r="A13" s="21"/>
      <c r="B13" s="20"/>
      <c r="C13" s="22"/>
    </row>
    <row r="15" spans="1:7">
      <c r="B15" s="8" t="s">
        <v>1117</v>
      </c>
      <c r="C15" s="8" t="s">
        <v>1118</v>
      </c>
      <c r="D15" s="6" t="s">
        <v>1117</v>
      </c>
      <c r="E15" s="6" t="s">
        <v>1118</v>
      </c>
      <c r="F15" s="6" t="s">
        <v>1117</v>
      </c>
      <c r="G15" s="6" t="s">
        <v>1118</v>
      </c>
    </row>
    <row r="16" spans="1:7" s="8" customFormat="1">
      <c r="A16" s="16" t="s">
        <v>1116</v>
      </c>
      <c r="B16" s="8" t="s">
        <v>1112</v>
      </c>
      <c r="C16" s="8" t="s">
        <v>1112</v>
      </c>
      <c r="D16" s="8" t="s">
        <v>1113</v>
      </c>
      <c r="E16" s="8" t="s">
        <v>1113</v>
      </c>
      <c r="F16" s="8" t="s">
        <v>1111</v>
      </c>
      <c r="G16" s="8" t="s">
        <v>1111</v>
      </c>
    </row>
    <row r="17" spans="1:9" s="10" customFormat="1" ht="28.5">
      <c r="A17" s="39" t="s">
        <v>1155</v>
      </c>
      <c r="B17" s="646">
        <v>42582</v>
      </c>
      <c r="C17" s="646">
        <v>42582</v>
      </c>
      <c r="D17" s="646">
        <v>42582</v>
      </c>
      <c r="E17" s="646">
        <v>42582</v>
      </c>
      <c r="F17" s="646">
        <v>42582</v>
      </c>
      <c r="G17" s="646">
        <v>42582</v>
      </c>
    </row>
    <row r="18" spans="1:9" s="10" customFormat="1">
      <c r="A18" s="7" t="s">
        <v>1005</v>
      </c>
      <c r="B18" s="19">
        <v>38441.831826900001</v>
      </c>
      <c r="C18" s="19">
        <v>9749.966129681201</v>
      </c>
      <c r="D18" s="19">
        <v>38441.831826900001</v>
      </c>
      <c r="E18" s="19">
        <v>19002.52726815916</v>
      </c>
      <c r="F18" s="19">
        <v>38441.831826900001</v>
      </c>
      <c r="G18" s="19">
        <v>30204.379599594882</v>
      </c>
    </row>
    <row r="19" spans="1:9" s="10" customFormat="1">
      <c r="A19" s="7" t="s">
        <v>1018</v>
      </c>
      <c r="B19" s="19">
        <v>486.07845287000168</v>
      </c>
      <c r="C19" s="19">
        <v>1090.980664100508</v>
      </c>
      <c r="D19" s="19">
        <v>582.62552389000166</v>
      </c>
      <c r="E19" s="19">
        <v>1205.7919847070154</v>
      </c>
      <c r="F19" s="19">
        <v>488.98151708000171</v>
      </c>
      <c r="G19" s="19">
        <v>697.26035507883319</v>
      </c>
      <c r="I19" s="34"/>
    </row>
    <row r="20" spans="1:9" s="10" customFormat="1">
      <c r="A20" s="7" t="s">
        <v>1019</v>
      </c>
      <c r="B20" s="19">
        <v>-29177.944150088802</v>
      </c>
      <c r="C20" s="19">
        <v>-8681.9284094460018</v>
      </c>
      <c r="D20" s="19">
        <v>-20021.930082630835</v>
      </c>
      <c r="E20" s="19">
        <v>-11057.844236833922</v>
      </c>
      <c r="F20" s="19">
        <v>-8726.4337443851164</v>
      </c>
      <c r="G20" s="19">
        <v>-8300.5044713669195</v>
      </c>
    </row>
    <row r="21" spans="1:9" s="10" customFormat="1">
      <c r="A21" s="7" t="s">
        <v>1068</v>
      </c>
      <c r="B21" s="19">
        <v>-2418.27889291375</v>
      </c>
      <c r="C21" s="19">
        <v>-1495.1310021682498</v>
      </c>
      <c r="D21" s="19">
        <v>-252.83864111237995</v>
      </c>
      <c r="E21" s="19">
        <v>-168.55909407491995</v>
      </c>
      <c r="F21" s="19">
        <v>-1505.2504666745997</v>
      </c>
      <c r="G21" s="19">
        <v>-1003.5003111164</v>
      </c>
    </row>
    <row r="22" spans="1:9">
      <c r="A22" s="18" t="s">
        <v>1114</v>
      </c>
      <c r="B22" s="19">
        <v>7331.6872367674514</v>
      </c>
      <c r="C22" s="19">
        <v>663.88738216745833</v>
      </c>
      <c r="D22" s="19">
        <v>18749.688627046791</v>
      </c>
      <c r="E22" s="19">
        <v>8981.9159219573321</v>
      </c>
      <c r="F22" s="19">
        <v>28699.129132920283</v>
      </c>
      <c r="G22" s="19">
        <v>21597.635172190396</v>
      </c>
    </row>
    <row r="23" spans="1:9">
      <c r="A23" s="40" t="s">
        <v>1140</v>
      </c>
      <c r="B23" s="19"/>
      <c r="C23" s="19"/>
      <c r="D23" s="19"/>
      <c r="E23" s="19"/>
      <c r="F23" s="19"/>
      <c r="G23" s="19"/>
    </row>
    <row r="24" spans="1:9">
      <c r="A24" s="28" t="s">
        <v>1141</v>
      </c>
      <c r="B24" s="19">
        <v>7181.6872367674514</v>
      </c>
      <c r="C24" s="19">
        <v>513.88738216745833</v>
      </c>
      <c r="D24" s="19">
        <v>18599.688627046791</v>
      </c>
      <c r="E24" s="19">
        <v>8831.9159219573321</v>
      </c>
      <c r="F24" s="19">
        <v>28549.129132920283</v>
      </c>
      <c r="G24" s="19">
        <v>21447.635172190396</v>
      </c>
    </row>
    <row r="25" spans="1:9">
      <c r="B25" s="33">
        <v>0</v>
      </c>
      <c r="D25" s="6">
        <v>0</v>
      </c>
      <c r="F25" s="6">
        <v>0</v>
      </c>
    </row>
    <row r="26" spans="1:9">
      <c r="B26" s="33"/>
      <c r="C26" s="33"/>
      <c r="D26" s="33"/>
      <c r="E26" s="33"/>
      <c r="F26" s="33"/>
      <c r="G26" s="33"/>
    </row>
    <row r="27" spans="1:9">
      <c r="B27" s="33"/>
      <c r="C27" s="33"/>
      <c r="D27" s="33"/>
      <c r="E27" s="33"/>
      <c r="F27" s="33"/>
      <c r="G27" s="33"/>
    </row>
    <row r="28" spans="1:9">
      <c r="B28" s="33"/>
      <c r="C28" s="33"/>
      <c r="D28" s="33"/>
      <c r="E28" s="33"/>
      <c r="F28" s="33"/>
      <c r="G28" s="33"/>
    </row>
    <row r="30" spans="1:9" ht="42.75">
      <c r="A30" s="36" t="s">
        <v>1188</v>
      </c>
      <c r="B30" s="37" t="s">
        <v>1</v>
      </c>
      <c r="C30" s="37" t="s">
        <v>1144</v>
      </c>
      <c r="D30" s="38" t="s">
        <v>1145</v>
      </c>
      <c r="E30" s="414" t="s">
        <v>1135</v>
      </c>
    </row>
    <row r="31" spans="1:9" ht="71.25">
      <c r="A31" s="412" t="s">
        <v>1176</v>
      </c>
      <c r="B31" s="413">
        <f ca="1">B33+B37</f>
        <v>2395.5018164655989</v>
      </c>
      <c r="C31" s="413">
        <f ca="1">C33+C37</f>
        <v>16998.960965951024</v>
      </c>
      <c r="D31" s="418">
        <f ca="1">D33+D37</f>
        <v>17509.167938999279</v>
      </c>
      <c r="E31" s="415"/>
    </row>
    <row r="32" spans="1:9" ht="28.5">
      <c r="A32" s="403" t="s">
        <v>1177</v>
      </c>
      <c r="B32" s="404"/>
      <c r="C32" s="404"/>
      <c r="D32" s="405"/>
      <c r="E32" s="416"/>
    </row>
    <row r="33" spans="1:7">
      <c r="A33" s="395" t="s">
        <v>1142</v>
      </c>
      <c r="B33" s="396">
        <f ca="1">-B36</f>
        <v>2213.5340186158414</v>
      </c>
      <c r="C33" s="396">
        <f ca="1">-C36</f>
        <v>2680.4034415238052</v>
      </c>
      <c r="D33" s="419">
        <f ca="1">-D36</f>
        <v>3155.8301064845982</v>
      </c>
      <c r="E33" s="416"/>
    </row>
    <row r="34" spans="1:7" ht="71.25">
      <c r="A34" s="394" t="s">
        <v>1179</v>
      </c>
      <c r="B34" s="397">
        <f ca="1">-SUMIFS('Data Processing'!AS:AS,'Data Processing'!$L:$L,"External Inflow")</f>
        <v>9.6371141249999877</v>
      </c>
      <c r="C34" s="397">
        <f ca="1">-SUMIFS('Data Processing'!AT:AT,'Data Processing'!$L:$L,"External Inflow")+B34</f>
        <v>11.998190384999878</v>
      </c>
      <c r="D34" s="420">
        <f ca="1">-SUMIFS('Data Processing'!AU:AU,'Data Processing'!$L:$L,"External Inflow")+C34</f>
        <v>13.612284705000155</v>
      </c>
      <c r="E34" s="416"/>
    </row>
    <row r="35" spans="1:7" ht="71.25">
      <c r="A35" s="394" t="s">
        <v>1178</v>
      </c>
      <c r="B35" s="397">
        <f ca="1">SUMIFS('Data Processing'!AS:AS,'Data Processing'!$L:$L,"External Outflow")</f>
        <v>2223.1711327408416</v>
      </c>
      <c r="C35" s="397">
        <f ca="1">SUMIFS('Data Processing'!AT:AT,'Data Processing'!$L:$L,"External Outflow")+B35</f>
        <v>2692.401631908805</v>
      </c>
      <c r="D35" s="420">
        <f ca="1">SUMIFS('Data Processing'!AU:AU,'Data Processing'!$L:$L,"External Outflow")+C35</f>
        <v>3169.4423911895983</v>
      </c>
      <c r="E35" s="409"/>
      <c r="G35" s="27"/>
    </row>
    <row r="36" spans="1:7" ht="15" thickBot="1">
      <c r="A36" s="29" t="s">
        <v>1142</v>
      </c>
      <c r="B36" s="398">
        <f ca="1">B34-B35</f>
        <v>-2213.5340186158414</v>
      </c>
      <c r="C36" s="398">
        <f ca="1">C34-C35</f>
        <v>-2680.4034415238052</v>
      </c>
      <c r="D36" s="421">
        <f ca="1">D34-D35</f>
        <v>-3155.8301064845982</v>
      </c>
      <c r="E36" s="409"/>
      <c r="G36" s="27"/>
    </row>
    <row r="37" spans="1:7" ht="29.25" thickTop="1">
      <c r="A37" s="406" t="s">
        <v>1180</v>
      </c>
      <c r="B37" s="407">
        <f ca="1">IF(B38&gt;B39, B38, B39)</f>
        <v>181.96779784975752</v>
      </c>
      <c r="C37" s="407">
        <f ca="1">IF(C38&gt;C39, C38, C39)</f>
        <v>14318.557524427219</v>
      </c>
      <c r="D37" s="408">
        <f ca="1">IF(D38&gt;D39, D38, D39)</f>
        <v>14353.337832514679</v>
      </c>
      <c r="E37" s="409"/>
      <c r="G37" s="27"/>
    </row>
    <row r="38" spans="1:7" ht="42.75">
      <c r="A38" s="399" t="s">
        <v>1186</v>
      </c>
      <c r="B38" s="400">
        <f ca="1">B41</f>
        <v>181.96779784975752</v>
      </c>
      <c r="C38" s="400">
        <f ca="1">C41</f>
        <v>14318.557524427219</v>
      </c>
      <c r="D38" s="422">
        <f ca="1">D41</f>
        <v>14353.337832514679</v>
      </c>
      <c r="E38" s="409"/>
      <c r="G38" s="27"/>
    </row>
    <row r="39" spans="1:7">
      <c r="A39" s="399" t="s">
        <v>1181</v>
      </c>
      <c r="B39" s="400">
        <v>0</v>
      </c>
      <c r="C39" s="400">
        <v>0</v>
      </c>
      <c r="D39" s="422">
        <v>0</v>
      </c>
      <c r="E39" s="409"/>
      <c r="G39" s="27"/>
    </row>
    <row r="40" spans="1:7" ht="28.5">
      <c r="A40" s="410" t="s">
        <v>1187</v>
      </c>
      <c r="B40" s="411"/>
      <c r="C40" s="411"/>
      <c r="D40" s="423"/>
      <c r="E40" s="409"/>
      <c r="G40" s="27"/>
    </row>
    <row r="41" spans="1:7" ht="28.5">
      <c r="A41" s="399" t="s">
        <v>1184</v>
      </c>
      <c r="B41" s="400">
        <f ca="1">IF(B42&lt;0, 0, B42)</f>
        <v>181.96779784975752</v>
      </c>
      <c r="C41" s="400">
        <f ca="1">IF(C42&lt;0, 0, C42)</f>
        <v>14318.557524427219</v>
      </c>
      <c r="D41" s="422">
        <f ca="1">IF(D42&lt;0, 0, D42)</f>
        <v>14353.337832514679</v>
      </c>
      <c r="E41" s="409"/>
      <c r="G41" s="27"/>
    </row>
    <row r="42" spans="1:7" ht="28.5">
      <c r="A42" s="399" t="s">
        <v>1182</v>
      </c>
      <c r="B42" s="400">
        <f ca="1">-B46</f>
        <v>181.96779784975752</v>
      </c>
      <c r="C42" s="400">
        <f ca="1">-C46</f>
        <v>14318.557524427219</v>
      </c>
      <c r="D42" s="422">
        <f ca="1">-D46</f>
        <v>14353.337832514679</v>
      </c>
      <c r="E42" s="409"/>
      <c r="G42" s="27"/>
    </row>
    <row r="43" spans="1:7" ht="28.5">
      <c r="A43" s="399" t="s">
        <v>1185</v>
      </c>
      <c r="B43" s="400"/>
      <c r="C43" s="400"/>
      <c r="D43" s="422"/>
      <c r="E43" s="409"/>
      <c r="G43" s="27"/>
    </row>
    <row r="44" spans="1:7" ht="42.75">
      <c r="A44" s="393" t="s">
        <v>1175</v>
      </c>
      <c r="B44" s="401">
        <f ca="1">-SUMIFS('Data Processing'!AS:AS,'Data Processing'!$L:$L,"Internal Inflow")</f>
        <v>26.71405067500001</v>
      </c>
      <c r="C44" s="401">
        <f ca="1">-SUMIFS('Data Processing'!AT:AT,'Data Processing'!$L:$L,"Internal Inflow")+B44</f>
        <v>164.90463218499991</v>
      </c>
      <c r="D44" s="422">
        <f ca="1">-SUMIFS('Data Processing'!AU:AU,'Data Processing'!$L:$L,"Internal Inflow")+C44</f>
        <v>164.90463218499991</v>
      </c>
      <c r="E44" s="416"/>
    </row>
    <row r="45" spans="1:7" ht="42.75">
      <c r="A45" s="393" t="s">
        <v>1174</v>
      </c>
      <c r="B45" s="401">
        <f ca="1">SUMIFS('Data Processing'!AS:AS,'Data Processing'!$L:$L,"Internal Outflow")</f>
        <v>208.68184852475753</v>
      </c>
      <c r="C45" s="401">
        <f ca="1">SUMIFS('Data Processing'!AT:AT,'Data Processing'!$L:$L,"Internal Outflow")+B45</f>
        <v>14483.462156612219</v>
      </c>
      <c r="D45" s="422">
        <f ca="1">SUMIFS('Data Processing'!AU:AU,'Data Processing'!$L:$L,"Internal Outflow")+C45</f>
        <v>14518.242464699679</v>
      </c>
      <c r="E45" s="416"/>
    </row>
    <row r="46" spans="1:7" ht="15" thickBot="1">
      <c r="A46" s="30" t="s">
        <v>1183</v>
      </c>
      <c r="B46" s="402">
        <f ca="1">B44-B45</f>
        <v>-181.96779784975752</v>
      </c>
      <c r="C46" s="402">
        <f ca="1">C44-C45</f>
        <v>-14318.557524427219</v>
      </c>
      <c r="D46" s="424">
        <f ca="1">D44-D45</f>
        <v>-14353.337832514679</v>
      </c>
      <c r="E46" s="416"/>
    </row>
    <row r="47" spans="1:7" ht="15.75" thickTop="1" thickBot="1">
      <c r="A47" s="31" t="s">
        <v>1143</v>
      </c>
      <c r="B47" s="32">
        <f ca="1">B36+B46</f>
        <v>-2395.5018164655989</v>
      </c>
      <c r="C47" s="32">
        <f ca="1">C36+C46</f>
        <v>-16998.960965951024</v>
      </c>
      <c r="D47" s="425">
        <f ca="1">D36+D46</f>
        <v>-17509.167938999279</v>
      </c>
      <c r="E47" s="417">
        <f ca="1">B4-B10+D47-'Data Processing'!O78</f>
        <v>4988.352272989956</v>
      </c>
    </row>
    <row r="48" spans="1:7" ht="15" thickTop="1">
      <c r="E48" s="27"/>
    </row>
    <row r="51" spans="2:4">
      <c r="B51" s="19"/>
      <c r="C51" s="19"/>
      <c r="D51" s="19"/>
    </row>
    <row r="54" spans="2:4">
      <c r="B54" s="745"/>
      <c r="C54" s="745"/>
      <c r="D54" s="7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ScenarioRun">
                <anchor moveWithCells="1" sizeWithCells="1">
                  <from>
                    <xdr:col>3</xdr:col>
                    <xdr:colOff>866775</xdr:colOff>
                    <xdr:row>0</xdr:row>
                    <xdr:rowOff>66675</xdr:rowOff>
                  </from>
                  <to>
                    <xdr:col>4</xdr:col>
                    <xdr:colOff>733425</xdr:colOff>
                    <xdr:row>3</xdr:row>
                    <xdr:rowOff>57150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sheetPr>
  <dimension ref="A1:D14"/>
  <sheetViews>
    <sheetView workbookViewId="0"/>
  </sheetViews>
  <sheetFormatPr defaultRowHeight="14.25"/>
  <cols>
    <col min="1" max="1" width="30.125" bestFit="1" customWidth="1"/>
    <col min="2" max="2" width="10.625" bestFit="1" customWidth="1"/>
    <col min="3" max="4" width="10.125" bestFit="1" customWidth="1"/>
    <col min="5" max="6" width="9.375" bestFit="1" customWidth="1"/>
    <col min="7" max="7" width="10.125" bestFit="1" customWidth="1"/>
    <col min="8" max="8" width="9.75" bestFit="1" customWidth="1"/>
    <col min="9" max="9" width="10.125" bestFit="1" customWidth="1"/>
    <col min="10" max="10" width="9" bestFit="1" customWidth="1"/>
    <col min="11" max="15" width="9.375" bestFit="1" customWidth="1"/>
  </cols>
  <sheetData>
    <row r="1" spans="1:4" ht="15">
      <c r="A1" s="466"/>
      <c r="B1" s="467" t="s">
        <v>0</v>
      </c>
      <c r="C1" s="468" t="s">
        <v>3</v>
      </c>
      <c r="D1" s="468" t="s">
        <v>5</v>
      </c>
    </row>
    <row r="2" spans="1:4" ht="15">
      <c r="A2" s="466"/>
      <c r="B2" s="469">
        <f>'Data Processing'!O2</f>
        <v>43465</v>
      </c>
      <c r="C2" s="97">
        <f>'Data Processing'!AC2</f>
        <v>43479</v>
      </c>
      <c r="D2" s="97">
        <f>'Data Processing'!AE2</f>
        <v>43496</v>
      </c>
    </row>
    <row r="3" spans="1:4" ht="15">
      <c r="A3" s="470"/>
      <c r="B3" s="480"/>
      <c r="C3" s="470"/>
      <c r="D3" s="470"/>
    </row>
    <row r="4" spans="1:4" ht="30">
      <c r="A4" s="470" t="s">
        <v>1027</v>
      </c>
      <c r="B4" s="480">
        <f>-'Data Processing'!O3</f>
        <v>32995.072847883108</v>
      </c>
      <c r="C4" s="470">
        <f ca="1">-'Data Processing'!AC3</f>
        <v>10310.937339481861</v>
      </c>
      <c r="D4" s="470">
        <f ca="1">-'Data Processing'!AE3</f>
        <v>5680.9505530107053</v>
      </c>
    </row>
    <row r="5" spans="1:4" ht="15">
      <c r="A5" s="481" t="s">
        <v>1005</v>
      </c>
      <c r="B5" s="482"/>
      <c r="C5" s="471">
        <f>B4</f>
        <v>32995.072847883108</v>
      </c>
      <c r="D5" s="471">
        <f ca="1">C4</f>
        <v>10310.937339481861</v>
      </c>
    </row>
    <row r="6" spans="1:4" ht="15">
      <c r="A6" s="481" t="s">
        <v>1018</v>
      </c>
      <c r="B6" s="482"/>
      <c r="C6" s="472">
        <f ca="1">-SUM('Data Processing'!AS5:BF22)</f>
        <v>372.34325949499998</v>
      </c>
      <c r="D6" s="472">
        <f ca="1">-SUM('Data Processing'!BG5:BH22)</f>
        <v>770.3614209997429</v>
      </c>
    </row>
    <row r="7" spans="1:4" ht="15">
      <c r="A7" s="481" t="s">
        <v>1019</v>
      </c>
      <c r="B7" s="482"/>
      <c r="C7" s="472">
        <f ca="1">-SUM('Data Processing'!AS23:BF72)</f>
        <v>-21143.467629924555</v>
      </c>
      <c r="D7" s="472">
        <f ca="1">-SUM('Data Processing'!BG23:BH72)</f>
        <v>-4362.9541154897979</v>
      </c>
    </row>
    <row r="8" spans="1:4" ht="30">
      <c r="A8" s="481" t="s">
        <v>1068</v>
      </c>
      <c r="B8" s="482"/>
      <c r="C8" s="473">
        <f ca="1">-SUM('Data Processing'!AS73:BF78)</f>
        <v>-1913.0111379716516</v>
      </c>
      <c r="D8" s="473">
        <f ca="1">-SUM('Data Processing'!BG73:BH74)</f>
        <v>-1012.9838943731197</v>
      </c>
    </row>
    <row r="9" spans="1:4" ht="30">
      <c r="A9" s="481" t="s">
        <v>1150</v>
      </c>
      <c r="B9" s="482"/>
      <c r="C9" s="473">
        <f ca="1">C5+C6+C7+SUM($C8:C8)</f>
        <v>10310.937339481901</v>
      </c>
      <c r="D9" s="473">
        <f ca="1">D5+D6+D7+D8</f>
        <v>5705.3607506186872</v>
      </c>
    </row>
    <row r="11" spans="1:4" ht="15">
      <c r="A11" s="23" t="s">
        <v>1138</v>
      </c>
      <c r="B11">
        <v>135</v>
      </c>
    </row>
    <row r="14" spans="1:4">
      <c r="C14" s="2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tWaterFallChart">
                <anchor moveWithCells="1" sizeWithCells="1">
                  <from>
                    <xdr:col>5</xdr:col>
                    <xdr:colOff>361950</xdr:colOff>
                    <xdr:row>13</xdr:row>
                    <xdr:rowOff>85725</xdr:rowOff>
                  </from>
                  <to>
                    <xdr:col>6</xdr:col>
                    <xdr:colOff>304800</xdr:colOff>
                    <xdr:row>17</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G7"/>
  <sheetViews>
    <sheetView workbookViewId="0"/>
  </sheetViews>
  <sheetFormatPr defaultRowHeight="14.25"/>
  <cols>
    <col min="2" max="2" width="17" customWidth="1"/>
    <col min="3" max="3" width="26.25" customWidth="1"/>
    <col min="4" max="4" width="31.25" bestFit="1" customWidth="1"/>
    <col min="5" max="5" width="23.5" style="9" customWidth="1"/>
  </cols>
  <sheetData>
    <row r="1" spans="1:7" ht="34.9" customHeight="1">
      <c r="A1" s="13" t="s">
        <v>1119</v>
      </c>
      <c r="B1" s="14" t="s">
        <v>1120</v>
      </c>
      <c r="C1" s="14" t="s">
        <v>999</v>
      </c>
      <c r="D1" s="14" t="s">
        <v>1121</v>
      </c>
      <c r="E1" s="15" t="s">
        <v>1122</v>
      </c>
      <c r="F1" s="2"/>
      <c r="G1" s="2"/>
    </row>
    <row r="2" spans="1:7">
      <c r="A2" s="3">
        <v>1</v>
      </c>
      <c r="B2" s="1" t="s">
        <v>1123</v>
      </c>
      <c r="C2" s="1" t="s">
        <v>1124</v>
      </c>
      <c r="D2" s="1">
        <v>13500</v>
      </c>
      <c r="E2" s="11">
        <v>1.3563272666991515E-3</v>
      </c>
    </row>
    <row r="3" spans="1:7">
      <c r="A3" s="3">
        <v>2</v>
      </c>
      <c r="B3" s="1" t="s">
        <v>1125</v>
      </c>
      <c r="C3" s="1" t="s">
        <v>1126</v>
      </c>
      <c r="D3" s="1">
        <v>88100</v>
      </c>
      <c r="E3" s="11">
        <v>8.8512912737922413E-3</v>
      </c>
    </row>
    <row r="4" spans="1:7">
      <c r="A4" s="3">
        <v>3</v>
      </c>
      <c r="B4" s="1" t="s">
        <v>1127</v>
      </c>
      <c r="C4" s="1" t="s">
        <v>1128</v>
      </c>
      <c r="D4" s="1">
        <v>9851750</v>
      </c>
      <c r="E4" s="11">
        <v>0.98979238145950865</v>
      </c>
    </row>
    <row r="5" spans="1:7">
      <c r="A5" s="4"/>
      <c r="B5" s="5" t="s">
        <v>1129</v>
      </c>
      <c r="C5" s="5"/>
      <c r="D5" s="5">
        <v>9953350</v>
      </c>
      <c r="E5" s="12"/>
    </row>
    <row r="7" spans="1:7">
      <c r="B7" t="s">
        <v>1223</v>
      </c>
      <c r="E7" s="437">
        <f>E4*0.1+E3*0.03</f>
        <v>9.9244776884164637E-2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92D050"/>
    <pageSetUpPr fitToPage="1"/>
  </sheetPr>
  <dimension ref="A1:Y484"/>
  <sheetViews>
    <sheetView workbookViewId="0"/>
  </sheetViews>
  <sheetFormatPr defaultColWidth="8.75" defaultRowHeight="15"/>
  <cols>
    <col min="1" max="1" width="6.625" style="102" customWidth="1"/>
    <col min="2" max="2" width="7.5" style="117" customWidth="1"/>
    <col min="3" max="3" width="48.875" style="102" customWidth="1"/>
    <col min="4" max="4" width="12.5" style="107" bestFit="1" customWidth="1"/>
    <col min="5" max="5" width="12.875" style="444" customWidth="1"/>
    <col min="6" max="6" width="10.375" style="102" customWidth="1"/>
    <col min="7" max="7" width="11.5" style="102" customWidth="1"/>
    <col min="8" max="8" width="11.375" style="102" customWidth="1"/>
    <col min="9" max="9" width="9.5" style="102" customWidth="1"/>
    <col min="10" max="10" width="10.375" style="102" customWidth="1"/>
    <col min="11" max="12" width="11.375" style="102" customWidth="1"/>
    <col min="13" max="13" width="10.375" style="102" customWidth="1"/>
    <col min="14" max="14" width="10.125" style="102" customWidth="1"/>
    <col min="15" max="16" width="9.5" style="102" customWidth="1"/>
    <col min="17" max="17" width="10.375" style="102" customWidth="1"/>
    <col min="18" max="19" width="10.5" style="102" customWidth="1"/>
    <col min="20" max="20" width="10.5" style="102" bestFit="1" customWidth="1"/>
    <col min="21" max="21" width="2.875" style="104" customWidth="1"/>
    <col min="22" max="22" width="65.875" style="105" customWidth="1"/>
    <col min="23" max="23" width="2.875" style="102" customWidth="1"/>
    <col min="24" max="24" width="8.75" style="102" customWidth="1"/>
    <col min="25" max="25" width="3.25" style="102" bestFit="1" customWidth="1"/>
    <col min="26" max="16384" width="8.75" style="102"/>
  </cols>
  <sheetData>
    <row r="1" spans="1:25">
      <c r="B1" s="98"/>
      <c r="H1" s="103"/>
    </row>
    <row r="2" spans="1:25">
      <c r="B2" s="98"/>
      <c r="C2" s="106">
        <v>42544</v>
      </c>
    </row>
    <row r="3" spans="1:25" s="112" customFormat="1" ht="34.9" customHeight="1">
      <c r="B3" s="991" t="s">
        <v>35</v>
      </c>
      <c r="C3" s="993" t="s">
        <v>1189</v>
      </c>
      <c r="D3" s="108" t="s">
        <v>0</v>
      </c>
      <c r="E3" s="445" t="s">
        <v>1</v>
      </c>
      <c r="F3" s="109" t="s">
        <v>2</v>
      </c>
      <c r="G3" s="109" t="s">
        <v>3</v>
      </c>
      <c r="H3" s="109" t="s">
        <v>4</v>
      </c>
      <c r="I3" s="109" t="s">
        <v>5</v>
      </c>
      <c r="J3" s="109" t="s">
        <v>6</v>
      </c>
      <c r="K3" s="109" t="s">
        <v>7</v>
      </c>
      <c r="L3" s="109" t="s">
        <v>8</v>
      </c>
      <c r="M3" s="109" t="s">
        <v>9</v>
      </c>
      <c r="N3" s="109" t="s">
        <v>10</v>
      </c>
      <c r="O3" s="109" t="s">
        <v>11</v>
      </c>
      <c r="P3" s="109" t="s">
        <v>12</v>
      </c>
      <c r="Q3" s="109" t="s">
        <v>13</v>
      </c>
      <c r="R3" s="109" t="s">
        <v>14</v>
      </c>
      <c r="S3" s="109" t="s">
        <v>15</v>
      </c>
      <c r="T3" s="110" t="s">
        <v>16</v>
      </c>
      <c r="U3" s="111"/>
      <c r="V3" s="995" t="s">
        <v>49</v>
      </c>
    </row>
    <row r="4" spans="1:25" s="103" customFormat="1">
      <c r="B4" s="992"/>
      <c r="C4" s="994"/>
      <c r="D4" s="113">
        <f>'Data Processing'!O2</f>
        <v>43465</v>
      </c>
      <c r="E4" s="446">
        <f>'Data Processing'!P2</f>
        <v>43466</v>
      </c>
      <c r="F4" s="114">
        <f>'Data Processing'!Q2</f>
        <v>43467</v>
      </c>
      <c r="G4" s="114">
        <f>'Data Processing'!R2</f>
        <v>43468</v>
      </c>
      <c r="H4" s="114">
        <f>'Data Processing'!S2</f>
        <v>43469</v>
      </c>
      <c r="I4" s="114">
        <f>'Data Processing'!T2</f>
        <v>43470</v>
      </c>
      <c r="J4" s="114">
        <f>'Data Processing'!U2</f>
        <v>43471</v>
      </c>
      <c r="K4" s="114">
        <f>'Data Processing'!V2</f>
        <v>43472</v>
      </c>
      <c r="L4" s="114">
        <f>'Data Processing'!W2</f>
        <v>43473</v>
      </c>
      <c r="M4" s="114">
        <f>'Data Processing'!X2</f>
        <v>43474</v>
      </c>
      <c r="N4" s="114">
        <f>'Data Processing'!Y2</f>
        <v>43475</v>
      </c>
      <c r="O4" s="114">
        <f>'Data Processing'!Z2</f>
        <v>43476</v>
      </c>
      <c r="P4" s="114">
        <f>'Data Processing'!AA2</f>
        <v>43477</v>
      </c>
      <c r="Q4" s="114">
        <f>'Data Processing'!AB2</f>
        <v>43478</v>
      </c>
      <c r="R4" s="114">
        <f>'Data Processing'!AC2</f>
        <v>43479</v>
      </c>
      <c r="S4" s="114">
        <f>'Data Processing'!AD2</f>
        <v>43486</v>
      </c>
      <c r="T4" s="115">
        <f>'Data Processing'!AE2</f>
        <v>43496</v>
      </c>
      <c r="U4" s="116"/>
      <c r="V4" s="996"/>
    </row>
    <row r="5" spans="1:25" s="528" customFormat="1">
      <c r="B5" s="529"/>
      <c r="C5" s="638" t="s">
        <v>32</v>
      </c>
      <c r="D5" s="494"/>
      <c r="E5" s="531"/>
      <c r="F5" s="532"/>
      <c r="G5" s="532"/>
      <c r="H5" s="532"/>
      <c r="I5" s="532"/>
      <c r="J5" s="532"/>
      <c r="K5" s="532"/>
      <c r="L5" s="532"/>
      <c r="M5" s="532"/>
      <c r="N5" s="532"/>
      <c r="O5" s="532"/>
      <c r="P5" s="532"/>
      <c r="Q5" s="532"/>
      <c r="R5" s="532"/>
      <c r="S5" s="532"/>
      <c r="T5" s="533"/>
      <c r="U5" s="534"/>
      <c r="V5" s="120"/>
      <c r="W5" s="121"/>
      <c r="X5" s="121"/>
      <c r="Y5" s="121"/>
    </row>
    <row r="6" spans="1:25" s="121" customFormat="1">
      <c r="A6" t="str">
        <f>IF(B6="","",IFERROR(MATCH(B6,'Data Processing'!$C:$C,0),""))</f>
        <v/>
      </c>
      <c r="B6" s="578">
        <v>1</v>
      </c>
      <c r="C6" s="639" t="e">
        <f>INDEX('Data Processing'!G:G,$A6)</f>
        <v>#VALUE!</v>
      </c>
      <c r="D6" s="495" t="e">
        <f>-INDEX('Data Processing'!O:O,$A6)</f>
        <v>#VALUE!</v>
      </c>
      <c r="E6" s="495" t="e">
        <f>-INDEX('Data Processing'!P:P,$A6)</f>
        <v>#VALUE!</v>
      </c>
      <c r="F6" s="495" t="e">
        <f>-INDEX('Data Processing'!Q:Q,$A6)</f>
        <v>#VALUE!</v>
      </c>
      <c r="G6" s="495" t="e">
        <f>-INDEX('Data Processing'!R:R,$A6)</f>
        <v>#VALUE!</v>
      </c>
      <c r="H6" s="495" t="e">
        <f>-INDEX('Data Processing'!S:S,$A6)</f>
        <v>#VALUE!</v>
      </c>
      <c r="I6" s="495" t="e">
        <f>-INDEX('Data Processing'!T:T,$A6)</f>
        <v>#VALUE!</v>
      </c>
      <c r="J6" s="495" t="e">
        <f>-INDEX('Data Processing'!U:U,$A6)</f>
        <v>#VALUE!</v>
      </c>
      <c r="K6" s="495" t="e">
        <f>-INDEX('Data Processing'!V:V,$A6)</f>
        <v>#VALUE!</v>
      </c>
      <c r="L6" s="495" t="e">
        <f>-INDEX('Data Processing'!W:W,$A6)</f>
        <v>#VALUE!</v>
      </c>
      <c r="M6" s="495" t="e">
        <f>-INDEX('Data Processing'!X:X,$A6)</f>
        <v>#VALUE!</v>
      </c>
      <c r="N6" s="495" t="e">
        <f>-INDEX('Data Processing'!Y:Y,$A6)</f>
        <v>#VALUE!</v>
      </c>
      <c r="O6" s="495" t="e">
        <f>-INDEX('Data Processing'!Z:Z,$A6)</f>
        <v>#VALUE!</v>
      </c>
      <c r="P6" s="495" t="e">
        <f>-INDEX('Data Processing'!AA:AA,$A6)</f>
        <v>#VALUE!</v>
      </c>
      <c r="Q6" s="495" t="e">
        <f>-INDEX('Data Processing'!AB:AB,$A6)</f>
        <v>#VALUE!</v>
      </c>
      <c r="R6" s="495" t="e">
        <f>-INDEX('Data Processing'!AC:AC,$A6)</f>
        <v>#VALUE!</v>
      </c>
      <c r="S6" s="495" t="e">
        <f>-INDEX('Data Processing'!AD:AD,$A6)</f>
        <v>#VALUE!</v>
      </c>
      <c r="T6" s="635" t="e">
        <f>-INDEX('Data Processing'!AE:AE,$A6)</f>
        <v>#VALUE!</v>
      </c>
      <c r="U6" s="119"/>
      <c r="V6" s="120"/>
    </row>
    <row r="7" spans="1:25" s="121" customFormat="1">
      <c r="A7">
        <f>IF(B7="","",IFERROR(MATCH(B7,'Data Processing'!$C:$C,0),""))</f>
        <v>4</v>
      </c>
      <c r="B7" s="578">
        <v>2</v>
      </c>
      <c r="C7" s="639" t="str">
        <f>INDEX('Data Processing'!G:G,$A7)</f>
        <v>Balance with Fed (include Reserve balance)</v>
      </c>
      <c r="D7" s="495">
        <f>-INDEX('Data Processing'!O:O,$A7)</f>
        <v>31027.243794049999</v>
      </c>
      <c r="E7" s="495">
        <f>-INDEX('Data Processing'!P:P,$A7)</f>
        <v>31027.243794049999</v>
      </c>
      <c r="F7" s="495">
        <f>-INDEX('Data Processing'!Q:Q,$A7)</f>
        <v>31027.243794049999</v>
      </c>
      <c r="G7" s="495">
        <f>-INDEX('Data Processing'!R:R,$A7)</f>
        <v>31027.243794049999</v>
      </c>
      <c r="H7" s="495">
        <f>-INDEX('Data Processing'!S:S,$A7)</f>
        <v>31027.243794049999</v>
      </c>
      <c r="I7" s="495">
        <f>-INDEX('Data Processing'!T:T,$A7)</f>
        <v>31027.243794049999</v>
      </c>
      <c r="J7" s="495">
        <f>-INDEX('Data Processing'!U:U,$A7)</f>
        <v>31027.243794049999</v>
      </c>
      <c r="K7" s="495">
        <f>-INDEX('Data Processing'!V:V,$A7)</f>
        <v>31027.243794049999</v>
      </c>
      <c r="L7" s="495">
        <f>-INDEX('Data Processing'!W:W,$A7)</f>
        <v>31027.243794049999</v>
      </c>
      <c r="M7" s="495">
        <f>-INDEX('Data Processing'!X:X,$A7)</f>
        <v>31027.243794049999</v>
      </c>
      <c r="N7" s="495">
        <f>-INDEX('Data Processing'!Y:Y,$A7)</f>
        <v>31027.243794049999</v>
      </c>
      <c r="O7" s="495">
        <f>-INDEX('Data Processing'!Z:Z,$A7)</f>
        <v>31027.243794049999</v>
      </c>
      <c r="P7" s="495">
        <f>-INDEX('Data Processing'!AA:AA,$A7)</f>
        <v>31027.243794049999</v>
      </c>
      <c r="Q7" s="495">
        <f>-INDEX('Data Processing'!AB:AB,$A7)</f>
        <v>31027.243794049999</v>
      </c>
      <c r="R7" s="495">
        <f>-INDEX('Data Processing'!AC:AC,$A7)</f>
        <v>31027.243794049999</v>
      </c>
      <c r="S7" s="495">
        <f ca="1">-INDEX('Data Processing'!AD:AD,$A7)</f>
        <v>30919.434828158366</v>
      </c>
      <c r="T7" s="635">
        <f ca="1">-INDEX('Data Processing'!AE:AE,$A7)</f>
        <v>30902.150147247183</v>
      </c>
      <c r="U7" s="119"/>
      <c r="V7" s="120"/>
    </row>
    <row r="8" spans="1:25" s="121" customFormat="1">
      <c r="A8">
        <f>IF(B8="","",IFERROR(MATCH(B8,'Data Processing'!$C:$C,0),""))</f>
        <v>9</v>
      </c>
      <c r="B8" s="578">
        <v>3.1</v>
      </c>
      <c r="C8" s="639" t="str">
        <f>INDEX('Data Processing'!G:G,$A8)</f>
        <v>Due From Banks (IB / Affiliates)</v>
      </c>
      <c r="D8" s="495">
        <f>-INDEX('Data Processing'!O:O,$A8)</f>
        <v>1476.8092643599998</v>
      </c>
      <c r="E8" s="495">
        <f ca="1">-INDEX('Data Processing'!P:P,$A8)</f>
        <v>1450.0952136899998</v>
      </c>
      <c r="F8" s="495">
        <f ca="1">-INDEX('Data Processing'!Q:Q,$A8)</f>
        <v>1311.9046321799999</v>
      </c>
      <c r="G8" s="495">
        <f ca="1">-INDEX('Data Processing'!R:R,$A8)</f>
        <v>1311.9046321799999</v>
      </c>
      <c r="H8" s="495">
        <f ca="1">-INDEX('Data Processing'!S:S,$A8)</f>
        <v>1311.9046321799999</v>
      </c>
      <c r="I8" s="495">
        <f ca="1">-INDEX('Data Processing'!T:T,$A8)</f>
        <v>1311.9046321799999</v>
      </c>
      <c r="J8" s="495">
        <f ca="1">-INDEX('Data Processing'!U:U,$A8)</f>
        <v>1311.9046321799999</v>
      </c>
      <c r="K8" s="495">
        <f ca="1">-INDEX('Data Processing'!V:V,$A8)</f>
        <v>1311.9046321799999</v>
      </c>
      <c r="L8" s="495">
        <f ca="1">-INDEX('Data Processing'!W:W,$A8)</f>
        <v>1311.9046321799999</v>
      </c>
      <c r="M8" s="495">
        <f ca="1">-INDEX('Data Processing'!X:X,$A8)</f>
        <v>1311.9046321799999</v>
      </c>
      <c r="N8" s="495">
        <f ca="1">-INDEX('Data Processing'!Y:Y,$A8)</f>
        <v>1311.9046321799999</v>
      </c>
      <c r="O8" s="495">
        <f ca="1">-INDEX('Data Processing'!Z:Z,$A8)</f>
        <v>1311.9046321799999</v>
      </c>
      <c r="P8" s="495">
        <f ca="1">-INDEX('Data Processing'!AA:AA,$A8)</f>
        <v>1311.9046321799999</v>
      </c>
      <c r="Q8" s="495">
        <f ca="1">-INDEX('Data Processing'!AB:AB,$A8)</f>
        <v>1311.9046321799999</v>
      </c>
      <c r="R8" s="495">
        <f ca="1">-INDEX('Data Processing'!AC:AC,$A8)</f>
        <v>1311.9046321799999</v>
      </c>
      <c r="S8" s="495">
        <f ca="1">-INDEX('Data Processing'!AD:AD,$A8)</f>
        <v>1311.9046321799999</v>
      </c>
      <c r="T8" s="635">
        <f ca="1">-INDEX('Data Processing'!AE:AE,$A8)</f>
        <v>1286.9046321799999</v>
      </c>
      <c r="U8" s="119"/>
      <c r="V8" s="120"/>
    </row>
    <row r="9" spans="1:25" s="126" customFormat="1">
      <c r="A9">
        <f>IF(B9="","",IFERROR(MATCH(B9,'Data Processing'!$C:$C,0),""))</f>
        <v>10</v>
      </c>
      <c r="B9" s="522">
        <v>3.2</v>
      </c>
      <c r="C9" s="640" t="str">
        <f>INDEX('Data Processing'!G:G,$A9)</f>
        <v>Due From Banks (3rd Party FI)</v>
      </c>
      <c r="D9" s="454">
        <f>-INDEX('Data Processing'!O:O,$A9)</f>
        <v>2.440110439999847</v>
      </c>
      <c r="E9" s="454">
        <f ca="1">-INDEX('Data Processing'!P:P,$A9)</f>
        <v>0</v>
      </c>
      <c r="F9" s="454">
        <f ca="1">-INDEX('Data Processing'!Q:Q,$A9)</f>
        <v>0</v>
      </c>
      <c r="G9" s="454">
        <f ca="1">-INDEX('Data Processing'!R:R,$A9)</f>
        <v>0</v>
      </c>
      <c r="H9" s="454">
        <f ca="1">-INDEX('Data Processing'!S:S,$A9)</f>
        <v>0</v>
      </c>
      <c r="I9" s="454">
        <f ca="1">-INDEX('Data Processing'!T:T,$A9)</f>
        <v>0</v>
      </c>
      <c r="J9" s="454">
        <f ca="1">-INDEX('Data Processing'!U:U,$A9)</f>
        <v>0</v>
      </c>
      <c r="K9" s="454">
        <f ca="1">-INDEX('Data Processing'!V:V,$A9)</f>
        <v>0</v>
      </c>
      <c r="L9" s="454">
        <f ca="1">-INDEX('Data Processing'!W:W,$A9)</f>
        <v>0</v>
      </c>
      <c r="M9" s="454">
        <f ca="1">-INDEX('Data Processing'!X:X,$A9)</f>
        <v>0</v>
      </c>
      <c r="N9" s="454">
        <f ca="1">-INDEX('Data Processing'!Y:Y,$A9)</f>
        <v>0</v>
      </c>
      <c r="O9" s="454">
        <f ca="1">-INDEX('Data Processing'!Z:Z,$A9)</f>
        <v>0</v>
      </c>
      <c r="P9" s="454">
        <f ca="1">-INDEX('Data Processing'!AA:AA,$A9)</f>
        <v>0</v>
      </c>
      <c r="Q9" s="454">
        <f ca="1">-INDEX('Data Processing'!AB:AB,$A9)</f>
        <v>0</v>
      </c>
      <c r="R9" s="454">
        <f ca="1">-INDEX('Data Processing'!AC:AC,$A9)</f>
        <v>0</v>
      </c>
      <c r="S9" s="454">
        <f ca="1">-INDEX('Data Processing'!AD:AD,$A9)</f>
        <v>0</v>
      </c>
      <c r="T9" s="455">
        <f ca="1">-INDEX('Data Processing'!AE:AE,$A9)</f>
        <v>0</v>
      </c>
      <c r="U9" s="125"/>
      <c r="V9" s="120"/>
    </row>
    <row r="10" spans="1:25" s="126" customFormat="1">
      <c r="A10">
        <f>IF(B10="","",IFERROR(MATCH(B10,'Data Processing'!$C:$C,0),""))</f>
        <v>8</v>
      </c>
      <c r="B10" s="522">
        <v>4</v>
      </c>
      <c r="C10" s="640" t="str">
        <f>INDEX('Data Processing'!G:G,$A10)</f>
        <v>Non-Buffer Securities</v>
      </c>
      <c r="D10" s="454">
        <f>-INDEX('Data Processing'!O:O,$A10)</f>
        <v>3561.1634352277601</v>
      </c>
      <c r="E10" s="454">
        <f>-INDEX('Data Processing'!P:P,$A10)</f>
        <v>3561.1634352277601</v>
      </c>
      <c r="F10" s="454">
        <f>-INDEX('Data Processing'!Q:Q,$A10)</f>
        <v>3561.1634352277601</v>
      </c>
      <c r="G10" s="454">
        <f>-INDEX('Data Processing'!R:R,$A10)</f>
        <v>3561.1634352277601</v>
      </c>
      <c r="H10" s="454">
        <f>-INDEX('Data Processing'!S:S,$A10)</f>
        <v>3561.1634352277601</v>
      </c>
      <c r="I10" s="454">
        <f>-INDEX('Data Processing'!T:T,$A10)</f>
        <v>3561.1634352277601</v>
      </c>
      <c r="J10" s="454">
        <f>-INDEX('Data Processing'!U:U,$A10)</f>
        <v>3561.1634352277601</v>
      </c>
      <c r="K10" s="454">
        <f>-INDEX('Data Processing'!V:V,$A10)</f>
        <v>3561.1634352277601</v>
      </c>
      <c r="L10" s="454">
        <f>-INDEX('Data Processing'!W:W,$A10)</f>
        <v>3561.1634352277601</v>
      </c>
      <c r="M10" s="454">
        <f>-INDEX('Data Processing'!X:X,$A10)</f>
        <v>3561.1634352277601</v>
      </c>
      <c r="N10" s="454">
        <f>-INDEX('Data Processing'!Y:Y,$A10)</f>
        <v>3561.1634352277601</v>
      </c>
      <c r="O10" s="454">
        <f>-INDEX('Data Processing'!Z:Z,$A10)</f>
        <v>3561.1634352277601</v>
      </c>
      <c r="P10" s="454">
        <f>-INDEX('Data Processing'!AA:AA,$A10)</f>
        <v>3561.1634352277601</v>
      </c>
      <c r="Q10" s="454">
        <f>-INDEX('Data Processing'!AB:AB,$A10)</f>
        <v>3561.1634352277601</v>
      </c>
      <c r="R10" s="454">
        <f>-INDEX('Data Processing'!AC:AC,$A10)</f>
        <v>3561.1634352277601</v>
      </c>
      <c r="S10" s="454">
        <f>-INDEX('Data Processing'!AD:AD,$A10)</f>
        <v>3561.1634352277601</v>
      </c>
      <c r="T10" s="455">
        <f>-INDEX('Data Processing'!AE:AE,$A10)</f>
        <v>3561.1634352277601</v>
      </c>
      <c r="U10" s="125"/>
      <c r="V10" s="120"/>
    </row>
    <row r="11" spans="1:25" s="126" customFormat="1">
      <c r="A11">
        <f>IF(B11="","",IFERROR(MATCH(B11,'Data Processing'!$C:$C,0),""))</f>
        <v>11</v>
      </c>
      <c r="B11" s="522" t="s">
        <v>1059</v>
      </c>
      <c r="C11" s="640" t="str">
        <f>INDEX('Data Processing'!G:G,$A11)</f>
        <v xml:space="preserve"> Syndications - U.S. customers  (170)</v>
      </c>
      <c r="D11" s="454">
        <f>-INDEX('Data Processing'!O:O,$A11)</f>
        <v>5631.5663244500001</v>
      </c>
      <c r="E11" s="454">
        <f ca="1">-INDEX('Data Processing'!P:P,$A11)</f>
        <v>5631.5663244449997</v>
      </c>
      <c r="F11" s="454">
        <f ca="1">-INDEX('Data Processing'!Q:Q,$A11)</f>
        <v>5631.5663244449997</v>
      </c>
      <c r="G11" s="454">
        <f ca="1">-INDEX('Data Processing'!R:R,$A11)</f>
        <v>5631.5663244449997</v>
      </c>
      <c r="H11" s="454">
        <f ca="1">-INDEX('Data Processing'!S:S,$A11)</f>
        <v>5631.5663244449997</v>
      </c>
      <c r="I11" s="454">
        <f ca="1">-INDEX('Data Processing'!T:T,$A11)</f>
        <v>5631.5663244449997</v>
      </c>
      <c r="J11" s="454">
        <f ca="1">-INDEX('Data Processing'!U:U,$A11)</f>
        <v>5631.5663244449997</v>
      </c>
      <c r="K11" s="454">
        <f ca="1">-INDEX('Data Processing'!V:V,$A11)</f>
        <v>5631.5663244449997</v>
      </c>
      <c r="L11" s="454">
        <f ca="1">-INDEX('Data Processing'!W:W,$A11)</f>
        <v>5631.5663244449997</v>
      </c>
      <c r="M11" s="454">
        <f ca="1">-INDEX('Data Processing'!X:X,$A11)</f>
        <v>5601.5663244449997</v>
      </c>
      <c r="N11" s="454">
        <f ca="1">-INDEX('Data Processing'!Y:Y,$A11)</f>
        <v>5601.5663244449997</v>
      </c>
      <c r="O11" s="454">
        <f ca="1">-INDEX('Data Processing'!Z:Z,$A11)</f>
        <v>5601.5663244449997</v>
      </c>
      <c r="P11" s="454">
        <f ca="1">-INDEX('Data Processing'!AA:AA,$A11)</f>
        <v>5601.5663244449997</v>
      </c>
      <c r="Q11" s="454">
        <f ca="1">-INDEX('Data Processing'!AB:AB,$A11)</f>
        <v>5601.5663244449997</v>
      </c>
      <c r="R11" s="454">
        <f ca="1">-INDEX('Data Processing'!AC:AC,$A11)</f>
        <v>5601.5663244449997</v>
      </c>
      <c r="S11" s="454">
        <f ca="1">-INDEX('Data Processing'!AD:AD,$A11)</f>
        <v>5601.5663244449997</v>
      </c>
      <c r="T11" s="455">
        <f ca="1">-INDEX('Data Processing'!AE:AE,$A11)</f>
        <v>5601.5663244449997</v>
      </c>
      <c r="U11" s="125"/>
      <c r="V11" s="120"/>
    </row>
    <row r="12" spans="1:25" s="126" customFormat="1">
      <c r="A12">
        <f>IF(B12="","",IFERROR(MATCH(B12,'Data Processing'!$C:$C,0),""))</f>
        <v>12</v>
      </c>
      <c r="B12" s="522" t="s">
        <v>1060</v>
      </c>
      <c r="C12" s="640" t="str">
        <f>INDEX('Data Processing'!G:G,$A12)</f>
        <v xml:space="preserve"> Syndications - Non U.S. customers (240)</v>
      </c>
      <c r="D12" s="454">
        <f>-INDEX('Data Processing'!O:O,$A12)</f>
        <v>1355.7736293799999</v>
      </c>
      <c r="E12" s="454">
        <f ca="1">-INDEX('Data Processing'!P:P,$A12)</f>
        <v>1355.7736293799999</v>
      </c>
      <c r="F12" s="454">
        <f ca="1">-INDEX('Data Processing'!Q:Q,$A12)</f>
        <v>1355.7736293799999</v>
      </c>
      <c r="G12" s="454">
        <f ca="1">-INDEX('Data Processing'!R:R,$A12)</f>
        <v>1355.7736293799999</v>
      </c>
      <c r="H12" s="454">
        <f ca="1">-INDEX('Data Processing'!S:S,$A12)</f>
        <v>1355.7736293799999</v>
      </c>
      <c r="I12" s="454">
        <f ca="1">-INDEX('Data Processing'!T:T,$A12)</f>
        <v>1355.7736293799999</v>
      </c>
      <c r="J12" s="454">
        <f ca="1">-INDEX('Data Processing'!U:U,$A12)</f>
        <v>1355.7736293799999</v>
      </c>
      <c r="K12" s="454">
        <f ca="1">-INDEX('Data Processing'!V:V,$A12)</f>
        <v>1355.7736293799999</v>
      </c>
      <c r="L12" s="454">
        <f ca="1">-INDEX('Data Processing'!W:W,$A12)</f>
        <v>1355.7736293799999</v>
      </c>
      <c r="M12" s="454">
        <f ca="1">-INDEX('Data Processing'!X:X,$A12)</f>
        <v>1355.7736293799999</v>
      </c>
      <c r="N12" s="454">
        <f ca="1">-INDEX('Data Processing'!Y:Y,$A12)</f>
        <v>1355.7736293799999</v>
      </c>
      <c r="O12" s="454">
        <f ca="1">-INDEX('Data Processing'!Z:Z,$A12)</f>
        <v>1355.7736293799999</v>
      </c>
      <c r="P12" s="454">
        <f ca="1">-INDEX('Data Processing'!AA:AA,$A12)</f>
        <v>1355.7736293799999</v>
      </c>
      <c r="Q12" s="454">
        <f ca="1">-INDEX('Data Processing'!AB:AB,$A12)</f>
        <v>1355.7736293799999</v>
      </c>
      <c r="R12" s="454">
        <f ca="1">-INDEX('Data Processing'!AC:AC,$A12)</f>
        <v>1355.7736293799999</v>
      </c>
      <c r="S12" s="454">
        <f ca="1">-INDEX('Data Processing'!AD:AD,$A12)</f>
        <v>1355.7736293799999</v>
      </c>
      <c r="T12" s="455">
        <f ca="1">-INDEX('Data Processing'!AE:AE,$A12)</f>
        <v>1355.7736293799999</v>
      </c>
      <c r="U12" s="125"/>
      <c r="V12" s="120"/>
    </row>
    <row r="13" spans="1:25" s="126" customFormat="1">
      <c r="A13">
        <f>IF(B13="","",IFERROR(MATCH(B13,'Data Processing'!$C:$C,0),""))</f>
        <v>13</v>
      </c>
      <c r="B13" s="522" t="s">
        <v>1061</v>
      </c>
      <c r="C13" s="640" t="str">
        <f>INDEX('Data Processing'!G:G,$A13)</f>
        <v>Time -Secured Non U.S. (380)</v>
      </c>
      <c r="D13" s="454">
        <f>-INDEX('Data Processing'!O:O,$A13)</f>
        <v>2136.7882296600001</v>
      </c>
      <c r="E13" s="454">
        <f ca="1">-INDEX('Data Processing'!P:P,$A13)</f>
        <v>2136.7882296600001</v>
      </c>
      <c r="F13" s="454">
        <f ca="1">-INDEX('Data Processing'!Q:Q,$A13)</f>
        <v>2136.7882296600001</v>
      </c>
      <c r="G13" s="454">
        <f ca="1">-INDEX('Data Processing'!R:R,$A13)</f>
        <v>2136.7882296600001</v>
      </c>
      <c r="H13" s="454">
        <f ca="1">-INDEX('Data Processing'!S:S,$A13)</f>
        <v>2136.7882296600001</v>
      </c>
      <c r="I13" s="454">
        <f ca="1">-INDEX('Data Processing'!T:T,$A13)</f>
        <v>2136.7882296600001</v>
      </c>
      <c r="J13" s="454">
        <f ca="1">-INDEX('Data Processing'!U:U,$A13)</f>
        <v>2136.7882296600001</v>
      </c>
      <c r="K13" s="454">
        <f ca="1">-INDEX('Data Processing'!V:V,$A13)</f>
        <v>2136.7882296600001</v>
      </c>
      <c r="L13" s="454">
        <f ca="1">-INDEX('Data Processing'!W:W,$A13)</f>
        <v>2136.7882296600001</v>
      </c>
      <c r="M13" s="454">
        <f ca="1">-INDEX('Data Processing'!X:X,$A13)</f>
        <v>2136.7882296600001</v>
      </c>
      <c r="N13" s="454">
        <f ca="1">-INDEX('Data Processing'!Y:Y,$A13)</f>
        <v>2106.7882296600001</v>
      </c>
      <c r="O13" s="454">
        <f ca="1">-INDEX('Data Processing'!Z:Z,$A13)</f>
        <v>2106.7882296600001</v>
      </c>
      <c r="P13" s="454">
        <f ca="1">-INDEX('Data Processing'!AA:AA,$A13)</f>
        <v>2106.7882296600001</v>
      </c>
      <c r="Q13" s="454">
        <f ca="1">-INDEX('Data Processing'!AB:AB,$A13)</f>
        <v>2106.7882296600001</v>
      </c>
      <c r="R13" s="454">
        <f ca="1">-INDEX('Data Processing'!AC:AC,$A13)</f>
        <v>2106.7882296600001</v>
      </c>
      <c r="S13" s="454">
        <f ca="1">-INDEX('Data Processing'!AD:AD,$A13)</f>
        <v>2106.7882296600001</v>
      </c>
      <c r="T13" s="455">
        <f ca="1">-INDEX('Data Processing'!AE:AE,$A13)</f>
        <v>2106.7882296600001</v>
      </c>
      <c r="U13" s="125"/>
      <c r="V13" s="120"/>
    </row>
    <row r="14" spans="1:25" s="126" customFormat="1">
      <c r="A14">
        <f>IF(B14="","",IFERROR(MATCH(B14,'Data Processing'!$C:$C,0),""))</f>
        <v>14</v>
      </c>
      <c r="B14" s="522" t="s">
        <v>1063</v>
      </c>
      <c r="C14" s="640" t="str">
        <f>INDEX('Data Processing'!G:G,$A14)</f>
        <v>Time - unsecured U.S. (270)</v>
      </c>
      <c r="D14" s="454">
        <f>-INDEX('Data Processing'!O:O,$A14)</f>
        <v>929.72933477999993</v>
      </c>
      <c r="E14" s="454">
        <f ca="1">-INDEX('Data Processing'!P:P,$A14)</f>
        <v>929.72902574999989</v>
      </c>
      <c r="F14" s="454">
        <f ca="1">-INDEX('Data Processing'!Q:Q,$A14)</f>
        <v>929.72902574999989</v>
      </c>
      <c r="G14" s="454">
        <f ca="1">-INDEX('Data Processing'!R:R,$A14)</f>
        <v>929.72902574999989</v>
      </c>
      <c r="H14" s="454">
        <f ca="1">-INDEX('Data Processing'!S:S,$A14)</f>
        <v>929.72902574999989</v>
      </c>
      <c r="I14" s="454">
        <f ca="1">-INDEX('Data Processing'!T:T,$A14)</f>
        <v>929.72902574999989</v>
      </c>
      <c r="J14" s="454">
        <f ca="1">-INDEX('Data Processing'!U:U,$A14)</f>
        <v>929.72902574999989</v>
      </c>
      <c r="K14" s="454">
        <f ca="1">-INDEX('Data Processing'!V:V,$A14)</f>
        <v>929.72902574999989</v>
      </c>
      <c r="L14" s="454">
        <f ca="1">-INDEX('Data Processing'!W:W,$A14)</f>
        <v>929.72902574999989</v>
      </c>
      <c r="M14" s="454">
        <f ca="1">-INDEX('Data Processing'!X:X,$A14)</f>
        <v>929.72902574999989</v>
      </c>
      <c r="N14" s="454">
        <f ca="1">-INDEX('Data Processing'!Y:Y,$A14)</f>
        <v>929.72902574999989</v>
      </c>
      <c r="O14" s="454">
        <f ca="1">-INDEX('Data Processing'!Z:Z,$A14)</f>
        <v>929.72902574999989</v>
      </c>
      <c r="P14" s="454">
        <f ca="1">-INDEX('Data Processing'!AA:AA,$A14)</f>
        <v>929.72902574999989</v>
      </c>
      <c r="Q14" s="454">
        <f ca="1">-INDEX('Data Processing'!AB:AB,$A14)</f>
        <v>929.72902574999989</v>
      </c>
      <c r="R14" s="454">
        <f ca="1">-INDEX('Data Processing'!AC:AC,$A14)</f>
        <v>929.72902574999989</v>
      </c>
      <c r="S14" s="454">
        <f ca="1">-INDEX('Data Processing'!AD:AD,$A14)</f>
        <v>929.72902574999989</v>
      </c>
      <c r="T14" s="455">
        <f ca="1">-INDEX('Data Processing'!AE:AE,$A14)</f>
        <v>929.72902574999989</v>
      </c>
      <c r="U14" s="125"/>
      <c r="V14" s="120"/>
    </row>
    <row r="15" spans="1:25" s="126" customFormat="1">
      <c r="A15">
        <f>IF(B15="","",IFERROR(MATCH(B15,'Data Processing'!$C:$C,0),""))</f>
        <v>15</v>
      </c>
      <c r="B15" s="522" t="s">
        <v>1064</v>
      </c>
      <c r="C15" s="640" t="str">
        <f>INDEX('Data Processing'!G:G,$A15)</f>
        <v>Time - secured U.S. (310)</v>
      </c>
      <c r="D15" s="454">
        <f>-INDEX('Data Processing'!O:O,$A15)</f>
        <v>1872.3040158399999</v>
      </c>
      <c r="E15" s="454">
        <f ca="1">-INDEX('Data Processing'!P:P,$A15)</f>
        <v>1872.3040158399999</v>
      </c>
      <c r="F15" s="454">
        <f ca="1">-INDEX('Data Processing'!Q:Q,$A15)</f>
        <v>1872.3040158399999</v>
      </c>
      <c r="G15" s="454">
        <f ca="1">-INDEX('Data Processing'!R:R,$A15)</f>
        <v>1872.3040158399999</v>
      </c>
      <c r="H15" s="454">
        <f ca="1">-INDEX('Data Processing'!S:S,$A15)</f>
        <v>1872.3040158399999</v>
      </c>
      <c r="I15" s="454">
        <f ca="1">-INDEX('Data Processing'!T:T,$A15)</f>
        <v>1872.3040158399999</v>
      </c>
      <c r="J15" s="454">
        <f ca="1">-INDEX('Data Processing'!U:U,$A15)</f>
        <v>1872.3040158399999</v>
      </c>
      <c r="K15" s="454">
        <f ca="1">-INDEX('Data Processing'!V:V,$A15)</f>
        <v>1872.3040158399999</v>
      </c>
      <c r="L15" s="454">
        <f ca="1">-INDEX('Data Processing'!W:W,$A15)</f>
        <v>1872.3040158399999</v>
      </c>
      <c r="M15" s="454">
        <f ca="1">-INDEX('Data Processing'!X:X,$A15)</f>
        <v>1872.3040158399999</v>
      </c>
      <c r="N15" s="454">
        <f ca="1">-INDEX('Data Processing'!Y:Y,$A15)</f>
        <v>1872.3040158399999</v>
      </c>
      <c r="O15" s="454">
        <f ca="1">-INDEX('Data Processing'!Z:Z,$A15)</f>
        <v>1872.3040158399999</v>
      </c>
      <c r="P15" s="454">
        <f ca="1">-INDEX('Data Processing'!AA:AA,$A15)</f>
        <v>1872.3040158399999</v>
      </c>
      <c r="Q15" s="454">
        <f ca="1">-INDEX('Data Processing'!AB:AB,$A15)</f>
        <v>1872.3040158399999</v>
      </c>
      <c r="R15" s="454">
        <f ca="1">-INDEX('Data Processing'!AC:AC,$A15)</f>
        <v>1872.3040158399999</v>
      </c>
      <c r="S15" s="454">
        <f ca="1">-INDEX('Data Processing'!AD:AD,$A15)</f>
        <v>1595.48401584</v>
      </c>
      <c r="T15" s="455">
        <f ca="1">-INDEX('Data Processing'!AE:AE,$A15)</f>
        <v>1595.48401584</v>
      </c>
      <c r="U15" s="125"/>
      <c r="V15" s="120"/>
    </row>
    <row r="16" spans="1:25" s="126" customFormat="1">
      <c r="A16">
        <f>IF(B16="","",IFERROR(MATCH(B16,'Data Processing'!$C:$C,0),""))</f>
        <v>16</v>
      </c>
      <c r="B16" s="522">
        <v>5.3</v>
      </c>
      <c r="C16" s="640" t="str">
        <f>INDEX('Data Processing'!G:G,$A16)</f>
        <v>Mortgage (Commercial and Retail)</v>
      </c>
      <c r="D16" s="454">
        <f>-INDEX('Data Processing'!O:O,$A16)</f>
        <v>6249.8529878100026</v>
      </c>
      <c r="E16" s="454">
        <f ca="1">-INDEX('Data Processing'!P:P,$A16)</f>
        <v>6242.6562931600029</v>
      </c>
      <c r="F16" s="454">
        <f ca="1">-INDEX('Data Processing'!Q:Q,$A16)</f>
        <v>6242.6562931600029</v>
      </c>
      <c r="G16" s="454">
        <f ca="1">-INDEX('Data Processing'!R:R,$A16)</f>
        <v>6242.6562931600029</v>
      </c>
      <c r="H16" s="454">
        <f ca="1">-INDEX('Data Processing'!S:S,$A16)</f>
        <v>6242.6562931600029</v>
      </c>
      <c r="I16" s="454">
        <f ca="1">-INDEX('Data Processing'!T:T,$A16)</f>
        <v>6242.6562931600029</v>
      </c>
      <c r="J16" s="454">
        <f ca="1">-INDEX('Data Processing'!U:U,$A16)</f>
        <v>6242.6562931600029</v>
      </c>
      <c r="K16" s="454">
        <f ca="1">-INDEX('Data Processing'!V:V,$A16)</f>
        <v>6242.6562931600029</v>
      </c>
      <c r="L16" s="454">
        <f ca="1">-INDEX('Data Processing'!W:W,$A16)</f>
        <v>6242.6562931600029</v>
      </c>
      <c r="M16" s="454">
        <f ca="1">-INDEX('Data Processing'!X:X,$A16)</f>
        <v>6242.6562931600029</v>
      </c>
      <c r="N16" s="454">
        <f ca="1">-INDEX('Data Processing'!Y:Y,$A16)</f>
        <v>6242.6562931600029</v>
      </c>
      <c r="O16" s="454">
        <f ca="1">-INDEX('Data Processing'!Z:Z,$A16)</f>
        <v>6242.6562931600029</v>
      </c>
      <c r="P16" s="454">
        <f ca="1">-INDEX('Data Processing'!AA:AA,$A16)</f>
        <v>6242.6562931600029</v>
      </c>
      <c r="Q16" s="454">
        <f ca="1">-INDEX('Data Processing'!AB:AB,$A16)</f>
        <v>6242.6562931600029</v>
      </c>
      <c r="R16" s="454">
        <f ca="1">-INDEX('Data Processing'!AC:AC,$A16)</f>
        <v>6242.6562931600029</v>
      </c>
      <c r="S16" s="454">
        <f ca="1">-INDEX('Data Processing'!AD:AD,$A16)</f>
        <v>6040.3115754100027</v>
      </c>
      <c r="T16" s="455">
        <f ca="1">-INDEX('Data Processing'!AE:AE,$A16)</f>
        <v>6040.3115754100027</v>
      </c>
      <c r="U16" s="125"/>
      <c r="V16" s="120"/>
    </row>
    <row r="17" spans="1:25" s="126" customFormat="1">
      <c r="A17">
        <f>IF(B17="","",IFERROR(MATCH(B17,'Data Processing'!$C:$C,0),""))</f>
        <v>17</v>
      </c>
      <c r="B17" s="522" t="s">
        <v>1066</v>
      </c>
      <c r="C17" s="640" t="str">
        <f>INDEX('Data Processing'!G:G,$A17)</f>
        <v>Trade Finance - IB &amp; Affiliates</v>
      </c>
      <c r="D17" s="454">
        <f>-INDEX('Data Processing'!O:O,$A17)</f>
        <v>191.75120747000003</v>
      </c>
      <c r="E17" s="454">
        <f ca="1">-INDEX('Data Processing'!P:P,$A17)</f>
        <v>191.75120746500002</v>
      </c>
      <c r="F17" s="454">
        <f ca="1">-INDEX('Data Processing'!Q:Q,$A17)</f>
        <v>191.75120746500002</v>
      </c>
      <c r="G17" s="454">
        <f ca="1">-INDEX('Data Processing'!R:R,$A17)</f>
        <v>191.75120746500002</v>
      </c>
      <c r="H17" s="454">
        <f ca="1">-INDEX('Data Processing'!S:S,$A17)</f>
        <v>191.54103531500002</v>
      </c>
      <c r="I17" s="454">
        <f ca="1">-INDEX('Data Processing'!T:T,$A17)</f>
        <v>191.54103531500002</v>
      </c>
      <c r="J17" s="454">
        <f ca="1">-INDEX('Data Processing'!U:U,$A17)</f>
        <v>191.54103531500002</v>
      </c>
      <c r="K17" s="454">
        <f ca="1">-INDEX('Data Processing'!V:V,$A17)</f>
        <v>190.35892931500001</v>
      </c>
      <c r="L17" s="454">
        <f ca="1">-INDEX('Data Processing'!W:W,$A17)</f>
        <v>183.26971503000001</v>
      </c>
      <c r="M17" s="454">
        <f ca="1">-INDEX('Data Processing'!X:X,$A17)</f>
        <v>177.51971503000001</v>
      </c>
      <c r="N17" s="454">
        <f ca="1">-INDEX('Data Processing'!Y:Y,$A17)</f>
        <v>177.51971503000001</v>
      </c>
      <c r="O17" s="454">
        <f ca="1">-INDEX('Data Processing'!Z:Z,$A17)</f>
        <v>177.51971503000001</v>
      </c>
      <c r="P17" s="454">
        <f ca="1">-INDEX('Data Processing'!AA:AA,$A17)</f>
        <v>177.51971503000001</v>
      </c>
      <c r="Q17" s="454">
        <f ca="1">-INDEX('Data Processing'!AB:AB,$A17)</f>
        <v>177.51971503000001</v>
      </c>
      <c r="R17" s="454">
        <f ca="1">-INDEX('Data Processing'!AC:AC,$A17)</f>
        <v>161.84738332500001</v>
      </c>
      <c r="S17" s="454">
        <f ca="1">-INDEX('Data Processing'!AD:AD,$A17)</f>
        <v>160.73647659000002</v>
      </c>
      <c r="T17" s="455">
        <f ca="1">-INDEX('Data Processing'!AE:AE,$A17)</f>
        <v>147.13593123500002</v>
      </c>
      <c r="U17" s="125"/>
      <c r="V17" s="120"/>
    </row>
    <row r="18" spans="1:25" s="126" customFormat="1">
      <c r="A18">
        <f>IF(B18="","",IFERROR(MATCH(B18,'Data Processing'!$C:$C,0),""))</f>
        <v>18</v>
      </c>
      <c r="B18" s="522" t="s">
        <v>1067</v>
      </c>
      <c r="C18" s="640" t="str">
        <f>INDEX('Data Processing'!G:G,$A18)</f>
        <v>Trade Finance - 3rd Parties</v>
      </c>
      <c r="D18" s="454">
        <f>-INDEX('Data Processing'!O:O,$A18)</f>
        <v>2643.1710078999999</v>
      </c>
      <c r="E18" s="454">
        <f ca="1">-INDEX('Data Processing'!P:P,$A18)</f>
        <v>2643.1710078999999</v>
      </c>
      <c r="F18" s="454">
        <f ca="1">-INDEX('Data Processing'!Q:Q,$A18)</f>
        <v>2643.1710078999999</v>
      </c>
      <c r="G18" s="454">
        <f ca="1">-INDEX('Data Processing'!R:R,$A18)</f>
        <v>2642.9943295799999</v>
      </c>
      <c r="H18" s="454">
        <f ca="1">-INDEX('Data Processing'!S:S,$A18)</f>
        <v>2642.8031987999998</v>
      </c>
      <c r="I18" s="454">
        <f ca="1">-INDEX('Data Processing'!T:T,$A18)</f>
        <v>2642.8031987999998</v>
      </c>
      <c r="J18" s="454">
        <f ca="1">-INDEX('Data Processing'!U:U,$A18)</f>
        <v>2642.8031987999998</v>
      </c>
      <c r="K18" s="454">
        <f ca="1">-INDEX('Data Processing'!V:V,$A18)</f>
        <v>2610.6695469699998</v>
      </c>
      <c r="L18" s="454">
        <f ca="1">-INDEX('Data Processing'!W:W,$A18)</f>
        <v>2610.6695469699998</v>
      </c>
      <c r="M18" s="454">
        <f ca="1">-INDEX('Data Processing'!X:X,$A18)</f>
        <v>2575.3567638199997</v>
      </c>
      <c r="N18" s="454">
        <f ca="1">-INDEX('Data Processing'!Y:Y,$A18)</f>
        <v>2575.1622263300001</v>
      </c>
      <c r="O18" s="454">
        <f ca="1">-INDEX('Data Processing'!Z:Z,$A18)</f>
        <v>2575.1376417050001</v>
      </c>
      <c r="P18" s="454">
        <f ca="1">-INDEX('Data Processing'!AA:AA,$A18)</f>
        <v>2575.1376417050001</v>
      </c>
      <c r="Q18" s="454">
        <f ca="1">-INDEX('Data Processing'!AB:AB,$A18)</f>
        <v>2575.1376417050001</v>
      </c>
      <c r="R18" s="454">
        <f ca="1">-INDEX('Data Processing'!AC:AC,$A18)</f>
        <v>2574.3165363849998</v>
      </c>
      <c r="S18" s="454">
        <f ca="1">-INDEX('Data Processing'!AD:AD,$A18)</f>
        <v>2522.8233477399999</v>
      </c>
      <c r="T18" s="455">
        <f ca="1">-INDEX('Data Processing'!AE:AE,$A18)</f>
        <v>2505.7694709449997</v>
      </c>
      <c r="U18" s="125"/>
      <c r="V18" s="120"/>
    </row>
    <row r="19" spans="1:25" s="521" customFormat="1">
      <c r="A19">
        <f>IF(B19="","",IFERROR(MATCH(B19,'Data Processing'!$C:$C,0),""))</f>
        <v>19</v>
      </c>
      <c r="B19" s="522" t="s">
        <v>1156</v>
      </c>
      <c r="C19" s="640" t="str">
        <f>INDEX('Data Processing'!G:G,$A19)</f>
        <v xml:space="preserve">Trade Finance - Non FI </v>
      </c>
      <c r="D19" s="454">
        <f>-INDEX('Data Processing'!O:O,$A19)</f>
        <v>1550.08623592</v>
      </c>
      <c r="E19" s="454">
        <f ca="1">-INDEX('Data Processing'!P:P,$A19)</f>
        <v>1550.08623592</v>
      </c>
      <c r="F19" s="454">
        <f ca="1">-INDEX('Data Processing'!Q:Q,$A19)</f>
        <v>1547.7251596600001</v>
      </c>
      <c r="G19" s="454">
        <f ca="1">-INDEX('Data Processing'!R:R,$A19)</f>
        <v>1546.2877436599999</v>
      </c>
      <c r="H19" s="454">
        <f ca="1">-INDEX('Data Processing'!S:S,$A19)</f>
        <v>1545.4121405200001</v>
      </c>
      <c r="I19" s="454">
        <f ca="1">-INDEX('Data Processing'!T:T,$A19)</f>
        <v>1545.4121405200001</v>
      </c>
      <c r="J19" s="454">
        <f ca="1">-INDEX('Data Processing'!U:U,$A19)</f>
        <v>1545.4121405200001</v>
      </c>
      <c r="K19" s="454">
        <f ca="1">-INDEX('Data Processing'!V:V,$A19)</f>
        <v>1538.6381530200001</v>
      </c>
      <c r="L19" s="454">
        <f ca="1">-INDEX('Data Processing'!W:W,$A19)</f>
        <v>1538.6381530200001</v>
      </c>
      <c r="M19" s="454">
        <f ca="1">-INDEX('Data Processing'!X:X,$A19)</f>
        <v>1538.6381530200001</v>
      </c>
      <c r="N19" s="454">
        <f ca="1">-INDEX('Data Processing'!Y:Y,$A19)</f>
        <v>1538.6381530200001</v>
      </c>
      <c r="O19" s="454">
        <f ca="1">-INDEX('Data Processing'!Z:Z,$A19)</f>
        <v>1526.4025609100001</v>
      </c>
      <c r="P19" s="454">
        <f ca="1">-INDEX('Data Processing'!AA:AA,$A19)</f>
        <v>1526.4025609100001</v>
      </c>
      <c r="Q19" s="454">
        <f ca="1">-INDEX('Data Processing'!AB:AB,$A19)</f>
        <v>1526.4025609100001</v>
      </c>
      <c r="R19" s="454">
        <f ca="1">-INDEX('Data Processing'!AC:AC,$A19)</f>
        <v>1511.04301839</v>
      </c>
      <c r="S19" s="454">
        <f ca="1">-INDEX('Data Processing'!AD:AD,$A19)</f>
        <v>1491.9484244800001</v>
      </c>
      <c r="T19" s="455">
        <f ca="1">-INDEX('Data Processing'!AE:AE,$A19)</f>
        <v>1451.03435023</v>
      </c>
      <c r="U19" s="524"/>
      <c r="V19" s="120"/>
      <c r="W19" s="126"/>
      <c r="X19" s="126"/>
      <c r="Y19" s="126"/>
    </row>
    <row r="20" spans="1:25" s="126" customFormat="1">
      <c r="A20">
        <f>IF(B20="","",IFERROR(MATCH(B20,'Data Processing'!$C:$C,0),""))</f>
        <v>20</v>
      </c>
      <c r="B20" s="522">
        <v>6</v>
      </c>
      <c r="C20" s="640" t="str">
        <f>INDEX('Data Processing'!G:G,$A20)</f>
        <v>BOLI</v>
      </c>
      <c r="D20" s="454">
        <f>-INDEX('Data Processing'!O:O,$A20)</f>
        <v>177.33069579000002</v>
      </c>
      <c r="E20" s="454">
        <f>-INDEX('Data Processing'!P:P,$A20)</f>
        <v>177.33069579000002</v>
      </c>
      <c r="F20" s="454">
        <f>-INDEX('Data Processing'!Q:Q,$A20)</f>
        <v>177.33069579000002</v>
      </c>
      <c r="G20" s="454">
        <f>-INDEX('Data Processing'!R:R,$A20)</f>
        <v>177.33069579000002</v>
      </c>
      <c r="H20" s="454">
        <f>-INDEX('Data Processing'!S:S,$A20)</f>
        <v>177.33069579000002</v>
      </c>
      <c r="I20" s="454">
        <f>-INDEX('Data Processing'!T:T,$A20)</f>
        <v>177.33069579000002</v>
      </c>
      <c r="J20" s="454">
        <f>-INDEX('Data Processing'!U:U,$A20)</f>
        <v>177.33069579000002</v>
      </c>
      <c r="K20" s="454">
        <f>-INDEX('Data Processing'!V:V,$A20)</f>
        <v>177.33069579000002</v>
      </c>
      <c r="L20" s="454">
        <f>-INDEX('Data Processing'!W:W,$A20)</f>
        <v>177.33069579000002</v>
      </c>
      <c r="M20" s="454">
        <f>-INDEX('Data Processing'!X:X,$A20)</f>
        <v>177.33069579000002</v>
      </c>
      <c r="N20" s="454">
        <f>-INDEX('Data Processing'!Y:Y,$A20)</f>
        <v>177.33069579000002</v>
      </c>
      <c r="O20" s="454">
        <f>-INDEX('Data Processing'!Z:Z,$A20)</f>
        <v>177.33069579000002</v>
      </c>
      <c r="P20" s="454">
        <f>-INDEX('Data Processing'!AA:AA,$A20)</f>
        <v>177.33069579000002</v>
      </c>
      <c r="Q20" s="454">
        <f>-INDEX('Data Processing'!AB:AB,$A20)</f>
        <v>177.33069579000002</v>
      </c>
      <c r="R20" s="454">
        <f>-INDEX('Data Processing'!AC:AC,$A20)</f>
        <v>177.33069579000002</v>
      </c>
      <c r="S20" s="454">
        <f>-INDEX('Data Processing'!AD:AD,$A20)</f>
        <v>177.33069579000002</v>
      </c>
      <c r="T20" s="455">
        <f>-INDEX('Data Processing'!AE:AE,$A20)</f>
        <v>177.33069579000002</v>
      </c>
      <c r="U20" s="125"/>
      <c r="V20" s="120"/>
    </row>
    <row r="21" spans="1:25" s="126" customFormat="1">
      <c r="A21">
        <f>IF(B21="","",IFERROR(MATCH(B21,'Data Processing'!$C:$C,0),""))</f>
        <v>22</v>
      </c>
      <c r="B21" s="522">
        <v>7</v>
      </c>
      <c r="C21" s="640" t="str">
        <f>INDEX('Data Processing'!G:G,$A21)</f>
        <v>Other Assets</v>
      </c>
      <c r="D21" s="454">
        <f>-INDEX('Data Processing'!O:O,$A21)</f>
        <v>-81.621511070000054</v>
      </c>
      <c r="E21" s="454">
        <f>-INDEX('Data Processing'!P:P,$A21)</f>
        <v>-81.621511070000054</v>
      </c>
      <c r="F21" s="454">
        <f>-INDEX('Data Processing'!Q:Q,$A21)</f>
        <v>-81.621511070000054</v>
      </c>
      <c r="G21" s="454">
        <f>-INDEX('Data Processing'!R:R,$A21)</f>
        <v>-81.621511070000054</v>
      </c>
      <c r="H21" s="454">
        <f>-INDEX('Data Processing'!S:S,$A21)</f>
        <v>-81.621511070000054</v>
      </c>
      <c r="I21" s="454">
        <f>-INDEX('Data Processing'!T:T,$A21)</f>
        <v>-81.621511070000054</v>
      </c>
      <c r="J21" s="454">
        <f>-INDEX('Data Processing'!U:U,$A21)</f>
        <v>-81.621511070000054</v>
      </c>
      <c r="K21" s="454">
        <f>-INDEX('Data Processing'!V:V,$A21)</f>
        <v>-81.621511070000054</v>
      </c>
      <c r="L21" s="454">
        <f>-INDEX('Data Processing'!W:W,$A21)</f>
        <v>-81.621511070000054</v>
      </c>
      <c r="M21" s="454">
        <f>-INDEX('Data Processing'!X:X,$A21)</f>
        <v>-81.621511070000054</v>
      </c>
      <c r="N21" s="454">
        <f>-INDEX('Data Processing'!Y:Y,$A21)</f>
        <v>-81.621511070000054</v>
      </c>
      <c r="O21" s="454">
        <f>-INDEX('Data Processing'!Z:Z,$A21)</f>
        <v>-81.621511070000054</v>
      </c>
      <c r="P21" s="454">
        <f>-INDEX('Data Processing'!AA:AA,$A21)</f>
        <v>-81.621511070000054</v>
      </c>
      <c r="Q21" s="454">
        <f>-INDEX('Data Processing'!AB:AB,$A21)</f>
        <v>-81.621511070000054</v>
      </c>
      <c r="R21" s="454">
        <f>-INDEX('Data Processing'!AC:AC,$A21)</f>
        <v>-81.621511070000054</v>
      </c>
      <c r="S21" s="454">
        <f>-INDEX('Data Processing'!AD:AD,$A21)</f>
        <v>-81.621511070000054</v>
      </c>
      <c r="T21" s="455">
        <f>-INDEX('Data Processing'!AE:AE,$A21)</f>
        <v>-81.621511070000054</v>
      </c>
      <c r="U21" s="125"/>
      <c r="V21" s="120"/>
    </row>
    <row r="22" spans="1:25" s="126" customFormat="1">
      <c r="A22">
        <f>IF(B22="","",IFERROR(MATCH(B22,'Data Processing'!$C:$C,0),""))</f>
        <v>21</v>
      </c>
      <c r="B22" s="522">
        <v>98</v>
      </c>
      <c r="C22" s="640" t="str">
        <f>INDEX('Data Processing'!G:G,$A22)</f>
        <v>REPO Assets</v>
      </c>
      <c r="D22" s="454">
        <f>-INDEX('Data Processing'!O:O,$A22)</f>
        <v>0</v>
      </c>
      <c r="E22" s="454">
        <f ca="1">-INDEX('Data Processing'!P:P,$A22)</f>
        <v>0</v>
      </c>
      <c r="F22" s="454">
        <f ca="1">-INDEX('Data Processing'!Q:Q,$A22)</f>
        <v>0</v>
      </c>
      <c r="G22" s="454">
        <f ca="1">-INDEX('Data Processing'!R:R,$A22)</f>
        <v>0</v>
      </c>
      <c r="H22" s="454">
        <f ca="1">-INDEX('Data Processing'!S:S,$A22)</f>
        <v>0</v>
      </c>
      <c r="I22" s="454">
        <f ca="1">-INDEX('Data Processing'!T:T,$A22)</f>
        <v>0</v>
      </c>
      <c r="J22" s="454">
        <f ca="1">-INDEX('Data Processing'!U:U,$A22)</f>
        <v>0</v>
      </c>
      <c r="K22" s="454">
        <f ca="1">-INDEX('Data Processing'!V:V,$A22)</f>
        <v>0</v>
      </c>
      <c r="L22" s="454">
        <f ca="1">-INDEX('Data Processing'!W:W,$A22)</f>
        <v>0</v>
      </c>
      <c r="M22" s="454">
        <f ca="1">-INDEX('Data Processing'!X:X,$A22)</f>
        <v>0</v>
      </c>
      <c r="N22" s="454">
        <f ca="1">-INDEX('Data Processing'!Y:Y,$A22)</f>
        <v>0</v>
      </c>
      <c r="O22" s="454">
        <f ca="1">-INDEX('Data Processing'!Z:Z,$A22)</f>
        <v>0</v>
      </c>
      <c r="P22" s="454">
        <f ca="1">-INDEX('Data Processing'!AA:AA,$A22)</f>
        <v>0</v>
      </c>
      <c r="Q22" s="454">
        <f ca="1">-INDEX('Data Processing'!AB:AB,$A22)</f>
        <v>0</v>
      </c>
      <c r="R22" s="454">
        <f ca="1">-INDEX('Data Processing'!AC:AC,$A22)</f>
        <v>0</v>
      </c>
      <c r="S22" s="454">
        <f ca="1">-INDEX('Data Processing'!AD:AD,$A22)</f>
        <v>0</v>
      </c>
      <c r="T22" s="455">
        <f ca="1">-INDEX('Data Processing'!AE:AE,$A22)</f>
        <v>0</v>
      </c>
      <c r="U22" s="125"/>
      <c r="V22" s="120"/>
    </row>
    <row r="23" spans="1:25" s="126" customFormat="1">
      <c r="A23"/>
      <c r="B23" s="522"/>
      <c r="C23" s="640"/>
      <c r="D23" s="454"/>
      <c r="E23" s="454"/>
      <c r="F23" s="454"/>
      <c r="G23" s="454"/>
      <c r="H23" s="454"/>
      <c r="I23" s="454"/>
      <c r="J23" s="454"/>
      <c r="K23" s="454"/>
      <c r="L23" s="454"/>
      <c r="M23" s="454"/>
      <c r="N23" s="454"/>
      <c r="O23" s="454"/>
      <c r="P23" s="454"/>
      <c r="Q23" s="454"/>
      <c r="R23" s="454"/>
      <c r="S23" s="454"/>
      <c r="T23" s="455"/>
      <c r="U23" s="125"/>
      <c r="V23" s="120"/>
    </row>
    <row r="24" spans="1:25" s="126" customFormat="1">
      <c r="A24"/>
      <c r="B24" s="522"/>
      <c r="C24" s="640"/>
      <c r="D24" s="454"/>
      <c r="E24" s="454"/>
      <c r="F24" s="454"/>
      <c r="G24" s="454"/>
      <c r="H24" s="454"/>
      <c r="I24" s="454"/>
      <c r="J24" s="454"/>
      <c r="K24" s="454"/>
      <c r="L24" s="454"/>
      <c r="M24" s="454"/>
      <c r="N24" s="454"/>
      <c r="O24" s="454"/>
      <c r="P24" s="454"/>
      <c r="Q24" s="454"/>
      <c r="R24" s="454"/>
      <c r="S24" s="454"/>
      <c r="T24" s="455"/>
      <c r="U24" s="125"/>
      <c r="V24" s="120"/>
    </row>
    <row r="25" spans="1:25" s="521" customFormat="1" ht="15.75" thickBot="1">
      <c r="B25" s="522"/>
      <c r="C25" s="641" t="s">
        <v>22</v>
      </c>
      <c r="D25" s="496">
        <f>-SUM('Data Processing'!O3:O22)</f>
        <v>94607.342007963132</v>
      </c>
      <c r="E25" s="496">
        <f ca="1">-SUM('Data Processing'!P3:P22)</f>
        <v>92025.489026697513</v>
      </c>
      <c r="F25" s="496">
        <f ca="1">-SUM('Data Processing'!Q3:Q22)</f>
        <v>77281.478219442099</v>
      </c>
      <c r="G25" s="496">
        <f ca="1">-SUM('Data Processing'!R3:R22)</f>
        <v>76769.657152073836</v>
      </c>
      <c r="H25" s="496">
        <f ca="1">-SUM('Data Processing'!S3:S22)</f>
        <v>76259.2409657846</v>
      </c>
      <c r="I25" s="496">
        <f ca="1">-SUM('Data Processing'!T3:T22)</f>
        <v>75755.34313336444</v>
      </c>
      <c r="J25" s="496">
        <f ca="1">-SUM('Data Processing'!U3:U22)</f>
        <v>75251.44530094428</v>
      </c>
      <c r="K25" s="496">
        <f ca="1">-SUM('Data Processing'!V3:V22)</f>
        <v>74698.752088592955</v>
      </c>
      <c r="L25" s="496">
        <f ca="1">-SUM('Data Processing'!W3:W22)</f>
        <v>74263.713648763543</v>
      </c>
      <c r="M25" s="496">
        <f ca="1">-SUM('Data Processing'!X3:X22)</f>
        <v>73763.928400240431</v>
      </c>
      <c r="N25" s="496">
        <f ca="1">-SUM('Data Processing'!Y3:Y22)</f>
        <v>73310.541609423948</v>
      </c>
      <c r="O25" s="496">
        <f ca="1">-SUM('Data Processing'!Z3:Z22)</f>
        <v>72879.424971839369</v>
      </c>
      <c r="P25" s="496">
        <f ca="1">-SUM('Data Processing'!AA3:AA22)</f>
        <v>72448.46407227173</v>
      </c>
      <c r="Q25" s="496">
        <f ca="1">-SUM('Data Processing'!AB3:AB22)</f>
        <v>72017.503172704106</v>
      </c>
      <c r="R25" s="496">
        <f ca="1">-SUM('Data Processing'!AC3:AC22)</f>
        <v>71550.863240066872</v>
      </c>
      <c r="S25" s="496">
        <f ca="1">-SUM('Data Processing'!AD3:AD22)</f>
        <v>68088.139299382179</v>
      </c>
      <c r="T25" s="537">
        <f ca="1">-SUM('Data Processing'!AE3:AE22)</f>
        <v>66025.421385793146</v>
      </c>
      <c r="U25" s="524"/>
      <c r="V25" s="120"/>
      <c r="W25" s="126"/>
      <c r="X25" s="126"/>
      <c r="Y25" s="126"/>
    </row>
    <row r="26" spans="1:25" s="521" customFormat="1" ht="15.75" thickTop="1">
      <c r="B26" s="522"/>
      <c r="C26" s="640"/>
      <c r="D26" s="497"/>
      <c r="E26" s="525"/>
      <c r="F26" s="524"/>
      <c r="G26" s="525"/>
      <c r="H26" s="524"/>
      <c r="I26" s="524"/>
      <c r="J26" s="524"/>
      <c r="K26" s="524"/>
      <c r="L26" s="524"/>
      <c r="M26" s="524"/>
      <c r="N26" s="524"/>
      <c r="O26" s="524"/>
      <c r="P26" s="524"/>
      <c r="Q26" s="524"/>
      <c r="R26" s="524"/>
      <c r="S26" s="524"/>
      <c r="T26" s="538"/>
      <c r="U26" s="524"/>
      <c r="V26" s="120"/>
      <c r="W26" s="126"/>
      <c r="X26" s="126"/>
      <c r="Y26" s="126"/>
    </row>
    <row r="27" spans="1:25" s="521" customFormat="1">
      <c r="B27" s="522"/>
      <c r="C27" s="642" t="s">
        <v>33</v>
      </c>
      <c r="D27" s="454"/>
      <c r="E27" s="525"/>
      <c r="F27" s="524"/>
      <c r="G27" s="524"/>
      <c r="H27" s="524"/>
      <c r="I27" s="524"/>
      <c r="J27" s="524"/>
      <c r="K27" s="524"/>
      <c r="L27" s="524"/>
      <c r="M27" s="524"/>
      <c r="N27" s="524"/>
      <c r="O27" s="524"/>
      <c r="P27" s="524"/>
      <c r="Q27" s="524"/>
      <c r="R27" s="524"/>
      <c r="S27" s="524"/>
      <c r="T27" s="538"/>
      <c r="U27" s="524"/>
      <c r="V27" s="120"/>
      <c r="W27" s="126"/>
      <c r="X27" s="126"/>
      <c r="Y27" s="126"/>
    </row>
    <row r="28" spans="1:25" s="126" customFormat="1">
      <c r="A28" s="126">
        <f>IF(B28="","",IFERROR(MATCH(B28,'Data Processing'!$C:$C,0),""))</f>
        <v>23</v>
      </c>
      <c r="B28" s="522" t="s">
        <v>994</v>
      </c>
      <c r="C28" s="640" t="str">
        <f>INDEX('Data Processing'!G:G,$A28)</f>
        <v>Due to Interbranch - Demand</v>
      </c>
      <c r="D28" s="454">
        <f>INDEX('Data Processing'!O:O,$A28)</f>
        <v>19.421565280000003</v>
      </c>
      <c r="E28" s="454">
        <f ca="1">INDEX('Data Processing'!P:P,$A28)</f>
        <v>18.800075191040001</v>
      </c>
      <c r="F28" s="454">
        <f ca="1">INDEX('Data Processing'!Q:Q,$A28)</f>
        <v>18.69649350954667</v>
      </c>
      <c r="G28" s="454">
        <f ca="1">INDEX('Data Processing'!R:R,$A28)</f>
        <v>18.592911828053335</v>
      </c>
      <c r="H28" s="454">
        <f ca="1">INDEX('Data Processing'!S:S,$A28)</f>
        <v>18.489330146560004</v>
      </c>
      <c r="I28" s="454">
        <f ca="1">INDEX('Data Processing'!T:T,$A28)</f>
        <v>18.385748465066669</v>
      </c>
      <c r="J28" s="454">
        <f ca="1">INDEX('Data Processing'!U:U,$A28)</f>
        <v>18.282166783573338</v>
      </c>
      <c r="K28" s="454">
        <f ca="1">INDEX('Data Processing'!V:V,$A28)</f>
        <v>18.178585102080003</v>
      </c>
      <c r="L28" s="454">
        <f ca="1">INDEX('Data Processing'!W:W,$A28)</f>
        <v>18.089800803657145</v>
      </c>
      <c r="M28" s="454">
        <f ca="1">INDEX('Data Processing'!X:X,$A28)</f>
        <v>18.00101650523429</v>
      </c>
      <c r="N28" s="454">
        <f ca="1">INDEX('Data Processing'!Y:Y,$A28)</f>
        <v>17.912232206811431</v>
      </c>
      <c r="O28" s="454">
        <f ca="1">INDEX('Data Processing'!Z:Z,$A28)</f>
        <v>17.823447908388573</v>
      </c>
      <c r="P28" s="454">
        <f ca="1">INDEX('Data Processing'!AA:AA,$A28)</f>
        <v>17.734663609965718</v>
      </c>
      <c r="Q28" s="454">
        <f ca="1">INDEX('Data Processing'!AB:AB,$A28)</f>
        <v>17.64587931154286</v>
      </c>
      <c r="R28" s="454">
        <f ca="1">INDEX('Data Processing'!AC:AC,$A28)</f>
        <v>17.557095013120005</v>
      </c>
      <c r="S28" s="454">
        <f ca="1">INDEX('Data Processing'!AD:AD,$A28)</f>
        <v>17.324036229760004</v>
      </c>
      <c r="T28" s="455">
        <f ca="1">INDEX('Data Processing'!AE:AE,$A28)</f>
        <v>17.090977446400004</v>
      </c>
      <c r="U28" s="125"/>
      <c r="V28" s="120"/>
    </row>
    <row r="29" spans="1:25" s="126" customFormat="1">
      <c r="A29" s="126">
        <f>IF(B29="","",IFERROR(MATCH(B29,'Data Processing'!$C:$C,0),""))</f>
        <v>24</v>
      </c>
      <c r="B29" s="522" t="s">
        <v>995</v>
      </c>
      <c r="C29" s="640" t="str">
        <f>INDEX('Data Processing'!G:G,$A29)</f>
        <v>Due to Interbranch - Investment (Exclude Large IB)</v>
      </c>
      <c r="D29" s="454">
        <f>INDEX('Data Processing'!O:O,$A29)</f>
        <v>2158.1261872099999</v>
      </c>
      <c r="E29" s="454">
        <f ca="1">INDEX('Data Processing'!P:P,$A29)</f>
        <v>2089.0661492192799</v>
      </c>
      <c r="F29" s="454">
        <f ca="1">INDEX('Data Processing'!Q:Q,$A29)</f>
        <v>2077.556142887493</v>
      </c>
      <c r="G29" s="454">
        <f ca="1">INDEX('Data Processing'!R:R,$A29)</f>
        <v>2066.0461365557067</v>
      </c>
      <c r="H29" s="454">
        <f ca="1">INDEX('Data Processing'!S:S,$A29)</f>
        <v>2054.5361302239198</v>
      </c>
      <c r="I29" s="454">
        <f ca="1">INDEX('Data Processing'!T:T,$A29)</f>
        <v>2043.0261238921332</v>
      </c>
      <c r="J29" s="454">
        <f ca="1">INDEX('Data Processing'!U:U,$A29)</f>
        <v>2031.5161175603466</v>
      </c>
      <c r="K29" s="454">
        <f ca="1">INDEX('Data Processing'!V:V,$A29)</f>
        <v>2020.0061112285598</v>
      </c>
      <c r="L29" s="454">
        <f ca="1">INDEX('Data Processing'!W:W,$A29)</f>
        <v>2010.1403915156</v>
      </c>
      <c r="M29" s="454">
        <f ca="1">INDEX('Data Processing'!X:X,$A29)</f>
        <v>2000.2746718026399</v>
      </c>
      <c r="N29" s="454">
        <f ca="1">INDEX('Data Processing'!Y:Y,$A29)</f>
        <v>1990.4089520896798</v>
      </c>
      <c r="O29" s="454">
        <f ca="1">INDEX('Data Processing'!Z:Z,$A29)</f>
        <v>1980.54323237672</v>
      </c>
      <c r="P29" s="454">
        <f ca="1">INDEX('Data Processing'!AA:AA,$A29)</f>
        <v>1970.6775126637599</v>
      </c>
      <c r="Q29" s="454">
        <f ca="1">INDEX('Data Processing'!AB:AB,$A29)</f>
        <v>1960.8117929507998</v>
      </c>
      <c r="R29" s="454">
        <f ca="1">INDEX('Data Processing'!AC:AC,$A29)</f>
        <v>1950.9460732378398</v>
      </c>
      <c r="S29" s="454">
        <f ca="1">INDEX('Data Processing'!AD:AD,$A29)</f>
        <v>1925.0485589913199</v>
      </c>
      <c r="T29" s="455">
        <f ca="1">INDEX('Data Processing'!AE:AE,$A29)</f>
        <v>1899.1510447447999</v>
      </c>
      <c r="U29" s="125"/>
      <c r="V29" s="120"/>
    </row>
    <row r="30" spans="1:25" s="126" customFormat="1">
      <c r="A30" s="126">
        <f>IF(B30="","",IFERROR(MATCH(B30,'Data Processing'!$C:$C,0),""))</f>
        <v>25</v>
      </c>
      <c r="B30" s="522" t="s">
        <v>1288</v>
      </c>
      <c r="C30" s="640" t="str">
        <f>INDEX('Data Processing'!G:G,$A30)</f>
        <v>Due to Interbranch - Investment (H.O.)</v>
      </c>
      <c r="D30" s="454">
        <f>INDEX('Data Processing'!O:O,$A30)</f>
        <v>2019.1058597900001</v>
      </c>
      <c r="E30" s="454">
        <f ca="1">INDEX('Data Processing'!P:P,$A30)</f>
        <v>1913.7494898749226</v>
      </c>
      <c r="F30" s="454">
        <f ca="1">INDEX('Data Processing'!Q:Q,$A30)</f>
        <v>1896.1900948890764</v>
      </c>
      <c r="G30" s="454">
        <f ca="1">INDEX('Data Processing'!R:R,$A30)</f>
        <v>1878.6306999032299</v>
      </c>
      <c r="H30" s="454">
        <f ca="1">INDEX('Data Processing'!S:S,$A30)</f>
        <v>1861.0713049173837</v>
      </c>
      <c r="I30" s="454">
        <f ca="1">INDEX('Data Processing'!T:T,$A30)</f>
        <v>1843.5119099315375</v>
      </c>
      <c r="J30" s="454">
        <f ca="1">INDEX('Data Processing'!U:U,$A30)</f>
        <v>1825.9525149456913</v>
      </c>
      <c r="K30" s="454">
        <f ca="1">INDEX('Data Processing'!V:V,$A30)</f>
        <v>1808.3931199598451</v>
      </c>
      <c r="L30" s="454">
        <f ca="1">INDEX('Data Processing'!W:W,$A30)</f>
        <v>1793.3422099719767</v>
      </c>
      <c r="M30" s="454">
        <f ca="1">INDEX('Data Processing'!X:X,$A30)</f>
        <v>1778.2912999841085</v>
      </c>
      <c r="N30" s="454">
        <f ca="1">INDEX('Data Processing'!Y:Y,$A30)</f>
        <v>1763.2403899962403</v>
      </c>
      <c r="O30" s="454">
        <f ca="1">INDEX('Data Processing'!Z:Z,$A30)</f>
        <v>1748.1894800083721</v>
      </c>
      <c r="P30" s="454">
        <f ca="1">INDEX('Data Processing'!AA:AA,$A30)</f>
        <v>1733.1385700205039</v>
      </c>
      <c r="Q30" s="454">
        <f ca="1">INDEX('Data Processing'!AB:AB,$A30)</f>
        <v>1718.0876600326355</v>
      </c>
      <c r="R30" s="454">
        <f ca="1">INDEX('Data Processing'!AC:AC,$A30)</f>
        <v>1703.0367500447674</v>
      </c>
      <c r="S30" s="454">
        <f ca="1">INDEX('Data Processing'!AD:AD,$A30)</f>
        <v>1663.5281113266133</v>
      </c>
      <c r="T30" s="455">
        <f ca="1">INDEX('Data Processing'!AE:AE,$A30)</f>
        <v>1624.0194726084594</v>
      </c>
      <c r="U30" s="125"/>
      <c r="V30" s="120"/>
    </row>
    <row r="31" spans="1:25" s="126" customFormat="1">
      <c r="A31" s="126">
        <f>IF(B31="","",IFERROR(MATCH(B31,'Data Processing'!$C:$C,0),""))</f>
        <v>26</v>
      </c>
      <c r="B31" s="522" t="s">
        <v>1409</v>
      </c>
      <c r="C31" s="640" t="str">
        <f>INDEX('Data Processing'!G:G,$A31)</f>
        <v>Due to Interbranch - Investment (MACAU)</v>
      </c>
      <c r="D31" s="454">
        <f>INDEX('Data Processing'!O:O,$A31)</f>
        <v>460.71168785000003</v>
      </c>
      <c r="E31" s="454">
        <f ca="1">INDEX('Data Processing'!P:P,$A31)</f>
        <v>445.96891383880001</v>
      </c>
      <c r="F31" s="454">
        <f ca="1">INDEX('Data Processing'!Q:Q,$A31)</f>
        <v>443.51178483693337</v>
      </c>
      <c r="G31" s="454">
        <f ca="1">INDEX('Data Processing'!R:R,$A31)</f>
        <v>441.05465583506668</v>
      </c>
      <c r="H31" s="454">
        <f ca="1">INDEX('Data Processing'!S:S,$A31)</f>
        <v>438.59752683320005</v>
      </c>
      <c r="I31" s="454">
        <f ca="1">INDEX('Data Processing'!T:T,$A31)</f>
        <v>436.14039783133336</v>
      </c>
      <c r="J31" s="454">
        <f ca="1">INDEX('Data Processing'!U:U,$A31)</f>
        <v>433.68326882946667</v>
      </c>
      <c r="K31" s="454">
        <f ca="1">INDEX('Data Processing'!V:V,$A31)</f>
        <v>431.22613982760004</v>
      </c>
      <c r="L31" s="454">
        <f ca="1">INDEX('Data Processing'!W:W,$A31)</f>
        <v>429.12002925457148</v>
      </c>
      <c r="M31" s="454">
        <f ca="1">INDEX('Data Processing'!X:X,$A31)</f>
        <v>427.01391868154286</v>
      </c>
      <c r="N31" s="454">
        <f ca="1">INDEX('Data Processing'!Y:Y,$A31)</f>
        <v>424.9078081085143</v>
      </c>
      <c r="O31" s="454">
        <f ca="1">INDEX('Data Processing'!Z:Z,$A31)</f>
        <v>422.80169753548574</v>
      </c>
      <c r="P31" s="454">
        <f ca="1">INDEX('Data Processing'!AA:AA,$A31)</f>
        <v>420.69558696245713</v>
      </c>
      <c r="Q31" s="454">
        <f ca="1">INDEX('Data Processing'!AB:AB,$A31)</f>
        <v>418.58947638942857</v>
      </c>
      <c r="R31" s="454">
        <f ca="1">INDEX('Data Processing'!AC:AC,$A31)</f>
        <v>416.48336581640001</v>
      </c>
      <c r="S31" s="454">
        <f ca="1">INDEX('Data Processing'!AD:AD,$A31)</f>
        <v>410.95482556220003</v>
      </c>
      <c r="T31" s="455">
        <f ca="1">INDEX('Data Processing'!AE:AE,$A31)</f>
        <v>405.42628530800005</v>
      </c>
      <c r="U31" s="125"/>
      <c r="V31" s="120"/>
    </row>
    <row r="32" spans="1:25" s="126" customFormat="1">
      <c r="A32" s="126">
        <f>IF(B32="","",IFERROR(MATCH(B32,'Data Processing'!$C:$C,0),""))</f>
        <v>28</v>
      </c>
      <c r="B32" s="522" t="s">
        <v>996</v>
      </c>
      <c r="C32" s="640" t="str">
        <f>INDEX('Data Processing'!G:G,$A32)</f>
        <v>Due to Interbranch - Call Loans (Exclude HO)</v>
      </c>
      <c r="D32" s="454">
        <f>INDEX('Data Processing'!O:O,$A32)</f>
        <v>460.84183000000002</v>
      </c>
      <c r="E32" s="454">
        <f ca="1">INDEX('Data Processing'!P:P,$A32)</f>
        <v>460.84183000000002</v>
      </c>
      <c r="F32" s="454">
        <f ca="1">INDEX('Data Processing'!Q:Q,$A32)</f>
        <v>460.84183000000002</v>
      </c>
      <c r="G32" s="454">
        <f ca="1">INDEX('Data Processing'!R:R,$A32)</f>
        <v>460.84183000000002</v>
      </c>
      <c r="H32" s="454">
        <f ca="1">INDEX('Data Processing'!S:S,$A32)</f>
        <v>460.84183000000002</v>
      </c>
      <c r="I32" s="454">
        <f ca="1">INDEX('Data Processing'!T:T,$A32)</f>
        <v>460.84183000000002</v>
      </c>
      <c r="J32" s="454">
        <f ca="1">INDEX('Data Processing'!U:U,$A32)</f>
        <v>460.84183000000002</v>
      </c>
      <c r="K32" s="454">
        <f ca="1">INDEX('Data Processing'!V:V,$A32)</f>
        <v>460.84183000000002</v>
      </c>
      <c r="L32" s="454">
        <f ca="1">INDEX('Data Processing'!W:W,$A32)</f>
        <v>460.84183000000002</v>
      </c>
      <c r="M32" s="454">
        <f ca="1">INDEX('Data Processing'!X:X,$A32)</f>
        <v>460.84183000000002</v>
      </c>
      <c r="N32" s="454">
        <f ca="1">INDEX('Data Processing'!Y:Y,$A32)</f>
        <v>460.84183000000002</v>
      </c>
      <c r="O32" s="454">
        <f ca="1">INDEX('Data Processing'!Z:Z,$A32)</f>
        <v>460.84183000000002</v>
      </c>
      <c r="P32" s="454">
        <f ca="1">INDEX('Data Processing'!AA:AA,$A32)</f>
        <v>460.84183000000002</v>
      </c>
      <c r="Q32" s="454">
        <f ca="1">INDEX('Data Processing'!AB:AB,$A32)</f>
        <v>460.84183000000002</v>
      </c>
      <c r="R32" s="454">
        <f ca="1">INDEX('Data Processing'!AC:AC,$A32)</f>
        <v>460.84183000000002</v>
      </c>
      <c r="S32" s="454">
        <f ca="1">INDEX('Data Processing'!AD:AD,$A32)</f>
        <v>460</v>
      </c>
      <c r="T32" s="455">
        <f ca="1">INDEX('Data Processing'!AE:AE,$A32)</f>
        <v>460</v>
      </c>
      <c r="U32" s="125"/>
      <c r="V32" s="120"/>
    </row>
    <row r="33" spans="1:22" s="126" customFormat="1">
      <c r="A33" s="126">
        <f>IF(B33="","",IFERROR(MATCH(B33,'Data Processing'!$C:$C,0),""))</f>
        <v>29</v>
      </c>
      <c r="B33" s="522" t="s">
        <v>1230</v>
      </c>
      <c r="C33" s="640" t="str">
        <f>INDEX('Data Processing'!G:G,$A33)</f>
        <v>Due to Interbranch - Call Loans (H.O.)</v>
      </c>
      <c r="D33" s="454">
        <f>INDEX('Data Processing'!O:O,$A33)</f>
        <v>19377</v>
      </c>
      <c r="E33" s="454">
        <f ca="1">INDEX('Data Processing'!P:P,$A33)</f>
        <v>19377</v>
      </c>
      <c r="F33" s="454">
        <f ca="1">INDEX('Data Processing'!Q:Q,$A33)</f>
        <v>5137</v>
      </c>
      <c r="G33" s="454">
        <f ca="1">INDEX('Data Processing'!R:R,$A33)</f>
        <v>5137</v>
      </c>
      <c r="H33" s="454">
        <f ca="1">INDEX('Data Processing'!S:S,$A33)</f>
        <v>5137</v>
      </c>
      <c r="I33" s="454">
        <f ca="1">INDEX('Data Processing'!T:T,$A33)</f>
        <v>5137</v>
      </c>
      <c r="J33" s="454">
        <f ca="1">INDEX('Data Processing'!U:U,$A33)</f>
        <v>5137</v>
      </c>
      <c r="K33" s="454">
        <f ca="1">INDEX('Data Processing'!V:V,$A33)</f>
        <v>5137</v>
      </c>
      <c r="L33" s="454">
        <f ca="1">INDEX('Data Processing'!W:W,$A33)</f>
        <v>5137</v>
      </c>
      <c r="M33" s="454">
        <f ca="1">INDEX('Data Processing'!X:X,$A33)</f>
        <v>5137</v>
      </c>
      <c r="N33" s="454">
        <f ca="1">INDEX('Data Processing'!Y:Y,$A33)</f>
        <v>5137</v>
      </c>
      <c r="O33" s="454">
        <f ca="1">INDEX('Data Processing'!Z:Z,$A33)</f>
        <v>5137</v>
      </c>
      <c r="P33" s="454">
        <f ca="1">INDEX('Data Processing'!AA:AA,$A33)</f>
        <v>5137</v>
      </c>
      <c r="Q33" s="454">
        <f ca="1">INDEX('Data Processing'!AB:AB,$A33)</f>
        <v>5137</v>
      </c>
      <c r="R33" s="454">
        <f ca="1">INDEX('Data Processing'!AC:AC,$A33)</f>
        <v>5137</v>
      </c>
      <c r="S33" s="454">
        <f ca="1">INDEX('Data Processing'!AD:AD,$A33)</f>
        <v>5137</v>
      </c>
      <c r="T33" s="455">
        <f ca="1">INDEX('Data Processing'!AE:AE,$A33)</f>
        <v>5137</v>
      </c>
      <c r="U33" s="125"/>
      <c r="V33" s="120"/>
    </row>
    <row r="34" spans="1:22" s="126" customFormat="1">
      <c r="A34" s="126">
        <f>IF(B34="","",IFERROR(MATCH(B34,'Data Processing'!$C:$C,0),""))</f>
        <v>30</v>
      </c>
      <c r="B34" s="522" t="s">
        <v>1287</v>
      </c>
      <c r="C34" s="640" t="str">
        <f>INDEX('Data Processing'!G:G,$A34)</f>
        <v>Due to Interbranch - Trade Finance</v>
      </c>
      <c r="D34" s="454">
        <f>INDEX('Data Processing'!O:O,$A34)</f>
        <v>0</v>
      </c>
      <c r="E34" s="454">
        <f ca="1">INDEX('Data Processing'!P:P,$A34)</f>
        <v>0</v>
      </c>
      <c r="F34" s="454">
        <f ca="1">INDEX('Data Processing'!Q:Q,$A34)</f>
        <v>0</v>
      </c>
      <c r="G34" s="454">
        <f ca="1">INDEX('Data Processing'!R:R,$A34)</f>
        <v>0</v>
      </c>
      <c r="H34" s="454">
        <f ca="1">INDEX('Data Processing'!S:S,$A34)</f>
        <v>0</v>
      </c>
      <c r="I34" s="454">
        <f ca="1">INDEX('Data Processing'!T:T,$A34)</f>
        <v>0</v>
      </c>
      <c r="J34" s="454">
        <f ca="1">INDEX('Data Processing'!U:U,$A34)</f>
        <v>0</v>
      </c>
      <c r="K34" s="454">
        <f ca="1">INDEX('Data Processing'!V:V,$A34)</f>
        <v>0</v>
      </c>
      <c r="L34" s="454">
        <f ca="1">INDEX('Data Processing'!W:W,$A34)</f>
        <v>0</v>
      </c>
      <c r="M34" s="454">
        <f ca="1">INDEX('Data Processing'!X:X,$A34)</f>
        <v>0</v>
      </c>
      <c r="N34" s="454">
        <f ca="1">INDEX('Data Processing'!Y:Y,$A34)</f>
        <v>0</v>
      </c>
      <c r="O34" s="454">
        <f ca="1">INDEX('Data Processing'!Z:Z,$A34)</f>
        <v>0</v>
      </c>
      <c r="P34" s="454">
        <f ca="1">INDEX('Data Processing'!AA:AA,$A34)</f>
        <v>0</v>
      </c>
      <c r="Q34" s="454">
        <f ca="1">INDEX('Data Processing'!AB:AB,$A34)</f>
        <v>0</v>
      </c>
      <c r="R34" s="454">
        <f ca="1">INDEX('Data Processing'!AC:AC,$A34)</f>
        <v>0</v>
      </c>
      <c r="S34" s="454">
        <f ca="1">INDEX('Data Processing'!AD:AD,$A34)</f>
        <v>0</v>
      </c>
      <c r="T34" s="455">
        <f ca="1">INDEX('Data Processing'!AE:AE,$A34)</f>
        <v>0</v>
      </c>
      <c r="U34" s="125"/>
      <c r="V34" s="120"/>
    </row>
    <row r="35" spans="1:22" s="126" customFormat="1">
      <c r="A35" s="126">
        <f>IF(B35="","",IFERROR(MATCH(B35,'Data Processing'!$C:$C,0),""))</f>
        <v>34</v>
      </c>
      <c r="B35" s="522" t="s">
        <v>997</v>
      </c>
      <c r="C35" s="640" t="str">
        <f>INDEX('Data Processing'!G:G,$A35)</f>
        <v>Due to Affiliate - Investment - Non-US</v>
      </c>
      <c r="D35" s="454">
        <f>INDEX('Data Processing'!O:O,$A35)</f>
        <v>316.77946496999999</v>
      </c>
      <c r="E35" s="454">
        <f ca="1">INDEX('Data Processing'!P:P,$A35)</f>
        <v>304.10828637119999</v>
      </c>
      <c r="F35" s="454">
        <f ca="1">INDEX('Data Processing'!Q:Q,$A35)</f>
        <v>301.99642327139998</v>
      </c>
      <c r="G35" s="454">
        <f ca="1">INDEX('Data Processing'!R:R,$A35)</f>
        <v>299.88456017160001</v>
      </c>
      <c r="H35" s="454">
        <f ca="1">INDEX('Data Processing'!S:S,$A35)</f>
        <v>297.7726970718</v>
      </c>
      <c r="I35" s="454">
        <f ca="1">INDEX('Data Processing'!T:T,$A35)</f>
        <v>295.66083397199998</v>
      </c>
      <c r="J35" s="454">
        <f ca="1">INDEX('Data Processing'!U:U,$A35)</f>
        <v>293.54897087220002</v>
      </c>
      <c r="K35" s="454">
        <f ca="1">INDEX('Data Processing'!V:V,$A35)</f>
        <v>291.4371077724</v>
      </c>
      <c r="L35" s="454">
        <f ca="1">INDEX('Data Processing'!W:W,$A35)</f>
        <v>289.62693940114286</v>
      </c>
      <c r="M35" s="454">
        <f ca="1">INDEX('Data Processing'!X:X,$A35)</f>
        <v>287.81677102988573</v>
      </c>
      <c r="N35" s="454">
        <f ca="1">INDEX('Data Processing'!Y:Y,$A35)</f>
        <v>286.00660265862859</v>
      </c>
      <c r="O35" s="454">
        <f ca="1">INDEX('Data Processing'!Z:Z,$A35)</f>
        <v>284.1964342873714</v>
      </c>
      <c r="P35" s="454">
        <f ca="1">INDEX('Data Processing'!AA:AA,$A35)</f>
        <v>282.38626591611427</v>
      </c>
      <c r="Q35" s="454">
        <f ca="1">INDEX('Data Processing'!AB:AB,$A35)</f>
        <v>280.57609754485713</v>
      </c>
      <c r="R35" s="454">
        <f ca="1">INDEX('Data Processing'!AC:AC,$A35)</f>
        <v>278.7659291736</v>
      </c>
      <c r="S35" s="454">
        <f ca="1">INDEX('Data Processing'!AD:AD,$A35)</f>
        <v>274.01423719905</v>
      </c>
      <c r="T35" s="455">
        <f ca="1">INDEX('Data Processing'!AE:AE,$A35)</f>
        <v>269.2625452245</v>
      </c>
      <c r="U35" s="125"/>
      <c r="V35" s="120"/>
    </row>
    <row r="36" spans="1:22" s="126" customFormat="1">
      <c r="A36" s="126">
        <f>IF(B36="","",IFERROR(MATCH(B36,'Data Processing'!$C:$C,0),""))</f>
        <v>35</v>
      </c>
      <c r="B36" s="522" t="s">
        <v>1351</v>
      </c>
      <c r="C36" s="640" t="str">
        <f>INDEX('Data Processing'!G:G,$A36)</f>
        <v>Due to Affiliate - Investment - BOC HK LTD</v>
      </c>
      <c r="D36" s="454">
        <f>INDEX('Data Processing'!O:O,$A36)</f>
        <v>8.2450289999999996E-2</v>
      </c>
      <c r="E36" s="454">
        <f ca="1">INDEX('Data Processing'!P:P,$A36)</f>
        <v>7.9152278399999998E-2</v>
      </c>
      <c r="F36" s="454">
        <f ca="1">INDEX('Data Processing'!Q:Q,$A36)</f>
        <v>7.8602609800000001E-2</v>
      </c>
      <c r="G36" s="454">
        <f ca="1">INDEX('Data Processing'!R:R,$A36)</f>
        <v>7.8052941200000003E-2</v>
      </c>
      <c r="H36" s="454">
        <f ca="1">INDEX('Data Processing'!S:S,$A36)</f>
        <v>7.7503272599999992E-2</v>
      </c>
      <c r="I36" s="454">
        <f ca="1">INDEX('Data Processing'!T:T,$A36)</f>
        <v>7.6953603999999995E-2</v>
      </c>
      <c r="J36" s="454">
        <f ca="1">INDEX('Data Processing'!U:U,$A36)</f>
        <v>7.6403935399999998E-2</v>
      </c>
      <c r="K36" s="454">
        <f ca="1">INDEX('Data Processing'!V:V,$A36)</f>
        <v>7.58542668E-2</v>
      </c>
      <c r="L36" s="454">
        <f ca="1">INDEX('Data Processing'!W:W,$A36)</f>
        <v>7.5383122285714282E-2</v>
      </c>
      <c r="M36" s="454">
        <f ca="1">INDEX('Data Processing'!X:X,$A36)</f>
        <v>7.4911977771428565E-2</v>
      </c>
      <c r="N36" s="454">
        <f ca="1">INDEX('Data Processing'!Y:Y,$A36)</f>
        <v>7.4440833257142847E-2</v>
      </c>
      <c r="O36" s="454">
        <f ca="1">INDEX('Data Processing'!Z:Z,$A36)</f>
        <v>7.3969688742857143E-2</v>
      </c>
      <c r="P36" s="454">
        <f ca="1">INDEX('Data Processing'!AA:AA,$A36)</f>
        <v>7.3498544228571425E-2</v>
      </c>
      <c r="Q36" s="454">
        <f ca="1">INDEX('Data Processing'!AB:AB,$A36)</f>
        <v>7.3027399714285707E-2</v>
      </c>
      <c r="R36" s="454">
        <f ca="1">INDEX('Data Processing'!AC:AC,$A36)</f>
        <v>7.2556255200000003E-2</v>
      </c>
      <c r="S36" s="454">
        <f ca="1">INDEX('Data Processing'!AD:AD,$A36)</f>
        <v>7.1319500849999995E-2</v>
      </c>
      <c r="T36" s="455">
        <f ca="1">INDEX('Data Processing'!AE:AE,$A36)</f>
        <v>7.0082746499999987E-2</v>
      </c>
      <c r="U36" s="125"/>
      <c r="V36" s="120"/>
    </row>
    <row r="37" spans="1:22" s="126" customFormat="1">
      <c r="A37" s="126">
        <f>IF(B37="","",IFERROR(MATCH(B37,'Data Processing'!$C:$C,0),""))</f>
        <v>31</v>
      </c>
      <c r="B37" s="522" t="s">
        <v>1161</v>
      </c>
      <c r="C37" s="640" t="str">
        <f>INDEX('Data Processing'!G:G,$A37)</f>
        <v>Due to Affiliate - Demand - US</v>
      </c>
      <c r="D37" s="454">
        <f>INDEX('Data Processing'!O:O,$A37)</f>
        <v>8.3589006299999991</v>
      </c>
      <c r="E37" s="454">
        <f ca="1">INDEX('Data Processing'!P:P,$A37)</f>
        <v>8.0245446047999991</v>
      </c>
      <c r="F37" s="454">
        <f ca="1">INDEX('Data Processing'!Q:Q,$A37)</f>
        <v>7.9688186005999988</v>
      </c>
      <c r="G37" s="454">
        <f ca="1">INDEX('Data Processing'!R:R,$A37)</f>
        <v>7.9130925963999994</v>
      </c>
      <c r="H37" s="454">
        <f ca="1">INDEX('Data Processing'!S:S,$A37)</f>
        <v>7.8573665921999991</v>
      </c>
      <c r="I37" s="454">
        <f ca="1">INDEX('Data Processing'!T:T,$A37)</f>
        <v>7.8016405879999988</v>
      </c>
      <c r="J37" s="454">
        <f ca="1">INDEX('Data Processing'!U:U,$A37)</f>
        <v>7.7459145837999994</v>
      </c>
      <c r="K37" s="454">
        <f ca="1">INDEX('Data Processing'!V:V,$A37)</f>
        <v>7.6901885795999991</v>
      </c>
      <c r="L37" s="454">
        <f ca="1">INDEX('Data Processing'!W:W,$A37)</f>
        <v>7.6424234331428567</v>
      </c>
      <c r="M37" s="454">
        <f ca="1">INDEX('Data Processing'!X:X,$A37)</f>
        <v>7.5946582866857133</v>
      </c>
      <c r="N37" s="454">
        <f ca="1">INDEX('Data Processing'!Y:Y,$A37)</f>
        <v>7.5468931402285708</v>
      </c>
      <c r="O37" s="454">
        <f ca="1">INDEX('Data Processing'!Z:Z,$A37)</f>
        <v>7.4991279937714284</v>
      </c>
      <c r="P37" s="454">
        <f ca="1">INDEX('Data Processing'!AA:AA,$A37)</f>
        <v>7.451362847314285</v>
      </c>
      <c r="Q37" s="454">
        <f ca="1">INDEX('Data Processing'!AB:AB,$A37)</f>
        <v>7.4035977008571425</v>
      </c>
      <c r="R37" s="454">
        <f ca="1">INDEX('Data Processing'!AC:AC,$A37)</f>
        <v>7.3558325543999992</v>
      </c>
      <c r="S37" s="454">
        <f ca="1">INDEX('Data Processing'!AD:AD,$A37)</f>
        <v>7.2304490449499994</v>
      </c>
      <c r="T37" s="455">
        <f ca="1">INDEX('Data Processing'!AE:AE,$A37)</f>
        <v>7.1050655354999996</v>
      </c>
      <c r="U37" s="125"/>
      <c r="V37" s="120"/>
    </row>
    <row r="38" spans="1:22" s="126" customFormat="1">
      <c r="A38" s="126">
        <f>IF(B38="","",IFERROR(MATCH(B38,'Data Processing'!$C:$C,0),""))</f>
        <v>32</v>
      </c>
      <c r="B38" s="522" t="s">
        <v>1162</v>
      </c>
      <c r="C38" s="640" t="str">
        <f>INDEX('Data Processing'!G:G,$A38)</f>
        <v>Due to Affiliate - Demand - Non-US</v>
      </c>
      <c r="D38" s="454">
        <f>INDEX('Data Processing'!O:O,$A38)</f>
        <v>9.7052584900000003</v>
      </c>
      <c r="E38" s="454">
        <f ca="1">INDEX('Data Processing'!P:P,$A38)</f>
        <v>9.3170481503999998</v>
      </c>
      <c r="F38" s="454">
        <f ca="1">INDEX('Data Processing'!Q:Q,$A38)</f>
        <v>9.2523464271333342</v>
      </c>
      <c r="G38" s="454">
        <f ca="1">INDEX('Data Processing'!R:R,$A38)</f>
        <v>9.1876447038666669</v>
      </c>
      <c r="H38" s="454">
        <f ca="1">INDEX('Data Processing'!S:S,$A38)</f>
        <v>9.1229429805999995</v>
      </c>
      <c r="I38" s="454">
        <f ca="1">INDEX('Data Processing'!T:T,$A38)</f>
        <v>9.058241257333334</v>
      </c>
      <c r="J38" s="454">
        <f ca="1">INDEX('Data Processing'!U:U,$A38)</f>
        <v>8.9935395340666666</v>
      </c>
      <c r="K38" s="454">
        <f ca="1">INDEX('Data Processing'!V:V,$A38)</f>
        <v>8.9288378108000011</v>
      </c>
      <c r="L38" s="454">
        <f ca="1">INDEX('Data Processing'!W:W,$A38)</f>
        <v>8.8733791908571433</v>
      </c>
      <c r="M38" s="454">
        <f ca="1">INDEX('Data Processing'!X:X,$A38)</f>
        <v>8.8179205709142856</v>
      </c>
      <c r="N38" s="454">
        <f ca="1">INDEX('Data Processing'!Y:Y,$A38)</f>
        <v>8.7624619509714279</v>
      </c>
      <c r="O38" s="454">
        <f ca="1">INDEX('Data Processing'!Z:Z,$A38)</f>
        <v>8.7070033310285719</v>
      </c>
      <c r="P38" s="454">
        <f ca="1">INDEX('Data Processing'!AA:AA,$A38)</f>
        <v>8.6515447110857142</v>
      </c>
      <c r="Q38" s="454">
        <f ca="1">INDEX('Data Processing'!AB:AB,$A38)</f>
        <v>8.5960860911428583</v>
      </c>
      <c r="R38" s="454">
        <f ca="1">INDEX('Data Processing'!AC:AC,$A38)</f>
        <v>8.5406274712000005</v>
      </c>
      <c r="S38" s="454">
        <f ca="1">INDEX('Data Processing'!AD:AD,$A38)</f>
        <v>8.3950485938499995</v>
      </c>
      <c r="T38" s="455">
        <f ca="1">INDEX('Data Processing'!AE:AE,$A38)</f>
        <v>8.2494697165000002</v>
      </c>
      <c r="U38" s="125"/>
      <c r="V38" s="120"/>
    </row>
    <row r="39" spans="1:22" s="126" customFormat="1">
      <c r="A39" s="126">
        <f>IF(B39="","",IFERROR(MATCH(B39,'Data Processing'!$C:$C,0),""))</f>
        <v>33</v>
      </c>
      <c r="B39" s="522" t="s">
        <v>1163</v>
      </c>
      <c r="C39" s="640" t="str">
        <f>INDEX('Data Processing'!G:G,$A39)</f>
        <v>Due to Affiliate - Investment - US</v>
      </c>
      <c r="D39" s="454">
        <f>INDEX('Data Processing'!O:O,$A39)</f>
        <v>1.3937934699999999</v>
      </c>
      <c r="E39" s="454">
        <f ca="1">INDEX('Data Processing'!P:P,$A39)</f>
        <v>1.3380417311999999</v>
      </c>
      <c r="F39" s="454">
        <f ca="1">INDEX('Data Processing'!Q:Q,$A39)</f>
        <v>1.3287497747333332</v>
      </c>
      <c r="G39" s="454">
        <f ca="1">INDEX('Data Processing'!R:R,$A39)</f>
        <v>1.3194578182666665</v>
      </c>
      <c r="H39" s="454">
        <f ca="1">INDEX('Data Processing'!S:S,$A39)</f>
        <v>1.3101658617999998</v>
      </c>
      <c r="I39" s="454">
        <f ca="1">INDEX('Data Processing'!T:T,$A39)</f>
        <v>1.3008739053333331</v>
      </c>
      <c r="J39" s="454">
        <f ca="1">INDEX('Data Processing'!U:U,$A39)</f>
        <v>1.2915819488666664</v>
      </c>
      <c r="K39" s="454">
        <f ca="1">INDEX('Data Processing'!V:V,$A39)</f>
        <v>1.2822899924</v>
      </c>
      <c r="L39" s="454">
        <f ca="1">INDEX('Data Processing'!W:W,$A39)</f>
        <v>1.2743254582857142</v>
      </c>
      <c r="M39" s="454">
        <f ca="1">INDEX('Data Processing'!X:X,$A39)</f>
        <v>1.2663609241714284</v>
      </c>
      <c r="N39" s="454">
        <f ca="1">INDEX('Data Processing'!Y:Y,$A39)</f>
        <v>1.2583963900571427</v>
      </c>
      <c r="O39" s="454">
        <f ca="1">INDEX('Data Processing'!Z:Z,$A39)</f>
        <v>1.2504318559428571</v>
      </c>
      <c r="P39" s="454">
        <f ca="1">INDEX('Data Processing'!AA:AA,$A39)</f>
        <v>1.2424673218285713</v>
      </c>
      <c r="Q39" s="454">
        <f ca="1">INDEX('Data Processing'!AB:AB,$A39)</f>
        <v>1.2345027877142856</v>
      </c>
      <c r="R39" s="454">
        <f ca="1">INDEX('Data Processing'!AC:AC,$A39)</f>
        <v>1.2265382535999998</v>
      </c>
      <c r="S39" s="454">
        <f ca="1">INDEX('Data Processing'!AD:AD,$A39)</f>
        <v>1.2056313515499999</v>
      </c>
      <c r="T39" s="455">
        <f ca="1">INDEX('Data Processing'!AE:AE,$A39)</f>
        <v>1.1847244494999998</v>
      </c>
      <c r="U39" s="125"/>
      <c r="V39" s="120"/>
    </row>
    <row r="40" spans="1:22" s="126" customFormat="1">
      <c r="A40" s="126">
        <f>IF(B40="","",IFERROR(MATCH(B40,'Data Processing'!$C:$C,0),""))</f>
        <v>36</v>
      </c>
      <c r="B40" s="522" t="s">
        <v>1164</v>
      </c>
      <c r="C40" s="640" t="str">
        <f>INDEX('Data Processing'!G:G,$A40)</f>
        <v>Due to Affiliate - Draft</v>
      </c>
      <c r="D40" s="454">
        <f>INDEX('Data Processing'!O:O,$A40)</f>
        <v>0</v>
      </c>
      <c r="E40" s="454">
        <f ca="1">INDEX('Data Processing'!P:P,$A40)</f>
        <v>0</v>
      </c>
      <c r="F40" s="454">
        <f ca="1">INDEX('Data Processing'!Q:Q,$A40)</f>
        <v>0</v>
      </c>
      <c r="G40" s="454">
        <f ca="1">INDEX('Data Processing'!R:R,$A40)</f>
        <v>0</v>
      </c>
      <c r="H40" s="454">
        <f ca="1">INDEX('Data Processing'!S:S,$A40)</f>
        <v>0</v>
      </c>
      <c r="I40" s="454">
        <f ca="1">INDEX('Data Processing'!T:T,$A40)</f>
        <v>0</v>
      </c>
      <c r="J40" s="454">
        <f ca="1">INDEX('Data Processing'!U:U,$A40)</f>
        <v>0</v>
      </c>
      <c r="K40" s="454">
        <f ca="1">INDEX('Data Processing'!V:V,$A40)</f>
        <v>0</v>
      </c>
      <c r="L40" s="454">
        <f ca="1">INDEX('Data Processing'!W:W,$A40)</f>
        <v>0</v>
      </c>
      <c r="M40" s="454">
        <f ca="1">INDEX('Data Processing'!X:X,$A40)</f>
        <v>0</v>
      </c>
      <c r="N40" s="454">
        <f ca="1">INDEX('Data Processing'!Y:Y,$A40)</f>
        <v>0</v>
      </c>
      <c r="O40" s="454">
        <f ca="1">INDEX('Data Processing'!Z:Z,$A40)</f>
        <v>0</v>
      </c>
      <c r="P40" s="454">
        <f ca="1">INDEX('Data Processing'!AA:AA,$A40)</f>
        <v>0</v>
      </c>
      <c r="Q40" s="454">
        <f ca="1">INDEX('Data Processing'!AB:AB,$A40)</f>
        <v>0</v>
      </c>
      <c r="R40" s="454">
        <f ca="1">INDEX('Data Processing'!AC:AC,$A40)</f>
        <v>0</v>
      </c>
      <c r="S40" s="454">
        <f ca="1">INDEX('Data Processing'!AD:AD,$A40)</f>
        <v>0</v>
      </c>
      <c r="T40" s="455">
        <f ca="1">INDEX('Data Processing'!AE:AE,$A40)</f>
        <v>0</v>
      </c>
      <c r="U40" s="125"/>
      <c r="V40" s="120"/>
    </row>
    <row r="41" spans="1:22" s="126" customFormat="1">
      <c r="A41" s="126">
        <f>IF(B41="","",IFERROR(MATCH(B41,'Data Processing'!$C:$C,0),""))</f>
        <v>37</v>
      </c>
      <c r="B41" s="522" t="s">
        <v>1165</v>
      </c>
      <c r="C41" s="640" t="str">
        <f>INDEX('Data Processing'!G:G,$A41)</f>
        <v>Due to Affiliate - Call Loans</v>
      </c>
      <c r="D41" s="454">
        <f>INDEX('Data Processing'!O:O,$A41)</f>
        <v>0</v>
      </c>
      <c r="E41" s="454">
        <f ca="1">INDEX('Data Processing'!P:P,$A41)</f>
        <v>0</v>
      </c>
      <c r="F41" s="454">
        <f ca="1">INDEX('Data Processing'!Q:Q,$A41)</f>
        <v>0</v>
      </c>
      <c r="G41" s="454">
        <f ca="1">INDEX('Data Processing'!R:R,$A41)</f>
        <v>0</v>
      </c>
      <c r="H41" s="454">
        <f ca="1">INDEX('Data Processing'!S:S,$A41)</f>
        <v>0</v>
      </c>
      <c r="I41" s="454">
        <f ca="1">INDEX('Data Processing'!T:T,$A41)</f>
        <v>0</v>
      </c>
      <c r="J41" s="454">
        <f ca="1">INDEX('Data Processing'!U:U,$A41)</f>
        <v>0</v>
      </c>
      <c r="K41" s="454">
        <f ca="1">INDEX('Data Processing'!V:V,$A41)</f>
        <v>0</v>
      </c>
      <c r="L41" s="454">
        <f ca="1">INDEX('Data Processing'!W:W,$A41)</f>
        <v>0</v>
      </c>
      <c r="M41" s="454">
        <f ca="1">INDEX('Data Processing'!X:X,$A41)</f>
        <v>0</v>
      </c>
      <c r="N41" s="454">
        <f ca="1">INDEX('Data Processing'!Y:Y,$A41)</f>
        <v>0</v>
      </c>
      <c r="O41" s="454">
        <f ca="1">INDEX('Data Processing'!Z:Z,$A41)</f>
        <v>0</v>
      </c>
      <c r="P41" s="454">
        <f ca="1">INDEX('Data Processing'!AA:AA,$A41)</f>
        <v>0</v>
      </c>
      <c r="Q41" s="454">
        <f ca="1">INDEX('Data Processing'!AB:AB,$A41)</f>
        <v>0</v>
      </c>
      <c r="R41" s="454">
        <f ca="1">INDEX('Data Processing'!AC:AC,$A41)</f>
        <v>0</v>
      </c>
      <c r="S41" s="454">
        <f ca="1">INDEX('Data Processing'!AD:AD,$A41)</f>
        <v>0</v>
      </c>
      <c r="T41" s="455">
        <f ca="1">INDEX('Data Processing'!AE:AE,$A41)</f>
        <v>0</v>
      </c>
      <c r="U41" s="125"/>
      <c r="V41" s="120"/>
    </row>
    <row r="42" spans="1:22" s="126" customFormat="1">
      <c r="A42" s="126">
        <f>IF(B42="","",IFERROR(MATCH(B42,'Data Processing'!$C:$C,0),""))</f>
        <v>39</v>
      </c>
      <c r="B42" s="522" t="s">
        <v>1299</v>
      </c>
      <c r="C42" s="640" t="str">
        <f>INDEX('Data Processing'!G:G,$A42)</f>
        <v>Due to Banks - Demand</v>
      </c>
      <c r="D42" s="454">
        <f>INDEX('Data Processing'!O:O,$A42)</f>
        <v>174.70603417999999</v>
      </c>
      <c r="E42" s="454">
        <f ca="1">INDEX('Data Processing'!P:P,$A42)</f>
        <v>163.99073075029332</v>
      </c>
      <c r="F42" s="454">
        <f ca="1">INDEX('Data Processing'!Q:Q,$A42)</f>
        <v>162.20484684534222</v>
      </c>
      <c r="G42" s="454">
        <f ca="1">INDEX('Data Processing'!R:R,$A42)</f>
        <v>160.41896294039111</v>
      </c>
      <c r="H42" s="454">
        <f ca="1">INDEX('Data Processing'!S:S,$A42)</f>
        <v>158.63307903543998</v>
      </c>
      <c r="I42" s="454">
        <f ca="1">INDEX('Data Processing'!T:T,$A42)</f>
        <v>156.84719513048887</v>
      </c>
      <c r="J42" s="454">
        <f ca="1">INDEX('Data Processing'!U:U,$A42)</f>
        <v>155.06131122553776</v>
      </c>
      <c r="K42" s="454">
        <f ca="1">INDEX('Data Processing'!V:V,$A42)</f>
        <v>153.27542732058663</v>
      </c>
      <c r="L42" s="454">
        <f ca="1">INDEX('Data Processing'!W:W,$A42)</f>
        <v>151.74466968777142</v>
      </c>
      <c r="M42" s="454">
        <f ca="1">INDEX('Data Processing'!X:X,$A42)</f>
        <v>150.21391205495615</v>
      </c>
      <c r="N42" s="454">
        <f ca="1">INDEX('Data Processing'!Y:Y,$A42)</f>
        <v>148.68315442214094</v>
      </c>
      <c r="O42" s="454">
        <f ca="1">INDEX('Data Processing'!Z:Z,$A42)</f>
        <v>147.15239678932568</v>
      </c>
      <c r="P42" s="454">
        <f ca="1">INDEX('Data Processing'!AA:AA,$A42)</f>
        <v>145.62163915651047</v>
      </c>
      <c r="Q42" s="454">
        <f ca="1">INDEX('Data Processing'!AB:AB,$A42)</f>
        <v>144.0908815236952</v>
      </c>
      <c r="R42" s="454">
        <f ca="1">INDEX('Data Processing'!AC:AC,$A42)</f>
        <v>142.56012389087999</v>
      </c>
      <c r="S42" s="454">
        <f ca="1">INDEX('Data Processing'!AD:AD,$A42)</f>
        <v>138.54188510473998</v>
      </c>
      <c r="T42" s="455">
        <f ca="1">INDEX('Data Processing'!AE:AE,$A42)</f>
        <v>134.52364631859999</v>
      </c>
      <c r="U42" s="125"/>
      <c r="V42" s="120"/>
    </row>
    <row r="43" spans="1:22" s="126" customFormat="1">
      <c r="A43" s="126">
        <f>IF(B43="","",IFERROR(MATCH(B43,'Data Processing'!$C:$C,0),""))</f>
        <v>40</v>
      </c>
      <c r="B43" s="522" t="s">
        <v>1300</v>
      </c>
      <c r="C43" s="640" t="str">
        <f>INDEX('Data Processing'!G:G,$A43)</f>
        <v>Due to Banks - Call Loans</v>
      </c>
      <c r="D43" s="454">
        <f>INDEX('Data Processing'!O:O,$A43)</f>
        <v>0</v>
      </c>
      <c r="E43" s="454">
        <f ca="1">INDEX('Data Processing'!P:P,$A43)</f>
        <v>0</v>
      </c>
      <c r="F43" s="454">
        <f ca="1">INDEX('Data Processing'!Q:Q,$A43)</f>
        <v>0</v>
      </c>
      <c r="G43" s="454">
        <f ca="1">INDEX('Data Processing'!R:R,$A43)</f>
        <v>0</v>
      </c>
      <c r="H43" s="454">
        <f ca="1">INDEX('Data Processing'!S:S,$A43)</f>
        <v>0</v>
      </c>
      <c r="I43" s="454">
        <f ca="1">INDEX('Data Processing'!T:T,$A43)</f>
        <v>0</v>
      </c>
      <c r="J43" s="454">
        <f ca="1">INDEX('Data Processing'!U:U,$A43)</f>
        <v>0</v>
      </c>
      <c r="K43" s="454">
        <f ca="1">INDEX('Data Processing'!V:V,$A43)</f>
        <v>0</v>
      </c>
      <c r="L43" s="454">
        <f ca="1">INDEX('Data Processing'!W:W,$A43)</f>
        <v>0</v>
      </c>
      <c r="M43" s="454">
        <f ca="1">INDEX('Data Processing'!X:X,$A43)</f>
        <v>0</v>
      </c>
      <c r="N43" s="454">
        <f ca="1">INDEX('Data Processing'!Y:Y,$A43)</f>
        <v>0</v>
      </c>
      <c r="O43" s="454">
        <f ca="1">INDEX('Data Processing'!Z:Z,$A43)</f>
        <v>0</v>
      </c>
      <c r="P43" s="454">
        <f ca="1">INDEX('Data Processing'!AA:AA,$A43)</f>
        <v>0</v>
      </c>
      <c r="Q43" s="454">
        <f ca="1">INDEX('Data Processing'!AB:AB,$A43)</f>
        <v>0</v>
      </c>
      <c r="R43" s="454">
        <f ca="1">INDEX('Data Processing'!AC:AC,$A43)</f>
        <v>0</v>
      </c>
      <c r="S43" s="454">
        <f ca="1">INDEX('Data Processing'!AD:AD,$A43)</f>
        <v>0</v>
      </c>
      <c r="T43" s="455">
        <f ca="1">INDEX('Data Processing'!AE:AE,$A43)</f>
        <v>0</v>
      </c>
      <c r="U43" s="125"/>
      <c r="V43" s="120"/>
    </row>
    <row r="44" spans="1:22" s="126" customFormat="1">
      <c r="A44" s="126">
        <f>IF(B44="","",IFERROR(MATCH(B44,'Data Processing'!$C:$C,0),""))</f>
        <v>41</v>
      </c>
      <c r="B44" s="522" t="s">
        <v>1301</v>
      </c>
      <c r="C44" s="640" t="str">
        <f>INDEX('Data Processing'!G:G,$A44)</f>
        <v>Blocked Account</v>
      </c>
      <c r="D44" s="454">
        <f>INDEX('Data Processing'!O:O,$A44)</f>
        <v>1.4091577800000004</v>
      </c>
      <c r="E44" s="454">
        <f ca="1">INDEX('Data Processing'!P:P,$A44)</f>
        <v>1.3573007736960003</v>
      </c>
      <c r="F44" s="454">
        <f ca="1">INDEX('Data Processing'!Q:Q,$A44)</f>
        <v>1.3400151049280002</v>
      </c>
      <c r="G44" s="454">
        <f ca="1">INDEX('Data Processing'!R:R,$A44)</f>
        <v>1.3227294361600004</v>
      </c>
      <c r="H44" s="454">
        <f ca="1">INDEX('Data Processing'!S:S,$A44)</f>
        <v>1.3054437673920003</v>
      </c>
      <c r="I44" s="454">
        <f ca="1">INDEX('Data Processing'!T:T,$A44)</f>
        <v>1.2881580986240002</v>
      </c>
      <c r="J44" s="454">
        <f ca="1">INDEX('Data Processing'!U:U,$A44)</f>
        <v>1.2708724298560004</v>
      </c>
      <c r="K44" s="454">
        <f ca="1">INDEX('Data Processing'!V:V,$A44)</f>
        <v>1.2535867610880003</v>
      </c>
      <c r="L44" s="454">
        <f ca="1">INDEX('Data Processing'!W:W,$A44)</f>
        <v>1.2387704735725718</v>
      </c>
      <c r="M44" s="454">
        <f ca="1">INDEX('Data Processing'!X:X,$A44)</f>
        <v>1.223954186057143</v>
      </c>
      <c r="N44" s="454">
        <f ca="1">INDEX('Data Processing'!Y:Y,$A44)</f>
        <v>1.2091378985417145</v>
      </c>
      <c r="O44" s="454">
        <f ca="1">INDEX('Data Processing'!Z:Z,$A44)</f>
        <v>1.194321611026286</v>
      </c>
      <c r="P44" s="454">
        <f ca="1">INDEX('Data Processing'!AA:AA,$A44)</f>
        <v>1.1795053235108575</v>
      </c>
      <c r="Q44" s="454">
        <f ca="1">INDEX('Data Processing'!AB:AB,$A44)</f>
        <v>1.1646890359954289</v>
      </c>
      <c r="R44" s="454">
        <f ca="1">INDEX('Data Processing'!AC:AC,$A44)</f>
        <v>1.1498727484800002</v>
      </c>
      <c r="S44" s="454">
        <f ca="1">INDEX('Data Processing'!AD:AD,$A44)</f>
        <v>1.1174621195400003</v>
      </c>
      <c r="T44" s="455">
        <f ca="1">INDEX('Data Processing'!AE:AE,$A44)</f>
        <v>1.0850514906000002</v>
      </c>
      <c r="U44" s="125"/>
      <c r="V44" s="120"/>
    </row>
    <row r="45" spans="1:22" s="126" customFormat="1">
      <c r="A45" s="126">
        <f>IF(B45="","",IFERROR(MATCH(B45,'Data Processing'!$C:$C,0),""))</f>
        <v>42</v>
      </c>
      <c r="B45" s="522" t="s">
        <v>1302</v>
      </c>
      <c r="C45" s="640" t="str">
        <f>INDEX('Data Processing'!G:G,$A45)</f>
        <v>Due to Non-Bank FI (Exclude Large FI)</v>
      </c>
      <c r="D45" s="454">
        <f>INDEX('Data Processing'!O:O,$A45)</f>
        <v>366.42940659000016</v>
      </c>
      <c r="E45" s="454">
        <f ca="1">INDEX('Data Processing'!P:P,$A45)</f>
        <v>343.95506965248012</v>
      </c>
      <c r="F45" s="454">
        <f ca="1">INDEX('Data Processing'!Q:Q,$A45)</f>
        <v>340.20934682956016</v>
      </c>
      <c r="G45" s="454">
        <f ca="1">INDEX('Data Processing'!R:R,$A45)</f>
        <v>336.46362400664015</v>
      </c>
      <c r="H45" s="454">
        <f ca="1">INDEX('Data Processing'!S:S,$A45)</f>
        <v>332.71790118372013</v>
      </c>
      <c r="I45" s="454">
        <f ca="1">INDEX('Data Processing'!T:T,$A45)</f>
        <v>328.97217836080011</v>
      </c>
      <c r="J45" s="454">
        <f ca="1">INDEX('Data Processing'!U:U,$A45)</f>
        <v>325.22645553788016</v>
      </c>
      <c r="K45" s="454">
        <f ca="1">INDEX('Data Processing'!V:V,$A45)</f>
        <v>321.48073271496014</v>
      </c>
      <c r="L45" s="454">
        <f ca="1">INDEX('Data Processing'!W:W,$A45)</f>
        <v>318.27011315245727</v>
      </c>
      <c r="M45" s="454">
        <f ca="1">INDEX('Data Processing'!X:X,$A45)</f>
        <v>315.0594935899544</v>
      </c>
      <c r="N45" s="454">
        <f ca="1">INDEX('Data Processing'!Y:Y,$A45)</f>
        <v>311.84887402745153</v>
      </c>
      <c r="O45" s="454">
        <f ca="1">INDEX('Data Processing'!Z:Z,$A45)</f>
        <v>308.63825446494866</v>
      </c>
      <c r="P45" s="454">
        <f ca="1">INDEX('Data Processing'!AA:AA,$A45)</f>
        <v>305.42763490244579</v>
      </c>
      <c r="Q45" s="454">
        <f ca="1">INDEX('Data Processing'!AB:AB,$A45)</f>
        <v>302.21701533994298</v>
      </c>
      <c r="R45" s="454">
        <f ca="1">INDEX('Data Processing'!AC:AC,$A45)</f>
        <v>299.0063957774401</v>
      </c>
      <c r="S45" s="454">
        <f ca="1">INDEX('Data Processing'!AD:AD,$A45)</f>
        <v>290.57851942587013</v>
      </c>
      <c r="T45" s="455">
        <f ca="1">INDEX('Data Processing'!AE:AE,$A45)</f>
        <v>282.15064307430009</v>
      </c>
      <c r="U45" s="125"/>
      <c r="V45" s="120"/>
    </row>
    <row r="46" spans="1:22" s="126" customFormat="1">
      <c r="A46" s="126">
        <f>IF(B46="","",IFERROR(MATCH(B46,'Data Processing'!$C:$C,0),""))</f>
        <v>43</v>
      </c>
      <c r="B46" s="522" t="s">
        <v>1269</v>
      </c>
      <c r="C46" s="640" t="str">
        <f>INDEX('Data Processing'!G:G,$A46)</f>
        <v>Due to Non-Bank Large FI - Best Investment</v>
      </c>
      <c r="D46" s="454">
        <f>INDEX('Data Processing'!O:O,$A46)</f>
        <v>5.7349952499999999</v>
      </c>
      <c r="E46" s="454">
        <f ca="1">INDEX('Data Processing'!P:P,$A46)</f>
        <v>5.3832488746666662</v>
      </c>
      <c r="F46" s="454">
        <f ca="1">INDEX('Data Processing'!Q:Q,$A46)</f>
        <v>5.3246244787777774</v>
      </c>
      <c r="G46" s="454">
        <f ca="1">INDEX('Data Processing'!R:R,$A46)</f>
        <v>5.2660000828888887</v>
      </c>
      <c r="H46" s="454">
        <f ca="1">INDEX('Data Processing'!S:S,$A46)</f>
        <v>5.2073756869999999</v>
      </c>
      <c r="I46" s="454">
        <f ca="1">INDEX('Data Processing'!T:T,$A46)</f>
        <v>5.1487512911111111</v>
      </c>
      <c r="J46" s="454">
        <f ca="1">INDEX('Data Processing'!U:U,$A46)</f>
        <v>5.0901268952222223</v>
      </c>
      <c r="K46" s="454">
        <f ca="1">INDEX('Data Processing'!V:V,$A46)</f>
        <v>5.0315024993333335</v>
      </c>
      <c r="L46" s="454">
        <f ca="1">INDEX('Data Processing'!W:W,$A46)</f>
        <v>4.9812530171428566</v>
      </c>
      <c r="M46" s="454">
        <f ca="1">INDEX('Data Processing'!X:X,$A46)</f>
        <v>4.9310035349523806</v>
      </c>
      <c r="N46" s="454">
        <f ca="1">INDEX('Data Processing'!Y:Y,$A46)</f>
        <v>4.8807540527619047</v>
      </c>
      <c r="O46" s="454">
        <f ca="1">INDEX('Data Processing'!Z:Z,$A46)</f>
        <v>4.8305045705714278</v>
      </c>
      <c r="P46" s="454">
        <f ca="1">INDEX('Data Processing'!AA:AA,$A46)</f>
        <v>4.7802550883809518</v>
      </c>
      <c r="Q46" s="454">
        <f ca="1">INDEX('Data Processing'!AB:AB,$A46)</f>
        <v>4.7300056061904758</v>
      </c>
      <c r="R46" s="454">
        <f ca="1">INDEX('Data Processing'!AC:AC,$A46)</f>
        <v>4.6797561239999999</v>
      </c>
      <c r="S46" s="454">
        <f ca="1">INDEX('Data Processing'!AD:AD,$A46)</f>
        <v>4.5478512332499994</v>
      </c>
      <c r="T46" s="455">
        <f ca="1">INDEX('Data Processing'!AE:AE,$A46)</f>
        <v>4.4159463424999998</v>
      </c>
      <c r="U46" s="125"/>
      <c r="V46" s="120"/>
    </row>
    <row r="47" spans="1:22" s="126" customFormat="1">
      <c r="A47" s="126">
        <f>IF(B47="","",IFERROR(MATCH(B47,'Data Processing'!$C:$C,0),""))</f>
        <v>44</v>
      </c>
      <c r="B47" s="522" t="s">
        <v>1316</v>
      </c>
      <c r="C47" s="640" t="str">
        <f>INDEX('Data Processing'!G:G,$A47)</f>
        <v>Due to Non-Bank Large FI - GIFS Capital</v>
      </c>
      <c r="D47" s="454">
        <f>INDEX('Data Processing'!O:O,$A47)</f>
        <v>1201.8187905699999</v>
      </c>
      <c r="E47" s="454">
        <f ca="1">INDEX('Data Processing'!P:P,$A47)</f>
        <v>1021.3331636200542</v>
      </c>
      <c r="F47" s="454">
        <f ca="1">INDEX('Data Processing'!Q:Q,$A47)</f>
        <v>991.25222579506317</v>
      </c>
      <c r="G47" s="454">
        <f ca="1">INDEX('Data Processing'!R:R,$A47)</f>
        <v>961.17128797007217</v>
      </c>
      <c r="H47" s="454">
        <f ca="1">INDEX('Data Processing'!S:S,$A47)</f>
        <v>931.09035014508129</v>
      </c>
      <c r="I47" s="454">
        <f ca="1">INDEX('Data Processing'!T:T,$A47)</f>
        <v>901.00941232009041</v>
      </c>
      <c r="J47" s="454">
        <f ca="1">INDEX('Data Processing'!U:U,$A47)</f>
        <v>870.92847449509941</v>
      </c>
      <c r="K47" s="454">
        <f ca="1">INDEX('Data Processing'!V:V,$A47)</f>
        <v>840.84753667010841</v>
      </c>
      <c r="L47" s="454">
        <f ca="1">INDEX('Data Processing'!W:W,$A47)</f>
        <v>815.06387567725915</v>
      </c>
      <c r="M47" s="454">
        <f ca="1">INDEX('Data Processing'!X:X,$A47)</f>
        <v>789.28021468440966</v>
      </c>
      <c r="N47" s="454">
        <f ca="1">INDEX('Data Processing'!Y:Y,$A47)</f>
        <v>763.49655369156039</v>
      </c>
      <c r="O47" s="454">
        <f ca="1">INDEX('Data Processing'!Z:Z,$A47)</f>
        <v>737.7128926987109</v>
      </c>
      <c r="P47" s="454">
        <f ca="1">INDEX('Data Processing'!AA:AA,$A47)</f>
        <v>711.92923170586164</v>
      </c>
      <c r="Q47" s="454">
        <f ca="1">INDEX('Data Processing'!AB:AB,$A47)</f>
        <v>686.14557071301215</v>
      </c>
      <c r="R47" s="454">
        <f ca="1">INDEX('Data Processing'!AC:AC,$A47)</f>
        <v>660.36190972016277</v>
      </c>
      <c r="S47" s="454">
        <f ca="1">INDEX('Data Processing'!AD:AD,$A47)</f>
        <v>644.96196684247138</v>
      </c>
      <c r="T47" s="455">
        <f ca="1">INDEX('Data Processing'!AE:AE,$A47)</f>
        <v>629.56202396478</v>
      </c>
      <c r="U47" s="125"/>
      <c r="V47" s="120"/>
    </row>
    <row r="48" spans="1:22" s="126" customFormat="1">
      <c r="A48" s="126">
        <f>IF(B48="","",IFERROR(MATCH(B48,'Data Processing'!$C:$C,0),""))</f>
        <v>46</v>
      </c>
      <c r="B48" s="522" t="s">
        <v>1168</v>
      </c>
      <c r="C48" s="640" t="str">
        <f>INDEX('Data Processing'!G:G,$A48)</f>
        <v>Due to Banks - Investment - CME</v>
      </c>
      <c r="D48" s="454">
        <f>INDEX('Data Processing'!O:O,$A48)</f>
        <v>500.91083754000005</v>
      </c>
      <c r="E48" s="454">
        <f ca="1">INDEX('Data Processing'!P:P,$A48)</f>
        <v>434.12272586800003</v>
      </c>
      <c r="F48" s="454">
        <f ca="1">INDEX('Data Processing'!Q:Q,$A48)</f>
        <v>422.9913739226667</v>
      </c>
      <c r="G48" s="454">
        <f ca="1">INDEX('Data Processing'!R:R,$A48)</f>
        <v>411.86002197733336</v>
      </c>
      <c r="H48" s="454">
        <f ca="1">INDEX('Data Processing'!S:S,$A48)</f>
        <v>400.72867003200003</v>
      </c>
      <c r="I48" s="454">
        <f ca="1">INDEX('Data Processing'!T:T,$A48)</f>
        <v>389.59731808666669</v>
      </c>
      <c r="J48" s="454">
        <f ca="1">INDEX('Data Processing'!U:U,$A48)</f>
        <v>378.46596614133335</v>
      </c>
      <c r="K48" s="454">
        <f ca="1">INDEX('Data Processing'!V:V,$A48)</f>
        <v>367.33461419600002</v>
      </c>
      <c r="L48" s="454">
        <f ca="1">INDEX('Data Processing'!W:W,$A48)</f>
        <v>357.79345538571431</v>
      </c>
      <c r="M48" s="454">
        <f ca="1">INDEX('Data Processing'!X:X,$A48)</f>
        <v>348.2522965754286</v>
      </c>
      <c r="N48" s="454">
        <f ca="1">INDEX('Data Processing'!Y:Y,$A48)</f>
        <v>338.71113776514289</v>
      </c>
      <c r="O48" s="454">
        <f ca="1">INDEX('Data Processing'!Z:Z,$A48)</f>
        <v>329.16997895485719</v>
      </c>
      <c r="P48" s="454">
        <f ca="1">INDEX('Data Processing'!AA:AA,$A48)</f>
        <v>319.62882014457148</v>
      </c>
      <c r="Q48" s="454">
        <f ca="1">INDEX('Data Processing'!AB:AB,$A48)</f>
        <v>310.08766133428577</v>
      </c>
      <c r="R48" s="454">
        <f ca="1">INDEX('Data Processing'!AC:AC,$A48)</f>
        <v>300.54650252400006</v>
      </c>
      <c r="S48" s="454">
        <f ca="1">INDEX('Data Processing'!AD:AD,$A48)</f>
        <v>300.54650252400006</v>
      </c>
      <c r="T48" s="455">
        <f ca="1">INDEX('Data Processing'!AE:AE,$A48)</f>
        <v>300.54650252400006</v>
      </c>
      <c r="U48" s="125"/>
      <c r="V48" s="120"/>
    </row>
    <row r="49" spans="1:22" s="126" customFormat="1">
      <c r="A49" s="126">
        <f>IF(B49="","",IFERROR(MATCH(B49,'Data Processing'!$C:$C,0),""))</f>
        <v>47</v>
      </c>
      <c r="B49" s="522" t="s">
        <v>1169</v>
      </c>
      <c r="C49" s="640" t="str">
        <f>INDEX('Data Processing'!G:G,$A49)</f>
        <v>Due to Banks - Investment - Non-US (Exclude Large FI)</v>
      </c>
      <c r="D49" s="454">
        <f>INDEX('Data Processing'!O:O,$A49)</f>
        <v>1633.1261072200041</v>
      </c>
      <c r="E49" s="454">
        <f ca="1">INDEX('Data Processing'!P:P,$A49)</f>
        <v>1532.9610393105104</v>
      </c>
      <c r="F49" s="454">
        <f ca="1">INDEX('Data Processing'!Q:Q,$A49)</f>
        <v>1516.2668613255948</v>
      </c>
      <c r="G49" s="454">
        <f ca="1">INDEX('Data Processing'!R:R,$A49)</f>
        <v>1499.5726833406793</v>
      </c>
      <c r="H49" s="454">
        <f ca="1">INDEX('Data Processing'!S:S,$A49)</f>
        <v>1482.8785053557638</v>
      </c>
      <c r="I49" s="454">
        <f ca="1">INDEX('Data Processing'!T:T,$A49)</f>
        <v>1466.184327370848</v>
      </c>
      <c r="J49" s="454">
        <f ca="1">INDEX('Data Processing'!U:U,$A49)</f>
        <v>1449.4901493859325</v>
      </c>
      <c r="K49" s="454">
        <f ca="1">INDEX('Data Processing'!V:V,$A49)</f>
        <v>1432.7959714010169</v>
      </c>
      <c r="L49" s="454">
        <f ca="1">INDEX('Data Processing'!W:W,$A49)</f>
        <v>1418.4866759853749</v>
      </c>
      <c r="M49" s="454">
        <f ca="1">INDEX('Data Processing'!X:X,$A49)</f>
        <v>1404.177380569733</v>
      </c>
      <c r="N49" s="454">
        <f ca="1">INDEX('Data Processing'!Y:Y,$A49)</f>
        <v>1389.868085154091</v>
      </c>
      <c r="O49" s="454">
        <f ca="1">INDEX('Data Processing'!Z:Z,$A49)</f>
        <v>1375.5587897384491</v>
      </c>
      <c r="P49" s="454">
        <f ca="1">INDEX('Data Processing'!AA:AA,$A49)</f>
        <v>1361.2494943228071</v>
      </c>
      <c r="Q49" s="454">
        <f ca="1">INDEX('Data Processing'!AB:AB,$A49)</f>
        <v>1346.9401989071653</v>
      </c>
      <c r="R49" s="454">
        <f ca="1">INDEX('Data Processing'!AC:AC,$A49)</f>
        <v>1332.6309034915232</v>
      </c>
      <c r="S49" s="454">
        <f ca="1">INDEX('Data Processing'!AD:AD,$A49)</f>
        <v>1295.0690030254632</v>
      </c>
      <c r="T49" s="455">
        <f ca="1">INDEX('Data Processing'!AE:AE,$A49)</f>
        <v>1257.5071025594032</v>
      </c>
      <c r="U49" s="125"/>
      <c r="V49" s="120"/>
    </row>
    <row r="50" spans="1:22" s="126" customFormat="1">
      <c r="A50" s="126">
        <f>IF(B50="","",IFERROR(MATCH(B50,'Data Processing'!$C:$C,0),""))</f>
        <v>48</v>
      </c>
      <c r="B50" s="522" t="s">
        <v>1317</v>
      </c>
      <c r="C50" s="640" t="str">
        <f>INDEX('Data Processing'!G:G,$A50)</f>
        <v>Due to Banks - Investment - PBOC</v>
      </c>
      <c r="D50" s="454">
        <f>INDEX('Data Processing'!O:O,$A50)</f>
        <v>5144.4813025600006</v>
      </c>
      <c r="E50" s="454">
        <f ca="1">INDEX('Data Processing'!P:P,$A50)</f>
        <v>4513.4249294459732</v>
      </c>
      <c r="F50" s="454">
        <f ca="1">INDEX('Data Processing'!Q:Q,$A50)</f>
        <v>4408.2488672603022</v>
      </c>
      <c r="G50" s="454">
        <f ca="1">INDEX('Data Processing'!R:R,$A50)</f>
        <v>4303.0728050746311</v>
      </c>
      <c r="H50" s="454">
        <f ca="1">INDEX('Data Processing'!S:S,$A50)</f>
        <v>4197.89674288896</v>
      </c>
      <c r="I50" s="454">
        <f ca="1">INDEX('Data Processing'!T:T,$A50)</f>
        <v>4092.720680703289</v>
      </c>
      <c r="J50" s="454">
        <f ca="1">INDEX('Data Processing'!U:U,$A50)</f>
        <v>3987.5446185176179</v>
      </c>
      <c r="K50" s="454">
        <f ca="1">INDEX('Data Processing'!V:V,$A50)</f>
        <v>3882.3685563319468</v>
      </c>
      <c r="L50" s="454">
        <f ca="1">INDEX('Data Processing'!W:W,$A50)</f>
        <v>3792.2176458870858</v>
      </c>
      <c r="M50" s="454">
        <f ca="1">INDEX('Data Processing'!X:X,$A50)</f>
        <v>3702.0667354422249</v>
      </c>
      <c r="N50" s="454">
        <f ca="1">INDEX('Data Processing'!Y:Y,$A50)</f>
        <v>3611.9158249973639</v>
      </c>
      <c r="O50" s="454">
        <f ca="1">INDEX('Data Processing'!Z:Z,$A50)</f>
        <v>3521.7649145525029</v>
      </c>
      <c r="P50" s="454">
        <f ca="1">INDEX('Data Processing'!AA:AA,$A50)</f>
        <v>3431.6140041076419</v>
      </c>
      <c r="Q50" s="454">
        <f ca="1">INDEX('Data Processing'!AB:AB,$A50)</f>
        <v>3341.4630936627809</v>
      </c>
      <c r="R50" s="454">
        <f ca="1">INDEX('Data Processing'!AC:AC,$A50)</f>
        <v>3251.3121832179199</v>
      </c>
      <c r="S50" s="454">
        <f ca="1">INDEX('Data Processing'!AD:AD,$A50)</f>
        <v>3014.6660433001598</v>
      </c>
      <c r="T50" s="455">
        <f ca="1">INDEX('Data Processing'!AE:AE,$A50)</f>
        <v>2778.0199033823997</v>
      </c>
      <c r="U50" s="125"/>
      <c r="V50" s="120"/>
    </row>
    <row r="51" spans="1:22" s="126" customFormat="1">
      <c r="A51" s="126">
        <f>IF(B51="","",IFERROR(MATCH(B51,'Data Processing'!$C:$C,0),""))</f>
        <v>49</v>
      </c>
      <c r="B51" s="522" t="s">
        <v>1318</v>
      </c>
      <c r="C51" s="640" t="str">
        <f>INDEX('Data Processing'!G:G,$A51)</f>
        <v>Due to Banks - Investment - CDB &amp; CDB S</v>
      </c>
      <c r="D51" s="454">
        <f>INDEX('Data Processing'!O:O,$A51)</f>
        <v>4707.2802759200003</v>
      </c>
      <c r="E51" s="454">
        <f ca="1">INDEX('Data Processing'!P:P,$A51)</f>
        <v>4129.8538954071464</v>
      </c>
      <c r="F51" s="454">
        <f ca="1">INDEX('Data Processing'!Q:Q,$A51)</f>
        <v>4033.6161653216714</v>
      </c>
      <c r="G51" s="454">
        <f ca="1">INDEX('Data Processing'!R:R,$A51)</f>
        <v>3937.3784352361954</v>
      </c>
      <c r="H51" s="454">
        <f ca="1">INDEX('Data Processing'!S:S,$A51)</f>
        <v>3841.1407051507199</v>
      </c>
      <c r="I51" s="454">
        <f ca="1">INDEX('Data Processing'!T:T,$A51)</f>
        <v>3744.9029750652444</v>
      </c>
      <c r="J51" s="454">
        <f ca="1">INDEX('Data Processing'!U:U,$A51)</f>
        <v>3648.6652449797689</v>
      </c>
      <c r="K51" s="454">
        <f ca="1">INDEX('Data Processing'!V:V,$A51)</f>
        <v>3552.4275148942934</v>
      </c>
      <c r="L51" s="454">
        <f ca="1">INDEX('Data Processing'!W:W,$A51)</f>
        <v>3469.9380319638858</v>
      </c>
      <c r="M51" s="454">
        <f ca="1">INDEX('Data Processing'!X:X,$A51)</f>
        <v>3387.4485490334782</v>
      </c>
      <c r="N51" s="454">
        <f ca="1">INDEX('Data Processing'!Y:Y,$A51)</f>
        <v>3304.9590661030707</v>
      </c>
      <c r="O51" s="454">
        <f ca="1">INDEX('Data Processing'!Z:Z,$A51)</f>
        <v>3222.4695831726631</v>
      </c>
      <c r="P51" s="454">
        <f ca="1">INDEX('Data Processing'!AA:AA,$A51)</f>
        <v>3139.9801002422555</v>
      </c>
      <c r="Q51" s="454">
        <f ca="1">INDEX('Data Processing'!AB:AB,$A51)</f>
        <v>3057.4906173118479</v>
      </c>
      <c r="R51" s="454">
        <f ca="1">INDEX('Data Processing'!AC:AC,$A51)</f>
        <v>2975.0011343814404</v>
      </c>
      <c r="S51" s="454">
        <f ca="1">INDEX('Data Processing'!AD:AD,$A51)</f>
        <v>2758.4662416891206</v>
      </c>
      <c r="T51" s="455">
        <f ca="1">INDEX('Data Processing'!AE:AE,$A51)</f>
        <v>2541.9313489968004</v>
      </c>
      <c r="U51" s="125"/>
      <c r="V51" s="120"/>
    </row>
    <row r="52" spans="1:22" s="126" customFormat="1">
      <c r="A52" s="126">
        <f>IF(B52="","",IFERROR(MATCH(B52,'Data Processing'!$C:$C,0),""))</f>
        <v>50</v>
      </c>
      <c r="B52" s="522" t="s">
        <v>1319</v>
      </c>
      <c r="C52" s="640" t="str">
        <f>INDEX('Data Processing'!G:G,$A52)</f>
        <v>Due to Banks - Investment - CDB HK</v>
      </c>
      <c r="D52" s="454">
        <f>INDEX('Data Processing'!O:O,$A52)</f>
        <v>93.106070770000002</v>
      </c>
      <c r="E52" s="454">
        <f ca="1">INDEX('Data Processing'!P:P,$A52)</f>
        <v>87.395565096106665</v>
      </c>
      <c r="F52" s="454">
        <f ca="1">INDEX('Data Processing'!Q:Q,$A52)</f>
        <v>86.443814150457783</v>
      </c>
      <c r="G52" s="454">
        <f ca="1">INDEX('Data Processing'!R:R,$A52)</f>
        <v>85.492063204808886</v>
      </c>
      <c r="H52" s="454">
        <f ca="1">INDEX('Data Processing'!S:S,$A52)</f>
        <v>84.540312259160004</v>
      </c>
      <c r="I52" s="454">
        <f ca="1">INDEX('Data Processing'!T:T,$A52)</f>
        <v>83.588561313511107</v>
      </c>
      <c r="J52" s="454">
        <f ca="1">INDEX('Data Processing'!U:U,$A52)</f>
        <v>82.636810367862225</v>
      </c>
      <c r="K52" s="454">
        <f ca="1">INDEX('Data Processing'!V:V,$A52)</f>
        <v>81.685059422213328</v>
      </c>
      <c r="L52" s="454">
        <f ca="1">INDEX('Data Processing'!W:W,$A52)</f>
        <v>80.869272897371417</v>
      </c>
      <c r="M52" s="454">
        <f ca="1">INDEX('Data Processing'!X:X,$A52)</f>
        <v>80.05348637252952</v>
      </c>
      <c r="N52" s="454">
        <f ca="1">INDEX('Data Processing'!Y:Y,$A52)</f>
        <v>79.237699847687622</v>
      </c>
      <c r="O52" s="454">
        <f ca="1">INDEX('Data Processing'!Z:Z,$A52)</f>
        <v>78.421913322845711</v>
      </c>
      <c r="P52" s="454">
        <f ca="1">INDEX('Data Processing'!AA:AA,$A52)</f>
        <v>77.6061267980038</v>
      </c>
      <c r="Q52" s="454">
        <f ca="1">INDEX('Data Processing'!AB:AB,$A52)</f>
        <v>76.790340273161902</v>
      </c>
      <c r="R52" s="454">
        <f ca="1">INDEX('Data Processing'!AC:AC,$A52)</f>
        <v>75.974553748320005</v>
      </c>
      <c r="S52" s="454">
        <f ca="1">INDEX('Data Processing'!AD:AD,$A52)</f>
        <v>73.833114120609991</v>
      </c>
      <c r="T52" s="455">
        <f ca="1">INDEX('Data Processing'!AE:AE,$A52)</f>
        <v>71.691674492900006</v>
      </c>
      <c r="U52" s="125"/>
      <c r="V52" s="120"/>
    </row>
    <row r="53" spans="1:22" s="126" customFormat="1">
      <c r="A53" s="126">
        <f>IF(B53="","",IFERROR(MATCH(B53,'Data Processing'!$C:$C,0),""))</f>
        <v>53</v>
      </c>
      <c r="B53" s="522" t="s">
        <v>1232</v>
      </c>
      <c r="C53" s="640" t="str">
        <f>INDEX('Data Processing'!G:G,$A53)</f>
        <v>Due to Banks - Time Deposit</v>
      </c>
      <c r="D53" s="454">
        <f>INDEX('Data Processing'!O:O,$A53)</f>
        <v>0</v>
      </c>
      <c r="E53" s="454">
        <f ca="1">INDEX('Data Processing'!P:P,$A53)</f>
        <v>0</v>
      </c>
      <c r="F53" s="454">
        <f ca="1">INDEX('Data Processing'!Q:Q,$A53)</f>
        <v>0</v>
      </c>
      <c r="G53" s="454">
        <f ca="1">INDEX('Data Processing'!R:R,$A53)</f>
        <v>0</v>
      </c>
      <c r="H53" s="454">
        <f ca="1">INDEX('Data Processing'!S:S,$A53)</f>
        <v>0</v>
      </c>
      <c r="I53" s="454">
        <f ca="1">INDEX('Data Processing'!T:T,$A53)</f>
        <v>0</v>
      </c>
      <c r="J53" s="454">
        <f ca="1">INDEX('Data Processing'!U:U,$A53)</f>
        <v>0</v>
      </c>
      <c r="K53" s="454">
        <f ca="1">INDEX('Data Processing'!V:V,$A53)</f>
        <v>0</v>
      </c>
      <c r="L53" s="454">
        <f ca="1">INDEX('Data Processing'!W:W,$A53)</f>
        <v>0</v>
      </c>
      <c r="M53" s="454">
        <f ca="1">INDEX('Data Processing'!X:X,$A53)</f>
        <v>0</v>
      </c>
      <c r="N53" s="454">
        <f ca="1">INDEX('Data Processing'!Y:Y,$A53)</f>
        <v>0</v>
      </c>
      <c r="O53" s="454">
        <f ca="1">INDEX('Data Processing'!Z:Z,$A53)</f>
        <v>0</v>
      </c>
      <c r="P53" s="454">
        <f ca="1">INDEX('Data Processing'!AA:AA,$A53)</f>
        <v>0</v>
      </c>
      <c r="Q53" s="454">
        <f ca="1">INDEX('Data Processing'!AB:AB,$A53)</f>
        <v>0</v>
      </c>
      <c r="R53" s="454">
        <f ca="1">INDEX('Data Processing'!AC:AC,$A53)</f>
        <v>0</v>
      </c>
      <c r="S53" s="454">
        <f ca="1">INDEX('Data Processing'!AD:AD,$A53)</f>
        <v>0</v>
      </c>
      <c r="T53" s="455">
        <f ca="1">INDEX('Data Processing'!AE:AE,$A53)</f>
        <v>0</v>
      </c>
      <c r="U53" s="125"/>
      <c r="V53" s="120"/>
    </row>
    <row r="54" spans="1:22" s="126" customFormat="1">
      <c r="A54" s="126">
        <f>IF(B54="","",IFERROR(MATCH(B54,'Data Processing'!$C:$C,0),""))</f>
        <v>54</v>
      </c>
      <c r="B54" s="522" t="s">
        <v>1313</v>
      </c>
      <c r="C54" s="640" t="str">
        <f>INDEX('Data Processing'!G:G,$A54)</f>
        <v>Eurofund Borrowed</v>
      </c>
      <c r="D54" s="454">
        <f>INDEX('Data Processing'!O:O,$A54)</f>
        <v>0</v>
      </c>
      <c r="E54" s="454">
        <f ca="1">INDEX('Data Processing'!P:P,$A54)</f>
        <v>0</v>
      </c>
      <c r="F54" s="454">
        <f ca="1">INDEX('Data Processing'!Q:Q,$A54)</f>
        <v>0</v>
      </c>
      <c r="G54" s="454">
        <f ca="1">INDEX('Data Processing'!R:R,$A54)</f>
        <v>0</v>
      </c>
      <c r="H54" s="454">
        <f ca="1">INDEX('Data Processing'!S:S,$A54)</f>
        <v>0</v>
      </c>
      <c r="I54" s="454">
        <f ca="1">INDEX('Data Processing'!T:T,$A54)</f>
        <v>0</v>
      </c>
      <c r="J54" s="454">
        <f ca="1">INDEX('Data Processing'!U:U,$A54)</f>
        <v>0</v>
      </c>
      <c r="K54" s="454">
        <f ca="1">INDEX('Data Processing'!V:V,$A54)</f>
        <v>0</v>
      </c>
      <c r="L54" s="454">
        <f ca="1">INDEX('Data Processing'!W:W,$A54)</f>
        <v>0</v>
      </c>
      <c r="M54" s="454">
        <f ca="1">INDEX('Data Processing'!X:X,$A54)</f>
        <v>0</v>
      </c>
      <c r="N54" s="454">
        <f ca="1">INDEX('Data Processing'!Y:Y,$A54)</f>
        <v>0</v>
      </c>
      <c r="O54" s="454">
        <f ca="1">INDEX('Data Processing'!Z:Z,$A54)</f>
        <v>0</v>
      </c>
      <c r="P54" s="454">
        <f ca="1">INDEX('Data Processing'!AA:AA,$A54)</f>
        <v>0</v>
      </c>
      <c r="Q54" s="454">
        <f ca="1">INDEX('Data Processing'!AB:AB,$A54)</f>
        <v>0</v>
      </c>
      <c r="R54" s="454">
        <f ca="1">INDEX('Data Processing'!AC:AC,$A54)</f>
        <v>0</v>
      </c>
      <c r="S54" s="454">
        <f ca="1">INDEX('Data Processing'!AD:AD,$A54)</f>
        <v>0</v>
      </c>
      <c r="T54" s="455">
        <f ca="1">INDEX('Data Processing'!AE:AE,$A54)</f>
        <v>0</v>
      </c>
      <c r="U54" s="125"/>
      <c r="V54" s="120"/>
    </row>
    <row r="55" spans="1:22" s="126" customFormat="1">
      <c r="A55" s="126">
        <f>IF(B55="","",IFERROR(MATCH(B55,'Data Processing'!$C:$C,0),""))</f>
        <v>38</v>
      </c>
      <c r="B55" s="522" t="s">
        <v>1315</v>
      </c>
      <c r="C55" s="640" t="str">
        <f>INDEX('Data Processing'!G:G,$A55)</f>
        <v>Federal Fund Purchased</v>
      </c>
      <c r="D55" s="454">
        <f>INDEX('Data Processing'!O:O,$A55)</f>
        <v>0</v>
      </c>
      <c r="E55" s="454">
        <f ca="1">INDEX('Data Processing'!P:P,$A55)</f>
        <v>0</v>
      </c>
      <c r="F55" s="454">
        <f ca="1">INDEX('Data Processing'!Q:Q,$A55)</f>
        <v>0</v>
      </c>
      <c r="G55" s="454">
        <f ca="1">INDEX('Data Processing'!R:R,$A55)</f>
        <v>0</v>
      </c>
      <c r="H55" s="454">
        <f ca="1">INDEX('Data Processing'!S:S,$A55)</f>
        <v>0</v>
      </c>
      <c r="I55" s="454">
        <f ca="1">INDEX('Data Processing'!T:T,$A55)</f>
        <v>0</v>
      </c>
      <c r="J55" s="454">
        <f ca="1">INDEX('Data Processing'!U:U,$A55)</f>
        <v>0</v>
      </c>
      <c r="K55" s="454">
        <f ca="1">INDEX('Data Processing'!V:V,$A55)</f>
        <v>0</v>
      </c>
      <c r="L55" s="454">
        <f ca="1">INDEX('Data Processing'!W:W,$A55)</f>
        <v>0</v>
      </c>
      <c r="M55" s="454">
        <f ca="1">INDEX('Data Processing'!X:X,$A55)</f>
        <v>0</v>
      </c>
      <c r="N55" s="454">
        <f ca="1">INDEX('Data Processing'!Y:Y,$A55)</f>
        <v>0</v>
      </c>
      <c r="O55" s="454">
        <f ca="1">INDEX('Data Processing'!Z:Z,$A55)</f>
        <v>0</v>
      </c>
      <c r="P55" s="454">
        <f ca="1">INDEX('Data Processing'!AA:AA,$A55)</f>
        <v>0</v>
      </c>
      <c r="Q55" s="454">
        <f ca="1">INDEX('Data Processing'!AB:AB,$A55)</f>
        <v>0</v>
      </c>
      <c r="R55" s="454">
        <f ca="1">INDEX('Data Processing'!AC:AC,$A55)</f>
        <v>0</v>
      </c>
      <c r="S55" s="454">
        <f ca="1">INDEX('Data Processing'!AD:AD,$A55)</f>
        <v>0</v>
      </c>
      <c r="T55" s="455">
        <f ca="1">INDEX('Data Processing'!AE:AE,$A55)</f>
        <v>0</v>
      </c>
      <c r="U55" s="125"/>
      <c r="V55" s="120"/>
    </row>
    <row r="56" spans="1:22" s="126" customFormat="1">
      <c r="A56" s="126">
        <f>IF(B56="","",IFERROR(MATCH(B56,'Data Processing'!$C:$C,0),""))</f>
        <v>55</v>
      </c>
      <c r="B56" s="522">
        <v>9.1</v>
      </c>
      <c r="C56" s="640" t="str">
        <f>INDEX('Data Processing'!G:G,$A56)</f>
        <v>Demand,MM &amp; Savings - Retail</v>
      </c>
      <c r="D56" s="454">
        <f>INDEX('Data Processing'!O:O,$A56)</f>
        <v>116.28780820000011</v>
      </c>
      <c r="E56" s="454">
        <f ca="1">INDEX('Data Processing'!P:P,$A56)</f>
        <v>114.89235450160011</v>
      </c>
      <c r="F56" s="454">
        <f ca="1">INDEX('Data Processing'!Q:Q,$A56)</f>
        <v>114.42720326880011</v>
      </c>
      <c r="G56" s="454">
        <f ca="1">INDEX('Data Processing'!R:R,$A56)</f>
        <v>113.96205203600012</v>
      </c>
      <c r="H56" s="454">
        <f ca="1">INDEX('Data Processing'!S:S,$A56)</f>
        <v>113.49690080320011</v>
      </c>
      <c r="I56" s="454">
        <f ca="1">INDEX('Data Processing'!T:T,$A56)</f>
        <v>113.03174957040011</v>
      </c>
      <c r="J56" s="454">
        <f ca="1">INDEX('Data Processing'!U:U,$A56)</f>
        <v>112.56659833760011</v>
      </c>
      <c r="K56" s="454">
        <f ca="1">INDEX('Data Processing'!V:V,$A56)</f>
        <v>112.10144710480012</v>
      </c>
      <c r="L56" s="454">
        <f ca="1">INDEX('Data Processing'!W:W,$A56)</f>
        <v>111.70274604811439</v>
      </c>
      <c r="M56" s="454">
        <f ca="1">INDEX('Data Processing'!X:X,$A56)</f>
        <v>111.30404499142868</v>
      </c>
      <c r="N56" s="454">
        <f ca="1">INDEX('Data Processing'!Y:Y,$A56)</f>
        <v>110.90534393474297</v>
      </c>
      <c r="O56" s="454">
        <f ca="1">INDEX('Data Processing'!Z:Z,$A56)</f>
        <v>110.50664287805725</v>
      </c>
      <c r="P56" s="454">
        <f ca="1">INDEX('Data Processing'!AA:AA,$A56)</f>
        <v>110.10794182137154</v>
      </c>
      <c r="Q56" s="454">
        <f ca="1">INDEX('Data Processing'!AB:AB,$A56)</f>
        <v>109.70924076468582</v>
      </c>
      <c r="R56" s="454">
        <f ca="1">INDEX('Data Processing'!AC:AC,$A56)</f>
        <v>109.31053970800011</v>
      </c>
      <c r="S56" s="454">
        <f ca="1">INDEX('Data Processing'!AD:AD,$A56)</f>
        <v>106.98478354400011</v>
      </c>
      <c r="T56" s="455">
        <f ca="1">INDEX('Data Processing'!AE:AE,$A56)</f>
        <v>104.65902738000011</v>
      </c>
      <c r="U56" s="125"/>
      <c r="V56" s="120"/>
    </row>
    <row r="57" spans="1:22" s="126" customFormat="1">
      <c r="A57" s="126">
        <f>IF(B57="","",IFERROR(MATCH(B57,'Data Processing'!$C:$C,0),""))</f>
        <v>60</v>
      </c>
      <c r="B57" s="522" t="s">
        <v>1325</v>
      </c>
      <c r="C57" s="640" t="str">
        <f>INDEX('Data Processing'!G:G,$A57)</f>
        <v>Demand,MM &amp; Savings - Large Corporates - Uber Tech.</v>
      </c>
      <c r="D57" s="454">
        <f>INDEX('Data Processing'!O:O,$A57)</f>
        <v>0</v>
      </c>
      <c r="E57" s="454">
        <f ca="1">INDEX('Data Processing'!P:P,$A57)</f>
        <v>0</v>
      </c>
      <c r="F57" s="454">
        <f ca="1">INDEX('Data Processing'!Q:Q,$A57)</f>
        <v>0</v>
      </c>
      <c r="G57" s="454">
        <f ca="1">INDEX('Data Processing'!R:R,$A57)</f>
        <v>0</v>
      </c>
      <c r="H57" s="454">
        <f ca="1">INDEX('Data Processing'!S:S,$A57)</f>
        <v>0</v>
      </c>
      <c r="I57" s="454">
        <f ca="1">INDEX('Data Processing'!T:T,$A57)</f>
        <v>0</v>
      </c>
      <c r="J57" s="454">
        <f ca="1">INDEX('Data Processing'!U:U,$A57)</f>
        <v>0</v>
      </c>
      <c r="K57" s="454">
        <f ca="1">INDEX('Data Processing'!V:V,$A57)</f>
        <v>0</v>
      </c>
      <c r="L57" s="454">
        <f ca="1">INDEX('Data Processing'!W:W,$A57)</f>
        <v>0</v>
      </c>
      <c r="M57" s="454">
        <f ca="1">INDEX('Data Processing'!X:X,$A57)</f>
        <v>0</v>
      </c>
      <c r="N57" s="454">
        <f ca="1">INDEX('Data Processing'!Y:Y,$A57)</f>
        <v>0</v>
      </c>
      <c r="O57" s="454">
        <f ca="1">INDEX('Data Processing'!Z:Z,$A57)</f>
        <v>0</v>
      </c>
      <c r="P57" s="454">
        <f ca="1">INDEX('Data Processing'!AA:AA,$A57)</f>
        <v>0</v>
      </c>
      <c r="Q57" s="454">
        <f ca="1">INDEX('Data Processing'!AB:AB,$A57)</f>
        <v>0</v>
      </c>
      <c r="R57" s="454">
        <f ca="1">INDEX('Data Processing'!AC:AC,$A57)</f>
        <v>0</v>
      </c>
      <c r="S57" s="454">
        <f ca="1">INDEX('Data Processing'!AD:AD,$A57)</f>
        <v>0</v>
      </c>
      <c r="T57" s="455">
        <f ca="1">INDEX('Data Processing'!AE:AE,$A57)</f>
        <v>0</v>
      </c>
      <c r="U57" s="125"/>
      <c r="V57" s="120"/>
    </row>
    <row r="58" spans="1:22" s="126" customFormat="1" ht="30">
      <c r="A58" s="126">
        <f>IF(B58="","",IFERROR(MATCH(B58,'Data Processing'!$C:$C,0),""))</f>
        <v>56</v>
      </c>
      <c r="B58" s="522" t="s">
        <v>1171</v>
      </c>
      <c r="C58" s="640" t="str">
        <f>INDEX('Data Processing'!G:G,$A58)</f>
        <v>Demand,MM &amp; Savings - Corporates (Exclude Large Corporates)</v>
      </c>
      <c r="D58" s="454">
        <f>INDEX('Data Processing'!O:O,$A58)</f>
        <v>2583.6036079000005</v>
      </c>
      <c r="E58" s="454">
        <f ca="1">INDEX('Data Processing'!P:P,$A58)</f>
        <v>2533.9984186283205</v>
      </c>
      <c r="F58" s="454">
        <f ca="1">INDEX('Data Processing'!Q:Q,$A58)</f>
        <v>2517.4633555377604</v>
      </c>
      <c r="G58" s="454">
        <f ca="1">INDEX('Data Processing'!R:R,$A58)</f>
        <v>2500.9282924472004</v>
      </c>
      <c r="H58" s="454">
        <f ca="1">INDEX('Data Processing'!S:S,$A58)</f>
        <v>2484.3932293566404</v>
      </c>
      <c r="I58" s="454">
        <f ca="1">INDEX('Data Processing'!T:T,$A58)</f>
        <v>2467.8581662660804</v>
      </c>
      <c r="J58" s="454">
        <f ca="1">INDEX('Data Processing'!U:U,$A58)</f>
        <v>2451.3231031755204</v>
      </c>
      <c r="K58" s="454">
        <f ca="1">INDEX('Data Processing'!V:V,$A58)</f>
        <v>2434.7880400849604</v>
      </c>
      <c r="L58" s="454">
        <f ca="1">INDEX('Data Processing'!W:W,$A58)</f>
        <v>2420.6151288644805</v>
      </c>
      <c r="M58" s="454">
        <f ca="1">INDEX('Data Processing'!X:X,$A58)</f>
        <v>2406.4422176440003</v>
      </c>
      <c r="N58" s="454">
        <f ca="1">INDEX('Data Processing'!Y:Y,$A58)</f>
        <v>2392.2693064235204</v>
      </c>
      <c r="O58" s="454">
        <f ca="1">INDEX('Data Processing'!Z:Z,$A58)</f>
        <v>2378.0963952030402</v>
      </c>
      <c r="P58" s="454">
        <f ca="1">INDEX('Data Processing'!AA:AA,$A58)</f>
        <v>2363.9234839825604</v>
      </c>
      <c r="Q58" s="454">
        <f ca="1">INDEX('Data Processing'!AB:AB,$A58)</f>
        <v>2349.7505727620805</v>
      </c>
      <c r="R58" s="454">
        <f ca="1">INDEX('Data Processing'!AC:AC,$A58)</f>
        <v>2335.5776615416003</v>
      </c>
      <c r="S58" s="454">
        <f ca="1">INDEX('Data Processing'!AD:AD,$A58)</f>
        <v>2252.9023460888002</v>
      </c>
      <c r="T58" s="455">
        <f ca="1">INDEX('Data Processing'!AE:AE,$A58)</f>
        <v>2170.2270306360001</v>
      </c>
      <c r="U58" s="125"/>
      <c r="V58" s="120"/>
    </row>
    <row r="59" spans="1:22" s="126" customFormat="1">
      <c r="A59" s="126">
        <f>IF(B59="","",IFERROR(MATCH(B59,'Data Processing'!$C:$C,0),""))</f>
        <v>59</v>
      </c>
      <c r="B59" s="522" t="s">
        <v>1337</v>
      </c>
      <c r="C59" s="640" t="str">
        <f>INDEX('Data Processing'!G:G,$A59)</f>
        <v>ESCROW Deposits</v>
      </c>
      <c r="D59" s="454">
        <f>INDEX('Data Processing'!O:O,$A59)</f>
        <v>147.44580615999999</v>
      </c>
      <c r="E59" s="454">
        <f ca="1">INDEX('Data Processing'!P:P,$A59)</f>
        <v>145.08667326143998</v>
      </c>
      <c r="F59" s="454">
        <f ca="1">INDEX('Data Processing'!Q:Q,$A59)</f>
        <v>144.30029562858667</v>
      </c>
      <c r="G59" s="454">
        <f ca="1">INDEX('Data Processing'!R:R,$A59)</f>
        <v>143.51391799573332</v>
      </c>
      <c r="H59" s="454">
        <f ca="1">INDEX('Data Processing'!S:S,$A59)</f>
        <v>142.72754036287998</v>
      </c>
      <c r="I59" s="454">
        <f ca="1">INDEX('Data Processing'!T:T,$A59)</f>
        <v>141.94116273002666</v>
      </c>
      <c r="J59" s="454">
        <f ca="1">INDEX('Data Processing'!U:U,$A59)</f>
        <v>141.15478509717332</v>
      </c>
      <c r="K59" s="454">
        <f ca="1">INDEX('Data Processing'!V:V,$A59)</f>
        <v>140.36840746432</v>
      </c>
      <c r="L59" s="454">
        <f ca="1">INDEX('Data Processing'!W:W,$A59)</f>
        <v>139.69436949330284</v>
      </c>
      <c r="M59" s="454">
        <f ca="1">INDEX('Data Processing'!X:X,$A59)</f>
        <v>139.02033152228572</v>
      </c>
      <c r="N59" s="454">
        <f ca="1">INDEX('Data Processing'!Y:Y,$A59)</f>
        <v>138.34629355126856</v>
      </c>
      <c r="O59" s="454">
        <f ca="1">INDEX('Data Processing'!Z:Z,$A59)</f>
        <v>137.67225558025143</v>
      </c>
      <c r="P59" s="454">
        <f ca="1">INDEX('Data Processing'!AA:AA,$A59)</f>
        <v>136.99821760923427</v>
      </c>
      <c r="Q59" s="454">
        <f ca="1">INDEX('Data Processing'!AB:AB,$A59)</f>
        <v>136.32417963821715</v>
      </c>
      <c r="R59" s="454">
        <f ca="1">INDEX('Data Processing'!AC:AC,$A59)</f>
        <v>135.65014166719999</v>
      </c>
      <c r="S59" s="454">
        <f ca="1">INDEX('Data Processing'!AD:AD,$A59)</f>
        <v>129.7523094208</v>
      </c>
      <c r="T59" s="455">
        <f ca="1">INDEX('Data Processing'!AE:AE,$A59)</f>
        <v>123.85447717439999</v>
      </c>
      <c r="U59" s="125"/>
      <c r="V59" s="120"/>
    </row>
    <row r="60" spans="1:22" s="126" customFormat="1">
      <c r="A60" s="126">
        <f>IF(B60="","",IFERROR(MATCH(B60,'Data Processing'!$C:$C,0),""))</f>
        <v>61</v>
      </c>
      <c r="B60" s="522">
        <v>9.3000000000000007</v>
      </c>
      <c r="C60" s="640" t="str">
        <f>INDEX('Data Processing'!G:G,$A60)</f>
        <v>Time Deposits - Retail</v>
      </c>
      <c r="D60" s="454">
        <f>INDEX('Data Processing'!O:O,$A60)</f>
        <v>174.09592567000021</v>
      </c>
      <c r="E60" s="454">
        <f ca="1">INDEX('Data Processing'!P:P,$A60)</f>
        <v>172.92307371935848</v>
      </c>
      <c r="F60" s="454">
        <f ca="1">INDEX('Data Processing'!Q:Q,$A60)</f>
        <v>172.5261755283336</v>
      </c>
      <c r="G60" s="454">
        <f ca="1">INDEX('Data Processing'!R:R,$A60)</f>
        <v>172.13523835466694</v>
      </c>
      <c r="H60" s="454">
        <f ca="1">INDEX('Data Processing'!S:S,$A60)</f>
        <v>171.74377387318427</v>
      </c>
      <c r="I60" s="454">
        <f ca="1">INDEX('Data Processing'!T:T,$A60)</f>
        <v>171.35283789981497</v>
      </c>
      <c r="J60" s="454">
        <f ca="1">INDEX('Data Processing'!U:U,$A60)</f>
        <v>170.96190192644565</v>
      </c>
      <c r="K60" s="454">
        <f ca="1">INDEX('Data Processing'!V:V,$A60)</f>
        <v>170.56845139881912</v>
      </c>
      <c r="L60" s="454">
        <f ca="1">INDEX('Data Processing'!W:W,$A60)</f>
        <v>170.23201716735343</v>
      </c>
      <c r="M60" s="454">
        <f ca="1">INDEX('Data Processing'!X:X,$A60)</f>
        <v>169.88769137933281</v>
      </c>
      <c r="N60" s="454">
        <f ca="1">INDEX('Data Processing'!Y:Y,$A60)</f>
        <v>169.54994500941609</v>
      </c>
      <c r="O60" s="454">
        <f ca="1">INDEX('Data Processing'!Z:Z,$A60)</f>
        <v>169.19905293728971</v>
      </c>
      <c r="P60" s="454">
        <f ca="1">INDEX('Data Processing'!AA:AA,$A60)</f>
        <v>168.86402745322692</v>
      </c>
      <c r="Q60" s="454">
        <f ca="1">INDEX('Data Processing'!AB:AB,$A60)</f>
        <v>168.52900196916411</v>
      </c>
      <c r="R60" s="454">
        <f ca="1">INDEX('Data Processing'!AC:AC,$A60)</f>
        <v>168.1857003990923</v>
      </c>
      <c r="S60" s="454">
        <f ca="1">INDEX('Data Processing'!AD:AD,$A60)</f>
        <v>166.01354822412247</v>
      </c>
      <c r="T60" s="455">
        <f ca="1">INDEX('Data Processing'!AE:AE,$A60)</f>
        <v>163.68120499515226</v>
      </c>
      <c r="U60" s="125"/>
      <c r="V60" s="120"/>
    </row>
    <row r="61" spans="1:22" s="126" customFormat="1">
      <c r="A61" s="126">
        <f>IF(B61="","",IFERROR(MATCH(B61,'Data Processing'!$C:$C,0),""))</f>
        <v>62</v>
      </c>
      <c r="B61" s="522">
        <v>9.4</v>
      </c>
      <c r="C61" s="640" t="str">
        <f>INDEX('Data Processing'!G:G,$A61)</f>
        <v>Time Deposits - Corporates</v>
      </c>
      <c r="D61" s="454">
        <f>INDEX('Data Processing'!O:O,$A61)</f>
        <v>2649.5570429800018</v>
      </c>
      <c r="E61" s="454">
        <f ca="1">INDEX('Data Processing'!P:P,$A61)</f>
        <v>2592.3506514681303</v>
      </c>
      <c r="F61" s="454">
        <f ca="1">INDEX('Data Processing'!Q:Q,$A61)</f>
        <v>2573.2818542975065</v>
      </c>
      <c r="G61" s="454">
        <f ca="1">INDEX('Data Processing'!R:R,$A61)</f>
        <v>2546.396835996693</v>
      </c>
      <c r="H61" s="454">
        <f ca="1">INDEX('Data Processing'!S:S,$A61)</f>
        <v>2520.9172260827127</v>
      </c>
      <c r="I61" s="454">
        <f ca="1">INDEX('Data Processing'!T:T,$A61)</f>
        <v>2501.9554415296975</v>
      </c>
      <c r="J61" s="454">
        <f ca="1">INDEX('Data Processing'!U:U,$A61)</f>
        <v>2482.9936569766824</v>
      </c>
      <c r="K61" s="454">
        <f ca="1">INDEX('Data Processing'!V:V,$A61)</f>
        <v>2415.2390070467432</v>
      </c>
      <c r="L61" s="454">
        <f ca="1">INDEX('Data Processing'!W:W,$A61)</f>
        <v>2395.8613830720378</v>
      </c>
      <c r="M61" s="454">
        <f ca="1">INDEX('Data Processing'!X:X,$A61)</f>
        <v>2311.7448419601847</v>
      </c>
      <c r="N61" s="454">
        <f ca="1">INDEX('Data Processing'!Y:Y,$A61)</f>
        <v>2274.0201791368672</v>
      </c>
      <c r="O61" s="454">
        <f ca="1">INDEX('Data Processing'!Z:Z,$A61)</f>
        <v>2258.5788152476284</v>
      </c>
      <c r="P61" s="454">
        <f ca="1">INDEX('Data Processing'!AA:AA,$A61)</f>
        <v>2243.2773227872995</v>
      </c>
      <c r="Q61" s="454">
        <f ca="1">INDEX('Data Processing'!AB:AB,$A61)</f>
        <v>2227.97583032697</v>
      </c>
      <c r="R61" s="454">
        <f ca="1">INDEX('Data Processing'!AC:AC,$A61)</f>
        <v>2177.0035808830398</v>
      </c>
      <c r="S61" s="454">
        <f ca="1">INDEX('Data Processing'!AD:AD,$A61)</f>
        <v>2042.257000597725</v>
      </c>
      <c r="T61" s="455">
        <f ca="1">INDEX('Data Processing'!AE:AE,$A61)</f>
        <v>1870.6005534815981</v>
      </c>
      <c r="U61" s="125"/>
      <c r="V61" s="120"/>
    </row>
    <row r="62" spans="1:22" s="126" customFormat="1">
      <c r="A62" s="126">
        <f>IF(B62="","",IFERROR(MATCH(B62,'Data Processing'!$C:$C,0),""))</f>
        <v>63</v>
      </c>
      <c r="B62" s="522" t="s">
        <v>1227</v>
      </c>
      <c r="C62" s="640" t="str">
        <f>INDEX('Data Processing'!G:G,$A62)</f>
        <v>FDIC Sweep Deposits - Retail - Custodial IND</v>
      </c>
      <c r="D62" s="454">
        <f>INDEX('Data Processing'!O:O,$A62)</f>
        <v>2989.0659873999998</v>
      </c>
      <c r="E62" s="454">
        <f ca="1">INDEX('Data Processing'!P:P,$A62)</f>
        <v>2953.1971955511999</v>
      </c>
      <c r="F62" s="454">
        <f ca="1">INDEX('Data Processing'!Q:Q,$A62)</f>
        <v>2941.2409316015996</v>
      </c>
      <c r="G62" s="454">
        <f ca="1">INDEX('Data Processing'!R:R,$A62)</f>
        <v>2929.2846676519998</v>
      </c>
      <c r="H62" s="454">
        <f ca="1">INDEX('Data Processing'!S:S,$A62)</f>
        <v>2917.3284037024</v>
      </c>
      <c r="I62" s="454">
        <f ca="1">INDEX('Data Processing'!T:T,$A62)</f>
        <v>2905.3721397527997</v>
      </c>
      <c r="J62" s="454">
        <f ca="1">INDEX('Data Processing'!U:U,$A62)</f>
        <v>2893.4158758031999</v>
      </c>
      <c r="K62" s="454">
        <f ca="1">INDEX('Data Processing'!V:V,$A62)</f>
        <v>2881.4596118535997</v>
      </c>
      <c r="L62" s="454">
        <f ca="1">INDEX('Data Processing'!W:W,$A62)</f>
        <v>2871.2113856110855</v>
      </c>
      <c r="M62" s="454">
        <f ca="1">INDEX('Data Processing'!X:X,$A62)</f>
        <v>2860.9631593685713</v>
      </c>
      <c r="N62" s="454">
        <f ca="1">INDEX('Data Processing'!Y:Y,$A62)</f>
        <v>2850.7149331260571</v>
      </c>
      <c r="O62" s="454">
        <f ca="1">INDEX('Data Processing'!Z:Z,$A62)</f>
        <v>2840.4667068835429</v>
      </c>
      <c r="P62" s="454">
        <f ca="1">INDEX('Data Processing'!AA:AA,$A62)</f>
        <v>2830.2184806410282</v>
      </c>
      <c r="Q62" s="454">
        <f ca="1">INDEX('Data Processing'!AB:AB,$A62)</f>
        <v>2819.970254398514</v>
      </c>
      <c r="R62" s="454">
        <f ca="1">INDEX('Data Processing'!AC:AC,$A62)</f>
        <v>2809.7220281559999</v>
      </c>
      <c r="S62" s="454">
        <f ca="1">INDEX('Data Processing'!AD:AD,$A62)</f>
        <v>2749.9407084079999</v>
      </c>
      <c r="T62" s="455">
        <f ca="1">INDEX('Data Processing'!AE:AE,$A62)</f>
        <v>2690.1593886599999</v>
      </c>
      <c r="U62" s="125"/>
      <c r="V62" s="120"/>
    </row>
    <row r="63" spans="1:22" s="126" customFormat="1">
      <c r="A63" s="126">
        <f>IF(B63="","",IFERROR(MATCH(B63,'Data Processing'!$C:$C,0),""))</f>
        <v>64</v>
      </c>
      <c r="B63" s="522" t="s">
        <v>1228</v>
      </c>
      <c r="C63" s="640" t="str">
        <f>INDEX('Data Processing'!G:G,$A63)</f>
        <v>FDIC Sweep Deposits - Retail - ICS/CEDARS</v>
      </c>
      <c r="D63" s="454">
        <f>INDEX('Data Processing'!O:O,$A63)</f>
        <v>1327.2317001799997</v>
      </c>
      <c r="E63" s="454">
        <f ca="1">INDEX('Data Processing'!P:P,$A63)</f>
        <v>1311.3049197778398</v>
      </c>
      <c r="F63" s="454">
        <f ca="1">INDEX('Data Processing'!Q:Q,$A63)</f>
        <v>1305.9959929771198</v>
      </c>
      <c r="G63" s="454">
        <f ca="1">INDEX('Data Processing'!R:R,$A63)</f>
        <v>1300.6870661763996</v>
      </c>
      <c r="H63" s="454">
        <f ca="1">INDEX('Data Processing'!S:S,$A63)</f>
        <v>1295.3781393756797</v>
      </c>
      <c r="I63" s="454">
        <f ca="1">INDEX('Data Processing'!T:T,$A63)</f>
        <v>1290.0692125749597</v>
      </c>
      <c r="J63" s="454">
        <f ca="1">INDEX('Data Processing'!U:U,$A63)</f>
        <v>1284.7602857742397</v>
      </c>
      <c r="K63" s="454">
        <f ca="1">INDEX('Data Processing'!V:V,$A63)</f>
        <v>1279.4513589735197</v>
      </c>
      <c r="L63" s="454">
        <f ca="1">INDEX('Data Processing'!W:W,$A63)</f>
        <v>1274.9008502871884</v>
      </c>
      <c r="M63" s="454">
        <f ca="1">INDEX('Data Processing'!X:X,$A63)</f>
        <v>1270.3503416008568</v>
      </c>
      <c r="N63" s="454">
        <f ca="1">INDEX('Data Processing'!Y:Y,$A63)</f>
        <v>1265.7998329145255</v>
      </c>
      <c r="O63" s="454">
        <f ca="1">INDEX('Data Processing'!Z:Z,$A63)</f>
        <v>1261.2493242281939</v>
      </c>
      <c r="P63" s="454">
        <f ca="1">INDEX('Data Processing'!AA:AA,$A63)</f>
        <v>1256.6988155418626</v>
      </c>
      <c r="Q63" s="454">
        <f ca="1">INDEX('Data Processing'!AB:AB,$A63)</f>
        <v>1252.1483068555312</v>
      </c>
      <c r="R63" s="454">
        <f ca="1">INDEX('Data Processing'!AC:AC,$A63)</f>
        <v>1247.5977981691997</v>
      </c>
      <c r="S63" s="454">
        <f ca="1">INDEX('Data Processing'!AD:AD,$A63)</f>
        <v>1221.0531641655998</v>
      </c>
      <c r="T63" s="455">
        <f ca="1">INDEX('Data Processing'!AE:AE,$A63)</f>
        <v>1194.5085301619997</v>
      </c>
      <c r="U63" s="125"/>
      <c r="V63" s="120"/>
    </row>
    <row r="64" spans="1:22" s="126" customFormat="1">
      <c r="A64" s="126">
        <f>IF(B64="","",IFERROR(MATCH(B64,'Data Processing'!$C:$C,0),""))</f>
        <v>65</v>
      </c>
      <c r="B64" s="522" t="s">
        <v>1286</v>
      </c>
      <c r="C64" s="640" t="str">
        <f>INDEX('Data Processing'!G:G,$A64)</f>
        <v>FDIC Sweep Deposits - Retail - MMDA</v>
      </c>
      <c r="D64" s="454">
        <f>INDEX('Data Processing'!O:O,$A64)</f>
        <v>70.697602650000007</v>
      </c>
      <c r="E64" s="454">
        <f ca="1">INDEX('Data Processing'!P:P,$A64)</f>
        <v>69.849231418200006</v>
      </c>
      <c r="F64" s="454">
        <f ca="1">INDEX('Data Processing'!Q:Q,$A64)</f>
        <v>69.566441007600005</v>
      </c>
      <c r="G64" s="454">
        <f ca="1">INDEX('Data Processing'!R:R,$A64)</f>
        <v>69.283650597000005</v>
      </c>
      <c r="H64" s="454">
        <f ca="1">INDEX('Data Processing'!S:S,$A64)</f>
        <v>69.000860186400004</v>
      </c>
      <c r="I64" s="454">
        <f ca="1">INDEX('Data Processing'!T:T,$A64)</f>
        <v>68.718069775800004</v>
      </c>
      <c r="J64" s="454">
        <f ca="1">INDEX('Data Processing'!U:U,$A64)</f>
        <v>68.435279365200003</v>
      </c>
      <c r="K64" s="454">
        <f ca="1">INDEX('Data Processing'!V:V,$A64)</f>
        <v>68.152488954600003</v>
      </c>
      <c r="L64" s="454">
        <f ca="1">INDEX('Data Processing'!W:W,$A64)</f>
        <v>67.91009717408572</v>
      </c>
      <c r="M64" s="454">
        <f ca="1">INDEX('Data Processing'!X:X,$A64)</f>
        <v>67.667705393571438</v>
      </c>
      <c r="N64" s="454">
        <f ca="1">INDEX('Data Processing'!Y:Y,$A64)</f>
        <v>67.425313613057156</v>
      </c>
      <c r="O64" s="454">
        <f ca="1">INDEX('Data Processing'!Z:Z,$A64)</f>
        <v>67.18292183254286</v>
      </c>
      <c r="P64" s="454">
        <f ca="1">INDEX('Data Processing'!AA:AA,$A64)</f>
        <v>66.940530052028578</v>
      </c>
      <c r="Q64" s="454">
        <f ca="1">INDEX('Data Processing'!AB:AB,$A64)</f>
        <v>66.698138271514296</v>
      </c>
      <c r="R64" s="454">
        <f ca="1">INDEX('Data Processing'!AC:AC,$A64)</f>
        <v>66.455746491000014</v>
      </c>
      <c r="S64" s="454">
        <f ca="1">INDEX('Data Processing'!AD:AD,$A64)</f>
        <v>65.041794438000011</v>
      </c>
      <c r="T64" s="455">
        <f ca="1">INDEX('Data Processing'!AE:AE,$A64)</f>
        <v>63.627842385000008</v>
      </c>
      <c r="U64" s="125"/>
      <c r="V64" s="120"/>
    </row>
    <row r="65" spans="1:25" s="126" customFormat="1">
      <c r="A65" s="126">
        <f>IF(B65="","",IFERROR(MATCH(B65,'Data Processing'!$C:$C,0),""))</f>
        <v>66</v>
      </c>
      <c r="B65" s="522" t="s">
        <v>1285</v>
      </c>
      <c r="C65" s="640" t="str">
        <f>INDEX('Data Processing'!G:G,$A65)</f>
        <v>FDIC Sweep Deposits - Non-Retail</v>
      </c>
      <c r="D65" s="454">
        <f>INDEX('Data Processing'!O:O,$A65)</f>
        <v>0</v>
      </c>
      <c r="E65" s="454">
        <f ca="1">INDEX('Data Processing'!P:P,$A65)</f>
        <v>0</v>
      </c>
      <c r="F65" s="454">
        <f ca="1">INDEX('Data Processing'!Q:Q,$A65)</f>
        <v>0</v>
      </c>
      <c r="G65" s="454">
        <f ca="1">INDEX('Data Processing'!R:R,$A65)</f>
        <v>0</v>
      </c>
      <c r="H65" s="454">
        <f ca="1">INDEX('Data Processing'!S:S,$A65)</f>
        <v>0</v>
      </c>
      <c r="I65" s="454">
        <f ca="1">INDEX('Data Processing'!T:T,$A65)</f>
        <v>0</v>
      </c>
      <c r="J65" s="454">
        <f ca="1">INDEX('Data Processing'!U:U,$A65)</f>
        <v>0</v>
      </c>
      <c r="K65" s="454">
        <f ca="1">INDEX('Data Processing'!V:V,$A65)</f>
        <v>0</v>
      </c>
      <c r="L65" s="454">
        <f ca="1">INDEX('Data Processing'!W:W,$A65)</f>
        <v>0</v>
      </c>
      <c r="M65" s="454">
        <f ca="1">INDEX('Data Processing'!X:X,$A65)</f>
        <v>0</v>
      </c>
      <c r="N65" s="454">
        <f ca="1">INDEX('Data Processing'!Y:Y,$A65)</f>
        <v>0</v>
      </c>
      <c r="O65" s="454">
        <f ca="1">INDEX('Data Processing'!Z:Z,$A65)</f>
        <v>0</v>
      </c>
      <c r="P65" s="454">
        <f ca="1">INDEX('Data Processing'!AA:AA,$A65)</f>
        <v>0</v>
      </c>
      <c r="Q65" s="454">
        <f ca="1">INDEX('Data Processing'!AB:AB,$A65)</f>
        <v>0</v>
      </c>
      <c r="R65" s="454">
        <f ca="1">INDEX('Data Processing'!AC:AC,$A65)</f>
        <v>0</v>
      </c>
      <c r="S65" s="454">
        <f ca="1">INDEX('Data Processing'!AD:AD,$A65)</f>
        <v>0</v>
      </c>
      <c r="T65" s="455">
        <f ca="1">INDEX('Data Processing'!AE:AE,$A65)</f>
        <v>0</v>
      </c>
      <c r="U65" s="125"/>
      <c r="V65" s="120"/>
    </row>
    <row r="66" spans="1:25" s="126" customFormat="1">
      <c r="A66" s="126">
        <f>IF(B66="","",IFERROR(MATCH(B66,'Data Processing'!$C:$C,0),""))</f>
        <v>67</v>
      </c>
      <c r="B66" s="522">
        <v>10.199999999999999</v>
      </c>
      <c r="C66" s="640" t="str">
        <f>INDEX('Data Processing'!G:G,$A66)</f>
        <v>Brokered CDs</v>
      </c>
      <c r="D66" s="454">
        <f>INDEX('Data Processing'!O:O,$A66)</f>
        <v>9604.8459999999995</v>
      </c>
      <c r="E66" s="454">
        <f ca="1">INDEX('Data Processing'!P:P,$A66)</f>
        <v>9585.6363079999992</v>
      </c>
      <c r="F66" s="454">
        <f ca="1">INDEX('Data Processing'!Q:Q,$A66)</f>
        <v>9579.2330773333324</v>
      </c>
      <c r="G66" s="454">
        <f ca="1">INDEX('Data Processing'!R:R,$A66)</f>
        <v>9572.8298466666674</v>
      </c>
      <c r="H66" s="454">
        <f ca="1">INDEX('Data Processing'!S:S,$A66)</f>
        <v>9566.4266159999988</v>
      </c>
      <c r="I66" s="454">
        <f ca="1">INDEX('Data Processing'!T:T,$A66)</f>
        <v>9560.023385333332</v>
      </c>
      <c r="J66" s="454">
        <f ca="1">INDEX('Data Processing'!U:U,$A66)</f>
        <v>9553.6201546666671</v>
      </c>
      <c r="K66" s="454">
        <f ca="1">INDEX('Data Processing'!V:V,$A66)</f>
        <v>9547.2169240000003</v>
      </c>
      <c r="L66" s="454">
        <f ca="1">INDEX('Data Processing'!W:W,$A66)</f>
        <v>9541.728440571429</v>
      </c>
      <c r="M66" s="454">
        <f ca="1">INDEX('Data Processing'!X:X,$A66)</f>
        <v>9536.2399571428577</v>
      </c>
      <c r="N66" s="454">
        <f ca="1">INDEX('Data Processing'!Y:Y,$A66)</f>
        <v>9530.7514737142865</v>
      </c>
      <c r="O66" s="454">
        <f ca="1">INDEX('Data Processing'!Z:Z,$A66)</f>
        <v>9525.2629902857134</v>
      </c>
      <c r="P66" s="454">
        <f ca="1">INDEX('Data Processing'!AA:AA,$A66)</f>
        <v>9519.7745068571421</v>
      </c>
      <c r="Q66" s="454">
        <f ca="1">INDEX('Data Processing'!AB:AB,$A66)</f>
        <v>9514.2860234285708</v>
      </c>
      <c r="R66" s="454">
        <f ca="1">INDEX('Data Processing'!AC:AC,$A66)</f>
        <v>9508.7975399999996</v>
      </c>
      <c r="S66" s="454">
        <f ca="1">INDEX('Data Processing'!AD:AD,$A66)</f>
        <v>7636.5184499999996</v>
      </c>
      <c r="T66" s="455">
        <f ca="1">INDEX('Data Processing'!AE:AE,$A66)</f>
        <v>7109.9493299999995</v>
      </c>
      <c r="U66" s="125"/>
      <c r="V66" s="120"/>
    </row>
    <row r="67" spans="1:25" s="126" customFormat="1">
      <c r="A67" s="126">
        <f>IF(B67="","",IFERROR(MATCH(B67,'Data Processing'!$C:$C,0),""))</f>
        <v>68</v>
      </c>
      <c r="B67" s="522">
        <v>10.3</v>
      </c>
      <c r="C67" s="640" t="str">
        <f>INDEX('Data Processing'!G:G,$A67)</f>
        <v>Yankee CDs</v>
      </c>
      <c r="D67" s="454">
        <f>INDEX('Data Processing'!O:O,$A67)</f>
        <v>0</v>
      </c>
      <c r="E67" s="454">
        <f ca="1">INDEX('Data Processing'!P:P,$A67)</f>
        <v>0</v>
      </c>
      <c r="F67" s="454">
        <f ca="1">INDEX('Data Processing'!Q:Q,$A67)</f>
        <v>0</v>
      </c>
      <c r="G67" s="454">
        <f ca="1">INDEX('Data Processing'!R:R,$A67)</f>
        <v>0</v>
      </c>
      <c r="H67" s="454">
        <f ca="1">INDEX('Data Processing'!S:S,$A67)</f>
        <v>0</v>
      </c>
      <c r="I67" s="454">
        <f ca="1">INDEX('Data Processing'!T:T,$A67)</f>
        <v>0</v>
      </c>
      <c r="J67" s="454">
        <f ca="1">INDEX('Data Processing'!U:U,$A67)</f>
        <v>0</v>
      </c>
      <c r="K67" s="454">
        <f ca="1">INDEX('Data Processing'!V:V,$A67)</f>
        <v>0</v>
      </c>
      <c r="L67" s="454">
        <f ca="1">INDEX('Data Processing'!W:W,$A67)</f>
        <v>0</v>
      </c>
      <c r="M67" s="454">
        <f ca="1">INDEX('Data Processing'!X:X,$A67)</f>
        <v>0</v>
      </c>
      <c r="N67" s="454">
        <f ca="1">INDEX('Data Processing'!Y:Y,$A67)</f>
        <v>0</v>
      </c>
      <c r="O67" s="454">
        <f ca="1">INDEX('Data Processing'!Z:Z,$A67)</f>
        <v>0</v>
      </c>
      <c r="P67" s="454">
        <f ca="1">INDEX('Data Processing'!AA:AA,$A67)</f>
        <v>0</v>
      </c>
      <c r="Q67" s="454">
        <f ca="1">INDEX('Data Processing'!AB:AB,$A67)</f>
        <v>0</v>
      </c>
      <c r="R67" s="454">
        <f ca="1">INDEX('Data Processing'!AC:AC,$A67)</f>
        <v>0</v>
      </c>
      <c r="S67" s="454">
        <f ca="1">INDEX('Data Processing'!AD:AD,$A67)</f>
        <v>0</v>
      </c>
      <c r="T67" s="455">
        <f ca="1">INDEX('Data Processing'!AE:AE,$A67)</f>
        <v>0</v>
      </c>
      <c r="U67" s="125"/>
      <c r="V67" s="120"/>
    </row>
    <row r="68" spans="1:25" s="126" customFormat="1">
      <c r="A68" s="126">
        <f>IF(B68="","",IFERROR(MATCH(B68,'Data Processing'!$C:$C,0),""))</f>
        <v>69</v>
      </c>
      <c r="B68" s="522">
        <v>11</v>
      </c>
      <c r="C68" s="640" t="str">
        <f>INDEX('Data Processing'!G:G,$A68)</f>
        <v>Bond Issuance</v>
      </c>
      <c r="D68" s="454">
        <f>INDEX('Data Processing'!O:O,$A68)</f>
        <v>0</v>
      </c>
      <c r="E68" s="454">
        <f ca="1">INDEX('Data Processing'!P:P,$A68)</f>
        <v>0</v>
      </c>
      <c r="F68" s="454">
        <f ca="1">INDEX('Data Processing'!Q:Q,$A68)</f>
        <v>0</v>
      </c>
      <c r="G68" s="454">
        <f ca="1">INDEX('Data Processing'!R:R,$A68)</f>
        <v>0</v>
      </c>
      <c r="H68" s="454">
        <f ca="1">INDEX('Data Processing'!S:S,$A68)</f>
        <v>0</v>
      </c>
      <c r="I68" s="454">
        <f ca="1">INDEX('Data Processing'!T:T,$A68)</f>
        <v>0</v>
      </c>
      <c r="J68" s="454">
        <f ca="1">INDEX('Data Processing'!U:U,$A68)</f>
        <v>0</v>
      </c>
      <c r="K68" s="454">
        <f ca="1">INDEX('Data Processing'!V:V,$A68)</f>
        <v>0</v>
      </c>
      <c r="L68" s="454">
        <f ca="1">INDEX('Data Processing'!W:W,$A68)</f>
        <v>0</v>
      </c>
      <c r="M68" s="454">
        <f ca="1">INDEX('Data Processing'!X:X,$A68)</f>
        <v>0</v>
      </c>
      <c r="N68" s="454">
        <f ca="1">INDEX('Data Processing'!Y:Y,$A68)</f>
        <v>0</v>
      </c>
      <c r="O68" s="454">
        <f ca="1">INDEX('Data Processing'!Z:Z,$A68)</f>
        <v>0</v>
      </c>
      <c r="P68" s="454">
        <f ca="1">INDEX('Data Processing'!AA:AA,$A68)</f>
        <v>0</v>
      </c>
      <c r="Q68" s="454">
        <f ca="1">INDEX('Data Processing'!AB:AB,$A68)</f>
        <v>0</v>
      </c>
      <c r="R68" s="454">
        <f ca="1">INDEX('Data Processing'!AC:AC,$A68)</f>
        <v>0</v>
      </c>
      <c r="S68" s="454">
        <f ca="1">INDEX('Data Processing'!AD:AD,$A68)</f>
        <v>0</v>
      </c>
      <c r="T68" s="455">
        <f ca="1">INDEX('Data Processing'!AE:AE,$A68)</f>
        <v>0</v>
      </c>
      <c r="U68" s="125"/>
      <c r="V68" s="120"/>
    </row>
    <row r="69" spans="1:25" s="126" customFormat="1">
      <c r="A69" s="126">
        <f>IF(B69="","",IFERROR(MATCH(B69,'Data Processing'!$C:$C,0),""))</f>
        <v>70</v>
      </c>
      <c r="B69" s="522">
        <v>99</v>
      </c>
      <c r="C69" s="640" t="str">
        <f>INDEX('Data Processing'!G:G,$A69)</f>
        <v>REPO Liabilities</v>
      </c>
      <c r="D69" s="454">
        <f>INDEX('Data Processing'!O:O,$A69)</f>
        <v>0</v>
      </c>
      <c r="E69" s="454">
        <f ca="1">INDEX('Data Processing'!P:P,$A69)</f>
        <v>0</v>
      </c>
      <c r="F69" s="454">
        <f ca="1">INDEX('Data Processing'!Q:Q,$A69)</f>
        <v>0</v>
      </c>
      <c r="G69" s="454">
        <f ca="1">INDEX('Data Processing'!R:R,$A69)</f>
        <v>0</v>
      </c>
      <c r="H69" s="454">
        <f ca="1">INDEX('Data Processing'!S:S,$A69)</f>
        <v>0</v>
      </c>
      <c r="I69" s="454">
        <f ca="1">INDEX('Data Processing'!T:T,$A69)</f>
        <v>0</v>
      </c>
      <c r="J69" s="454">
        <f ca="1">INDEX('Data Processing'!U:U,$A69)</f>
        <v>0</v>
      </c>
      <c r="K69" s="454">
        <f ca="1">INDEX('Data Processing'!V:V,$A69)</f>
        <v>0</v>
      </c>
      <c r="L69" s="454">
        <f ca="1">INDEX('Data Processing'!W:W,$A69)</f>
        <v>0</v>
      </c>
      <c r="M69" s="454">
        <f ca="1">INDEX('Data Processing'!X:X,$A69)</f>
        <v>0</v>
      </c>
      <c r="N69" s="454">
        <f ca="1">INDEX('Data Processing'!Y:Y,$A69)</f>
        <v>0</v>
      </c>
      <c r="O69" s="454">
        <f ca="1">INDEX('Data Processing'!Z:Z,$A69)</f>
        <v>0</v>
      </c>
      <c r="P69" s="454">
        <f ca="1">INDEX('Data Processing'!AA:AA,$A69)</f>
        <v>0</v>
      </c>
      <c r="Q69" s="454">
        <f ca="1">INDEX('Data Processing'!AB:AB,$A69)</f>
        <v>0</v>
      </c>
      <c r="R69" s="454">
        <f ca="1">INDEX('Data Processing'!AC:AC,$A69)</f>
        <v>0</v>
      </c>
      <c r="S69" s="454">
        <f ca="1">INDEX('Data Processing'!AD:AD,$A69)</f>
        <v>0</v>
      </c>
      <c r="T69" s="455">
        <f ca="1">INDEX('Data Processing'!AE:AE,$A69)</f>
        <v>0</v>
      </c>
      <c r="U69" s="125"/>
      <c r="V69" s="120"/>
    </row>
    <row r="70" spans="1:25" s="126" customFormat="1">
      <c r="A70" s="126">
        <f>IF(B70="","",IFERROR(MATCH(B70,'Data Processing'!$C:$C,0),""))</f>
        <v>71</v>
      </c>
      <c r="B70" s="522">
        <v>13</v>
      </c>
      <c r="C70" s="640" t="str">
        <f>INDEX('Data Processing'!G:G,$A70)</f>
        <v>Other Liabilities</v>
      </c>
      <c r="D70" s="454">
        <f>INDEX('Data Processing'!O:O,$A70)</f>
        <v>411.85919435999989</v>
      </c>
      <c r="E70" s="454">
        <f>INDEX('Data Processing'!P:P,$A70)</f>
        <v>411.85919435999989</v>
      </c>
      <c r="F70" s="454">
        <f>INDEX('Data Processing'!Q:Q,$A70)</f>
        <v>411.85919435999989</v>
      </c>
      <c r="G70" s="454">
        <f>INDEX('Data Processing'!R:R,$A70)</f>
        <v>411.85919435999989</v>
      </c>
      <c r="H70" s="454">
        <f>INDEX('Data Processing'!S:S,$A70)</f>
        <v>411.85919435999989</v>
      </c>
      <c r="I70" s="454">
        <f>INDEX('Data Processing'!T:T,$A70)</f>
        <v>411.85919435999989</v>
      </c>
      <c r="J70" s="454">
        <f>INDEX('Data Processing'!U:U,$A70)</f>
        <v>411.85919435999989</v>
      </c>
      <c r="K70" s="454">
        <f>INDEX('Data Processing'!V:V,$A70)</f>
        <v>411.85919435999989</v>
      </c>
      <c r="L70" s="454">
        <f>INDEX('Data Processing'!W:W,$A70)</f>
        <v>411.85919435999989</v>
      </c>
      <c r="M70" s="454">
        <f>INDEX('Data Processing'!X:X,$A70)</f>
        <v>411.85919435999989</v>
      </c>
      <c r="N70" s="454">
        <f>INDEX('Data Processing'!Y:Y,$A70)</f>
        <v>411.85919435999989</v>
      </c>
      <c r="O70" s="454">
        <f>INDEX('Data Processing'!Z:Z,$A70)</f>
        <v>411.85919435999989</v>
      </c>
      <c r="P70" s="454">
        <f>INDEX('Data Processing'!AA:AA,$A70)</f>
        <v>411.85919435999989</v>
      </c>
      <c r="Q70" s="454">
        <f>INDEX('Data Processing'!AB:AB,$A70)</f>
        <v>411.85919435999989</v>
      </c>
      <c r="R70" s="454">
        <f>INDEX('Data Processing'!AC:AC,$A70)</f>
        <v>411.85919435999989</v>
      </c>
      <c r="S70" s="454">
        <f>INDEX('Data Processing'!AD:AD,$A70)</f>
        <v>411.85919435999989</v>
      </c>
      <c r="T70" s="455">
        <f>INDEX('Data Processing'!AE:AE,$A70)</f>
        <v>411.85919435999989</v>
      </c>
      <c r="U70" s="125"/>
      <c r="V70" s="120"/>
    </row>
    <row r="71" spans="1:25" s="121" customFormat="1">
      <c r="B71" s="578">
        <v>12</v>
      </c>
      <c r="C71" s="643" t="s">
        <v>28</v>
      </c>
      <c r="D71" s="495">
        <f>SUM('Data Processing'!O23:O71)</f>
        <v>60561.908251519999</v>
      </c>
      <c r="E71" s="495">
        <f ca="1">SUM('Data Processing'!P23:P71)</f>
        <v>58482.657497848719</v>
      </c>
      <c r="F71" s="495">
        <f ca="1">SUM('Data Processing'!Q23:Q71)</f>
        <v>43856.180766458077</v>
      </c>
      <c r="G71" s="495">
        <f ca="1">SUM('Data Processing'!R23:R71)</f>
        <v>43461.893774954602</v>
      </c>
      <c r="H71" s="495">
        <f ca="1">SUM('Data Processing'!S23:S71)</f>
        <v>43069.011664530153</v>
      </c>
      <c r="I71" s="495">
        <f ca="1">SUM('Data Processing'!T23:T71)</f>
        <v>42682.647907974766</v>
      </c>
      <c r="J71" s="495">
        <f ca="1">SUM('Data Processing'!U23:U71)</f>
        <v>42296.284151419379</v>
      </c>
      <c r="K71" s="495">
        <f ca="1">SUM('Data Processing'!V23:V71)</f>
        <v>41861.125014932833</v>
      </c>
      <c r="L71" s="495">
        <f ca="1">SUM('Data Processing'!W23:W71)</f>
        <v>41526.830068701791</v>
      </c>
      <c r="M71" s="495">
        <f ca="1">SUM('Data Processing'!X23:X71)</f>
        <v>41127.78831377707</v>
      </c>
      <c r="N71" s="495">
        <f ca="1">SUM('Data Processing'!Y23:Y71)</f>
        <v>40775.145016558985</v>
      </c>
      <c r="O71" s="495">
        <f ca="1">SUM('Data Processing'!Z23:Z71)</f>
        <v>40444.771872572754</v>
      </c>
      <c r="P71" s="495">
        <f ca="1">SUM('Data Processing'!AA23:AA71)</f>
        <v>40114.554466603506</v>
      </c>
      <c r="Q71" s="495">
        <f ca="1">SUM('Data Processing'!AB23:AB71)</f>
        <v>39784.337060634265</v>
      </c>
      <c r="R71" s="495">
        <f ca="1">SUM('Data Processing'!AC23:AC71)</f>
        <v>39418.4406215954</v>
      </c>
      <c r="S71" s="495">
        <f ca="1">SUM('Data Processing'!AD23:AD71)</f>
        <v>36582.222692792915</v>
      </c>
      <c r="T71" s="635">
        <f ca="1">SUM('Data Processing'!AE23:AE71)</f>
        <v>35055.486506105597</v>
      </c>
      <c r="U71" s="119"/>
      <c r="V71" s="120"/>
    </row>
    <row r="72" spans="1:25" s="121" customFormat="1">
      <c r="A72" s="121">
        <f>IF(B72="","",IFERROR(MATCH(B72,'Data Processing'!$C:$C,0),""))</f>
        <v>72</v>
      </c>
      <c r="B72" s="578">
        <v>14</v>
      </c>
      <c r="C72" s="639" t="str">
        <f>INDEX('Data Processing'!G:G,$A72)</f>
        <v>Equity</v>
      </c>
      <c r="D72" s="495">
        <f>'Data Processing'!O72</f>
        <v>626.0229084099991</v>
      </c>
      <c r="E72" s="495">
        <f>'Data Processing'!P72</f>
        <v>626.0229084099991</v>
      </c>
      <c r="F72" s="495">
        <f>'Data Processing'!Q72</f>
        <v>626.0229084099991</v>
      </c>
      <c r="G72" s="495">
        <f>'Data Processing'!R72</f>
        <v>626.0229084099991</v>
      </c>
      <c r="H72" s="495">
        <f>'Data Processing'!S72</f>
        <v>626.0229084099991</v>
      </c>
      <c r="I72" s="495">
        <f>'Data Processing'!T72</f>
        <v>626.0229084099991</v>
      </c>
      <c r="J72" s="495">
        <f>'Data Processing'!U72</f>
        <v>626.0229084099991</v>
      </c>
      <c r="K72" s="495">
        <f>'Data Processing'!V72</f>
        <v>626.0229084099991</v>
      </c>
      <c r="L72" s="495">
        <f>'Data Processing'!W72</f>
        <v>626.0229084099991</v>
      </c>
      <c r="M72" s="495">
        <f>'Data Processing'!X72</f>
        <v>626.0229084099991</v>
      </c>
      <c r="N72" s="495">
        <f>'Data Processing'!Y72</f>
        <v>626.0229084099991</v>
      </c>
      <c r="O72" s="495">
        <f>'Data Processing'!Z72</f>
        <v>626.0229084099991</v>
      </c>
      <c r="P72" s="495">
        <f>'Data Processing'!AA72</f>
        <v>626.0229084099991</v>
      </c>
      <c r="Q72" s="495">
        <f>'Data Processing'!AB72</f>
        <v>626.0229084099991</v>
      </c>
      <c r="R72" s="495">
        <f>'Data Processing'!AC72</f>
        <v>626.0229084099991</v>
      </c>
      <c r="S72" s="495">
        <f>'Data Processing'!AD72</f>
        <v>626.0229084099991</v>
      </c>
      <c r="T72" s="636">
        <f>'Data Processing'!AE72</f>
        <v>626.0229084099991</v>
      </c>
      <c r="U72" s="119"/>
      <c r="V72" s="120"/>
    </row>
    <row r="73" spans="1:25" s="121" customFormat="1" ht="15.75" thickBot="1">
      <c r="B73" s="609">
        <v>14</v>
      </c>
      <c r="C73" s="644" t="s">
        <v>1152</v>
      </c>
      <c r="D73" s="498">
        <f>D71+D72</f>
        <v>61187.931159929998</v>
      </c>
      <c r="E73" s="498">
        <f t="shared" ref="E73:T73" ca="1" si="0">E71+E72</f>
        <v>59108.680406258718</v>
      </c>
      <c r="F73" s="498">
        <f t="shared" ca="1" si="0"/>
        <v>44482.203674868077</v>
      </c>
      <c r="G73" s="498">
        <f t="shared" ca="1" si="0"/>
        <v>44087.916683364601</v>
      </c>
      <c r="H73" s="498">
        <f t="shared" ca="1" si="0"/>
        <v>43695.034572940152</v>
      </c>
      <c r="I73" s="498">
        <f t="shared" ca="1" si="0"/>
        <v>43308.670816384765</v>
      </c>
      <c r="J73" s="498">
        <f t="shared" ca="1" si="0"/>
        <v>42922.307059829378</v>
      </c>
      <c r="K73" s="498">
        <f t="shared" ca="1" si="0"/>
        <v>42487.147923342833</v>
      </c>
      <c r="L73" s="498">
        <f t="shared" ca="1" si="0"/>
        <v>42152.85297711179</v>
      </c>
      <c r="M73" s="498">
        <f t="shared" ca="1" si="0"/>
        <v>41753.811222187069</v>
      </c>
      <c r="N73" s="498">
        <f t="shared" ca="1" si="0"/>
        <v>41401.167924968984</v>
      </c>
      <c r="O73" s="498">
        <f t="shared" ca="1" si="0"/>
        <v>41070.794780982753</v>
      </c>
      <c r="P73" s="498">
        <f t="shared" ca="1" si="0"/>
        <v>40740.577375013505</v>
      </c>
      <c r="Q73" s="498">
        <f t="shared" ca="1" si="0"/>
        <v>40410.359969044264</v>
      </c>
      <c r="R73" s="498">
        <f t="shared" ca="1" si="0"/>
        <v>40044.4635300054</v>
      </c>
      <c r="S73" s="498">
        <f t="shared" ca="1" si="0"/>
        <v>37208.245601202914</v>
      </c>
      <c r="T73" s="637">
        <f t="shared" ca="1" si="0"/>
        <v>35681.509414515596</v>
      </c>
      <c r="U73" s="119"/>
      <c r="V73" s="134"/>
    </row>
    <row r="74" spans="1:25" s="528" customFormat="1" ht="15.75" thickTop="1">
      <c r="B74" s="539"/>
      <c r="C74" s="540" t="s">
        <v>1153</v>
      </c>
      <c r="D74" s="499">
        <f t="shared" ref="D74:T74" si="1">D25-D73</f>
        <v>33419.410848033134</v>
      </c>
      <c r="E74" s="499">
        <f t="shared" ca="1" si="1"/>
        <v>32916.808620438795</v>
      </c>
      <c r="F74" s="499">
        <f t="shared" ca="1" si="1"/>
        <v>32799.274544574022</v>
      </c>
      <c r="G74" s="499">
        <f t="shared" ca="1" si="1"/>
        <v>32681.740468709235</v>
      </c>
      <c r="H74" s="499">
        <f t="shared" ca="1" si="1"/>
        <v>32564.206392844448</v>
      </c>
      <c r="I74" s="499">
        <f t="shared" ca="1" si="1"/>
        <v>32446.672316979675</v>
      </c>
      <c r="J74" s="499">
        <f t="shared" ca="1" si="1"/>
        <v>32329.138241114902</v>
      </c>
      <c r="K74" s="499">
        <f t="shared" ca="1" si="1"/>
        <v>32211.604165250123</v>
      </c>
      <c r="L74" s="499">
        <f t="shared" ca="1" si="1"/>
        <v>32110.860671651753</v>
      </c>
      <c r="M74" s="499">
        <f t="shared" ca="1" si="1"/>
        <v>32010.117178053362</v>
      </c>
      <c r="N74" s="499">
        <f t="shared" ca="1" si="1"/>
        <v>31909.373684454964</v>
      </c>
      <c r="O74" s="499">
        <f t="shared" ca="1" si="1"/>
        <v>31808.630190856617</v>
      </c>
      <c r="P74" s="499">
        <f t="shared" ca="1" si="1"/>
        <v>31707.886697258225</v>
      </c>
      <c r="Q74" s="499">
        <f t="shared" ca="1" si="1"/>
        <v>31607.143203659842</v>
      </c>
      <c r="R74" s="499">
        <f t="shared" ca="1" si="1"/>
        <v>31506.399710061472</v>
      </c>
      <c r="S74" s="499">
        <f t="shared" ca="1" si="1"/>
        <v>30879.893698179265</v>
      </c>
      <c r="T74" s="541">
        <f t="shared" ca="1" si="1"/>
        <v>30343.91197127755</v>
      </c>
      <c r="U74" s="534"/>
      <c r="V74" s="126"/>
      <c r="W74" s="121"/>
      <c r="X74" s="121"/>
      <c r="Y74" s="121"/>
    </row>
    <row r="75" spans="1:25" s="528" customFormat="1">
      <c r="B75" s="542"/>
      <c r="D75" s="500"/>
      <c r="E75" s="543"/>
      <c r="F75" s="544"/>
      <c r="G75" s="545"/>
      <c r="H75" s="544"/>
      <c r="I75" s="544"/>
      <c r="T75" s="546"/>
      <c r="U75" s="534"/>
      <c r="V75" s="126"/>
      <c r="W75" s="121"/>
      <c r="X75" s="121"/>
      <c r="Y75" s="121"/>
    </row>
    <row r="76" spans="1:25" s="528" customFormat="1">
      <c r="B76" s="529"/>
      <c r="C76" s="530" t="s">
        <v>32</v>
      </c>
      <c r="D76" s="501"/>
      <c r="E76" s="531"/>
      <c r="F76" s="532"/>
      <c r="G76" s="532"/>
      <c r="H76" s="532"/>
      <c r="I76" s="532"/>
      <c r="J76" s="532"/>
      <c r="K76" s="532"/>
      <c r="L76" s="532"/>
      <c r="M76" s="532"/>
      <c r="N76" s="532"/>
      <c r="O76" s="532"/>
      <c r="P76" s="532"/>
      <c r="Q76" s="532"/>
      <c r="R76" s="532"/>
      <c r="S76" s="532"/>
      <c r="T76" s="533"/>
      <c r="U76" s="534"/>
      <c r="V76" s="139"/>
      <c r="W76" s="121"/>
      <c r="X76" s="121"/>
      <c r="Y76" s="121"/>
    </row>
    <row r="77" spans="1:25" s="121" customFormat="1">
      <c r="A77" t="str">
        <f>IF(B77="","",IFERROR(MATCH(B77,'Data Processing'!$C:$C,0),""))</f>
        <v/>
      </c>
      <c r="B77" s="140">
        <v>1</v>
      </c>
      <c r="C77" s="141" t="s">
        <v>1026</v>
      </c>
      <c r="D77" s="255">
        <f>D78+D88</f>
        <v>33419.410847883111</v>
      </c>
      <c r="E77" s="143">
        <f t="shared" ref="E77:T77" ca="1" si="2">E78+E88</f>
        <v>30873.909031417508</v>
      </c>
      <c r="F77" s="143">
        <f t="shared" ca="1" si="2"/>
        <v>16270.449881932087</v>
      </c>
      <c r="G77" s="143">
        <f t="shared" ca="1" si="2"/>
        <v>15760.242908883836</v>
      </c>
      <c r="H77" s="143">
        <f t="shared" ca="1" si="2"/>
        <v>15251.103628664598</v>
      </c>
      <c r="I77" s="143">
        <f t="shared" ca="1" si="2"/>
        <v>14747.205796244438</v>
      </c>
      <c r="J77" s="143">
        <f t="shared" ca="1" si="2"/>
        <v>14243.307963824282</v>
      </c>
      <c r="K77" s="143">
        <f t="shared" ca="1" si="2"/>
        <v>13730.70449680294</v>
      </c>
      <c r="L77" s="143">
        <f t="shared" ca="1" si="2"/>
        <v>13302.755271258535</v>
      </c>
      <c r="M77" s="143">
        <f t="shared" ca="1" si="2"/>
        <v>12874.032805885425</v>
      </c>
      <c r="N77" s="143">
        <f t="shared" ca="1" si="2"/>
        <v>12450.840552558955</v>
      </c>
      <c r="O77" s="143">
        <f t="shared" ca="1" si="2"/>
        <v>12031.984091709353</v>
      </c>
      <c r="P77" s="143">
        <f t="shared" ca="1" si="2"/>
        <v>11601.023192141725</v>
      </c>
      <c r="Q77" s="143">
        <f t="shared" ca="1" si="2"/>
        <v>11170.062292574097</v>
      </c>
      <c r="R77" s="143">
        <f t="shared" ca="1" si="2"/>
        <v>10735.275339481861</v>
      </c>
      <c r="S77" s="143">
        <f t="shared" ca="1" si="2"/>
        <v>7931.2237717288172</v>
      </c>
      <c r="T77" s="144">
        <f t="shared" ca="1" si="2"/>
        <v>5982.3590354509624</v>
      </c>
      <c r="U77" s="119"/>
      <c r="V77" s="145"/>
    </row>
    <row r="78" spans="1:25" s="151" customFormat="1">
      <c r="A78">
        <v>3</v>
      </c>
      <c r="B78" s="146">
        <v>1.1000000000000001</v>
      </c>
      <c r="C78" s="147" t="s">
        <v>1027</v>
      </c>
      <c r="D78" s="430">
        <f>-INDEX('Data Processing'!O:O,$A78)</f>
        <v>32995.072847883108</v>
      </c>
      <c r="E78" s="149">
        <f ca="1">-INDEX('Data Processing'!P:P,$A78)</f>
        <v>30449.571031417508</v>
      </c>
      <c r="F78" s="149">
        <f ca="1">-INDEX('Data Processing'!Q:Q,$A78)</f>
        <v>15846.111881932087</v>
      </c>
      <c r="G78" s="149">
        <f ca="1">-INDEX('Data Processing'!R:R,$A78)</f>
        <v>15335.904908883836</v>
      </c>
      <c r="H78" s="149">
        <f ca="1">-INDEX('Data Processing'!S:S,$A78)</f>
        <v>14826.765628664598</v>
      </c>
      <c r="I78" s="149">
        <f ca="1">-INDEX('Data Processing'!T:T,$A78)</f>
        <v>14322.867796244438</v>
      </c>
      <c r="J78" s="149">
        <f ca="1">-INDEX('Data Processing'!U:U,$A78)</f>
        <v>13818.969963824282</v>
      </c>
      <c r="K78" s="149">
        <f ca="1">-INDEX('Data Processing'!V:V,$A78)</f>
        <v>13306.366496802941</v>
      </c>
      <c r="L78" s="149">
        <f ca="1">-INDEX('Data Processing'!W:W,$A78)</f>
        <v>12878.417271258535</v>
      </c>
      <c r="M78" s="149">
        <f ca="1">-INDEX('Data Processing'!X:X,$A78)</f>
        <v>12449.694805885425</v>
      </c>
      <c r="N78" s="149">
        <f ca="1">-INDEX('Data Processing'!Y:Y,$A78)</f>
        <v>12026.502552558955</v>
      </c>
      <c r="O78" s="149">
        <f ca="1">-INDEX('Data Processing'!Z:Z,$A78)</f>
        <v>11607.646091709354</v>
      </c>
      <c r="P78" s="149">
        <f ca="1">-INDEX('Data Processing'!AA:AA,$A78)</f>
        <v>11176.685192141726</v>
      </c>
      <c r="Q78" s="149">
        <f ca="1">-INDEX('Data Processing'!AB:AB,$A78)</f>
        <v>10745.724292574097</v>
      </c>
      <c r="R78" s="149">
        <f ca="1">-INDEX('Data Processing'!AC:AC,$A78)</f>
        <v>10310.937339481861</v>
      </c>
      <c r="S78" s="149">
        <f ca="1">-INDEX('Data Processing'!AD:AD,$A78)</f>
        <v>7612.8296346218995</v>
      </c>
      <c r="T78" s="150">
        <f ca="1">-INDEX('Data Processing'!AE:AE,$A78)</f>
        <v>5680.9505530107053</v>
      </c>
      <c r="U78" s="179"/>
      <c r="V78" s="149">
        <v>0</v>
      </c>
    </row>
    <row r="79" spans="1:25" s="521" customFormat="1">
      <c r="A79" s="440" t="str">
        <f>IF(B79="","",IFERROR(MATCH(B79,'Data Processing'!$C:$C,0),""))</f>
        <v/>
      </c>
      <c r="B79" s="522"/>
      <c r="C79" s="523" t="s">
        <v>1005</v>
      </c>
      <c r="D79" s="488"/>
      <c r="E79" s="489">
        <f t="shared" ref="E79:T79" si="3">D78</f>
        <v>32995.072847883108</v>
      </c>
      <c r="F79" s="489">
        <f t="shared" ca="1" si="3"/>
        <v>30449.571031417508</v>
      </c>
      <c r="G79" s="489">
        <f t="shared" ca="1" si="3"/>
        <v>15846.111881932087</v>
      </c>
      <c r="H79" s="489">
        <f t="shared" ca="1" si="3"/>
        <v>15335.904908883836</v>
      </c>
      <c r="I79" s="489">
        <f t="shared" ca="1" si="3"/>
        <v>14826.765628664598</v>
      </c>
      <c r="J79" s="489">
        <f t="shared" ca="1" si="3"/>
        <v>14322.867796244438</v>
      </c>
      <c r="K79" s="489">
        <f t="shared" ca="1" si="3"/>
        <v>13818.969963824282</v>
      </c>
      <c r="L79" s="489">
        <f t="shared" ca="1" si="3"/>
        <v>13306.366496802941</v>
      </c>
      <c r="M79" s="489">
        <f t="shared" ca="1" si="3"/>
        <v>12878.417271258535</v>
      </c>
      <c r="N79" s="489">
        <f t="shared" ca="1" si="3"/>
        <v>12449.694805885425</v>
      </c>
      <c r="O79" s="489">
        <f t="shared" ca="1" si="3"/>
        <v>12026.502552558955</v>
      </c>
      <c r="P79" s="489">
        <f t="shared" ca="1" si="3"/>
        <v>11607.646091709354</v>
      </c>
      <c r="Q79" s="489">
        <f t="shared" ca="1" si="3"/>
        <v>11176.685192141726</v>
      </c>
      <c r="R79" s="489">
        <f t="shared" ca="1" si="3"/>
        <v>10745.724292574097</v>
      </c>
      <c r="S79" s="489">
        <f t="shared" ca="1" si="3"/>
        <v>10310.937339481861</v>
      </c>
      <c r="T79" s="490">
        <f t="shared" ca="1" si="3"/>
        <v>7612.8296346218995</v>
      </c>
      <c r="U79" s="524"/>
      <c r="V79" s="486"/>
    </row>
    <row r="80" spans="1:25" s="521" customFormat="1">
      <c r="A80" s="440" t="str">
        <f>IF(B80="","",IFERROR(MATCH(B80,'Data Processing'!$C:$C,0),""))</f>
        <v/>
      </c>
      <c r="B80" s="522"/>
      <c r="C80" s="523"/>
      <c r="D80" s="488"/>
      <c r="E80" s="525"/>
      <c r="F80" s="525"/>
      <c r="G80" s="525"/>
      <c r="H80" s="525"/>
      <c r="I80" s="525"/>
      <c r="J80" s="525"/>
      <c r="K80" s="525"/>
      <c r="L80" s="525"/>
      <c r="M80" s="525"/>
      <c r="N80" s="525"/>
      <c r="O80" s="525"/>
      <c r="P80" s="525"/>
      <c r="Q80" s="525"/>
      <c r="R80" s="525"/>
      <c r="S80" s="525"/>
      <c r="T80" s="526"/>
      <c r="U80" s="524"/>
      <c r="V80" s="486"/>
    </row>
    <row r="81" spans="1:25" s="521" customFormat="1">
      <c r="A81" s="440" t="str">
        <f>IF(B81="","",IFERROR(MATCH(B81,'Data Processing'!$C:$C,0),""))</f>
        <v/>
      </c>
      <c r="B81" s="522"/>
      <c r="C81" s="523" t="s">
        <v>1018</v>
      </c>
      <c r="D81" s="488"/>
      <c r="E81" s="525">
        <f ca="1">-SUM('Data Processing'!AS9:AS22)</f>
        <v>36.351164799999999</v>
      </c>
      <c r="F81" s="525">
        <f ca="1">-SUM('Data Processing'!AT9:AT22)</f>
        <v>140.55165776999979</v>
      </c>
      <c r="G81" s="525">
        <f ca="1">-SUM('Data Processing'!AU9:AU22)</f>
        <v>1.6140943200002766</v>
      </c>
      <c r="H81" s="525">
        <f ca="1">-SUM('Data Processing'!AV9:AV22)</f>
        <v>1.2769060699999386</v>
      </c>
      <c r="I81" s="525">
        <f ca="1">-SUM('Data Processing'!AW9:AW22)</f>
        <v>0</v>
      </c>
      <c r="J81" s="525">
        <f ca="1">-SUM('Data Processing'!AX9:AX22)</f>
        <v>0</v>
      </c>
      <c r="K81" s="525">
        <f ca="1">-SUM('Data Processing'!AY9:AY22)</f>
        <v>40.089745329999943</v>
      </c>
      <c r="L81" s="525">
        <f ca="1">-SUM('Data Processing'!AZ9:AZ22)</f>
        <v>7.0892142849999971</v>
      </c>
      <c r="M81" s="525">
        <f ca="1">-SUM('Data Processing'!BA9:BA22)</f>
        <v>71.062783150000087</v>
      </c>
      <c r="N81" s="525">
        <f ca="1">-SUM('Data Processing'!BB9:BB22)</f>
        <v>30.194537489999675</v>
      </c>
      <c r="O81" s="525">
        <f ca="1">-SUM('Data Processing'!BC9:BC22)</f>
        <v>12.260176734999959</v>
      </c>
      <c r="P81" s="525">
        <f ca="1">-SUM('Data Processing'!BD9:BD22)</f>
        <v>0</v>
      </c>
      <c r="Q81" s="525">
        <f ca="1">-SUM('Data Processing'!BE9:BE22)</f>
        <v>0</v>
      </c>
      <c r="R81" s="525">
        <f ca="1">-SUM('Data Processing'!BF9:BF22)</f>
        <v>31.852979545000352</v>
      </c>
      <c r="S81" s="525">
        <f ca="1">-SUM('Data Processing'!BG9:BG22)</f>
        <v>550.86340703999997</v>
      </c>
      <c r="T81" s="526">
        <f ca="1">-SUM('Data Processing'!BH9:BH22)</f>
        <v>96.568496400000299</v>
      </c>
      <c r="U81" s="524"/>
      <c r="V81" s="486"/>
    </row>
    <row r="82" spans="1:25" s="521" customFormat="1">
      <c r="A82" s="440" t="str">
        <f>IF(B82="","",IFERROR(MATCH(B82,'Data Processing'!$C:$C,0),""))</f>
        <v/>
      </c>
      <c r="B82" s="522"/>
      <c r="C82" s="523"/>
      <c r="D82" s="488"/>
      <c r="E82" s="525"/>
      <c r="F82" s="525"/>
      <c r="G82" s="525"/>
      <c r="H82" s="525"/>
      <c r="I82" s="525"/>
      <c r="J82" s="525"/>
      <c r="K82" s="525"/>
      <c r="L82" s="525"/>
      <c r="M82" s="525"/>
      <c r="N82" s="525"/>
      <c r="O82" s="525"/>
      <c r="P82" s="525"/>
      <c r="Q82" s="525"/>
      <c r="R82" s="525"/>
      <c r="S82" s="525"/>
      <c r="T82" s="526"/>
      <c r="U82" s="524"/>
      <c r="V82" s="486"/>
    </row>
    <row r="83" spans="1:25" s="521" customFormat="1">
      <c r="A83" s="440" t="str">
        <f>IF(B83="","",IFERROR(MATCH(B83,'Data Processing'!$C:$C,0),""))</f>
        <v/>
      </c>
      <c r="B83" s="522"/>
      <c r="C83" s="523" t="s">
        <v>1029</v>
      </c>
      <c r="D83" s="488"/>
      <c r="E83" s="525">
        <f>-'Data Processing'!AS5</f>
        <v>0</v>
      </c>
      <c r="F83" s="525">
        <f>-'Data Processing'!AT5</f>
        <v>0</v>
      </c>
      <c r="G83" s="525">
        <f>-'Data Processing'!AU5</f>
        <v>0</v>
      </c>
      <c r="H83" s="527">
        <f>-'Data Processing'!AV5</f>
        <v>0</v>
      </c>
      <c r="I83" s="527">
        <f>-'Data Processing'!AW5</f>
        <v>0</v>
      </c>
      <c r="J83" s="527">
        <f>-'Data Processing'!AX5</f>
        <v>0</v>
      </c>
      <c r="K83" s="527">
        <f>-'Data Processing'!AY5</f>
        <v>0</v>
      </c>
      <c r="L83" s="527">
        <f>-'Data Processing'!AZ5</f>
        <v>0</v>
      </c>
      <c r="M83" s="525">
        <f>-'Data Processing'!BA5</f>
        <v>0</v>
      </c>
      <c r="N83" s="525">
        <f>-'Data Processing'!BB5</f>
        <v>0</v>
      </c>
      <c r="O83" s="525">
        <f>-'Data Processing'!BC5</f>
        <v>0</v>
      </c>
      <c r="P83" s="525">
        <f>-'Data Processing'!BD5</f>
        <v>0</v>
      </c>
      <c r="Q83" s="525">
        <f>-'Data Processing'!BE5</f>
        <v>0</v>
      </c>
      <c r="R83" s="525">
        <f>-'Data Processing'!BF5</f>
        <v>0</v>
      </c>
      <c r="S83" s="525">
        <f ca="1">-'Data Processing'!BG5</f>
        <v>105.94386289308218</v>
      </c>
      <c r="T83" s="526">
        <f ca="1">-'Data Processing'!BH5</f>
        <v>16.985654666660459</v>
      </c>
      <c r="U83" s="524"/>
      <c r="V83" s="486"/>
    </row>
    <row r="84" spans="1:25" s="521" customFormat="1">
      <c r="A84" s="440" t="str">
        <f>IF(B84="","",IFERROR(MATCH(B84,'Data Processing'!$C:$C,0),""))</f>
        <v/>
      </c>
      <c r="B84" s="522"/>
      <c r="C84" s="523" t="s">
        <v>1019</v>
      </c>
      <c r="D84" s="488"/>
      <c r="E84" s="525">
        <f ca="1">-SUM('Data Processing'!AS23:AS72)</f>
        <v>-2079.2507536712692</v>
      </c>
      <c r="F84" s="525">
        <f ca="1">-SUM('Data Processing'!AT23:AT72)</f>
        <v>-14626.476731390647</v>
      </c>
      <c r="G84" s="525">
        <f ca="1">-SUM('Data Processing'!AU23:AU72)</f>
        <v>-394.28699150347609</v>
      </c>
      <c r="H84" s="525">
        <f ca="1">-SUM('Data Processing'!AV23:AV72)</f>
        <v>-392.88211042446255</v>
      </c>
      <c r="I84" s="525">
        <f ca="1">-SUM('Data Processing'!AW23:AW72)</f>
        <v>-386.36375655538217</v>
      </c>
      <c r="J84" s="525">
        <f ca="1">-SUM('Data Processing'!AX23:AX72)</f>
        <v>-386.36375655538041</v>
      </c>
      <c r="K84" s="525">
        <f ca="1">-SUM('Data Processing'!AY23:AY72)</f>
        <v>-435.15913648656345</v>
      </c>
      <c r="L84" s="525">
        <f ca="1">-SUM('Data Processing'!AZ23:AZ72)</f>
        <v>-334.29494623102602</v>
      </c>
      <c r="M84" s="525">
        <f ca="1">-SUM('Data Processing'!BA23:BA72)</f>
        <v>-399.04175492472882</v>
      </c>
      <c r="N84" s="525">
        <f ca="1">-SUM('Data Processing'!BB23:BB72)</f>
        <v>-352.64329721808917</v>
      </c>
      <c r="O84" s="525">
        <f ca="1">-SUM('Data Processing'!BC23:BC72)</f>
        <v>-330.37314398622203</v>
      </c>
      <c r="P84" s="525">
        <f ca="1">-SUM('Data Processing'!BD23:BD72)</f>
        <v>-330.21740596924678</v>
      </c>
      <c r="Q84" s="525">
        <f ca="1">-SUM('Data Processing'!BE23:BE72)</f>
        <v>-330.2174059692473</v>
      </c>
      <c r="R84" s="525">
        <f ca="1">-SUM('Data Processing'!BF23:BF72)</f>
        <v>-365.89643903885707</v>
      </c>
      <c r="S84" s="525">
        <f ca="1">-SUM('Data Processing'!BG23:BG72)</f>
        <v>-2836.2179288024927</v>
      </c>
      <c r="T84" s="526">
        <f ca="1">-SUM('Data Processing'!BH23:BH72)</f>
        <v>-1526.7361866873057</v>
      </c>
      <c r="U84" s="524"/>
      <c r="V84" s="486"/>
    </row>
    <row r="85" spans="1:25" s="521" customFormat="1">
      <c r="A85" s="440" t="str">
        <f>IF(B85="","",IFERROR(MATCH(B85,'Data Processing'!$C:$C,0),""))</f>
        <v/>
      </c>
      <c r="B85" s="522"/>
      <c r="C85" s="523" t="s">
        <v>1012</v>
      </c>
      <c r="D85" s="488"/>
      <c r="E85" s="525">
        <f t="shared" ref="E85:T85" ca="1" si="4">SUM(E79:E84)</f>
        <v>30952.173259011837</v>
      </c>
      <c r="F85" s="525">
        <f t="shared" ca="1" si="4"/>
        <v>15963.645957796862</v>
      </c>
      <c r="G85" s="525">
        <f t="shared" ca="1" si="4"/>
        <v>15453.438984748613</v>
      </c>
      <c r="H85" s="525">
        <f t="shared" ca="1" si="4"/>
        <v>14944.299704529374</v>
      </c>
      <c r="I85" s="525">
        <f t="shared" ca="1" si="4"/>
        <v>14440.401872109216</v>
      </c>
      <c r="J85" s="525">
        <f t="shared" ca="1" si="4"/>
        <v>13936.504039689058</v>
      </c>
      <c r="K85" s="525">
        <f t="shared" ca="1" si="4"/>
        <v>13423.900572667719</v>
      </c>
      <c r="L85" s="525">
        <f t="shared" ca="1" si="4"/>
        <v>12979.160764856915</v>
      </c>
      <c r="M85" s="525">
        <f t="shared" ca="1" si="4"/>
        <v>12550.438299483807</v>
      </c>
      <c r="N85" s="525">
        <f t="shared" ca="1" si="4"/>
        <v>12127.246046157336</v>
      </c>
      <c r="O85" s="525">
        <f t="shared" ca="1" si="4"/>
        <v>11708.389585307734</v>
      </c>
      <c r="P85" s="525">
        <f t="shared" ca="1" si="4"/>
        <v>11277.428685740108</v>
      </c>
      <c r="Q85" s="525">
        <f t="shared" ca="1" si="4"/>
        <v>10846.467786172478</v>
      </c>
      <c r="R85" s="525">
        <f t="shared" ca="1" si="4"/>
        <v>10411.68083308024</v>
      </c>
      <c r="S85" s="525">
        <f t="shared" ca="1" si="4"/>
        <v>8131.5266806124509</v>
      </c>
      <c r="T85" s="526">
        <f t="shared" ca="1" si="4"/>
        <v>6199.647599001255</v>
      </c>
      <c r="U85" s="524"/>
      <c r="V85" s="486"/>
    </row>
    <row r="86" spans="1:25" s="521" customFormat="1">
      <c r="A86" s="440" t="str">
        <f>IF(B86="","",IFERROR(MATCH(B86,'Data Processing'!$C:$C,0),""))</f>
        <v/>
      </c>
      <c r="B86" s="522"/>
      <c r="C86" s="523" t="s">
        <v>1068</v>
      </c>
      <c r="D86" s="488"/>
      <c r="E86" s="525">
        <f ca="1">-SUM('Data Processing'!AS73:AS78)</f>
        <v>-502.60222759432997</v>
      </c>
      <c r="F86" s="525">
        <f ca="1">-SUM('Data Processing'!AT73:AT78)</f>
        <v>-117.53407586477665</v>
      </c>
      <c r="G86" s="525">
        <f ca="1">-SUM('Data Processing'!AU73:AU78)</f>
        <v>-117.53407586477665</v>
      </c>
      <c r="H86" s="525">
        <f ca="1">-SUM('Data Processing'!AV73:AV78)</f>
        <v>-117.53407586477665</v>
      </c>
      <c r="I86" s="525">
        <f ca="1">-SUM('Data Processing'!AW73:AW78)</f>
        <v>-117.53407586477665</v>
      </c>
      <c r="J86" s="525">
        <f ca="1">-SUM('Data Processing'!AX73:AX78)</f>
        <v>-117.53407586477665</v>
      </c>
      <c r="K86" s="525">
        <f ca="1">-SUM('Data Processing'!AY73:AY78)</f>
        <v>-117.53407586477665</v>
      </c>
      <c r="L86" s="525">
        <f ca="1">-SUM('Data Processing'!AZ73:AZ78)</f>
        <v>-100.74349359838</v>
      </c>
      <c r="M86" s="525">
        <f ca="1">-SUM('Data Processing'!BA73:BA78)</f>
        <v>-100.74349359838</v>
      </c>
      <c r="N86" s="525">
        <f ca="1">-SUM('Data Processing'!BB73:BB78)</f>
        <v>-100.74349359838</v>
      </c>
      <c r="O86" s="525">
        <f ca="1">-SUM('Data Processing'!BC73:BC78)</f>
        <v>-100.74349359838</v>
      </c>
      <c r="P86" s="525">
        <f ca="1">-SUM('Data Processing'!BD73:BD78)</f>
        <v>-100.74349359838</v>
      </c>
      <c r="Q86" s="525">
        <f ca="1">-SUM('Data Processing'!BE73:BE78)</f>
        <v>-100.74349359838</v>
      </c>
      <c r="R86" s="525">
        <f ca="1">-SUM('Data Processing'!BF73:BF78)</f>
        <v>-100.74349359838</v>
      </c>
      <c r="S86" s="525">
        <f ca="1">-SUM('Data Processing'!BG73:BG78)</f>
        <v>-518.6970459905499</v>
      </c>
      <c r="T86" s="526">
        <f ca="1">-SUM('Data Processing'!BH73:BH78)</f>
        <v>-518.6970459905499</v>
      </c>
      <c r="U86" s="524"/>
      <c r="V86" s="120"/>
      <c r="W86" s="126"/>
      <c r="X86" s="126"/>
      <c r="Y86" s="126"/>
    </row>
    <row r="87" spans="1:25" s="521" customFormat="1">
      <c r="A87" s="440" t="str">
        <f>IF(B87="","",IFERROR(MATCH(B87,'Data Processing'!$C:$C,0),""))</f>
        <v/>
      </c>
      <c r="B87" s="522"/>
      <c r="C87" s="523" t="s">
        <v>1069</v>
      </c>
      <c r="D87" s="488"/>
      <c r="E87" s="525">
        <f ca="1">E85+SUM($E$86:E86)</f>
        <v>30449.571031417508</v>
      </c>
      <c r="F87" s="525">
        <f ca="1">F85+SUM($E$86:F86)</f>
        <v>15343.509654337755</v>
      </c>
      <c r="G87" s="525">
        <f ca="1">G85+SUM($E$86:G86)</f>
        <v>14715.76860542473</v>
      </c>
      <c r="H87" s="525">
        <f ca="1">H85+SUM($E$86:H86)</f>
        <v>14089.095249340715</v>
      </c>
      <c r="I87" s="525">
        <f ca="1">I85+SUM($E$86:I86)</f>
        <v>13467.663341055779</v>
      </c>
      <c r="J87" s="525">
        <f ca="1">J85+SUM($E$86:J86)</f>
        <v>12846.231432770845</v>
      </c>
      <c r="K87" s="525">
        <f ca="1">K85+SUM($E$86:K86)</f>
        <v>12216.093889884729</v>
      </c>
      <c r="L87" s="525">
        <f ca="1">L85+SUM($E$86:L86)</f>
        <v>11670.610588475545</v>
      </c>
      <c r="M87" s="525">
        <f ca="1">M85+SUM($E$86:M86)</f>
        <v>11141.144629504057</v>
      </c>
      <c r="N87" s="525">
        <f ca="1">N85+SUM($E$86:N86)</f>
        <v>10617.208882579205</v>
      </c>
      <c r="O87" s="525">
        <f ca="1">O85+SUM($E$86:O86)</f>
        <v>10097.608928131223</v>
      </c>
      <c r="P87" s="525">
        <f ca="1">P85+SUM($E$86:P86)</f>
        <v>9565.9045349652188</v>
      </c>
      <c r="Q87" s="525">
        <f ca="1">Q85+SUM($E$86:Q86)</f>
        <v>9034.2001417992087</v>
      </c>
      <c r="R87" s="525">
        <f ca="1">R85+SUM($E$86:R86)</f>
        <v>8498.6696951085905</v>
      </c>
      <c r="S87" s="525">
        <f ca="1">S85+SUM($E$86:S86)</f>
        <v>5699.8184966502513</v>
      </c>
      <c r="T87" s="526">
        <f ca="1">T85+SUM($E$86:T86)</f>
        <v>3249.2423690485057</v>
      </c>
      <c r="U87" s="524"/>
      <c r="V87" s="120"/>
      <c r="W87" s="126"/>
      <c r="X87" s="126"/>
      <c r="Y87" s="126"/>
    </row>
    <row r="88" spans="1:25" s="164" customFormat="1">
      <c r="A88">
        <f>IF(B88="","",IFERROR(MATCH(B88,'Data Processing'!$C:$C,0),""))</f>
        <v>4</v>
      </c>
      <c r="B88" s="157">
        <v>2</v>
      </c>
      <c r="C88" s="158" t="s">
        <v>1013</v>
      </c>
      <c r="D88" s="160">
        <f>-'Data Processing'!O5</f>
        <v>424.33800000000002</v>
      </c>
      <c r="E88" s="160">
        <f>-'Data Processing'!P5</f>
        <v>424.33800000000002</v>
      </c>
      <c r="F88" s="160">
        <f>-'Data Processing'!Q5</f>
        <v>424.33800000000002</v>
      </c>
      <c r="G88" s="160">
        <f>-'Data Processing'!R5</f>
        <v>424.33800000000002</v>
      </c>
      <c r="H88" s="160">
        <f>-'Data Processing'!S5</f>
        <v>424.33800000000002</v>
      </c>
      <c r="I88" s="160">
        <f>-'Data Processing'!T5</f>
        <v>424.33800000000002</v>
      </c>
      <c r="J88" s="160">
        <f>-'Data Processing'!U5</f>
        <v>424.33800000000002</v>
      </c>
      <c r="K88" s="160">
        <f>-'Data Processing'!V5</f>
        <v>424.33800000000002</v>
      </c>
      <c r="L88" s="160">
        <f>-'Data Processing'!W5</f>
        <v>424.33800000000002</v>
      </c>
      <c r="M88" s="160">
        <f>-'Data Processing'!X5</f>
        <v>424.33800000000002</v>
      </c>
      <c r="N88" s="160">
        <f>-'Data Processing'!Y5</f>
        <v>424.33800000000002</v>
      </c>
      <c r="O88" s="160">
        <f>-'Data Processing'!Z5</f>
        <v>424.33800000000002</v>
      </c>
      <c r="P88" s="160">
        <f>-'Data Processing'!AA5</f>
        <v>424.33800000000002</v>
      </c>
      <c r="Q88" s="160">
        <f>-'Data Processing'!AB5</f>
        <v>424.33800000000002</v>
      </c>
      <c r="R88" s="160">
        <f>-'Data Processing'!AC5</f>
        <v>424.33800000000002</v>
      </c>
      <c r="S88" s="160">
        <f ca="1">-'Data Processing'!AD5</f>
        <v>318.39413710691781</v>
      </c>
      <c r="T88" s="161">
        <f ca="1">-'Data Processing'!AE5</f>
        <v>301.40848244025739</v>
      </c>
      <c r="U88" s="162"/>
      <c r="V88" s="163"/>
    </row>
    <row r="89" spans="1:25" s="121" customFormat="1">
      <c r="A89" t="str">
        <f>IF(B89="","",IFERROR(MATCH(B89,'Data Processing'!$C:$C,0),""))</f>
        <v/>
      </c>
      <c r="B89" s="165">
        <v>3</v>
      </c>
      <c r="C89" s="166" t="s">
        <v>38</v>
      </c>
      <c r="D89" s="326">
        <f t="shared" ref="D89:T89" si="5">D90+D96</f>
        <v>1479.2493747999997</v>
      </c>
      <c r="E89" s="168">
        <f t="shared" ca="1" si="5"/>
        <v>1450.0952136899998</v>
      </c>
      <c r="F89" s="168">
        <f t="shared" ca="1" si="5"/>
        <v>1311.9046321799999</v>
      </c>
      <c r="G89" s="168">
        <f t="shared" ca="1" si="5"/>
        <v>1311.9046321799999</v>
      </c>
      <c r="H89" s="168">
        <f t="shared" ca="1" si="5"/>
        <v>1311.9046321799999</v>
      </c>
      <c r="I89" s="168">
        <f t="shared" ca="1" si="5"/>
        <v>1311.9046321799999</v>
      </c>
      <c r="J89" s="168">
        <f t="shared" ca="1" si="5"/>
        <v>1311.9046321799999</v>
      </c>
      <c r="K89" s="168">
        <f t="shared" ca="1" si="5"/>
        <v>1311.9046321799999</v>
      </c>
      <c r="L89" s="168">
        <f t="shared" ca="1" si="5"/>
        <v>1311.9046321799999</v>
      </c>
      <c r="M89" s="168">
        <f t="shared" ca="1" si="5"/>
        <v>1311.9046321799999</v>
      </c>
      <c r="N89" s="168">
        <f t="shared" ca="1" si="5"/>
        <v>1311.9046321799999</v>
      </c>
      <c r="O89" s="168">
        <f t="shared" ca="1" si="5"/>
        <v>1311.9046321799999</v>
      </c>
      <c r="P89" s="168">
        <f t="shared" ca="1" si="5"/>
        <v>1311.9046321799999</v>
      </c>
      <c r="Q89" s="168">
        <f t="shared" ca="1" si="5"/>
        <v>1311.9046321799999</v>
      </c>
      <c r="R89" s="168">
        <f t="shared" ca="1" si="5"/>
        <v>1311.9046321799999</v>
      </c>
      <c r="S89" s="168">
        <f t="shared" ca="1" si="5"/>
        <v>1311.9046321799999</v>
      </c>
      <c r="T89" s="169">
        <f t="shared" ca="1" si="5"/>
        <v>1286.9046321799999</v>
      </c>
      <c r="U89" s="170"/>
      <c r="V89" s="120"/>
    </row>
    <row r="90" spans="1:25" s="126" customFormat="1">
      <c r="A90">
        <f>IF(B90="","",IFERROR(MATCH(B90,'Data Processing'!$C:$C,0),""))</f>
        <v>9</v>
      </c>
      <c r="B90" s="171">
        <v>3.1</v>
      </c>
      <c r="C90" s="172" t="str">
        <f>INDEX('Data Processing'!$G:$G,A90)</f>
        <v>Due From Banks (IB / Affiliates)</v>
      </c>
      <c r="D90" s="431">
        <f>-INDEX('Data Processing'!O:O,$A90)</f>
        <v>1476.8092643599998</v>
      </c>
      <c r="E90" s="174">
        <f ca="1">-INDEX('Data Processing'!P:P,$A90)</f>
        <v>1450.0952136899998</v>
      </c>
      <c r="F90" s="174">
        <f ca="1">-INDEX('Data Processing'!Q:Q,$A90)</f>
        <v>1311.9046321799999</v>
      </c>
      <c r="G90" s="174">
        <f ca="1">-INDEX('Data Processing'!R:R,$A90)</f>
        <v>1311.9046321799999</v>
      </c>
      <c r="H90" s="174">
        <f ca="1">-INDEX('Data Processing'!S:S,$A90)</f>
        <v>1311.9046321799999</v>
      </c>
      <c r="I90" s="174">
        <f ca="1">-INDEX('Data Processing'!T:T,$A90)</f>
        <v>1311.9046321799999</v>
      </c>
      <c r="J90" s="174">
        <f ca="1">-INDEX('Data Processing'!U:U,$A90)</f>
        <v>1311.9046321799999</v>
      </c>
      <c r="K90" s="174">
        <f ca="1">-INDEX('Data Processing'!V:V,$A90)</f>
        <v>1311.9046321799999</v>
      </c>
      <c r="L90" s="174">
        <f ca="1">-INDEX('Data Processing'!W:W,$A90)</f>
        <v>1311.9046321799999</v>
      </c>
      <c r="M90" s="174">
        <f ca="1">-INDEX('Data Processing'!X:X,$A90)</f>
        <v>1311.9046321799999</v>
      </c>
      <c r="N90" s="174">
        <f ca="1">-INDEX('Data Processing'!Y:Y,$A90)</f>
        <v>1311.9046321799999</v>
      </c>
      <c r="O90" s="174">
        <f ca="1">-INDEX('Data Processing'!Z:Z,$A90)</f>
        <v>1311.9046321799999</v>
      </c>
      <c r="P90" s="174">
        <f ca="1">-INDEX('Data Processing'!AA:AA,$A90)</f>
        <v>1311.9046321799999</v>
      </c>
      <c r="Q90" s="174">
        <f ca="1">-INDEX('Data Processing'!AB:AB,$A90)</f>
        <v>1311.9046321799999</v>
      </c>
      <c r="R90" s="174">
        <f ca="1">-INDEX('Data Processing'!AC:AC,$A90)</f>
        <v>1311.9046321799999</v>
      </c>
      <c r="S90" s="174">
        <f ca="1">-INDEX('Data Processing'!AD:AD,$A90)</f>
        <v>1311.9046321799999</v>
      </c>
      <c r="T90" s="175">
        <f ca="1">-INDEX('Data Processing'!AE:AE,$A90)</f>
        <v>1286.9046321799999</v>
      </c>
      <c r="U90" s="133"/>
      <c r="V90" s="176"/>
    </row>
    <row r="91" spans="1:25" s="521" customFormat="1">
      <c r="A91" s="440" t="str">
        <f>IF(B91="","",IFERROR(MATCH(B91,'Data Processing'!$C:$C,0),""))</f>
        <v/>
      </c>
      <c r="B91" s="547"/>
      <c r="C91" s="523" t="s">
        <v>1005</v>
      </c>
      <c r="D91" s="488"/>
      <c r="E91" s="489">
        <f t="shared" ref="E91:T91" ca="1" si="6">E90</f>
        <v>1450.0952136899998</v>
      </c>
      <c r="F91" s="489">
        <f t="shared" ca="1" si="6"/>
        <v>1311.9046321799999</v>
      </c>
      <c r="G91" s="489">
        <f t="shared" ca="1" si="6"/>
        <v>1311.9046321799999</v>
      </c>
      <c r="H91" s="489">
        <f t="shared" ca="1" si="6"/>
        <v>1311.9046321799999</v>
      </c>
      <c r="I91" s="489">
        <f t="shared" ca="1" si="6"/>
        <v>1311.9046321799999</v>
      </c>
      <c r="J91" s="489">
        <f t="shared" ca="1" si="6"/>
        <v>1311.9046321799999</v>
      </c>
      <c r="K91" s="489">
        <f t="shared" ca="1" si="6"/>
        <v>1311.9046321799999</v>
      </c>
      <c r="L91" s="489">
        <f t="shared" ca="1" si="6"/>
        <v>1311.9046321799999</v>
      </c>
      <c r="M91" s="489">
        <f t="shared" ca="1" si="6"/>
        <v>1311.9046321799999</v>
      </c>
      <c r="N91" s="489">
        <f t="shared" ca="1" si="6"/>
        <v>1311.9046321799999</v>
      </c>
      <c r="O91" s="489">
        <f t="shared" ca="1" si="6"/>
        <v>1311.9046321799999</v>
      </c>
      <c r="P91" s="489">
        <f t="shared" ca="1" si="6"/>
        <v>1311.9046321799999</v>
      </c>
      <c r="Q91" s="489">
        <f t="shared" ca="1" si="6"/>
        <v>1311.9046321799999</v>
      </c>
      <c r="R91" s="489">
        <f t="shared" ca="1" si="6"/>
        <v>1311.9046321799999</v>
      </c>
      <c r="S91" s="489">
        <f t="shared" ca="1" si="6"/>
        <v>1311.9046321799999</v>
      </c>
      <c r="T91" s="490">
        <f t="shared" ca="1" si="6"/>
        <v>1286.9046321799999</v>
      </c>
      <c r="U91" s="525"/>
      <c r="V91" s="178"/>
      <c r="W91" s="179"/>
      <c r="X91" s="179"/>
      <c r="Y91" s="179"/>
    </row>
    <row r="92" spans="1:25" s="561" customFormat="1">
      <c r="A92" s="440" t="str">
        <f>IF(B92="","",IFERROR(MATCH(B92,'Data Processing'!$C:$C,0),""))</f>
        <v/>
      </c>
      <c r="B92" s="548"/>
      <c r="C92" s="549" t="s">
        <v>51</v>
      </c>
      <c r="D92" s="488"/>
      <c r="E92" s="488">
        <f>-INDEX('Data Processing'!CX:CX,$A90)</f>
        <v>53.428101340000005</v>
      </c>
      <c r="F92" s="488">
        <f>-INDEX('Data Processing'!CY:CY,$A90)</f>
        <v>276.38116301999997</v>
      </c>
      <c r="G92" s="488">
        <f>-INDEX('Data Processing'!CZ:CZ,$A90)</f>
        <v>0</v>
      </c>
      <c r="H92" s="488">
        <f>-INDEX('Data Processing'!DA:DA,$A90)</f>
        <v>0</v>
      </c>
      <c r="I92" s="488">
        <f>-INDEX('Data Processing'!DB:DB,$A90)</f>
        <v>0</v>
      </c>
      <c r="J92" s="488">
        <f>-INDEX('Data Processing'!DC:DC,$A90)</f>
        <v>0</v>
      </c>
      <c r="K92" s="488">
        <f>-INDEX('Data Processing'!DD:DD,$A90)</f>
        <v>0</v>
      </c>
      <c r="L92" s="488">
        <f>-INDEX('Data Processing'!DE:DE,$A90)</f>
        <v>0</v>
      </c>
      <c r="M92" s="488">
        <f>-INDEX('Data Processing'!DF:DF,$A90)</f>
        <v>0</v>
      </c>
      <c r="N92" s="488">
        <f>-INDEX('Data Processing'!DG:DG,$A90)</f>
        <v>0</v>
      </c>
      <c r="O92" s="488">
        <f>-INDEX('Data Processing'!DH:DH,$A90)</f>
        <v>0</v>
      </c>
      <c r="P92" s="488">
        <f>-INDEX('Data Processing'!DI:DI,$A90)</f>
        <v>0</v>
      </c>
      <c r="Q92" s="488">
        <f>-INDEX('Data Processing'!DJ:DJ,$A90)</f>
        <v>0</v>
      </c>
      <c r="R92" s="488">
        <f>-INDEX('Data Processing'!DK:DK,$A90)</f>
        <v>0</v>
      </c>
      <c r="S92" s="488">
        <f>-INDEX('Data Processing'!DL:DL,$A90)</f>
        <v>0</v>
      </c>
      <c r="T92" s="550">
        <f>-INDEX('Data Processing'!DM:DM,$A90)</f>
        <v>50</v>
      </c>
      <c r="U92" s="551"/>
      <c r="V92" s="271"/>
      <c r="W92" s="272"/>
      <c r="X92" s="272"/>
      <c r="Y92" s="272"/>
    </row>
    <row r="93" spans="1:25" s="561" customFormat="1">
      <c r="A93" s="440" t="str">
        <f>IF(B93="","",IFERROR(MATCH(B93,'Data Processing'!$C:$C,0),""))</f>
        <v/>
      </c>
      <c r="B93" s="548"/>
      <c r="C93" s="552" t="s">
        <v>50</v>
      </c>
      <c r="D93" s="502"/>
      <c r="E93" s="553">
        <f ca="1">INDEX('Data Processing'!BU:BU,$A90)</f>
        <v>0.5</v>
      </c>
      <c r="F93" s="553">
        <f ca="1">INDEX('Data Processing'!BV:BV,$A90)</f>
        <v>0.5</v>
      </c>
      <c r="G93" s="553">
        <f ca="1">INDEX('Data Processing'!BW:BW,$A90)</f>
        <v>0.5</v>
      </c>
      <c r="H93" s="553">
        <f ca="1">INDEX('Data Processing'!BX:BX,$A90)</f>
        <v>0.5</v>
      </c>
      <c r="I93" s="553">
        <f ca="1">INDEX('Data Processing'!BY:BY,$A90)</f>
        <v>0.5</v>
      </c>
      <c r="J93" s="553">
        <f ca="1">INDEX('Data Processing'!BZ:BZ,$A90)</f>
        <v>0.5</v>
      </c>
      <c r="K93" s="553">
        <f ca="1">INDEX('Data Processing'!CA:CA,$A90)</f>
        <v>0.5</v>
      </c>
      <c r="L93" s="553">
        <f ca="1">INDEX('Data Processing'!CB:CB,$A90)</f>
        <v>0.5</v>
      </c>
      <c r="M93" s="553">
        <f ca="1">INDEX('Data Processing'!CC:CC,$A90)</f>
        <v>0.5</v>
      </c>
      <c r="N93" s="553">
        <f ca="1">INDEX('Data Processing'!CD:CD,$A90)</f>
        <v>0.5</v>
      </c>
      <c r="O93" s="553">
        <f ca="1">INDEX('Data Processing'!CE:CE,$A90)</f>
        <v>0.5</v>
      </c>
      <c r="P93" s="553">
        <f ca="1">INDEX('Data Processing'!CF:CF,$A90)</f>
        <v>0.5</v>
      </c>
      <c r="Q93" s="553">
        <f ca="1">INDEX('Data Processing'!CG:CG,$A90)</f>
        <v>0.5</v>
      </c>
      <c r="R93" s="553">
        <f ca="1">INDEX('Data Processing'!CH:CH,$A90)</f>
        <v>0.5</v>
      </c>
      <c r="S93" s="553">
        <f ca="1">INDEX('Data Processing'!CI:CI,$A90)</f>
        <v>0.5</v>
      </c>
      <c r="T93" s="554">
        <f ca="1">INDEX('Data Processing'!CJ:CJ,$A90)</f>
        <v>0.5</v>
      </c>
      <c r="U93" s="555"/>
      <c r="V93" s="271"/>
      <c r="W93" s="272"/>
      <c r="X93" s="272"/>
      <c r="Y93" s="272"/>
    </row>
    <row r="94" spans="1:25" s="562" customFormat="1">
      <c r="A94" s="440" t="str">
        <f>IF(B94="","",IFERROR(MATCH(B94,'Data Processing'!$C:$C,0),""))</f>
        <v/>
      </c>
      <c r="B94" s="522"/>
      <c r="C94" s="523" t="s">
        <v>1015</v>
      </c>
      <c r="D94" s="488"/>
      <c r="E94" s="489">
        <f ca="1">-INDEX('Data Processing'!AS:AS,$A90)</f>
        <v>26.714050670000006</v>
      </c>
      <c r="F94" s="489">
        <f ca="1">-INDEX('Data Processing'!AT:AT,$A90)</f>
        <v>138.1905815099999</v>
      </c>
      <c r="G94" s="489">
        <f ca="1">-INDEX('Data Processing'!AU:AU,$A90)</f>
        <v>0</v>
      </c>
      <c r="H94" s="489">
        <f ca="1">-INDEX('Data Processing'!AV:AV,$A90)</f>
        <v>0</v>
      </c>
      <c r="I94" s="489">
        <f ca="1">-INDEX('Data Processing'!AW:AW,$A90)</f>
        <v>0</v>
      </c>
      <c r="J94" s="489">
        <f ca="1">-INDEX('Data Processing'!AX:AX,$A90)</f>
        <v>0</v>
      </c>
      <c r="K94" s="556">
        <f ca="1">-INDEX('Data Processing'!AY:AY,$A90)</f>
        <v>0</v>
      </c>
      <c r="L94" s="489">
        <f ca="1">-INDEX('Data Processing'!AZ:AZ,$A90)</f>
        <v>0</v>
      </c>
      <c r="M94" s="489">
        <f ca="1">-INDEX('Data Processing'!BA:BA,$A90)</f>
        <v>0</v>
      </c>
      <c r="N94" s="489">
        <f ca="1">-INDEX('Data Processing'!BB:BB,$A90)</f>
        <v>0</v>
      </c>
      <c r="O94" s="489">
        <f ca="1">-INDEX('Data Processing'!BC:BC,$A90)</f>
        <v>0</v>
      </c>
      <c r="P94" s="489">
        <f ca="1">-INDEX('Data Processing'!BD:BD,$A90)</f>
        <v>0</v>
      </c>
      <c r="Q94" s="489">
        <f ca="1">-INDEX('Data Processing'!BE:BE,$A90)</f>
        <v>0</v>
      </c>
      <c r="R94" s="489">
        <f ca="1">-INDEX('Data Processing'!BF:BF,$A90)</f>
        <v>0</v>
      </c>
      <c r="S94" s="489">
        <f ca="1">-INDEX('Data Processing'!BG:BG,$A90)</f>
        <v>0</v>
      </c>
      <c r="T94" s="490">
        <f ca="1">-INDEX('Data Processing'!BH:BH,$A90)</f>
        <v>25</v>
      </c>
      <c r="U94" s="557"/>
      <c r="V94" s="120"/>
      <c r="W94" s="219"/>
      <c r="X94" s="219"/>
      <c r="Y94" s="219"/>
    </row>
    <row r="95" spans="1:25" s="562" customFormat="1">
      <c r="A95" s="440" t="str">
        <f>IF(B95="","",IFERROR(MATCH(B95,'Data Processing'!$C:$C,0),""))</f>
        <v/>
      </c>
      <c r="B95" s="522"/>
      <c r="C95" s="558" t="s">
        <v>1012</v>
      </c>
      <c r="D95" s="503"/>
      <c r="E95" s="559">
        <f t="shared" ref="E95:T95" ca="1" si="7">E91-E94</f>
        <v>1423.3811630199998</v>
      </c>
      <c r="F95" s="559">
        <f t="shared" ca="1" si="7"/>
        <v>1173.71405067</v>
      </c>
      <c r="G95" s="559">
        <f t="shared" ca="1" si="7"/>
        <v>1311.9046321799999</v>
      </c>
      <c r="H95" s="559">
        <f t="shared" ca="1" si="7"/>
        <v>1311.9046321799999</v>
      </c>
      <c r="I95" s="559">
        <f t="shared" ca="1" si="7"/>
        <v>1311.9046321799999</v>
      </c>
      <c r="J95" s="559">
        <f t="shared" ca="1" si="7"/>
        <v>1311.9046321799999</v>
      </c>
      <c r="K95" s="559">
        <f t="shared" ca="1" si="7"/>
        <v>1311.9046321799999</v>
      </c>
      <c r="L95" s="559">
        <f t="shared" ca="1" si="7"/>
        <v>1311.9046321799999</v>
      </c>
      <c r="M95" s="559">
        <f t="shared" ca="1" si="7"/>
        <v>1311.9046321799999</v>
      </c>
      <c r="N95" s="559">
        <f t="shared" ca="1" si="7"/>
        <v>1311.9046321799999</v>
      </c>
      <c r="O95" s="559">
        <f t="shared" ca="1" si="7"/>
        <v>1311.9046321799999</v>
      </c>
      <c r="P95" s="559">
        <f t="shared" ca="1" si="7"/>
        <v>1311.9046321799999</v>
      </c>
      <c r="Q95" s="559">
        <f t="shared" ca="1" si="7"/>
        <v>1311.9046321799999</v>
      </c>
      <c r="R95" s="559">
        <f t="shared" ca="1" si="7"/>
        <v>1311.9046321799999</v>
      </c>
      <c r="S95" s="559">
        <f t="shared" ca="1" si="7"/>
        <v>1311.9046321799999</v>
      </c>
      <c r="T95" s="560">
        <f t="shared" ca="1" si="7"/>
        <v>1261.9046321799999</v>
      </c>
      <c r="U95" s="557"/>
      <c r="V95" s="120"/>
      <c r="W95" s="219"/>
      <c r="X95" s="219"/>
      <c r="Y95" s="219"/>
    </row>
    <row r="96" spans="1:25" s="126" customFormat="1">
      <c r="A96">
        <f>IF(B96="","",IFERROR(MATCH(B96,'Data Processing'!$C:$C,0),""))</f>
        <v>10</v>
      </c>
      <c r="B96" s="171">
        <v>3.2</v>
      </c>
      <c r="C96" s="188" t="str">
        <f>INDEX('Data Processing'!$G:$G,A96)</f>
        <v>Due From Banks (3rd Party FI)</v>
      </c>
      <c r="D96" s="323">
        <f>-INDEX('Data Processing'!O:O,$A96)</f>
        <v>2.440110439999847</v>
      </c>
      <c r="E96" s="174">
        <f ca="1">-INDEX('Data Processing'!P:P,$A96)</f>
        <v>0</v>
      </c>
      <c r="F96" s="174">
        <f ca="1">-INDEX('Data Processing'!Q:Q,$A96)</f>
        <v>0</v>
      </c>
      <c r="G96" s="174">
        <f ca="1">-INDEX('Data Processing'!R:R,$A96)</f>
        <v>0</v>
      </c>
      <c r="H96" s="174">
        <f ca="1">-INDEX('Data Processing'!S:S,$A96)</f>
        <v>0</v>
      </c>
      <c r="I96" s="174">
        <f ca="1">-INDEX('Data Processing'!T:T,$A96)</f>
        <v>0</v>
      </c>
      <c r="J96" s="174">
        <f ca="1">-INDEX('Data Processing'!U:U,$A96)</f>
        <v>0</v>
      </c>
      <c r="K96" s="174">
        <f ca="1">-INDEX('Data Processing'!V:V,$A96)</f>
        <v>0</v>
      </c>
      <c r="L96" s="174">
        <f ca="1">-INDEX('Data Processing'!W:W,$A96)</f>
        <v>0</v>
      </c>
      <c r="M96" s="174">
        <f ca="1">-INDEX('Data Processing'!X:X,$A96)</f>
        <v>0</v>
      </c>
      <c r="N96" s="174">
        <f ca="1">-INDEX('Data Processing'!Y:Y,$A96)</f>
        <v>0</v>
      </c>
      <c r="O96" s="174">
        <f ca="1">-INDEX('Data Processing'!Z:Z,$A96)</f>
        <v>0</v>
      </c>
      <c r="P96" s="174">
        <f ca="1">-INDEX('Data Processing'!AA:AA,$A96)</f>
        <v>0</v>
      </c>
      <c r="Q96" s="174">
        <f ca="1">-INDEX('Data Processing'!AB:AB,$A96)</f>
        <v>0</v>
      </c>
      <c r="R96" s="174">
        <f ca="1">-INDEX('Data Processing'!AC:AC,$A96)</f>
        <v>0</v>
      </c>
      <c r="S96" s="174">
        <f ca="1">-INDEX('Data Processing'!AD:AD,$A96)</f>
        <v>0</v>
      </c>
      <c r="T96" s="175">
        <f ca="1">-INDEX('Data Processing'!AE:AE,$A96)</f>
        <v>0</v>
      </c>
      <c r="U96" s="133"/>
      <c r="V96" s="190"/>
    </row>
    <row r="97" spans="1:25" s="521" customFormat="1">
      <c r="A97" s="440" t="str">
        <f>IF(B97="","",IFERROR(MATCH(B97,'Data Processing'!$C:$C,0),""))</f>
        <v/>
      </c>
      <c r="B97" s="547"/>
      <c r="C97" s="523" t="s">
        <v>1005</v>
      </c>
      <c r="D97" s="488"/>
      <c r="E97" s="489">
        <f t="shared" ref="E97:T97" ca="1" si="8">E96</f>
        <v>0</v>
      </c>
      <c r="F97" s="489">
        <f t="shared" ca="1" si="8"/>
        <v>0</v>
      </c>
      <c r="G97" s="489">
        <f t="shared" ca="1" si="8"/>
        <v>0</v>
      </c>
      <c r="H97" s="489">
        <f t="shared" ca="1" si="8"/>
        <v>0</v>
      </c>
      <c r="I97" s="489">
        <f t="shared" ca="1" si="8"/>
        <v>0</v>
      </c>
      <c r="J97" s="489">
        <f t="shared" ca="1" si="8"/>
        <v>0</v>
      </c>
      <c r="K97" s="489">
        <f t="shared" ca="1" si="8"/>
        <v>0</v>
      </c>
      <c r="L97" s="489">
        <f t="shared" ca="1" si="8"/>
        <v>0</v>
      </c>
      <c r="M97" s="489">
        <f t="shared" ca="1" si="8"/>
        <v>0</v>
      </c>
      <c r="N97" s="489">
        <f t="shared" ca="1" si="8"/>
        <v>0</v>
      </c>
      <c r="O97" s="489">
        <f t="shared" ca="1" si="8"/>
        <v>0</v>
      </c>
      <c r="P97" s="489">
        <f t="shared" ca="1" si="8"/>
        <v>0</v>
      </c>
      <c r="Q97" s="489">
        <f t="shared" ca="1" si="8"/>
        <v>0</v>
      </c>
      <c r="R97" s="489">
        <f t="shared" ca="1" si="8"/>
        <v>0</v>
      </c>
      <c r="S97" s="489">
        <f t="shared" ca="1" si="8"/>
        <v>0</v>
      </c>
      <c r="T97" s="490">
        <f t="shared" ca="1" si="8"/>
        <v>0</v>
      </c>
      <c r="U97" s="525"/>
      <c r="V97" s="178"/>
      <c r="W97" s="179"/>
      <c r="X97" s="179"/>
      <c r="Y97" s="179"/>
    </row>
    <row r="98" spans="1:25" s="561" customFormat="1">
      <c r="A98" s="440" t="str">
        <f>IF(B98="","",IFERROR(MATCH(B98,'Data Processing'!$C:$C,0),""))</f>
        <v/>
      </c>
      <c r="B98" s="548"/>
      <c r="C98" s="549" t="s">
        <v>51</v>
      </c>
      <c r="D98" s="488"/>
      <c r="E98" s="488">
        <f>-INDEX('Data Processing'!CX:CX,$A96)</f>
        <v>2.440110439999847</v>
      </c>
      <c r="F98" s="488">
        <f>-INDEX('Data Processing'!CY:CY,$A96)</f>
        <v>0</v>
      </c>
      <c r="G98" s="488">
        <f>-INDEX('Data Processing'!CZ:CZ,$A96)</f>
        <v>0</v>
      </c>
      <c r="H98" s="488">
        <f>-INDEX('Data Processing'!DA:DA,$A96)</f>
        <v>0</v>
      </c>
      <c r="I98" s="488">
        <f>-INDEX('Data Processing'!DB:DB,$A96)</f>
        <v>0</v>
      </c>
      <c r="J98" s="488">
        <f>-INDEX('Data Processing'!DC:DC,$A96)</f>
        <v>0</v>
      </c>
      <c r="K98" s="488">
        <f>-INDEX('Data Processing'!DD:DD,$A96)</f>
        <v>0</v>
      </c>
      <c r="L98" s="488">
        <f>-INDEX('Data Processing'!DE:DE,$A96)</f>
        <v>0</v>
      </c>
      <c r="M98" s="488">
        <f>-INDEX('Data Processing'!DF:DF,$A96)</f>
        <v>0</v>
      </c>
      <c r="N98" s="488">
        <f>-INDEX('Data Processing'!DG:DG,$A96)</f>
        <v>0</v>
      </c>
      <c r="O98" s="488">
        <f>-INDEX('Data Processing'!DH:DH,$A96)</f>
        <v>0</v>
      </c>
      <c r="P98" s="488">
        <f>-INDEX('Data Processing'!DI:DI,$A96)</f>
        <v>0</v>
      </c>
      <c r="Q98" s="488">
        <f>-INDEX('Data Processing'!DJ:DJ,$A96)</f>
        <v>0</v>
      </c>
      <c r="R98" s="488">
        <f>-INDEX('Data Processing'!DK:DK,$A96)</f>
        <v>0</v>
      </c>
      <c r="S98" s="488">
        <f>-INDEX('Data Processing'!DL:DL,$A96)</f>
        <v>0</v>
      </c>
      <c r="T98" s="550">
        <f>-INDEX('Data Processing'!DM:DM,$A96)</f>
        <v>0</v>
      </c>
      <c r="U98" s="551"/>
      <c r="V98" s="271"/>
      <c r="W98" s="272"/>
      <c r="X98" s="272"/>
      <c r="Y98" s="272"/>
    </row>
    <row r="99" spans="1:25" s="561" customFormat="1">
      <c r="A99" s="440" t="str">
        <f>IF(B99="","",IFERROR(MATCH(B99,'Data Processing'!$C:$C,0),""))</f>
        <v/>
      </c>
      <c r="B99" s="548"/>
      <c r="C99" s="552" t="s">
        <v>50</v>
      </c>
      <c r="D99" s="502"/>
      <c r="E99" s="553">
        <f ca="1">INDEX('Data Processing'!BU:BU,$A96)</f>
        <v>1</v>
      </c>
      <c r="F99" s="553">
        <f ca="1">INDEX('Data Processing'!BV:BV,$A96)</f>
        <v>1</v>
      </c>
      <c r="G99" s="553">
        <f ca="1">INDEX('Data Processing'!BW:BW,$A96)</f>
        <v>1</v>
      </c>
      <c r="H99" s="553">
        <f ca="1">INDEX('Data Processing'!BX:BX,$A96)</f>
        <v>1</v>
      </c>
      <c r="I99" s="553">
        <f ca="1">INDEX('Data Processing'!BY:BY,$A96)</f>
        <v>1</v>
      </c>
      <c r="J99" s="553">
        <f ca="1">INDEX('Data Processing'!BZ:BZ,$A96)</f>
        <v>1</v>
      </c>
      <c r="K99" s="553">
        <f ca="1">INDEX('Data Processing'!CA:CA,$A96)</f>
        <v>1</v>
      </c>
      <c r="L99" s="553">
        <f ca="1">INDEX('Data Processing'!CB:CB,$A96)</f>
        <v>1</v>
      </c>
      <c r="M99" s="553">
        <f ca="1">INDEX('Data Processing'!CC:CC,$A96)</f>
        <v>1</v>
      </c>
      <c r="N99" s="553">
        <f ca="1">INDEX('Data Processing'!CD:CD,$A96)</f>
        <v>1</v>
      </c>
      <c r="O99" s="553">
        <f ca="1">INDEX('Data Processing'!CE:CE,$A96)</f>
        <v>1</v>
      </c>
      <c r="P99" s="553">
        <f ca="1">INDEX('Data Processing'!CF:CF,$A96)</f>
        <v>1</v>
      </c>
      <c r="Q99" s="553">
        <f ca="1">INDEX('Data Processing'!CG:CG,$A96)</f>
        <v>1</v>
      </c>
      <c r="R99" s="553">
        <f ca="1">INDEX('Data Processing'!CH:CH,$A96)</f>
        <v>1</v>
      </c>
      <c r="S99" s="553">
        <f ca="1">INDEX('Data Processing'!CI:CI,$A96)</f>
        <v>1</v>
      </c>
      <c r="T99" s="554">
        <f ca="1">INDEX('Data Processing'!CJ:CJ,$A96)</f>
        <v>1</v>
      </c>
      <c r="U99" s="555"/>
      <c r="V99" s="271"/>
      <c r="W99" s="272"/>
      <c r="X99" s="272"/>
      <c r="Y99" s="272"/>
    </row>
    <row r="100" spans="1:25" s="562" customFormat="1">
      <c r="A100" s="440" t="str">
        <f>IF(B100="","",IFERROR(MATCH(B100,'Data Processing'!$C:$C,0),""))</f>
        <v/>
      </c>
      <c r="B100" s="522"/>
      <c r="C100" s="523" t="s">
        <v>1015</v>
      </c>
      <c r="D100" s="488"/>
      <c r="E100" s="489">
        <f ca="1">-INDEX('Data Processing'!AS:AS,$A96)</f>
        <v>2.440110439999847</v>
      </c>
      <c r="F100" s="489">
        <f ca="1">-INDEX('Data Processing'!AT:AT,$A96)</f>
        <v>0</v>
      </c>
      <c r="G100" s="489">
        <f ca="1">-INDEX('Data Processing'!AU:AU,$A96)</f>
        <v>0</v>
      </c>
      <c r="H100" s="489">
        <f ca="1">-INDEX('Data Processing'!AV:AV,$A96)</f>
        <v>0</v>
      </c>
      <c r="I100" s="489">
        <f ca="1">-INDEX('Data Processing'!AW:AW,$A96)</f>
        <v>0</v>
      </c>
      <c r="J100" s="489">
        <f ca="1">-INDEX('Data Processing'!AX:AX,$A96)</f>
        <v>0</v>
      </c>
      <c r="K100" s="489">
        <f ca="1">-INDEX('Data Processing'!AY:AY,$A96)</f>
        <v>0</v>
      </c>
      <c r="L100" s="489">
        <f ca="1">-INDEX('Data Processing'!AZ:AZ,$A96)</f>
        <v>0</v>
      </c>
      <c r="M100" s="489">
        <f ca="1">-INDEX('Data Processing'!BA:BA,$A96)</f>
        <v>0</v>
      </c>
      <c r="N100" s="489">
        <f ca="1">-INDEX('Data Processing'!BB:BB,$A96)</f>
        <v>0</v>
      </c>
      <c r="O100" s="489">
        <f ca="1">-INDEX('Data Processing'!BC:BC,$A96)</f>
        <v>0</v>
      </c>
      <c r="P100" s="489">
        <f ca="1">-INDEX('Data Processing'!BD:BD,$A96)</f>
        <v>0</v>
      </c>
      <c r="Q100" s="489">
        <f ca="1">-INDEX('Data Processing'!BE:BE,$A96)</f>
        <v>0</v>
      </c>
      <c r="R100" s="489">
        <f ca="1">-INDEX('Data Processing'!BF:BF,$A96)</f>
        <v>0</v>
      </c>
      <c r="S100" s="489">
        <f ca="1">-INDEX('Data Processing'!BG:BG,$A96)</f>
        <v>0</v>
      </c>
      <c r="T100" s="490">
        <f ca="1">-INDEX('Data Processing'!BH:BH,$A96)</f>
        <v>0</v>
      </c>
      <c r="U100" s="557"/>
      <c r="V100" s="120"/>
      <c r="W100" s="219"/>
      <c r="X100" s="219"/>
      <c r="Y100" s="219"/>
    </row>
    <row r="101" spans="1:25" s="562" customFormat="1">
      <c r="A101" s="440" t="str">
        <f>IF(B101="","",IFERROR(MATCH(B101,'Data Processing'!$C:$C,0),""))</f>
        <v/>
      </c>
      <c r="B101" s="563"/>
      <c r="C101" s="564" t="s">
        <v>1012</v>
      </c>
      <c r="D101" s="491"/>
      <c r="E101" s="492">
        <f t="shared" ref="E101:T101" ca="1" si="9">E97-E100</f>
        <v>-2.440110439999847</v>
      </c>
      <c r="F101" s="492">
        <f t="shared" ca="1" si="9"/>
        <v>0</v>
      </c>
      <c r="G101" s="492">
        <f t="shared" ca="1" si="9"/>
        <v>0</v>
      </c>
      <c r="H101" s="492">
        <f t="shared" ca="1" si="9"/>
        <v>0</v>
      </c>
      <c r="I101" s="492">
        <f t="shared" ca="1" si="9"/>
        <v>0</v>
      </c>
      <c r="J101" s="492">
        <f t="shared" ca="1" si="9"/>
        <v>0</v>
      </c>
      <c r="K101" s="492">
        <f t="shared" ca="1" si="9"/>
        <v>0</v>
      </c>
      <c r="L101" s="492">
        <f t="shared" ca="1" si="9"/>
        <v>0</v>
      </c>
      <c r="M101" s="492">
        <f t="shared" ca="1" si="9"/>
        <v>0</v>
      </c>
      <c r="N101" s="492">
        <f t="shared" ca="1" si="9"/>
        <v>0</v>
      </c>
      <c r="O101" s="492">
        <f t="shared" ca="1" si="9"/>
        <v>0</v>
      </c>
      <c r="P101" s="492">
        <f t="shared" ca="1" si="9"/>
        <v>0</v>
      </c>
      <c r="Q101" s="492">
        <f t="shared" ca="1" si="9"/>
        <v>0</v>
      </c>
      <c r="R101" s="492">
        <f t="shared" ca="1" si="9"/>
        <v>0</v>
      </c>
      <c r="S101" s="492">
        <f t="shared" ca="1" si="9"/>
        <v>0</v>
      </c>
      <c r="T101" s="493">
        <f t="shared" ca="1" si="9"/>
        <v>0</v>
      </c>
      <c r="U101" s="557"/>
      <c r="V101" s="120"/>
      <c r="W101" s="219"/>
      <c r="X101" s="219"/>
      <c r="Y101" s="219"/>
    </row>
    <row r="102" spans="1:25" s="197" customFormat="1">
      <c r="A102">
        <f>IF(B102="","",IFERROR(MATCH(B102,'Data Processing'!$C:$C,0),""))</f>
        <v>8</v>
      </c>
      <c r="B102" s="191">
        <v>4</v>
      </c>
      <c r="C102" s="192" t="str">
        <f>INDEX('Data Processing'!$G:$G,A102)</f>
        <v>Non-Buffer Securities</v>
      </c>
      <c r="D102" s="329">
        <f>-INDEX('Data Processing'!O:O,$A102)</f>
        <v>3561.1634352277601</v>
      </c>
      <c r="E102" s="194">
        <f>-INDEX('Data Processing'!P:P,$A102)</f>
        <v>3561.1634352277601</v>
      </c>
      <c r="F102" s="194">
        <f>-INDEX('Data Processing'!Q:Q,$A102)</f>
        <v>3561.1634352277601</v>
      </c>
      <c r="G102" s="194">
        <f>-INDEX('Data Processing'!R:R,$A102)</f>
        <v>3561.1634352277601</v>
      </c>
      <c r="H102" s="194">
        <f>-INDEX('Data Processing'!S:S,$A102)</f>
        <v>3561.1634352277601</v>
      </c>
      <c r="I102" s="194">
        <f>-INDEX('Data Processing'!T:T,$A102)</f>
        <v>3561.1634352277601</v>
      </c>
      <c r="J102" s="194">
        <f>-INDEX('Data Processing'!U:U,$A102)</f>
        <v>3561.1634352277601</v>
      </c>
      <c r="K102" s="194">
        <f>-INDEX('Data Processing'!V:V,$A102)</f>
        <v>3561.1634352277601</v>
      </c>
      <c r="L102" s="194">
        <f>-INDEX('Data Processing'!W:W,$A102)</f>
        <v>3561.1634352277601</v>
      </c>
      <c r="M102" s="194">
        <f>-INDEX('Data Processing'!X:X,$A102)</f>
        <v>3561.1634352277601</v>
      </c>
      <c r="N102" s="194">
        <f>-INDEX('Data Processing'!Y:Y,$A102)</f>
        <v>3561.1634352277601</v>
      </c>
      <c r="O102" s="194">
        <f>-INDEX('Data Processing'!Z:Z,$A102)</f>
        <v>3561.1634352277601</v>
      </c>
      <c r="P102" s="194">
        <f>-INDEX('Data Processing'!AA:AA,$A102)</f>
        <v>3561.1634352277601</v>
      </c>
      <c r="Q102" s="194">
        <f>-INDEX('Data Processing'!AB:AB,$A102)</f>
        <v>3561.1634352277601</v>
      </c>
      <c r="R102" s="194">
        <f>-INDEX('Data Processing'!AC:AC,$A102)</f>
        <v>3561.1634352277601</v>
      </c>
      <c r="S102" s="194">
        <f>-INDEX('Data Processing'!AD:AD,$A102)</f>
        <v>3561.1634352277601</v>
      </c>
      <c r="T102" s="195">
        <f>-INDEX('Data Processing'!AE:AE,$A102)</f>
        <v>3561.1634352277601</v>
      </c>
      <c r="U102" s="196"/>
      <c r="V102" s="176" t="s">
        <v>1021</v>
      </c>
    </row>
    <row r="103" spans="1:25" s="562" customFormat="1">
      <c r="A103" s="440" t="str">
        <f>IF(B103="","",IFERROR(MATCH(B103,'Data Processing'!$C:$C,0),""))</f>
        <v/>
      </c>
      <c r="B103" s="522"/>
      <c r="C103" s="565" t="s">
        <v>1005</v>
      </c>
      <c r="D103" s="488"/>
      <c r="E103" s="489">
        <f t="shared" ref="E103:T103" si="10">E102</f>
        <v>3561.1634352277601</v>
      </c>
      <c r="F103" s="489">
        <f t="shared" si="10"/>
        <v>3561.1634352277601</v>
      </c>
      <c r="G103" s="489">
        <f t="shared" si="10"/>
        <v>3561.1634352277601</v>
      </c>
      <c r="H103" s="489">
        <f t="shared" si="10"/>
        <v>3561.1634352277601</v>
      </c>
      <c r="I103" s="489">
        <f t="shared" si="10"/>
        <v>3561.1634352277601</v>
      </c>
      <c r="J103" s="489">
        <f t="shared" si="10"/>
        <v>3561.1634352277601</v>
      </c>
      <c r="K103" s="489">
        <f t="shared" si="10"/>
        <v>3561.1634352277601</v>
      </c>
      <c r="L103" s="489">
        <f t="shared" si="10"/>
        <v>3561.1634352277601</v>
      </c>
      <c r="M103" s="489">
        <f t="shared" si="10"/>
        <v>3561.1634352277601</v>
      </c>
      <c r="N103" s="489">
        <f t="shared" si="10"/>
        <v>3561.1634352277601</v>
      </c>
      <c r="O103" s="489">
        <f t="shared" si="10"/>
        <v>3561.1634352277601</v>
      </c>
      <c r="P103" s="489">
        <f t="shared" si="10"/>
        <v>3561.1634352277601</v>
      </c>
      <c r="Q103" s="489">
        <f t="shared" si="10"/>
        <v>3561.1634352277601</v>
      </c>
      <c r="R103" s="489">
        <f t="shared" si="10"/>
        <v>3561.1634352277601</v>
      </c>
      <c r="S103" s="489">
        <f t="shared" si="10"/>
        <v>3561.1634352277601</v>
      </c>
      <c r="T103" s="490">
        <f t="shared" si="10"/>
        <v>3561.1634352277601</v>
      </c>
      <c r="U103" s="557"/>
      <c r="V103" s="296"/>
      <c r="W103" s="295"/>
      <c r="X103" s="295"/>
      <c r="Y103" s="295"/>
    </row>
    <row r="104" spans="1:25" s="561" customFormat="1">
      <c r="A104" s="440" t="str">
        <f>IF(B104="","",IFERROR(MATCH(B104,'Data Processing'!$C:$C,0),""))</f>
        <v/>
      </c>
      <c r="B104" s="566"/>
      <c r="C104" s="567" t="s">
        <v>51</v>
      </c>
      <c r="D104" s="488"/>
      <c r="E104" s="515">
        <f>-INDEX('Data Processing'!CX:CX,$A102)</f>
        <v>0</v>
      </c>
      <c r="F104" s="568">
        <f>-INDEX('Data Processing'!CY:CY,$A102)</f>
        <v>0</v>
      </c>
      <c r="G104" s="568">
        <f>-INDEX('Data Processing'!CZ:CZ,$A102)</f>
        <v>0</v>
      </c>
      <c r="H104" s="568">
        <f>-INDEX('Data Processing'!DA:DA,$A102)</f>
        <v>0</v>
      </c>
      <c r="I104" s="568">
        <f>-INDEX('Data Processing'!DB:DB,$A102)</f>
        <v>0</v>
      </c>
      <c r="J104" s="568">
        <f>-INDEX('Data Processing'!DC:DC,$A102)</f>
        <v>0</v>
      </c>
      <c r="K104" s="568">
        <f>-INDEX('Data Processing'!DD:DD,$A102)</f>
        <v>0</v>
      </c>
      <c r="L104" s="568">
        <f>-INDEX('Data Processing'!DE:DE,$A102)</f>
        <v>0</v>
      </c>
      <c r="M104" s="568">
        <f>-INDEX('Data Processing'!DF:DF,$A102)</f>
        <v>0</v>
      </c>
      <c r="N104" s="568">
        <f>-INDEX('Data Processing'!DG:DG,$A102)</f>
        <v>0</v>
      </c>
      <c r="O104" s="568">
        <f>-INDEX('Data Processing'!DH:DH,$A102)</f>
        <v>0</v>
      </c>
      <c r="P104" s="568">
        <f>-INDEX('Data Processing'!DI:DI,$A102)</f>
        <v>0</v>
      </c>
      <c r="Q104" s="568">
        <f>-INDEX('Data Processing'!DJ:DJ,$A102)</f>
        <v>0</v>
      </c>
      <c r="R104" s="568">
        <f>-INDEX('Data Processing'!DK:DK,$A102)</f>
        <v>45.44109927135284</v>
      </c>
      <c r="S104" s="568">
        <f>-INDEX('Data Processing'!DL:DL,$A102)</f>
        <v>0</v>
      </c>
      <c r="T104" s="569">
        <f>-INDEX('Data Processing'!DM:DM,$A102)</f>
        <v>79.521923724867477</v>
      </c>
      <c r="U104" s="551"/>
      <c r="V104" s="271"/>
      <c r="W104" s="272"/>
      <c r="X104" s="272"/>
      <c r="Y104" s="272"/>
    </row>
    <row r="105" spans="1:25" s="561" customFormat="1">
      <c r="A105" s="440" t="str">
        <f>IF(B105="","",IFERROR(MATCH(B105,'Data Processing'!$C:$C,0),""))</f>
        <v/>
      </c>
      <c r="B105" s="566"/>
      <c r="C105" s="567" t="s">
        <v>50</v>
      </c>
      <c r="D105" s="488"/>
      <c r="E105" s="515" t="str">
        <f>INDEX('Data Processing'!BU:BU,$A102)</f>
        <v/>
      </c>
      <c r="F105" s="551" t="str">
        <f>INDEX('Data Processing'!BV:BV,$A102)</f>
        <v/>
      </c>
      <c r="G105" s="551" t="str">
        <f>INDEX('Data Processing'!BW:BW,$A102)</f>
        <v/>
      </c>
      <c r="H105" s="551" t="str">
        <f>INDEX('Data Processing'!BX:BX,$A102)</f>
        <v/>
      </c>
      <c r="I105" s="551" t="str">
        <f>INDEX('Data Processing'!BY:BY,$A102)</f>
        <v/>
      </c>
      <c r="J105" s="551" t="str">
        <f>INDEX('Data Processing'!BZ:BZ,$A102)</f>
        <v/>
      </c>
      <c r="K105" s="551" t="str">
        <f>INDEX('Data Processing'!CA:CA,$A102)</f>
        <v/>
      </c>
      <c r="L105" s="551" t="str">
        <f>INDEX('Data Processing'!CB:CB,$A102)</f>
        <v/>
      </c>
      <c r="M105" s="570" t="str">
        <f>INDEX('Data Processing'!CC:CC,$A102)</f>
        <v/>
      </c>
      <c r="N105" s="551" t="str">
        <f>INDEX('Data Processing'!CD:CD,$A102)</f>
        <v/>
      </c>
      <c r="O105" s="551" t="str">
        <f>INDEX('Data Processing'!CE:CE,$A102)</f>
        <v/>
      </c>
      <c r="P105" s="551" t="str">
        <f>INDEX('Data Processing'!CF:CF,$A102)</f>
        <v/>
      </c>
      <c r="Q105" s="551" t="str">
        <f>INDEX('Data Processing'!CG:CG,$A102)</f>
        <v/>
      </c>
      <c r="R105" s="551" t="str">
        <f>INDEX('Data Processing'!CH:CH,$A102)</f>
        <v/>
      </c>
      <c r="S105" s="551" t="str">
        <f>INDEX('Data Processing'!CI:CI,$A102)</f>
        <v/>
      </c>
      <c r="T105" s="571" t="str">
        <f>INDEX('Data Processing'!CJ:CJ,$A102)</f>
        <v/>
      </c>
      <c r="U105" s="551"/>
      <c r="V105" s="271"/>
      <c r="W105" s="272"/>
      <c r="X105" s="272"/>
      <c r="Y105" s="272"/>
    </row>
    <row r="106" spans="1:25" s="562" customFormat="1">
      <c r="A106" s="440" t="str">
        <f>IF(B106="","",IFERROR(MATCH(B106,'Data Processing'!$C:$C,0),""))</f>
        <v/>
      </c>
      <c r="B106" s="572"/>
      <c r="C106" s="523" t="s">
        <v>1015</v>
      </c>
      <c r="D106" s="504"/>
      <c r="E106" s="489">
        <f>-INDEX('Data Processing'!AS:AS,$A102)</f>
        <v>0</v>
      </c>
      <c r="F106" s="489">
        <f>-INDEX('Data Processing'!AT:AT,$A102)</f>
        <v>0</v>
      </c>
      <c r="G106" s="489">
        <f>-INDEX('Data Processing'!AU:AU,$A102)</f>
        <v>0</v>
      </c>
      <c r="H106" s="489">
        <f>-INDEX('Data Processing'!AV:AV,$A102)</f>
        <v>0</v>
      </c>
      <c r="I106" s="489">
        <f>-INDEX('Data Processing'!AW:AW,$A102)</f>
        <v>0</v>
      </c>
      <c r="J106" s="489">
        <f>-INDEX('Data Processing'!AX:AX,$A102)</f>
        <v>0</v>
      </c>
      <c r="K106" s="489">
        <f>-INDEX('Data Processing'!AY:AY,$A102)</f>
        <v>0</v>
      </c>
      <c r="L106" s="489">
        <f>-INDEX('Data Processing'!AZ:AZ,$A102)</f>
        <v>0</v>
      </c>
      <c r="M106" s="489">
        <f>-INDEX('Data Processing'!BA:BA,$A102)</f>
        <v>0</v>
      </c>
      <c r="N106" s="489">
        <f>-INDEX('Data Processing'!BB:BB,$A102)</f>
        <v>0</v>
      </c>
      <c r="O106" s="489">
        <f>-INDEX('Data Processing'!BC:BC,$A102)</f>
        <v>0</v>
      </c>
      <c r="P106" s="489">
        <f>-INDEX('Data Processing'!BD:BD,$A102)</f>
        <v>0</v>
      </c>
      <c r="Q106" s="489">
        <f>-INDEX('Data Processing'!BE:BE,$A102)</f>
        <v>0</v>
      </c>
      <c r="R106" s="489">
        <f>-INDEX('Data Processing'!BF:BF,$A102)</f>
        <v>0</v>
      </c>
      <c r="S106" s="489">
        <f>-INDEX('Data Processing'!BG:BG,$A102)</f>
        <v>0</v>
      </c>
      <c r="T106" s="490">
        <f>-INDEX('Data Processing'!BH:BH,$A102)</f>
        <v>0</v>
      </c>
      <c r="U106" s="557"/>
      <c r="V106" s="120"/>
      <c r="W106" s="219"/>
      <c r="X106" s="219"/>
      <c r="Y106" s="219"/>
    </row>
    <row r="107" spans="1:25" s="562" customFormat="1">
      <c r="A107" s="440" t="str">
        <f>IF(B107="","",IFERROR(MATCH(B107,'Data Processing'!$C:$C,0),""))</f>
        <v/>
      </c>
      <c r="B107" s="572"/>
      <c r="C107" s="564" t="s">
        <v>1012</v>
      </c>
      <c r="D107" s="488"/>
      <c r="E107" s="573">
        <f t="shared" ref="E107:T107" si="11">E103-E106</f>
        <v>3561.1634352277601</v>
      </c>
      <c r="F107" s="573">
        <f t="shared" si="11"/>
        <v>3561.1634352277601</v>
      </c>
      <c r="G107" s="559">
        <f t="shared" si="11"/>
        <v>3561.1634352277601</v>
      </c>
      <c r="H107" s="559">
        <f t="shared" si="11"/>
        <v>3561.1634352277601</v>
      </c>
      <c r="I107" s="559">
        <f t="shared" si="11"/>
        <v>3561.1634352277601</v>
      </c>
      <c r="J107" s="559">
        <f t="shared" si="11"/>
        <v>3561.1634352277601</v>
      </c>
      <c r="K107" s="559">
        <f t="shared" si="11"/>
        <v>3561.1634352277601</v>
      </c>
      <c r="L107" s="559">
        <f t="shared" si="11"/>
        <v>3561.1634352277601</v>
      </c>
      <c r="M107" s="559">
        <f t="shared" si="11"/>
        <v>3561.1634352277601</v>
      </c>
      <c r="N107" s="559">
        <f t="shared" si="11"/>
        <v>3561.1634352277601</v>
      </c>
      <c r="O107" s="559">
        <f t="shared" si="11"/>
        <v>3561.1634352277601</v>
      </c>
      <c r="P107" s="559">
        <f t="shared" si="11"/>
        <v>3561.1634352277601</v>
      </c>
      <c r="Q107" s="559">
        <f t="shared" si="11"/>
        <v>3561.1634352277601</v>
      </c>
      <c r="R107" s="559">
        <f t="shared" si="11"/>
        <v>3561.1634352277601</v>
      </c>
      <c r="S107" s="559">
        <f t="shared" si="11"/>
        <v>3561.1634352277601</v>
      </c>
      <c r="T107" s="560">
        <f t="shared" si="11"/>
        <v>3561.1634352277601</v>
      </c>
      <c r="U107" s="557"/>
      <c r="V107" s="120"/>
      <c r="W107" s="219"/>
      <c r="X107" s="219"/>
      <c r="Y107" s="219"/>
    </row>
    <row r="108" spans="1:25" s="211" customFormat="1">
      <c r="A108" t="str">
        <f>IF(B108="","",IFERROR(MATCH(B108,'Data Processing'!$C:$C,0),""))</f>
        <v/>
      </c>
      <c r="B108" s="205">
        <v>5</v>
      </c>
      <c r="C108" s="206" t="s">
        <v>18</v>
      </c>
      <c r="D108" s="326">
        <f>D110+D116+D122+D128+D134+D140+D146</f>
        <v>22561.022973210002</v>
      </c>
      <c r="E108" s="207">
        <f t="shared" ref="E108:T108" ca="1" si="12">E110+E116+E122+E128+E134+E140+E146</f>
        <v>22553.825969520003</v>
      </c>
      <c r="F108" s="207">
        <f t="shared" ca="1" si="12"/>
        <v>22551.464893260003</v>
      </c>
      <c r="G108" s="207">
        <f t="shared" ca="1" si="12"/>
        <v>22549.850798940002</v>
      </c>
      <c r="H108" s="207">
        <f t="shared" ca="1" si="12"/>
        <v>22548.573892870001</v>
      </c>
      <c r="I108" s="207">
        <f t="shared" ca="1" si="12"/>
        <v>22548.573892870001</v>
      </c>
      <c r="J108" s="207">
        <f t="shared" ca="1" si="12"/>
        <v>22548.573892870001</v>
      </c>
      <c r="K108" s="207">
        <f t="shared" ca="1" si="12"/>
        <v>22508.484147540003</v>
      </c>
      <c r="L108" s="207">
        <f t="shared" ca="1" si="12"/>
        <v>22501.394933255004</v>
      </c>
      <c r="M108" s="207">
        <f t="shared" ca="1" si="12"/>
        <v>22430.332150105001</v>
      </c>
      <c r="N108" s="207">
        <f t="shared" ca="1" si="12"/>
        <v>22400.137612615003</v>
      </c>
      <c r="O108" s="207">
        <f t="shared" ca="1" si="12"/>
        <v>22387.877435880004</v>
      </c>
      <c r="P108" s="207">
        <f t="shared" ca="1" si="12"/>
        <v>22387.877435880004</v>
      </c>
      <c r="Q108" s="207">
        <f t="shared" ca="1" si="12"/>
        <v>22387.877435880004</v>
      </c>
      <c r="R108" s="207">
        <f t="shared" ca="1" si="12"/>
        <v>22356.024456335002</v>
      </c>
      <c r="S108" s="207">
        <f t="shared" ca="1" si="12"/>
        <v>21805.161049295006</v>
      </c>
      <c r="T108" s="208">
        <f t="shared" ca="1" si="12"/>
        <v>21733.592552895003</v>
      </c>
      <c r="U108" s="209"/>
      <c r="V108" s="210"/>
    </row>
    <row r="109" spans="1:25" s="211" customFormat="1">
      <c r="A109" t="str">
        <f>IF(B109="","",IFERROR(MATCH(B109,'Data Processing'!$C:$C,0),""))</f>
        <v/>
      </c>
      <c r="B109" s="171">
        <v>5.0999999999999996</v>
      </c>
      <c r="C109" s="212" t="s">
        <v>1062</v>
      </c>
      <c r="D109" s="255"/>
      <c r="E109" s="213"/>
      <c r="F109" s="213"/>
      <c r="G109" s="213"/>
      <c r="H109" s="213"/>
      <c r="I109" s="213"/>
      <c r="J109" s="213"/>
      <c r="K109" s="213"/>
      <c r="L109" s="213"/>
      <c r="M109" s="213"/>
      <c r="N109" s="213"/>
      <c r="O109" s="213"/>
      <c r="P109" s="213"/>
      <c r="Q109" s="213"/>
      <c r="R109" s="213"/>
      <c r="S109" s="213"/>
      <c r="T109" s="214"/>
      <c r="U109" s="209"/>
      <c r="V109" s="210"/>
    </row>
    <row r="110" spans="1:25" s="219" customFormat="1">
      <c r="A110">
        <f>IF(B110="","",IFERROR(MATCH(B110,'Data Processing'!$C:$C,0),""))</f>
        <v>11</v>
      </c>
      <c r="B110" s="215" t="s">
        <v>1059</v>
      </c>
      <c r="C110" s="216" t="str">
        <f>INDEX('Data Processing'!$G:$G,A110)</f>
        <v xml:space="preserve"> Syndications - U.S. customers  (170)</v>
      </c>
      <c r="D110" s="249">
        <f>-INDEX('Data Processing'!O:O,$A110)</f>
        <v>5631.5663244500001</v>
      </c>
      <c r="E110" s="128">
        <f ca="1">-INDEX('Data Processing'!P:P,$A110)</f>
        <v>5631.5663244449997</v>
      </c>
      <c r="F110" s="128">
        <f ca="1">-INDEX('Data Processing'!Q:Q,$A110)</f>
        <v>5631.5663244449997</v>
      </c>
      <c r="G110" s="128">
        <f ca="1">-INDEX('Data Processing'!R:R,$A110)</f>
        <v>5631.5663244449997</v>
      </c>
      <c r="H110" s="128">
        <f ca="1">-INDEX('Data Processing'!S:S,$A110)</f>
        <v>5631.5663244449997</v>
      </c>
      <c r="I110" s="128">
        <f ca="1">-INDEX('Data Processing'!T:T,$A110)</f>
        <v>5631.5663244449997</v>
      </c>
      <c r="J110" s="128">
        <f ca="1">-INDEX('Data Processing'!U:U,$A110)</f>
        <v>5631.5663244449997</v>
      </c>
      <c r="K110" s="128">
        <f ca="1">-INDEX('Data Processing'!V:V,$A110)</f>
        <v>5631.5663244449997</v>
      </c>
      <c r="L110" s="128">
        <f ca="1">-INDEX('Data Processing'!W:W,$A110)</f>
        <v>5631.5663244449997</v>
      </c>
      <c r="M110" s="128">
        <f ca="1">-INDEX('Data Processing'!X:X,$A110)</f>
        <v>5601.5663244449997</v>
      </c>
      <c r="N110" s="128">
        <f ca="1">-INDEX('Data Processing'!Y:Y,$A110)</f>
        <v>5601.5663244449997</v>
      </c>
      <c r="O110" s="128">
        <f ca="1">-INDEX('Data Processing'!Z:Z,$A110)</f>
        <v>5601.5663244449997</v>
      </c>
      <c r="P110" s="128">
        <f ca="1">-INDEX('Data Processing'!AA:AA,$A110)</f>
        <v>5601.5663244449997</v>
      </c>
      <c r="Q110" s="128">
        <f ca="1">-INDEX('Data Processing'!AB:AB,$A110)</f>
        <v>5601.5663244449997</v>
      </c>
      <c r="R110" s="128">
        <f ca="1">-INDEX('Data Processing'!AC:AC,$A110)</f>
        <v>5601.5663244449997</v>
      </c>
      <c r="S110" s="128">
        <f ca="1">-INDEX('Data Processing'!AD:AD,$A110)</f>
        <v>5601.5663244449997</v>
      </c>
      <c r="T110" s="129">
        <f ca="1">-INDEX('Data Processing'!AE:AE,$A110)</f>
        <v>5601.5663244449997</v>
      </c>
      <c r="U110" s="218"/>
      <c r="V110" s="120" t="s">
        <v>1009</v>
      </c>
    </row>
    <row r="111" spans="1:25" s="562" customFormat="1">
      <c r="A111" s="440" t="str">
        <f>IF(B111="","",IFERROR(MATCH(B111,'Data Processing'!$C:$C,0),""))</f>
        <v/>
      </c>
      <c r="B111" s="522"/>
      <c r="C111" s="565" t="s">
        <v>1005</v>
      </c>
      <c r="D111" s="488"/>
      <c r="E111" s="489">
        <f t="shared" ref="E111:T111" ca="1" si="13">E110</f>
        <v>5631.5663244449997</v>
      </c>
      <c r="F111" s="489">
        <f t="shared" ca="1" si="13"/>
        <v>5631.5663244449997</v>
      </c>
      <c r="G111" s="489">
        <f t="shared" ca="1" si="13"/>
        <v>5631.5663244449997</v>
      </c>
      <c r="H111" s="489">
        <f t="shared" ca="1" si="13"/>
        <v>5631.5663244449997</v>
      </c>
      <c r="I111" s="489">
        <f t="shared" ca="1" si="13"/>
        <v>5631.5663244449997</v>
      </c>
      <c r="J111" s="489">
        <f t="shared" ca="1" si="13"/>
        <v>5631.5663244449997</v>
      </c>
      <c r="K111" s="489">
        <f t="shared" ca="1" si="13"/>
        <v>5631.5663244449997</v>
      </c>
      <c r="L111" s="489">
        <f t="shared" ca="1" si="13"/>
        <v>5631.5663244449997</v>
      </c>
      <c r="M111" s="489">
        <f t="shared" ca="1" si="13"/>
        <v>5601.5663244449997</v>
      </c>
      <c r="N111" s="489">
        <f t="shared" ca="1" si="13"/>
        <v>5601.5663244449997</v>
      </c>
      <c r="O111" s="489">
        <f t="shared" ca="1" si="13"/>
        <v>5601.5663244449997</v>
      </c>
      <c r="P111" s="489">
        <f t="shared" ca="1" si="13"/>
        <v>5601.5663244449997</v>
      </c>
      <c r="Q111" s="489">
        <f t="shared" ca="1" si="13"/>
        <v>5601.5663244449997</v>
      </c>
      <c r="R111" s="489">
        <f t="shared" ca="1" si="13"/>
        <v>5601.5663244449997</v>
      </c>
      <c r="S111" s="489">
        <f t="shared" ca="1" si="13"/>
        <v>5601.5663244449997</v>
      </c>
      <c r="T111" s="490">
        <f t="shared" ca="1" si="13"/>
        <v>5601.5663244449997</v>
      </c>
      <c r="U111" s="557"/>
      <c r="V111" s="296" t="s">
        <v>1042</v>
      </c>
      <c r="W111" s="295"/>
      <c r="X111" s="295"/>
      <c r="Y111" s="295"/>
    </row>
    <row r="112" spans="1:25" s="561" customFormat="1">
      <c r="A112" s="440" t="str">
        <f>IF(B112="","",IFERROR(MATCH(B112,'Data Processing'!$C:$C,0),""))</f>
        <v/>
      </c>
      <c r="B112" s="548"/>
      <c r="C112" s="549" t="s">
        <v>51</v>
      </c>
      <c r="D112" s="488"/>
      <c r="E112" s="488">
        <f>-INDEX('Data Processing'!CX:CX,$A110)</f>
        <v>1E-8</v>
      </c>
      <c r="F112" s="488">
        <f>-INDEX('Data Processing'!CY:CY,$A110)</f>
        <v>0</v>
      </c>
      <c r="G112" s="488">
        <f>-INDEX('Data Processing'!CZ:CZ,$A110)</f>
        <v>0</v>
      </c>
      <c r="H112" s="488">
        <f>-INDEX('Data Processing'!DA:DA,$A110)</f>
        <v>0</v>
      </c>
      <c r="I112" s="488">
        <f>-INDEX('Data Processing'!DB:DB,$A110)</f>
        <v>0</v>
      </c>
      <c r="J112" s="488">
        <f>-INDEX('Data Processing'!DC:DC,$A110)</f>
        <v>0</v>
      </c>
      <c r="K112" s="488">
        <f>-INDEX('Data Processing'!DD:DD,$A110)</f>
        <v>0</v>
      </c>
      <c r="L112" s="488">
        <f>-INDEX('Data Processing'!DE:DE,$A110)</f>
        <v>0</v>
      </c>
      <c r="M112" s="488">
        <f>-INDEX('Data Processing'!DF:DF,$A110)</f>
        <v>60</v>
      </c>
      <c r="N112" s="488">
        <f>-INDEX('Data Processing'!DG:DG,$A110)</f>
        <v>0</v>
      </c>
      <c r="O112" s="488">
        <f>-INDEX('Data Processing'!DH:DH,$A110)</f>
        <v>0</v>
      </c>
      <c r="P112" s="488">
        <f>-INDEX('Data Processing'!DI:DI,$A110)</f>
        <v>0</v>
      </c>
      <c r="Q112" s="488">
        <f>-INDEX('Data Processing'!DJ:DJ,$A110)</f>
        <v>0</v>
      </c>
      <c r="R112" s="488">
        <f>-INDEX('Data Processing'!DK:DK,$A110)</f>
        <v>0</v>
      </c>
      <c r="S112" s="488">
        <f>-INDEX('Data Processing'!DL:DL,$A110)</f>
        <v>0</v>
      </c>
      <c r="T112" s="550">
        <f>-INDEX('Data Processing'!DM:DM,$A110)</f>
        <v>0</v>
      </c>
      <c r="U112" s="551"/>
      <c r="V112" s="271"/>
      <c r="W112" s="272"/>
      <c r="X112" s="272"/>
      <c r="Y112" s="272"/>
    </row>
    <row r="113" spans="1:25" s="561" customFormat="1">
      <c r="A113" s="440" t="str">
        <f>IF(B113="","",IFERROR(MATCH(B113,'Data Processing'!$C:$C,0),""))</f>
        <v/>
      </c>
      <c r="B113" s="548"/>
      <c r="C113" s="552" t="s">
        <v>50</v>
      </c>
      <c r="D113" s="502"/>
      <c r="E113" s="553">
        <f ca="1">INDEX('Data Processing'!BU:BU,$A110)</f>
        <v>0.5</v>
      </c>
      <c r="F113" s="553">
        <f ca="1">INDEX('Data Processing'!BV:BV,$A110)</f>
        <v>0.5</v>
      </c>
      <c r="G113" s="553">
        <f ca="1">INDEX('Data Processing'!BW:BW,$A110)</f>
        <v>0.5</v>
      </c>
      <c r="H113" s="553">
        <f ca="1">INDEX('Data Processing'!BX:BX,$A110)</f>
        <v>0.5</v>
      </c>
      <c r="I113" s="553">
        <f ca="1">INDEX('Data Processing'!BY:BY,$A110)</f>
        <v>0.5</v>
      </c>
      <c r="J113" s="553">
        <f ca="1">INDEX('Data Processing'!BZ:BZ,$A110)</f>
        <v>0.5</v>
      </c>
      <c r="K113" s="553">
        <f ca="1">INDEX('Data Processing'!CA:CA,$A110)</f>
        <v>0.5</v>
      </c>
      <c r="L113" s="553">
        <f ca="1">INDEX('Data Processing'!CB:CB,$A110)</f>
        <v>0.5</v>
      </c>
      <c r="M113" s="553">
        <f ca="1">INDEX('Data Processing'!CC:CC,$A110)</f>
        <v>0.5</v>
      </c>
      <c r="N113" s="553">
        <f ca="1">INDEX('Data Processing'!CD:CD,$A110)</f>
        <v>0.5</v>
      </c>
      <c r="O113" s="553">
        <f ca="1">INDEX('Data Processing'!CE:CE,$A110)</f>
        <v>0.5</v>
      </c>
      <c r="P113" s="553">
        <f ca="1">INDEX('Data Processing'!CF:CF,$A110)</f>
        <v>0.5</v>
      </c>
      <c r="Q113" s="553">
        <f ca="1">INDEX('Data Processing'!CG:CG,$A110)</f>
        <v>0.5</v>
      </c>
      <c r="R113" s="553">
        <f ca="1">INDEX('Data Processing'!CH:CH,$A110)</f>
        <v>0.5</v>
      </c>
      <c r="S113" s="553">
        <f ca="1">INDEX('Data Processing'!CI:CI,$A110)</f>
        <v>0.5</v>
      </c>
      <c r="T113" s="554">
        <f ca="1">INDEX('Data Processing'!CJ:CJ,$A110)</f>
        <v>0.5</v>
      </c>
      <c r="U113" s="555"/>
      <c r="V113" s="271"/>
      <c r="W113" s="272"/>
      <c r="X113" s="272"/>
      <c r="Y113" s="272"/>
    </row>
    <row r="114" spans="1:25" s="562" customFormat="1">
      <c r="A114" s="440" t="str">
        <f>IF(B114="","",IFERROR(MATCH(B114,'Data Processing'!$C:$C,0),""))</f>
        <v/>
      </c>
      <c r="B114" s="522"/>
      <c r="C114" s="523" t="s">
        <v>1015</v>
      </c>
      <c r="D114" s="488"/>
      <c r="E114" s="489">
        <f ca="1">-INDEX('Data Processing'!AS:AS,$A110)</f>
        <v>5.0004018703475595E-9</v>
      </c>
      <c r="F114" s="489">
        <f ca="1">-INDEX('Data Processing'!AT:AT,$A110)</f>
        <v>0</v>
      </c>
      <c r="G114" s="489">
        <f ca="1">-INDEX('Data Processing'!AU:AU,$A110)</f>
        <v>0</v>
      </c>
      <c r="H114" s="489">
        <f ca="1">-INDEX('Data Processing'!AV:AV,$A110)</f>
        <v>0</v>
      </c>
      <c r="I114" s="489">
        <f ca="1">-INDEX('Data Processing'!AW:AW,$A110)</f>
        <v>0</v>
      </c>
      <c r="J114" s="489">
        <f ca="1">-INDEX('Data Processing'!AX:AX,$A110)</f>
        <v>0</v>
      </c>
      <c r="K114" s="489">
        <f ca="1">-INDEX('Data Processing'!AY:AY,$A110)</f>
        <v>0</v>
      </c>
      <c r="L114" s="489">
        <f ca="1">-INDEX('Data Processing'!AZ:AZ,$A110)</f>
        <v>0</v>
      </c>
      <c r="M114" s="489">
        <f ca="1">-INDEX('Data Processing'!BA:BA,$A110)</f>
        <v>30</v>
      </c>
      <c r="N114" s="489">
        <f ca="1">-INDEX('Data Processing'!BB:BB,$A110)</f>
        <v>0</v>
      </c>
      <c r="O114" s="489">
        <f ca="1">-INDEX('Data Processing'!BC:BC,$A110)</f>
        <v>0</v>
      </c>
      <c r="P114" s="489">
        <f ca="1">-INDEX('Data Processing'!BD:BD,$A110)</f>
        <v>0</v>
      </c>
      <c r="Q114" s="489">
        <f ca="1">-INDEX('Data Processing'!BE:BE,$A110)</f>
        <v>0</v>
      </c>
      <c r="R114" s="489">
        <f ca="1">-INDEX('Data Processing'!BF:BF,$A110)</f>
        <v>0</v>
      </c>
      <c r="S114" s="489">
        <f ca="1">-INDEX('Data Processing'!BG:BG,$A110)</f>
        <v>0</v>
      </c>
      <c r="T114" s="490">
        <f ca="1">-INDEX('Data Processing'!BH:BH,$A110)</f>
        <v>0</v>
      </c>
      <c r="U114" s="557"/>
      <c r="V114" s="120"/>
      <c r="W114" s="219"/>
      <c r="X114" s="219"/>
      <c r="Y114" s="219"/>
    </row>
    <row r="115" spans="1:25" s="562" customFormat="1">
      <c r="A115" s="440" t="str">
        <f>IF(B115="","",IFERROR(MATCH(B115,'Data Processing'!$C:$C,0),""))</f>
        <v/>
      </c>
      <c r="B115" s="522"/>
      <c r="C115" s="558" t="s">
        <v>1012</v>
      </c>
      <c r="D115" s="503"/>
      <c r="E115" s="559">
        <f t="shared" ref="E115:T115" ca="1" si="14">E111-E114</f>
        <v>5631.5663244399993</v>
      </c>
      <c r="F115" s="559">
        <f t="shared" ca="1" si="14"/>
        <v>5631.5663244449997</v>
      </c>
      <c r="G115" s="559">
        <f t="shared" ca="1" si="14"/>
        <v>5631.5663244449997</v>
      </c>
      <c r="H115" s="559">
        <f t="shared" ca="1" si="14"/>
        <v>5631.5663244449997</v>
      </c>
      <c r="I115" s="559">
        <f t="shared" ca="1" si="14"/>
        <v>5631.5663244449997</v>
      </c>
      <c r="J115" s="559">
        <f t="shared" ca="1" si="14"/>
        <v>5631.5663244449997</v>
      </c>
      <c r="K115" s="559">
        <f t="shared" ca="1" si="14"/>
        <v>5631.5663244449997</v>
      </c>
      <c r="L115" s="559">
        <f t="shared" ca="1" si="14"/>
        <v>5631.5663244449997</v>
      </c>
      <c r="M115" s="559">
        <f t="shared" ca="1" si="14"/>
        <v>5571.5663244449997</v>
      </c>
      <c r="N115" s="559">
        <f t="shared" ca="1" si="14"/>
        <v>5601.5663244449997</v>
      </c>
      <c r="O115" s="559">
        <f t="shared" ca="1" si="14"/>
        <v>5601.5663244449997</v>
      </c>
      <c r="P115" s="559">
        <f t="shared" ca="1" si="14"/>
        <v>5601.5663244449997</v>
      </c>
      <c r="Q115" s="559">
        <f t="shared" ca="1" si="14"/>
        <v>5601.5663244449997</v>
      </c>
      <c r="R115" s="559">
        <f t="shared" ca="1" si="14"/>
        <v>5601.5663244449997</v>
      </c>
      <c r="S115" s="559">
        <f t="shared" ca="1" si="14"/>
        <v>5601.5663244449997</v>
      </c>
      <c r="T115" s="560">
        <f t="shared" ca="1" si="14"/>
        <v>5601.5663244449997</v>
      </c>
      <c r="U115" s="557"/>
      <c r="V115" s="120"/>
      <c r="W115" s="219"/>
      <c r="X115" s="219"/>
      <c r="Y115" s="219"/>
    </row>
    <row r="116" spans="1:25" s="219" customFormat="1">
      <c r="A116">
        <f>IF(B116="","",IFERROR(MATCH(B116,'Data Processing'!$C:$C,0),""))</f>
        <v>12</v>
      </c>
      <c r="B116" s="215" t="s">
        <v>1060</v>
      </c>
      <c r="C116" s="216" t="str">
        <f>INDEX('Data Processing'!$G:$G,A116)</f>
        <v xml:space="preserve"> Syndications - Non U.S. customers (240)</v>
      </c>
      <c r="D116" s="249">
        <f>-INDEX('Data Processing'!O:O,$A116)</f>
        <v>1355.7736293799999</v>
      </c>
      <c r="E116" s="128">
        <f ca="1">-INDEX('Data Processing'!P:P,$A116)</f>
        <v>1355.7736293799999</v>
      </c>
      <c r="F116" s="128">
        <f ca="1">-INDEX('Data Processing'!Q:Q,$A116)</f>
        <v>1355.7736293799999</v>
      </c>
      <c r="G116" s="128">
        <f ca="1">-INDEX('Data Processing'!R:R,$A116)</f>
        <v>1355.7736293799999</v>
      </c>
      <c r="H116" s="128">
        <f ca="1">-INDEX('Data Processing'!S:S,$A116)</f>
        <v>1355.7736293799999</v>
      </c>
      <c r="I116" s="128">
        <f ca="1">-INDEX('Data Processing'!T:T,$A116)</f>
        <v>1355.7736293799999</v>
      </c>
      <c r="J116" s="128">
        <f ca="1">-INDEX('Data Processing'!U:U,$A116)</f>
        <v>1355.7736293799999</v>
      </c>
      <c r="K116" s="128">
        <f ca="1">-INDEX('Data Processing'!V:V,$A116)</f>
        <v>1355.7736293799999</v>
      </c>
      <c r="L116" s="128">
        <f ca="1">-INDEX('Data Processing'!W:W,$A116)</f>
        <v>1355.7736293799999</v>
      </c>
      <c r="M116" s="128">
        <f ca="1">-INDEX('Data Processing'!X:X,$A116)</f>
        <v>1355.7736293799999</v>
      </c>
      <c r="N116" s="128">
        <f ca="1">-INDEX('Data Processing'!Y:Y,$A116)</f>
        <v>1355.7736293799999</v>
      </c>
      <c r="O116" s="128">
        <f ca="1">-INDEX('Data Processing'!Z:Z,$A116)</f>
        <v>1355.7736293799999</v>
      </c>
      <c r="P116" s="128">
        <f ca="1">-INDEX('Data Processing'!AA:AA,$A116)</f>
        <v>1355.7736293799999</v>
      </c>
      <c r="Q116" s="128">
        <f ca="1">-INDEX('Data Processing'!AB:AB,$A116)</f>
        <v>1355.7736293799999</v>
      </c>
      <c r="R116" s="128">
        <f ca="1">-INDEX('Data Processing'!AC:AC,$A116)</f>
        <v>1355.7736293799999</v>
      </c>
      <c r="S116" s="128">
        <f ca="1">-INDEX('Data Processing'!AD:AD,$A116)</f>
        <v>1355.7736293799999</v>
      </c>
      <c r="T116" s="220">
        <f ca="1">-INDEX('Data Processing'!AE:AE,$A116)</f>
        <v>1355.7736293799999</v>
      </c>
      <c r="U116" s="218"/>
      <c r="V116" s="120" t="s">
        <v>1009</v>
      </c>
    </row>
    <row r="117" spans="1:25" s="562" customFormat="1">
      <c r="A117" s="440" t="str">
        <f>IF(B117="","",IFERROR(MATCH(B117,'Data Processing'!$C:$C,0),""))</f>
        <v/>
      </c>
      <c r="B117" s="522"/>
      <c r="C117" s="565" t="s">
        <v>1005</v>
      </c>
      <c r="D117" s="488"/>
      <c r="E117" s="489">
        <f t="shared" ref="E117:T117" ca="1" si="15">E116</f>
        <v>1355.7736293799999</v>
      </c>
      <c r="F117" s="489">
        <f t="shared" ca="1" si="15"/>
        <v>1355.7736293799999</v>
      </c>
      <c r="G117" s="489">
        <f t="shared" ca="1" si="15"/>
        <v>1355.7736293799999</v>
      </c>
      <c r="H117" s="489">
        <f t="shared" ca="1" si="15"/>
        <v>1355.7736293799999</v>
      </c>
      <c r="I117" s="489">
        <f t="shared" ca="1" si="15"/>
        <v>1355.7736293799999</v>
      </c>
      <c r="J117" s="489">
        <f t="shared" ca="1" si="15"/>
        <v>1355.7736293799999</v>
      </c>
      <c r="K117" s="489">
        <f t="shared" ca="1" si="15"/>
        <v>1355.7736293799999</v>
      </c>
      <c r="L117" s="489">
        <f t="shared" ca="1" si="15"/>
        <v>1355.7736293799999</v>
      </c>
      <c r="M117" s="489">
        <f t="shared" ca="1" si="15"/>
        <v>1355.7736293799999</v>
      </c>
      <c r="N117" s="489">
        <f t="shared" ca="1" si="15"/>
        <v>1355.7736293799999</v>
      </c>
      <c r="O117" s="489">
        <f t="shared" ca="1" si="15"/>
        <v>1355.7736293799999</v>
      </c>
      <c r="P117" s="489">
        <f t="shared" ca="1" si="15"/>
        <v>1355.7736293799999</v>
      </c>
      <c r="Q117" s="489">
        <f t="shared" ca="1" si="15"/>
        <v>1355.7736293799999</v>
      </c>
      <c r="R117" s="489">
        <f t="shared" ca="1" si="15"/>
        <v>1355.7736293799999</v>
      </c>
      <c r="S117" s="489">
        <f t="shared" ca="1" si="15"/>
        <v>1355.7736293799999</v>
      </c>
      <c r="T117" s="490">
        <f t="shared" ca="1" si="15"/>
        <v>1355.7736293799999</v>
      </c>
      <c r="U117" s="557"/>
      <c r="V117" s="296" t="s">
        <v>1042</v>
      </c>
      <c r="W117" s="295"/>
      <c r="X117" s="295"/>
      <c r="Y117" s="295"/>
    </row>
    <row r="118" spans="1:25" s="561" customFormat="1">
      <c r="A118" s="440" t="str">
        <f>IF(B118="","",IFERROR(MATCH(B118,'Data Processing'!$C:$C,0),""))</f>
        <v/>
      </c>
      <c r="B118" s="548"/>
      <c r="C118" s="549" t="s">
        <v>51</v>
      </c>
      <c r="D118" s="488"/>
      <c r="E118" s="488">
        <f>-INDEX('Data Processing'!CX:CX,$A116)</f>
        <v>0</v>
      </c>
      <c r="F118" s="488">
        <f>-INDEX('Data Processing'!CY:CY,$A116)</f>
        <v>0</v>
      </c>
      <c r="G118" s="488">
        <f>-INDEX('Data Processing'!CZ:CZ,$A116)</f>
        <v>0</v>
      </c>
      <c r="H118" s="488">
        <f>-INDEX('Data Processing'!DA:DA,$A116)</f>
        <v>0</v>
      </c>
      <c r="I118" s="488">
        <f>-INDEX('Data Processing'!DB:DB,$A116)</f>
        <v>0</v>
      </c>
      <c r="J118" s="488">
        <f>-INDEX('Data Processing'!DC:DC,$A116)</f>
        <v>0</v>
      </c>
      <c r="K118" s="488">
        <f>-INDEX('Data Processing'!DD:DD,$A116)</f>
        <v>0</v>
      </c>
      <c r="L118" s="488">
        <f>-INDEX('Data Processing'!DE:DE,$A116)</f>
        <v>0</v>
      </c>
      <c r="M118" s="488">
        <f>-INDEX('Data Processing'!DF:DF,$A116)</f>
        <v>0</v>
      </c>
      <c r="N118" s="488">
        <f>-INDEX('Data Processing'!DG:DG,$A116)</f>
        <v>0</v>
      </c>
      <c r="O118" s="488">
        <f>-INDEX('Data Processing'!DH:DH,$A116)</f>
        <v>0</v>
      </c>
      <c r="P118" s="488">
        <f>-INDEX('Data Processing'!DI:DI,$A116)</f>
        <v>0</v>
      </c>
      <c r="Q118" s="488">
        <f>-INDEX('Data Processing'!DJ:DJ,$A116)</f>
        <v>0</v>
      </c>
      <c r="R118" s="488">
        <f>-INDEX('Data Processing'!DK:DK,$A116)</f>
        <v>0</v>
      </c>
      <c r="S118" s="488">
        <f>-INDEX('Data Processing'!DL:DL,$A116)</f>
        <v>0</v>
      </c>
      <c r="T118" s="550">
        <f>-INDEX('Data Processing'!DM:DM,$A116)</f>
        <v>0</v>
      </c>
      <c r="U118" s="551"/>
      <c r="V118" s="271"/>
      <c r="W118" s="272"/>
      <c r="X118" s="272"/>
      <c r="Y118" s="272"/>
    </row>
    <row r="119" spans="1:25" s="561" customFormat="1">
      <c r="A119" s="440" t="str">
        <f>IF(B119="","",IFERROR(MATCH(B119,'Data Processing'!$C:$C,0),""))</f>
        <v/>
      </c>
      <c r="B119" s="548"/>
      <c r="C119" s="552" t="s">
        <v>50</v>
      </c>
      <c r="D119" s="502"/>
      <c r="E119" s="553">
        <f ca="1">INDEX('Data Processing'!BU:BU,$A116)</f>
        <v>0.5</v>
      </c>
      <c r="F119" s="553">
        <f ca="1">INDEX('Data Processing'!BV:BV,$A116)</f>
        <v>0.5</v>
      </c>
      <c r="G119" s="553">
        <f ca="1">INDEX('Data Processing'!BW:BW,$A116)</f>
        <v>0.5</v>
      </c>
      <c r="H119" s="553">
        <f ca="1">INDEX('Data Processing'!BX:BX,$A116)</f>
        <v>0.5</v>
      </c>
      <c r="I119" s="553">
        <f ca="1">INDEX('Data Processing'!BY:BY,$A116)</f>
        <v>0.5</v>
      </c>
      <c r="J119" s="553">
        <f ca="1">INDEX('Data Processing'!BZ:BZ,$A116)</f>
        <v>0.5</v>
      </c>
      <c r="K119" s="553">
        <f ca="1">INDEX('Data Processing'!CA:CA,$A116)</f>
        <v>0.5</v>
      </c>
      <c r="L119" s="553">
        <f ca="1">INDEX('Data Processing'!CB:CB,$A116)</f>
        <v>0.5</v>
      </c>
      <c r="M119" s="553">
        <f ca="1">INDEX('Data Processing'!CC:CC,$A116)</f>
        <v>0.5</v>
      </c>
      <c r="N119" s="553">
        <f ca="1">INDEX('Data Processing'!CD:CD,$A116)</f>
        <v>0.5</v>
      </c>
      <c r="O119" s="553">
        <f ca="1">INDEX('Data Processing'!CE:CE,$A116)</f>
        <v>0.5</v>
      </c>
      <c r="P119" s="553">
        <f ca="1">INDEX('Data Processing'!CF:CF,$A116)</f>
        <v>0.5</v>
      </c>
      <c r="Q119" s="553">
        <f ca="1">INDEX('Data Processing'!CG:CG,$A116)</f>
        <v>0.5</v>
      </c>
      <c r="R119" s="553">
        <f ca="1">INDEX('Data Processing'!CH:CH,$A116)</f>
        <v>0.5</v>
      </c>
      <c r="S119" s="553">
        <f ca="1">INDEX('Data Processing'!CI:CI,$A116)</f>
        <v>0.5</v>
      </c>
      <c r="T119" s="554">
        <f ca="1">INDEX('Data Processing'!CJ:CJ,$A116)</f>
        <v>0.5</v>
      </c>
      <c r="U119" s="555"/>
      <c r="V119" s="271"/>
      <c r="W119" s="272"/>
      <c r="X119" s="272"/>
      <c r="Y119" s="272"/>
    </row>
    <row r="120" spans="1:25" s="562" customFormat="1">
      <c r="A120" s="440" t="str">
        <f>IF(B120="","",IFERROR(MATCH(B120,'Data Processing'!$C:$C,0),""))</f>
        <v/>
      </c>
      <c r="B120" s="522"/>
      <c r="C120" s="523" t="s">
        <v>1015</v>
      </c>
      <c r="D120" s="488"/>
      <c r="E120" s="489">
        <f ca="1">-INDEX('Data Processing'!AS:AS,$A116)</f>
        <v>0</v>
      </c>
      <c r="F120" s="489">
        <f ca="1">-INDEX('Data Processing'!AT:AT,$A116)</f>
        <v>0</v>
      </c>
      <c r="G120" s="489">
        <f ca="1">-INDEX('Data Processing'!AU:AU,$A116)</f>
        <v>0</v>
      </c>
      <c r="H120" s="489">
        <f ca="1">-INDEX('Data Processing'!AV:AV,$A116)</f>
        <v>0</v>
      </c>
      <c r="I120" s="489">
        <f ca="1">-INDEX('Data Processing'!AW:AW,$A116)</f>
        <v>0</v>
      </c>
      <c r="J120" s="489">
        <f ca="1">-INDEX('Data Processing'!AX:AX,$A116)</f>
        <v>0</v>
      </c>
      <c r="K120" s="489">
        <f ca="1">-INDEX('Data Processing'!AY:AY,$A116)</f>
        <v>0</v>
      </c>
      <c r="L120" s="489">
        <f ca="1">-INDEX('Data Processing'!AZ:AZ,$A116)</f>
        <v>0</v>
      </c>
      <c r="M120" s="489">
        <f ca="1">-INDEX('Data Processing'!BA:BA,$A116)</f>
        <v>0</v>
      </c>
      <c r="N120" s="489">
        <f ca="1">-INDEX('Data Processing'!BB:BB,$A116)</f>
        <v>0</v>
      </c>
      <c r="O120" s="489">
        <f ca="1">-INDEX('Data Processing'!BC:BC,$A116)</f>
        <v>0</v>
      </c>
      <c r="P120" s="489">
        <f ca="1">-INDEX('Data Processing'!BD:BD,$A116)</f>
        <v>0</v>
      </c>
      <c r="Q120" s="489">
        <f ca="1">-INDEX('Data Processing'!BE:BE,$A116)</f>
        <v>0</v>
      </c>
      <c r="R120" s="489">
        <f ca="1">-INDEX('Data Processing'!BF:BF,$A116)</f>
        <v>0</v>
      </c>
      <c r="S120" s="489">
        <f ca="1">-INDEX('Data Processing'!BG:BG,$A116)</f>
        <v>0</v>
      </c>
      <c r="T120" s="490">
        <f ca="1">-INDEX('Data Processing'!BH:BH,$A116)</f>
        <v>0</v>
      </c>
      <c r="U120" s="557"/>
      <c r="V120" s="120"/>
      <c r="W120" s="219"/>
      <c r="X120" s="219"/>
      <c r="Y120" s="219"/>
    </row>
    <row r="121" spans="1:25" s="562" customFormat="1">
      <c r="A121" s="440" t="str">
        <f>IF(B121="","",IFERROR(MATCH(B121,'Data Processing'!$C:$C,0),""))</f>
        <v/>
      </c>
      <c r="B121" s="574"/>
      <c r="C121" s="558" t="s">
        <v>1012</v>
      </c>
      <c r="D121" s="503"/>
      <c r="E121" s="559">
        <f t="shared" ref="E121:T121" ca="1" si="16">E117-E120</f>
        <v>1355.7736293799999</v>
      </c>
      <c r="F121" s="559">
        <f t="shared" ca="1" si="16"/>
        <v>1355.7736293799999</v>
      </c>
      <c r="G121" s="559">
        <f t="shared" ca="1" si="16"/>
        <v>1355.7736293799999</v>
      </c>
      <c r="H121" s="559">
        <f t="shared" ca="1" si="16"/>
        <v>1355.7736293799999</v>
      </c>
      <c r="I121" s="559">
        <f t="shared" ca="1" si="16"/>
        <v>1355.7736293799999</v>
      </c>
      <c r="J121" s="559">
        <f t="shared" ca="1" si="16"/>
        <v>1355.7736293799999</v>
      </c>
      <c r="K121" s="559">
        <f t="shared" ca="1" si="16"/>
        <v>1355.7736293799999</v>
      </c>
      <c r="L121" s="559">
        <f t="shared" ca="1" si="16"/>
        <v>1355.7736293799999</v>
      </c>
      <c r="M121" s="559">
        <f t="shared" ca="1" si="16"/>
        <v>1355.7736293799999</v>
      </c>
      <c r="N121" s="559">
        <f t="shared" ca="1" si="16"/>
        <v>1355.7736293799999</v>
      </c>
      <c r="O121" s="559">
        <f t="shared" ca="1" si="16"/>
        <v>1355.7736293799999</v>
      </c>
      <c r="P121" s="559">
        <f t="shared" ca="1" si="16"/>
        <v>1355.7736293799999</v>
      </c>
      <c r="Q121" s="559">
        <f t="shared" ca="1" si="16"/>
        <v>1355.7736293799999</v>
      </c>
      <c r="R121" s="559">
        <f t="shared" ca="1" si="16"/>
        <v>1355.7736293799999</v>
      </c>
      <c r="S121" s="559">
        <f t="shared" ca="1" si="16"/>
        <v>1355.7736293799999</v>
      </c>
      <c r="T121" s="560">
        <f t="shared" ca="1" si="16"/>
        <v>1355.7736293799999</v>
      </c>
      <c r="U121" s="557"/>
      <c r="V121" s="120"/>
      <c r="W121" s="219"/>
      <c r="X121" s="219"/>
      <c r="Y121" s="219"/>
    </row>
    <row r="122" spans="1:25" s="126" customFormat="1" ht="16.149999999999999" customHeight="1">
      <c r="A122">
        <f>IF(B122="","",IFERROR(MATCH(B122,'Data Processing'!$C:$C,0),""))</f>
        <v>13</v>
      </c>
      <c r="B122" s="215" t="s">
        <v>1061</v>
      </c>
      <c r="C122" s="223" t="str">
        <f>INDEX('Data Processing'!$G:$G,A122)</f>
        <v>Time -Secured Non U.S. (380)</v>
      </c>
      <c r="D122" s="249">
        <f>-INDEX('Data Processing'!O:O,$A122)</f>
        <v>2136.7882296600001</v>
      </c>
      <c r="E122" s="128">
        <f ca="1">-INDEX('Data Processing'!P:P,$A122)</f>
        <v>2136.7882296600001</v>
      </c>
      <c r="F122" s="128">
        <f ca="1">-INDEX('Data Processing'!Q:Q,$A122)</f>
        <v>2136.7882296600001</v>
      </c>
      <c r="G122" s="128">
        <f ca="1">-INDEX('Data Processing'!R:R,$A122)</f>
        <v>2136.7882296600001</v>
      </c>
      <c r="H122" s="128">
        <f ca="1">-INDEX('Data Processing'!S:S,$A122)</f>
        <v>2136.7882296600001</v>
      </c>
      <c r="I122" s="128">
        <f ca="1">-INDEX('Data Processing'!T:T,$A122)</f>
        <v>2136.7882296600001</v>
      </c>
      <c r="J122" s="128">
        <f ca="1">-INDEX('Data Processing'!U:U,$A122)</f>
        <v>2136.7882296600001</v>
      </c>
      <c r="K122" s="128">
        <f ca="1">-INDEX('Data Processing'!V:V,$A122)</f>
        <v>2136.7882296600001</v>
      </c>
      <c r="L122" s="128">
        <f ca="1">-INDEX('Data Processing'!W:W,$A122)</f>
        <v>2136.7882296600001</v>
      </c>
      <c r="M122" s="128">
        <f ca="1">-INDEX('Data Processing'!X:X,$A122)</f>
        <v>2136.7882296600001</v>
      </c>
      <c r="N122" s="128">
        <f ca="1">-INDEX('Data Processing'!Y:Y,$A122)</f>
        <v>2106.7882296600001</v>
      </c>
      <c r="O122" s="128">
        <f ca="1">-INDEX('Data Processing'!Z:Z,$A122)</f>
        <v>2106.7882296600001</v>
      </c>
      <c r="P122" s="128">
        <f ca="1">-INDEX('Data Processing'!AA:AA,$A122)</f>
        <v>2106.7882296600001</v>
      </c>
      <c r="Q122" s="128">
        <f ca="1">-INDEX('Data Processing'!AB:AB,$A122)</f>
        <v>2106.7882296600001</v>
      </c>
      <c r="R122" s="128">
        <f ca="1">-INDEX('Data Processing'!AC:AC,$A122)</f>
        <v>2106.7882296600001</v>
      </c>
      <c r="S122" s="128">
        <f ca="1">-INDEX('Data Processing'!AD:AD,$A122)</f>
        <v>2106.7882296600001</v>
      </c>
      <c r="T122" s="129">
        <f ca="1">-INDEX('Data Processing'!AE:AE,$A122)</f>
        <v>2106.7882296600001</v>
      </c>
      <c r="U122" s="125"/>
      <c r="V122" s="120"/>
    </row>
    <row r="123" spans="1:25" s="562" customFormat="1">
      <c r="A123" s="440" t="str">
        <f>IF(B123="","",IFERROR(MATCH(B123,'Data Processing'!$C:$C,0),""))</f>
        <v/>
      </c>
      <c r="B123" s="522"/>
      <c r="C123" s="565" t="s">
        <v>1005</v>
      </c>
      <c r="D123" s="488"/>
      <c r="E123" s="489">
        <f t="shared" ref="E123:T123" ca="1" si="17">E122</f>
        <v>2136.7882296600001</v>
      </c>
      <c r="F123" s="489">
        <f t="shared" ca="1" si="17"/>
        <v>2136.7882296600001</v>
      </c>
      <c r="G123" s="489">
        <f t="shared" ca="1" si="17"/>
        <v>2136.7882296600001</v>
      </c>
      <c r="H123" s="489">
        <f t="shared" ca="1" si="17"/>
        <v>2136.7882296600001</v>
      </c>
      <c r="I123" s="489">
        <f t="shared" ca="1" si="17"/>
        <v>2136.7882296600001</v>
      </c>
      <c r="J123" s="489">
        <f t="shared" ca="1" si="17"/>
        <v>2136.7882296600001</v>
      </c>
      <c r="K123" s="489">
        <f t="shared" ca="1" si="17"/>
        <v>2136.7882296600001</v>
      </c>
      <c r="L123" s="489">
        <f t="shared" ca="1" si="17"/>
        <v>2136.7882296600001</v>
      </c>
      <c r="M123" s="489">
        <f t="shared" ca="1" si="17"/>
        <v>2136.7882296600001</v>
      </c>
      <c r="N123" s="489">
        <f t="shared" ca="1" si="17"/>
        <v>2106.7882296600001</v>
      </c>
      <c r="O123" s="489">
        <f t="shared" ca="1" si="17"/>
        <v>2106.7882296600001</v>
      </c>
      <c r="P123" s="489">
        <f t="shared" ca="1" si="17"/>
        <v>2106.7882296600001</v>
      </c>
      <c r="Q123" s="489">
        <f t="shared" ca="1" si="17"/>
        <v>2106.7882296600001</v>
      </c>
      <c r="R123" s="489">
        <f t="shared" ca="1" si="17"/>
        <v>2106.7882296600001</v>
      </c>
      <c r="S123" s="489">
        <f t="shared" ca="1" si="17"/>
        <v>2106.7882296600001</v>
      </c>
      <c r="T123" s="490">
        <f t="shared" ca="1" si="17"/>
        <v>2106.7882296600001</v>
      </c>
      <c r="U123" s="557"/>
      <c r="V123" s="296"/>
      <c r="W123" s="295"/>
      <c r="X123" s="295"/>
      <c r="Y123" s="295"/>
    </row>
    <row r="124" spans="1:25" s="561" customFormat="1">
      <c r="A124" s="440" t="str">
        <f>IF(B124="","",IFERROR(MATCH(B124,'Data Processing'!$C:$C,0),""))</f>
        <v/>
      </c>
      <c r="B124" s="548"/>
      <c r="C124" s="567" t="s">
        <v>51</v>
      </c>
      <c r="D124" s="488"/>
      <c r="E124" s="488">
        <f>-INDEX('Data Processing'!CX:CX,$A122)</f>
        <v>0</v>
      </c>
      <c r="F124" s="488">
        <f>-INDEX('Data Processing'!CY:CY,$A122)</f>
        <v>0</v>
      </c>
      <c r="G124" s="488">
        <f>-INDEX('Data Processing'!CZ:CZ,$A122)</f>
        <v>0</v>
      </c>
      <c r="H124" s="488">
        <f>-INDEX('Data Processing'!DA:DA,$A122)</f>
        <v>0</v>
      </c>
      <c r="I124" s="488">
        <f>-INDEX('Data Processing'!DB:DB,$A122)</f>
        <v>0</v>
      </c>
      <c r="J124" s="488">
        <f>-INDEX('Data Processing'!DC:DC,$A122)</f>
        <v>0</v>
      </c>
      <c r="K124" s="488">
        <f>-INDEX('Data Processing'!DD:DD,$A122)</f>
        <v>0</v>
      </c>
      <c r="L124" s="488">
        <f>-INDEX('Data Processing'!DE:DE,$A122)</f>
        <v>0</v>
      </c>
      <c r="M124" s="488">
        <f>-INDEX('Data Processing'!DF:DF,$A122)</f>
        <v>0</v>
      </c>
      <c r="N124" s="488">
        <f>-INDEX('Data Processing'!DG:DG,$A122)</f>
        <v>60</v>
      </c>
      <c r="O124" s="488">
        <f>-INDEX('Data Processing'!DH:DH,$A122)</f>
        <v>0</v>
      </c>
      <c r="P124" s="488">
        <f>-INDEX('Data Processing'!DI:DI,$A122)</f>
        <v>0</v>
      </c>
      <c r="Q124" s="488">
        <f>-INDEX('Data Processing'!DJ:DJ,$A122)</f>
        <v>0</v>
      </c>
      <c r="R124" s="488">
        <f>-INDEX('Data Processing'!DK:DK,$A122)</f>
        <v>0</v>
      </c>
      <c r="S124" s="488">
        <f>-INDEX('Data Processing'!DL:DL,$A122)</f>
        <v>0</v>
      </c>
      <c r="T124" s="550">
        <f>-INDEX('Data Processing'!DM:DM,$A122)</f>
        <v>0</v>
      </c>
      <c r="U124" s="551"/>
      <c r="V124" s="271"/>
      <c r="W124" s="272"/>
      <c r="X124" s="272"/>
      <c r="Y124" s="272"/>
    </row>
    <row r="125" spans="1:25" s="561" customFormat="1">
      <c r="A125" s="440" t="str">
        <f>IF(B125="","",IFERROR(MATCH(B125,'Data Processing'!$C:$C,0),""))</f>
        <v/>
      </c>
      <c r="B125" s="548"/>
      <c r="C125" s="567" t="s">
        <v>50</v>
      </c>
      <c r="D125" s="502"/>
      <c r="E125" s="553">
        <f ca="1">INDEX('Data Processing'!BU:BU,$A122)</f>
        <v>0.5</v>
      </c>
      <c r="F125" s="553">
        <f ca="1">INDEX('Data Processing'!BV:BV,$A122)</f>
        <v>0.5</v>
      </c>
      <c r="G125" s="553">
        <f ca="1">INDEX('Data Processing'!BW:BW,$A122)</f>
        <v>0.5</v>
      </c>
      <c r="H125" s="553">
        <f ca="1">INDEX('Data Processing'!BX:BX,$A122)</f>
        <v>0.5</v>
      </c>
      <c r="I125" s="553">
        <f ca="1">INDEX('Data Processing'!BY:BY,$A122)</f>
        <v>0.5</v>
      </c>
      <c r="J125" s="553">
        <f ca="1">INDEX('Data Processing'!BZ:BZ,$A122)</f>
        <v>0.5</v>
      </c>
      <c r="K125" s="553">
        <f ca="1">INDEX('Data Processing'!CA:CA,$A122)</f>
        <v>0.5</v>
      </c>
      <c r="L125" s="553">
        <f ca="1">INDEX('Data Processing'!CB:CB,$A122)</f>
        <v>0.5</v>
      </c>
      <c r="M125" s="553">
        <f ca="1">INDEX('Data Processing'!CC:CC,$A122)</f>
        <v>0.5</v>
      </c>
      <c r="N125" s="553">
        <f ca="1">INDEX('Data Processing'!CD:CD,$A122)</f>
        <v>0.5</v>
      </c>
      <c r="O125" s="553">
        <f ca="1">INDEX('Data Processing'!CE:CE,$A122)</f>
        <v>0.5</v>
      </c>
      <c r="P125" s="553">
        <f ca="1">INDEX('Data Processing'!CF:CF,$A122)</f>
        <v>0.5</v>
      </c>
      <c r="Q125" s="553">
        <f ca="1">INDEX('Data Processing'!CG:CG,$A122)</f>
        <v>0.5</v>
      </c>
      <c r="R125" s="553">
        <f ca="1">INDEX('Data Processing'!CH:CH,$A122)</f>
        <v>0.5</v>
      </c>
      <c r="S125" s="553">
        <f ca="1">INDEX('Data Processing'!CI:CI,$A122)</f>
        <v>0.5</v>
      </c>
      <c r="T125" s="554">
        <f ca="1">INDEX('Data Processing'!CJ:CJ,$A122)</f>
        <v>0.5</v>
      </c>
      <c r="U125" s="555"/>
      <c r="V125" s="271"/>
      <c r="W125" s="272"/>
      <c r="X125" s="272"/>
      <c r="Y125" s="272"/>
    </row>
    <row r="126" spans="1:25" s="562" customFormat="1">
      <c r="A126" s="440" t="str">
        <f>IF(B126="","",IFERROR(MATCH(B126,'Data Processing'!$C:$C,0),""))</f>
        <v/>
      </c>
      <c r="B126" s="522"/>
      <c r="C126" s="523" t="s">
        <v>1015</v>
      </c>
      <c r="D126" s="488"/>
      <c r="E126" s="489">
        <f ca="1">-INDEX('Data Processing'!AS:AS,$A122)</f>
        <v>0</v>
      </c>
      <c r="F126" s="489">
        <f ca="1">-INDEX('Data Processing'!AT:AT,$A122)</f>
        <v>0</v>
      </c>
      <c r="G126" s="489">
        <f ca="1">-INDEX('Data Processing'!AU:AU,$A122)</f>
        <v>0</v>
      </c>
      <c r="H126" s="489">
        <f ca="1">-INDEX('Data Processing'!AV:AV,$A122)</f>
        <v>0</v>
      </c>
      <c r="I126" s="489">
        <f ca="1">-INDEX('Data Processing'!AW:AW,$A122)</f>
        <v>0</v>
      </c>
      <c r="J126" s="489">
        <f ca="1">-INDEX('Data Processing'!AX:AX,$A122)</f>
        <v>0</v>
      </c>
      <c r="K126" s="489">
        <f ca="1">-INDEX('Data Processing'!AY:AY,$A122)</f>
        <v>0</v>
      </c>
      <c r="L126" s="489">
        <f ca="1">-INDEX('Data Processing'!AZ:AZ,$A122)</f>
        <v>0</v>
      </c>
      <c r="M126" s="489">
        <f ca="1">-INDEX('Data Processing'!BA:BA,$A122)</f>
        <v>0</v>
      </c>
      <c r="N126" s="489">
        <f ca="1">-INDEX('Data Processing'!BB:BB,$A122)</f>
        <v>30</v>
      </c>
      <c r="O126" s="489">
        <f ca="1">-INDEX('Data Processing'!BC:BC,$A122)</f>
        <v>0</v>
      </c>
      <c r="P126" s="489">
        <f ca="1">-INDEX('Data Processing'!BD:BD,$A122)</f>
        <v>0</v>
      </c>
      <c r="Q126" s="489">
        <f ca="1">-INDEX('Data Processing'!BE:BE,$A122)</f>
        <v>0</v>
      </c>
      <c r="R126" s="489">
        <f ca="1">-INDEX('Data Processing'!BF:BF,$A122)</f>
        <v>0</v>
      </c>
      <c r="S126" s="489">
        <f ca="1">-INDEX('Data Processing'!BG:BG,$A122)</f>
        <v>0</v>
      </c>
      <c r="T126" s="490">
        <f ca="1">-INDEX('Data Processing'!BH:BH,$A122)</f>
        <v>0</v>
      </c>
      <c r="U126" s="557"/>
      <c r="V126" s="120"/>
      <c r="W126" s="219"/>
      <c r="X126" s="219"/>
      <c r="Y126" s="219"/>
    </row>
    <row r="127" spans="1:25" s="562" customFormat="1">
      <c r="A127" s="440" t="str">
        <f>IF(B127="","",IFERROR(MATCH(B127,'Data Processing'!$C:$C,0),""))</f>
        <v/>
      </c>
      <c r="B127" s="522"/>
      <c r="C127" s="558" t="s">
        <v>1012</v>
      </c>
      <c r="D127" s="503"/>
      <c r="E127" s="559">
        <f t="shared" ref="E127:T127" ca="1" si="18">E123-E126</f>
        <v>2136.7882296600001</v>
      </c>
      <c r="F127" s="559">
        <f t="shared" ca="1" si="18"/>
        <v>2136.7882296600001</v>
      </c>
      <c r="G127" s="559">
        <f t="shared" ca="1" si="18"/>
        <v>2136.7882296600001</v>
      </c>
      <c r="H127" s="559">
        <f t="shared" ca="1" si="18"/>
        <v>2136.7882296600001</v>
      </c>
      <c r="I127" s="559">
        <f t="shared" ca="1" si="18"/>
        <v>2136.7882296600001</v>
      </c>
      <c r="J127" s="559">
        <f t="shared" ca="1" si="18"/>
        <v>2136.7882296600001</v>
      </c>
      <c r="K127" s="559">
        <f t="shared" ca="1" si="18"/>
        <v>2136.7882296600001</v>
      </c>
      <c r="L127" s="559">
        <f t="shared" ca="1" si="18"/>
        <v>2136.7882296600001</v>
      </c>
      <c r="M127" s="559">
        <f t="shared" ca="1" si="18"/>
        <v>2136.7882296600001</v>
      </c>
      <c r="N127" s="559">
        <f t="shared" ca="1" si="18"/>
        <v>2076.7882296600001</v>
      </c>
      <c r="O127" s="559">
        <f t="shared" ca="1" si="18"/>
        <v>2106.7882296600001</v>
      </c>
      <c r="P127" s="559">
        <f t="shared" ca="1" si="18"/>
        <v>2106.7882296600001</v>
      </c>
      <c r="Q127" s="559">
        <f t="shared" ca="1" si="18"/>
        <v>2106.7882296600001</v>
      </c>
      <c r="R127" s="559">
        <f t="shared" ca="1" si="18"/>
        <v>2106.7882296600001</v>
      </c>
      <c r="S127" s="559">
        <f t="shared" ca="1" si="18"/>
        <v>2106.7882296600001</v>
      </c>
      <c r="T127" s="560">
        <f t="shared" ca="1" si="18"/>
        <v>2106.7882296600001</v>
      </c>
      <c r="U127" s="557"/>
      <c r="V127" s="120"/>
      <c r="W127" s="219"/>
      <c r="X127" s="219"/>
      <c r="Y127" s="219"/>
    </row>
    <row r="128" spans="1:25" s="126" customFormat="1" ht="31.9" customHeight="1">
      <c r="A128">
        <f>IF(B128="","",IFERROR(MATCH(B128,'Data Processing'!$C:$C,0),""))</f>
        <v>14</v>
      </c>
      <c r="B128" s="215" t="s">
        <v>1063</v>
      </c>
      <c r="C128" s="223" t="str">
        <f>INDEX('Data Processing'!$G:$G,A128)</f>
        <v>Time - unsecured U.S. (270)</v>
      </c>
      <c r="D128" s="249">
        <f>-INDEX('Data Processing'!O:O,$A128)</f>
        <v>929.72933477999993</v>
      </c>
      <c r="E128" s="128">
        <f ca="1">-INDEX('Data Processing'!P:P,$A128)</f>
        <v>929.72902574999989</v>
      </c>
      <c r="F128" s="128">
        <f ca="1">-INDEX('Data Processing'!Q:Q,$A128)</f>
        <v>929.72902574999989</v>
      </c>
      <c r="G128" s="128">
        <f ca="1">-INDEX('Data Processing'!R:R,$A128)</f>
        <v>929.72902574999989</v>
      </c>
      <c r="H128" s="128">
        <f ca="1">-INDEX('Data Processing'!S:S,$A128)</f>
        <v>929.72902574999989</v>
      </c>
      <c r="I128" s="128">
        <f ca="1">-INDEX('Data Processing'!T:T,$A128)</f>
        <v>929.72902574999989</v>
      </c>
      <c r="J128" s="128">
        <f ca="1">-INDEX('Data Processing'!U:U,$A128)</f>
        <v>929.72902574999989</v>
      </c>
      <c r="K128" s="128">
        <f ca="1">-INDEX('Data Processing'!V:V,$A128)</f>
        <v>929.72902574999989</v>
      </c>
      <c r="L128" s="128">
        <f ca="1">-INDEX('Data Processing'!W:W,$A128)</f>
        <v>929.72902574999989</v>
      </c>
      <c r="M128" s="128">
        <f ca="1">-INDEX('Data Processing'!X:X,$A128)</f>
        <v>929.72902574999989</v>
      </c>
      <c r="N128" s="128">
        <f ca="1">-INDEX('Data Processing'!Y:Y,$A128)</f>
        <v>929.72902574999989</v>
      </c>
      <c r="O128" s="128">
        <f ca="1">-INDEX('Data Processing'!Z:Z,$A128)</f>
        <v>929.72902574999989</v>
      </c>
      <c r="P128" s="128">
        <f ca="1">-INDEX('Data Processing'!AA:AA,$A128)</f>
        <v>929.72902574999989</v>
      </c>
      <c r="Q128" s="128">
        <f ca="1">-INDEX('Data Processing'!AB:AB,$A128)</f>
        <v>929.72902574999989</v>
      </c>
      <c r="R128" s="128">
        <f ca="1">-INDEX('Data Processing'!AC:AC,$A128)</f>
        <v>929.72902574999989</v>
      </c>
      <c r="S128" s="128">
        <f ca="1">-INDEX('Data Processing'!AD:AD,$A128)</f>
        <v>929.72902574999989</v>
      </c>
      <c r="T128" s="129">
        <f ca="1">-INDEX('Data Processing'!AE:AE,$A128)</f>
        <v>929.72902574999989</v>
      </c>
      <c r="U128" s="125"/>
      <c r="V128" s="120" t="s">
        <v>1010</v>
      </c>
    </row>
    <row r="129" spans="1:25" s="562" customFormat="1">
      <c r="A129" s="440" t="str">
        <f>IF(B129="","",IFERROR(MATCH(B129,'Data Processing'!$C:$C,0),""))</f>
        <v/>
      </c>
      <c r="B129" s="522"/>
      <c r="C129" s="565" t="s">
        <v>1005</v>
      </c>
      <c r="D129" s="488"/>
      <c r="E129" s="489">
        <f t="shared" ref="E129:T129" ca="1" si="19">E128</f>
        <v>929.72902574999989</v>
      </c>
      <c r="F129" s="489">
        <f t="shared" ca="1" si="19"/>
        <v>929.72902574999989</v>
      </c>
      <c r="G129" s="489">
        <f t="shared" ca="1" si="19"/>
        <v>929.72902574999989</v>
      </c>
      <c r="H129" s="489">
        <f t="shared" ca="1" si="19"/>
        <v>929.72902574999989</v>
      </c>
      <c r="I129" s="489">
        <f t="shared" ca="1" si="19"/>
        <v>929.72902574999989</v>
      </c>
      <c r="J129" s="489">
        <f t="shared" ca="1" si="19"/>
        <v>929.72902574999989</v>
      </c>
      <c r="K129" s="489">
        <f t="shared" ca="1" si="19"/>
        <v>929.72902574999989</v>
      </c>
      <c r="L129" s="489">
        <f t="shared" ca="1" si="19"/>
        <v>929.72902574999989</v>
      </c>
      <c r="M129" s="489">
        <f t="shared" ca="1" si="19"/>
        <v>929.72902574999989</v>
      </c>
      <c r="N129" s="489">
        <f t="shared" ca="1" si="19"/>
        <v>929.72902574999989</v>
      </c>
      <c r="O129" s="489">
        <f t="shared" ca="1" si="19"/>
        <v>929.72902574999989</v>
      </c>
      <c r="P129" s="489">
        <f t="shared" ca="1" si="19"/>
        <v>929.72902574999989</v>
      </c>
      <c r="Q129" s="489">
        <f t="shared" ca="1" si="19"/>
        <v>929.72902574999989</v>
      </c>
      <c r="R129" s="489">
        <f t="shared" ca="1" si="19"/>
        <v>929.72902574999989</v>
      </c>
      <c r="S129" s="489">
        <f t="shared" ca="1" si="19"/>
        <v>929.72902574999989</v>
      </c>
      <c r="T129" s="490">
        <f t="shared" ca="1" si="19"/>
        <v>929.72902574999989</v>
      </c>
      <c r="U129" s="557"/>
      <c r="V129" s="296"/>
      <c r="W129" s="295"/>
      <c r="X129" s="295"/>
      <c r="Y129" s="295"/>
    </row>
    <row r="130" spans="1:25" s="561" customFormat="1">
      <c r="A130" s="440" t="str">
        <f>IF(B130="","",IFERROR(MATCH(B130,'Data Processing'!$C:$C,0),""))</f>
        <v/>
      </c>
      <c r="B130" s="548"/>
      <c r="C130" s="567" t="s">
        <v>51</v>
      </c>
      <c r="D130" s="488"/>
      <c r="E130" s="488">
        <f>-INDEX('Data Processing'!CX:CX,$A128)</f>
        <v>6.1805999999999992E-4</v>
      </c>
      <c r="F130" s="488">
        <f>-INDEX('Data Processing'!CY:CY,$A128)</f>
        <v>0</v>
      </c>
      <c r="G130" s="488">
        <f>-INDEX('Data Processing'!CZ:CZ,$A128)</f>
        <v>0</v>
      </c>
      <c r="H130" s="488">
        <f>-INDEX('Data Processing'!DA:DA,$A128)</f>
        <v>0</v>
      </c>
      <c r="I130" s="488">
        <f>-INDEX('Data Processing'!DB:DB,$A128)</f>
        <v>0</v>
      </c>
      <c r="J130" s="488">
        <f>-INDEX('Data Processing'!DC:DC,$A128)</f>
        <v>0</v>
      </c>
      <c r="K130" s="488">
        <f>-INDEX('Data Processing'!DD:DD,$A128)</f>
        <v>0</v>
      </c>
      <c r="L130" s="488">
        <f>-INDEX('Data Processing'!DE:DE,$A128)</f>
        <v>0</v>
      </c>
      <c r="M130" s="488">
        <f>-INDEX('Data Processing'!DF:DF,$A128)</f>
        <v>0</v>
      </c>
      <c r="N130" s="488">
        <f>-INDEX('Data Processing'!DG:DG,$A128)</f>
        <v>0</v>
      </c>
      <c r="O130" s="488">
        <f>-INDEX('Data Processing'!DH:DH,$A128)</f>
        <v>0</v>
      </c>
      <c r="P130" s="488">
        <f>-INDEX('Data Processing'!DI:DI,$A128)</f>
        <v>0</v>
      </c>
      <c r="Q130" s="488">
        <f>-INDEX('Data Processing'!DJ:DJ,$A128)</f>
        <v>0</v>
      </c>
      <c r="R130" s="488">
        <f>-INDEX('Data Processing'!DK:DK,$A128)</f>
        <v>0</v>
      </c>
      <c r="S130" s="488">
        <f>-INDEX('Data Processing'!DL:DL,$A128)</f>
        <v>0</v>
      </c>
      <c r="T130" s="550">
        <f>-INDEX('Data Processing'!DM:DM,$A128)</f>
        <v>0</v>
      </c>
      <c r="U130" s="551"/>
      <c r="V130" s="271"/>
      <c r="W130" s="272"/>
      <c r="X130" s="272"/>
      <c r="Y130" s="272"/>
    </row>
    <row r="131" spans="1:25" s="561" customFormat="1">
      <c r="A131" s="440" t="str">
        <f>IF(B131="","",IFERROR(MATCH(B131,'Data Processing'!$C:$C,0),""))</f>
        <v/>
      </c>
      <c r="B131" s="548"/>
      <c r="C131" s="567" t="s">
        <v>50</v>
      </c>
      <c r="D131" s="502"/>
      <c r="E131" s="553">
        <f ca="1">INDEX('Data Processing'!BU:BU,$A128)</f>
        <v>0.5</v>
      </c>
      <c r="F131" s="553">
        <f ca="1">INDEX('Data Processing'!BV:BV,$A128)</f>
        <v>0.5</v>
      </c>
      <c r="G131" s="553">
        <f ca="1">INDEX('Data Processing'!BW:BW,$A128)</f>
        <v>0.5</v>
      </c>
      <c r="H131" s="553">
        <f ca="1">INDEX('Data Processing'!BX:BX,$A128)</f>
        <v>0.5</v>
      </c>
      <c r="I131" s="553">
        <f ca="1">INDEX('Data Processing'!BY:BY,$A128)</f>
        <v>0.5</v>
      </c>
      <c r="J131" s="553">
        <f ca="1">INDEX('Data Processing'!BZ:BZ,$A128)</f>
        <v>0.5</v>
      </c>
      <c r="K131" s="553">
        <f ca="1">INDEX('Data Processing'!CA:CA,$A128)</f>
        <v>0.5</v>
      </c>
      <c r="L131" s="553">
        <f ca="1">INDEX('Data Processing'!CB:CB,$A128)</f>
        <v>0.5</v>
      </c>
      <c r="M131" s="553">
        <f ca="1">INDEX('Data Processing'!CC:CC,$A128)</f>
        <v>0.5</v>
      </c>
      <c r="N131" s="553">
        <f ca="1">INDEX('Data Processing'!CD:CD,$A128)</f>
        <v>0.5</v>
      </c>
      <c r="O131" s="553">
        <f ca="1">INDEX('Data Processing'!CE:CE,$A128)</f>
        <v>0.5</v>
      </c>
      <c r="P131" s="553">
        <f ca="1">INDEX('Data Processing'!CF:CF,$A128)</f>
        <v>0.5</v>
      </c>
      <c r="Q131" s="553">
        <f ca="1">INDEX('Data Processing'!CG:CG,$A128)</f>
        <v>0.5</v>
      </c>
      <c r="R131" s="553">
        <f ca="1">INDEX('Data Processing'!CH:CH,$A128)</f>
        <v>0.5</v>
      </c>
      <c r="S131" s="553">
        <f ca="1">INDEX('Data Processing'!CI:CI,$A128)</f>
        <v>0.5</v>
      </c>
      <c r="T131" s="554">
        <f ca="1">INDEX('Data Processing'!CJ:CJ,$A128)</f>
        <v>0.5</v>
      </c>
      <c r="U131" s="555"/>
      <c r="V131" s="271"/>
      <c r="W131" s="272"/>
      <c r="X131" s="272"/>
      <c r="Y131" s="272"/>
    </row>
    <row r="132" spans="1:25" s="562" customFormat="1">
      <c r="A132" s="440" t="str">
        <f>IF(B132="","",IFERROR(MATCH(B132,'Data Processing'!$C:$C,0),""))</f>
        <v/>
      </c>
      <c r="B132" s="522"/>
      <c r="C132" s="523" t="s">
        <v>1015</v>
      </c>
      <c r="D132" s="488"/>
      <c r="E132" s="489">
        <f ca="1">-INDEX('Data Processing'!AS:AS,$A128)</f>
        <v>3.0903000003945635E-4</v>
      </c>
      <c r="F132" s="489">
        <f ca="1">-INDEX('Data Processing'!AT:AT,$A128)</f>
        <v>0</v>
      </c>
      <c r="G132" s="489">
        <f ca="1">-INDEX('Data Processing'!AU:AU,$A128)</f>
        <v>0</v>
      </c>
      <c r="H132" s="489">
        <f ca="1">-INDEX('Data Processing'!AV:AV,$A128)</f>
        <v>0</v>
      </c>
      <c r="I132" s="489">
        <f ca="1">-INDEX('Data Processing'!AW:AW,$A128)</f>
        <v>0</v>
      </c>
      <c r="J132" s="489">
        <f ca="1">-INDEX('Data Processing'!AX:AX,$A128)</f>
        <v>0</v>
      </c>
      <c r="K132" s="489">
        <f ca="1">-INDEX('Data Processing'!AY:AY,$A128)</f>
        <v>0</v>
      </c>
      <c r="L132" s="489">
        <f ca="1">-INDEX('Data Processing'!AZ:AZ,$A128)</f>
        <v>0</v>
      </c>
      <c r="M132" s="489">
        <f ca="1">-INDEX('Data Processing'!BA:BA,$A128)</f>
        <v>0</v>
      </c>
      <c r="N132" s="489">
        <f ca="1">-INDEX('Data Processing'!BB:BB,$A128)</f>
        <v>0</v>
      </c>
      <c r="O132" s="489">
        <f ca="1">-INDEX('Data Processing'!BC:BC,$A128)</f>
        <v>0</v>
      </c>
      <c r="P132" s="489">
        <f ca="1">-INDEX('Data Processing'!BD:BD,$A128)</f>
        <v>0</v>
      </c>
      <c r="Q132" s="489">
        <f ca="1">-INDEX('Data Processing'!BE:BE,$A128)</f>
        <v>0</v>
      </c>
      <c r="R132" s="489">
        <f ca="1">-INDEX('Data Processing'!BF:BF,$A128)</f>
        <v>0</v>
      </c>
      <c r="S132" s="489">
        <f ca="1">-INDEX('Data Processing'!BG:BG,$A128)</f>
        <v>0</v>
      </c>
      <c r="T132" s="490">
        <f ca="1">-INDEX('Data Processing'!BH:BH,$A128)</f>
        <v>0</v>
      </c>
      <c r="U132" s="557"/>
      <c r="V132" s="120"/>
      <c r="W132" s="219"/>
      <c r="X132" s="219"/>
      <c r="Y132" s="219"/>
    </row>
    <row r="133" spans="1:25" s="562" customFormat="1">
      <c r="A133" s="440" t="str">
        <f>IF(B133="","",IFERROR(MATCH(B133,'Data Processing'!$C:$C,0),""))</f>
        <v/>
      </c>
      <c r="B133" s="522"/>
      <c r="C133" s="558" t="s">
        <v>1012</v>
      </c>
      <c r="D133" s="503"/>
      <c r="E133" s="559">
        <f t="shared" ref="E133:T133" ca="1" si="20">E129-E132</f>
        <v>929.72871671999985</v>
      </c>
      <c r="F133" s="559">
        <f t="shared" ca="1" si="20"/>
        <v>929.72902574999989</v>
      </c>
      <c r="G133" s="559">
        <f t="shared" ca="1" si="20"/>
        <v>929.72902574999989</v>
      </c>
      <c r="H133" s="559">
        <f t="shared" ca="1" si="20"/>
        <v>929.72902574999989</v>
      </c>
      <c r="I133" s="559">
        <f t="shared" ca="1" si="20"/>
        <v>929.72902574999989</v>
      </c>
      <c r="J133" s="559">
        <f t="shared" ca="1" si="20"/>
        <v>929.72902574999989</v>
      </c>
      <c r="K133" s="559">
        <f t="shared" ca="1" si="20"/>
        <v>929.72902574999989</v>
      </c>
      <c r="L133" s="559">
        <f t="shared" ca="1" si="20"/>
        <v>929.72902574999989</v>
      </c>
      <c r="M133" s="559">
        <f t="shared" ca="1" si="20"/>
        <v>929.72902574999989</v>
      </c>
      <c r="N133" s="559">
        <f t="shared" ca="1" si="20"/>
        <v>929.72902574999989</v>
      </c>
      <c r="O133" s="559">
        <f t="shared" ca="1" si="20"/>
        <v>929.72902574999989</v>
      </c>
      <c r="P133" s="559">
        <f t="shared" ca="1" si="20"/>
        <v>929.72902574999989</v>
      </c>
      <c r="Q133" s="559">
        <f t="shared" ca="1" si="20"/>
        <v>929.72902574999989</v>
      </c>
      <c r="R133" s="559">
        <f t="shared" ca="1" si="20"/>
        <v>929.72902574999989</v>
      </c>
      <c r="S133" s="559">
        <f t="shared" ca="1" si="20"/>
        <v>929.72902574999989</v>
      </c>
      <c r="T133" s="560">
        <f t="shared" ca="1" si="20"/>
        <v>929.72902574999989</v>
      </c>
      <c r="U133" s="557"/>
      <c r="V133" s="120"/>
      <c r="W133" s="219"/>
      <c r="X133" s="219"/>
      <c r="Y133" s="219"/>
    </row>
    <row r="134" spans="1:25" s="126" customFormat="1" ht="31.9" customHeight="1">
      <c r="A134">
        <f>IF(B134="","",IFERROR(MATCH(B134,'Data Processing'!$C:$C,0),""))</f>
        <v>15</v>
      </c>
      <c r="B134" s="215" t="s">
        <v>1064</v>
      </c>
      <c r="C134" s="223" t="str">
        <f>INDEX('Data Processing'!$G:$G,A134)</f>
        <v>Time - secured U.S. (310)</v>
      </c>
      <c r="D134" s="249">
        <f>-INDEX('Data Processing'!O:O,$A134)</f>
        <v>1872.3040158399999</v>
      </c>
      <c r="E134" s="128">
        <f ca="1">-INDEX('Data Processing'!P:P,$A134)</f>
        <v>1872.3040158399999</v>
      </c>
      <c r="F134" s="128">
        <f ca="1">-INDEX('Data Processing'!Q:Q,$A134)</f>
        <v>1872.3040158399999</v>
      </c>
      <c r="G134" s="128">
        <f ca="1">-INDEX('Data Processing'!R:R,$A134)</f>
        <v>1872.3040158399999</v>
      </c>
      <c r="H134" s="128">
        <f ca="1">-INDEX('Data Processing'!S:S,$A134)</f>
        <v>1872.3040158399999</v>
      </c>
      <c r="I134" s="128">
        <f ca="1">-INDEX('Data Processing'!T:T,$A134)</f>
        <v>1872.3040158399999</v>
      </c>
      <c r="J134" s="128">
        <f ca="1">-INDEX('Data Processing'!U:U,$A134)</f>
        <v>1872.3040158399999</v>
      </c>
      <c r="K134" s="128">
        <f ca="1">-INDEX('Data Processing'!V:V,$A134)</f>
        <v>1872.3040158399999</v>
      </c>
      <c r="L134" s="128">
        <f ca="1">-INDEX('Data Processing'!W:W,$A134)</f>
        <v>1872.3040158399999</v>
      </c>
      <c r="M134" s="128">
        <f ca="1">-INDEX('Data Processing'!X:X,$A134)</f>
        <v>1872.3040158399999</v>
      </c>
      <c r="N134" s="128">
        <f ca="1">-INDEX('Data Processing'!Y:Y,$A134)</f>
        <v>1872.3040158399999</v>
      </c>
      <c r="O134" s="128">
        <f ca="1">-INDEX('Data Processing'!Z:Z,$A134)</f>
        <v>1872.3040158399999</v>
      </c>
      <c r="P134" s="128">
        <f ca="1">-INDEX('Data Processing'!AA:AA,$A134)</f>
        <v>1872.3040158399999</v>
      </c>
      <c r="Q134" s="128">
        <f ca="1">-INDEX('Data Processing'!AB:AB,$A134)</f>
        <v>1872.3040158399999</v>
      </c>
      <c r="R134" s="128">
        <f ca="1">-INDEX('Data Processing'!AC:AC,$A134)</f>
        <v>1872.3040158399999</v>
      </c>
      <c r="S134" s="128">
        <f ca="1">-INDEX('Data Processing'!AD:AD,$A134)</f>
        <v>1595.48401584</v>
      </c>
      <c r="T134" s="129">
        <f ca="1">-INDEX('Data Processing'!AE:AE,$A134)</f>
        <v>1595.48401584</v>
      </c>
      <c r="U134" s="125"/>
      <c r="V134" s="120" t="s">
        <v>1010</v>
      </c>
    </row>
    <row r="135" spans="1:25" s="562" customFormat="1">
      <c r="A135" s="440" t="str">
        <f>IF(B135="","",IFERROR(MATCH(B135,'Data Processing'!$C:$C,0),""))</f>
        <v/>
      </c>
      <c r="B135" s="522"/>
      <c r="C135" s="565" t="s">
        <v>1005</v>
      </c>
      <c r="D135" s="488"/>
      <c r="E135" s="489">
        <f t="shared" ref="E135:T135" ca="1" si="21">E134</f>
        <v>1872.3040158399999</v>
      </c>
      <c r="F135" s="489">
        <f t="shared" ca="1" si="21"/>
        <v>1872.3040158399999</v>
      </c>
      <c r="G135" s="489">
        <f t="shared" ca="1" si="21"/>
        <v>1872.3040158399999</v>
      </c>
      <c r="H135" s="489">
        <f t="shared" ca="1" si="21"/>
        <v>1872.3040158399999</v>
      </c>
      <c r="I135" s="489">
        <f t="shared" ca="1" si="21"/>
        <v>1872.3040158399999</v>
      </c>
      <c r="J135" s="489">
        <f t="shared" ca="1" si="21"/>
        <v>1872.3040158399999</v>
      </c>
      <c r="K135" s="489">
        <f t="shared" ca="1" si="21"/>
        <v>1872.3040158399999</v>
      </c>
      <c r="L135" s="489">
        <f t="shared" ca="1" si="21"/>
        <v>1872.3040158399999</v>
      </c>
      <c r="M135" s="489">
        <f t="shared" ca="1" si="21"/>
        <v>1872.3040158399999</v>
      </c>
      <c r="N135" s="489">
        <f t="shared" ca="1" si="21"/>
        <v>1872.3040158399999</v>
      </c>
      <c r="O135" s="489">
        <f t="shared" ca="1" si="21"/>
        <v>1872.3040158399999</v>
      </c>
      <c r="P135" s="489">
        <f t="shared" ca="1" si="21"/>
        <v>1872.3040158399999</v>
      </c>
      <c r="Q135" s="489">
        <f t="shared" ca="1" si="21"/>
        <v>1872.3040158399999</v>
      </c>
      <c r="R135" s="489">
        <f t="shared" ca="1" si="21"/>
        <v>1872.3040158399999</v>
      </c>
      <c r="S135" s="489">
        <f t="shared" ca="1" si="21"/>
        <v>1595.48401584</v>
      </c>
      <c r="T135" s="490">
        <f t="shared" ca="1" si="21"/>
        <v>1595.48401584</v>
      </c>
      <c r="U135" s="557"/>
      <c r="V135" s="296"/>
      <c r="W135" s="295"/>
      <c r="X135" s="295"/>
      <c r="Y135" s="295"/>
    </row>
    <row r="136" spans="1:25" s="561" customFormat="1">
      <c r="A136" s="440" t="str">
        <f>IF(B136="","",IFERROR(MATCH(B136,'Data Processing'!$C:$C,0),""))</f>
        <v/>
      </c>
      <c r="B136" s="548"/>
      <c r="C136" s="567" t="s">
        <v>51</v>
      </c>
      <c r="D136" s="488"/>
      <c r="E136" s="488">
        <f>-INDEX('Data Processing'!CX:CX,$A134)</f>
        <v>0</v>
      </c>
      <c r="F136" s="488">
        <f>-INDEX('Data Processing'!CY:CY,$A134)</f>
        <v>0</v>
      </c>
      <c r="G136" s="488">
        <f>-INDEX('Data Processing'!CZ:CZ,$A134)</f>
        <v>0</v>
      </c>
      <c r="H136" s="488">
        <f>-INDEX('Data Processing'!DA:DA,$A134)</f>
        <v>0</v>
      </c>
      <c r="I136" s="488">
        <f>-INDEX('Data Processing'!DB:DB,$A134)</f>
        <v>0</v>
      </c>
      <c r="J136" s="488">
        <f>-INDEX('Data Processing'!DC:DC,$A134)</f>
        <v>0</v>
      </c>
      <c r="K136" s="488">
        <f>-INDEX('Data Processing'!DD:DD,$A134)</f>
        <v>0</v>
      </c>
      <c r="L136" s="488">
        <f>-INDEX('Data Processing'!DE:DE,$A134)</f>
        <v>0</v>
      </c>
      <c r="M136" s="488">
        <f>-INDEX('Data Processing'!DF:DF,$A134)</f>
        <v>0</v>
      </c>
      <c r="N136" s="488">
        <f>-INDEX('Data Processing'!DG:DG,$A134)</f>
        <v>0</v>
      </c>
      <c r="O136" s="488">
        <f>-INDEX('Data Processing'!DH:DH,$A134)</f>
        <v>0</v>
      </c>
      <c r="P136" s="488">
        <f>-INDEX('Data Processing'!DI:DI,$A134)</f>
        <v>0</v>
      </c>
      <c r="Q136" s="488">
        <f>-INDEX('Data Processing'!DJ:DJ,$A134)</f>
        <v>0</v>
      </c>
      <c r="R136" s="488">
        <f>-INDEX('Data Processing'!DK:DK,$A134)</f>
        <v>0</v>
      </c>
      <c r="S136" s="488">
        <f>-INDEX('Data Processing'!DL:DL,$A134)</f>
        <v>553.64</v>
      </c>
      <c r="T136" s="550">
        <f>-INDEX('Data Processing'!DM:DM,$A134)</f>
        <v>0</v>
      </c>
      <c r="U136" s="551"/>
      <c r="V136" s="271"/>
      <c r="W136" s="272"/>
      <c r="X136" s="272"/>
      <c r="Y136" s="272"/>
    </row>
    <row r="137" spans="1:25" s="561" customFormat="1">
      <c r="A137" s="440" t="str">
        <f>IF(B137="","",IFERROR(MATCH(B137,'Data Processing'!$C:$C,0),""))</f>
        <v/>
      </c>
      <c r="B137" s="548"/>
      <c r="C137" s="567" t="s">
        <v>50</v>
      </c>
      <c r="D137" s="502"/>
      <c r="E137" s="553">
        <f ca="1">INDEX('Data Processing'!BU:BU,$A134)</f>
        <v>0.5</v>
      </c>
      <c r="F137" s="553">
        <f ca="1">INDEX('Data Processing'!BV:BV,$A134)</f>
        <v>0.5</v>
      </c>
      <c r="G137" s="553">
        <f ca="1">INDEX('Data Processing'!BW:BW,$A134)</f>
        <v>0.5</v>
      </c>
      <c r="H137" s="553">
        <f ca="1">INDEX('Data Processing'!BX:BX,$A134)</f>
        <v>0.5</v>
      </c>
      <c r="I137" s="553">
        <f ca="1">INDEX('Data Processing'!BY:BY,$A134)</f>
        <v>0.5</v>
      </c>
      <c r="J137" s="553">
        <f ca="1">INDEX('Data Processing'!BZ:BZ,$A134)</f>
        <v>0.5</v>
      </c>
      <c r="K137" s="553">
        <f ca="1">INDEX('Data Processing'!CA:CA,$A134)</f>
        <v>0.5</v>
      </c>
      <c r="L137" s="553">
        <f ca="1">INDEX('Data Processing'!CB:CB,$A134)</f>
        <v>0.5</v>
      </c>
      <c r="M137" s="553">
        <f ca="1">INDEX('Data Processing'!CC:CC,$A134)</f>
        <v>0.5</v>
      </c>
      <c r="N137" s="553">
        <f ca="1">INDEX('Data Processing'!CD:CD,$A134)</f>
        <v>0.5</v>
      </c>
      <c r="O137" s="553">
        <f ca="1">INDEX('Data Processing'!CE:CE,$A134)</f>
        <v>0.5</v>
      </c>
      <c r="P137" s="553">
        <f ca="1">INDEX('Data Processing'!CF:CF,$A134)</f>
        <v>0.5</v>
      </c>
      <c r="Q137" s="553">
        <f ca="1">INDEX('Data Processing'!CG:CG,$A134)</f>
        <v>0.5</v>
      </c>
      <c r="R137" s="553">
        <f ca="1">INDEX('Data Processing'!CH:CH,$A134)</f>
        <v>0.5</v>
      </c>
      <c r="S137" s="553">
        <f ca="1">INDEX('Data Processing'!CI:CI,$A134)</f>
        <v>0.5</v>
      </c>
      <c r="T137" s="554">
        <f ca="1">INDEX('Data Processing'!CJ:CJ,$A134)</f>
        <v>0.5</v>
      </c>
      <c r="U137" s="555"/>
      <c r="V137" s="271"/>
      <c r="W137" s="272"/>
      <c r="X137" s="272"/>
      <c r="Y137" s="272"/>
    </row>
    <row r="138" spans="1:25" s="562" customFormat="1">
      <c r="A138" s="440" t="str">
        <f>IF(B138="","",IFERROR(MATCH(B138,'Data Processing'!$C:$C,0),""))</f>
        <v/>
      </c>
      <c r="B138" s="522"/>
      <c r="C138" s="523" t="s">
        <v>1015</v>
      </c>
      <c r="D138" s="488"/>
      <c r="E138" s="489">
        <f ca="1">-INDEX('Data Processing'!AS:AS,$A134)</f>
        <v>0</v>
      </c>
      <c r="F138" s="489">
        <f ca="1">-INDEX('Data Processing'!AT:AT,$A134)</f>
        <v>0</v>
      </c>
      <c r="G138" s="489">
        <f ca="1">-INDEX('Data Processing'!AU:AU,$A134)</f>
        <v>0</v>
      </c>
      <c r="H138" s="489">
        <f ca="1">-INDEX('Data Processing'!AV:AV,$A134)</f>
        <v>0</v>
      </c>
      <c r="I138" s="489">
        <f ca="1">-INDEX('Data Processing'!AW:AW,$A134)</f>
        <v>0</v>
      </c>
      <c r="J138" s="489">
        <f ca="1">-INDEX('Data Processing'!AX:AX,$A134)</f>
        <v>0</v>
      </c>
      <c r="K138" s="489">
        <f ca="1">-INDEX('Data Processing'!AY:AY,$A134)</f>
        <v>0</v>
      </c>
      <c r="L138" s="489">
        <f ca="1">-INDEX('Data Processing'!AZ:AZ,$A134)</f>
        <v>0</v>
      </c>
      <c r="M138" s="489">
        <f ca="1">-INDEX('Data Processing'!BA:BA,$A134)</f>
        <v>0</v>
      </c>
      <c r="N138" s="489">
        <f ca="1">-INDEX('Data Processing'!BB:BB,$A134)</f>
        <v>0</v>
      </c>
      <c r="O138" s="489">
        <f ca="1">-INDEX('Data Processing'!BC:BC,$A134)</f>
        <v>0</v>
      </c>
      <c r="P138" s="489">
        <f ca="1">-INDEX('Data Processing'!BD:BD,$A134)</f>
        <v>0</v>
      </c>
      <c r="Q138" s="489">
        <f ca="1">-INDEX('Data Processing'!BE:BE,$A134)</f>
        <v>0</v>
      </c>
      <c r="R138" s="489">
        <f ca="1">-INDEX('Data Processing'!BF:BF,$A134)</f>
        <v>0</v>
      </c>
      <c r="S138" s="489">
        <f ca="1">-INDEX('Data Processing'!BG:BG,$A134)</f>
        <v>276.81999999999994</v>
      </c>
      <c r="T138" s="490">
        <f ca="1">-INDEX('Data Processing'!BH:BH,$A134)</f>
        <v>0</v>
      </c>
      <c r="U138" s="557"/>
      <c r="V138" s="120"/>
      <c r="W138" s="219"/>
      <c r="X138" s="219"/>
      <c r="Y138" s="219"/>
    </row>
    <row r="139" spans="1:25" s="562" customFormat="1">
      <c r="A139" s="440" t="str">
        <f>IF(B139="","",IFERROR(MATCH(B139,'Data Processing'!$C:$C,0),""))</f>
        <v/>
      </c>
      <c r="B139" s="522"/>
      <c r="C139" s="558" t="s">
        <v>1012</v>
      </c>
      <c r="D139" s="503"/>
      <c r="E139" s="559">
        <f t="shared" ref="E139:T139" ca="1" si="22">E135-E138</f>
        <v>1872.3040158399999</v>
      </c>
      <c r="F139" s="559">
        <f t="shared" ca="1" si="22"/>
        <v>1872.3040158399999</v>
      </c>
      <c r="G139" s="559">
        <f t="shared" ca="1" si="22"/>
        <v>1872.3040158399999</v>
      </c>
      <c r="H139" s="559">
        <f t="shared" ca="1" si="22"/>
        <v>1872.3040158399999</v>
      </c>
      <c r="I139" s="559">
        <f t="shared" ca="1" si="22"/>
        <v>1872.3040158399999</v>
      </c>
      <c r="J139" s="559">
        <f t="shared" ca="1" si="22"/>
        <v>1872.3040158399999</v>
      </c>
      <c r="K139" s="559">
        <f t="shared" ca="1" si="22"/>
        <v>1872.3040158399999</v>
      </c>
      <c r="L139" s="559">
        <f t="shared" ca="1" si="22"/>
        <v>1872.3040158399999</v>
      </c>
      <c r="M139" s="559">
        <f t="shared" ca="1" si="22"/>
        <v>1872.3040158399999</v>
      </c>
      <c r="N139" s="559">
        <f t="shared" ca="1" si="22"/>
        <v>1872.3040158399999</v>
      </c>
      <c r="O139" s="559">
        <f t="shared" ca="1" si="22"/>
        <v>1872.3040158399999</v>
      </c>
      <c r="P139" s="559">
        <f t="shared" ca="1" si="22"/>
        <v>1872.3040158399999</v>
      </c>
      <c r="Q139" s="559">
        <f t="shared" ca="1" si="22"/>
        <v>1872.3040158399999</v>
      </c>
      <c r="R139" s="559">
        <f t="shared" ca="1" si="22"/>
        <v>1872.3040158399999</v>
      </c>
      <c r="S139" s="559">
        <f t="shared" ca="1" si="22"/>
        <v>1318.66401584</v>
      </c>
      <c r="T139" s="560">
        <f t="shared" ca="1" si="22"/>
        <v>1595.48401584</v>
      </c>
      <c r="U139" s="557"/>
      <c r="V139" s="120"/>
      <c r="W139" s="219"/>
      <c r="X139" s="219"/>
      <c r="Y139" s="219"/>
    </row>
    <row r="140" spans="1:25" s="126" customFormat="1">
      <c r="A140">
        <f>IF(B140="","",IFERROR(MATCH(B140,'Data Processing'!$C:$C,0),""))</f>
        <v>16</v>
      </c>
      <c r="B140" s="225">
        <v>5.3</v>
      </c>
      <c r="C140" s="226" t="str">
        <f>INDEX('Data Processing'!$G:$G,A140)</f>
        <v>Mortgage (Commercial and Retail)</v>
      </c>
      <c r="D140" s="323">
        <f>-INDEX('Data Processing'!O:O,$A140)</f>
        <v>6249.8529878100026</v>
      </c>
      <c r="E140" s="174">
        <f ca="1">-INDEX('Data Processing'!P:P,$A140)</f>
        <v>6242.6562931600029</v>
      </c>
      <c r="F140" s="174">
        <f ca="1">-INDEX('Data Processing'!Q:Q,$A140)</f>
        <v>6242.6562931600029</v>
      </c>
      <c r="G140" s="174">
        <f ca="1">-INDEX('Data Processing'!R:R,$A140)</f>
        <v>6242.6562931600029</v>
      </c>
      <c r="H140" s="174">
        <f ca="1">-INDEX('Data Processing'!S:S,$A140)</f>
        <v>6242.6562931600029</v>
      </c>
      <c r="I140" s="174">
        <f ca="1">-INDEX('Data Processing'!T:T,$A140)</f>
        <v>6242.6562931600029</v>
      </c>
      <c r="J140" s="174">
        <f ca="1">-INDEX('Data Processing'!U:U,$A140)</f>
        <v>6242.6562931600029</v>
      </c>
      <c r="K140" s="174">
        <f ca="1">-INDEX('Data Processing'!V:V,$A140)</f>
        <v>6242.6562931600029</v>
      </c>
      <c r="L140" s="174">
        <f ca="1">-INDEX('Data Processing'!W:W,$A140)</f>
        <v>6242.6562931600029</v>
      </c>
      <c r="M140" s="174">
        <f ca="1">-INDEX('Data Processing'!X:X,$A140)</f>
        <v>6242.6562931600029</v>
      </c>
      <c r="N140" s="174">
        <f ca="1">-INDEX('Data Processing'!Y:Y,$A140)</f>
        <v>6242.6562931600029</v>
      </c>
      <c r="O140" s="174">
        <f ca="1">-INDEX('Data Processing'!Z:Z,$A140)</f>
        <v>6242.6562931600029</v>
      </c>
      <c r="P140" s="174">
        <f ca="1">-INDEX('Data Processing'!AA:AA,$A140)</f>
        <v>6242.6562931600029</v>
      </c>
      <c r="Q140" s="174">
        <f ca="1">-INDEX('Data Processing'!AB:AB,$A140)</f>
        <v>6242.6562931600029</v>
      </c>
      <c r="R140" s="174">
        <f ca="1">-INDEX('Data Processing'!AC:AC,$A140)</f>
        <v>6242.6562931600029</v>
      </c>
      <c r="S140" s="174">
        <f ca="1">-INDEX('Data Processing'!AD:AD,$A140)</f>
        <v>6040.3115754100027</v>
      </c>
      <c r="T140" s="227">
        <f ca="1">-INDEX('Data Processing'!AE:AE,$A140)</f>
        <v>6040.3115754100027</v>
      </c>
      <c r="U140" s="125"/>
      <c r="V140" s="120" t="s">
        <v>1009</v>
      </c>
    </row>
    <row r="141" spans="1:25" s="562" customFormat="1">
      <c r="A141" s="440" t="str">
        <f>IF(B141="","",IFERROR(MATCH(B141,'Data Processing'!$C:$C,0),""))</f>
        <v/>
      </c>
      <c r="B141" s="522"/>
      <c r="C141" s="565" t="s">
        <v>1005</v>
      </c>
      <c r="D141" s="488"/>
      <c r="E141" s="489">
        <f t="shared" ref="E141:T141" ca="1" si="23">E140</f>
        <v>6242.6562931600029</v>
      </c>
      <c r="F141" s="489">
        <f t="shared" ca="1" si="23"/>
        <v>6242.6562931600029</v>
      </c>
      <c r="G141" s="489">
        <f t="shared" ca="1" si="23"/>
        <v>6242.6562931600029</v>
      </c>
      <c r="H141" s="489">
        <f t="shared" ca="1" si="23"/>
        <v>6242.6562931600029</v>
      </c>
      <c r="I141" s="489">
        <f t="shared" ca="1" si="23"/>
        <v>6242.6562931600029</v>
      </c>
      <c r="J141" s="489">
        <f t="shared" ca="1" si="23"/>
        <v>6242.6562931600029</v>
      </c>
      <c r="K141" s="489">
        <f t="shared" ca="1" si="23"/>
        <v>6242.6562931600029</v>
      </c>
      <c r="L141" s="489">
        <f t="shared" ca="1" si="23"/>
        <v>6242.6562931600029</v>
      </c>
      <c r="M141" s="489">
        <f t="shared" ca="1" si="23"/>
        <v>6242.6562931600029</v>
      </c>
      <c r="N141" s="489">
        <f t="shared" ca="1" si="23"/>
        <v>6242.6562931600029</v>
      </c>
      <c r="O141" s="489">
        <f t="shared" ca="1" si="23"/>
        <v>6242.6562931600029</v>
      </c>
      <c r="P141" s="489">
        <f t="shared" ca="1" si="23"/>
        <v>6242.6562931600029</v>
      </c>
      <c r="Q141" s="489">
        <f t="shared" ca="1" si="23"/>
        <v>6242.6562931600029</v>
      </c>
      <c r="R141" s="489">
        <f t="shared" ca="1" si="23"/>
        <v>6242.6562931600029</v>
      </c>
      <c r="S141" s="489">
        <f t="shared" ca="1" si="23"/>
        <v>6040.3115754100027</v>
      </c>
      <c r="T141" s="490">
        <f t="shared" ca="1" si="23"/>
        <v>6040.3115754100027</v>
      </c>
      <c r="U141" s="557"/>
      <c r="V141" s="296"/>
      <c r="W141" s="295"/>
      <c r="X141" s="295"/>
      <c r="Y141" s="295"/>
    </row>
    <row r="142" spans="1:25" s="561" customFormat="1">
      <c r="A142" s="440" t="str">
        <f>IF(B142="","",IFERROR(MATCH(B142,'Data Processing'!$C:$C,0),""))</f>
        <v/>
      </c>
      <c r="B142" s="548"/>
      <c r="C142" s="567" t="s">
        <v>51</v>
      </c>
      <c r="D142" s="488"/>
      <c r="E142" s="488">
        <f>-INDEX('Data Processing'!CX:CX,$A140)</f>
        <v>14.393389300000001</v>
      </c>
      <c r="F142" s="488">
        <f>-INDEX('Data Processing'!CY:CY,$A140)</f>
        <v>0</v>
      </c>
      <c r="G142" s="488">
        <f>-INDEX('Data Processing'!CZ:CZ,$A140)</f>
        <v>0</v>
      </c>
      <c r="H142" s="488">
        <f>-INDEX('Data Processing'!DA:DA,$A140)</f>
        <v>0</v>
      </c>
      <c r="I142" s="488">
        <f>-INDEX('Data Processing'!DB:DB,$A140)</f>
        <v>0</v>
      </c>
      <c r="J142" s="488">
        <f>-INDEX('Data Processing'!DC:DC,$A140)</f>
        <v>0</v>
      </c>
      <c r="K142" s="488">
        <f>-INDEX('Data Processing'!DD:DD,$A140)</f>
        <v>0</v>
      </c>
      <c r="L142" s="488">
        <f>-INDEX('Data Processing'!DE:DE,$A140)</f>
        <v>0</v>
      </c>
      <c r="M142" s="488">
        <f>-INDEX('Data Processing'!DF:DF,$A140)</f>
        <v>0</v>
      </c>
      <c r="N142" s="488">
        <f>-INDEX('Data Processing'!DG:DG,$A140)</f>
        <v>0</v>
      </c>
      <c r="O142" s="488">
        <f>-INDEX('Data Processing'!DH:DH,$A140)</f>
        <v>0</v>
      </c>
      <c r="P142" s="488">
        <f>-INDEX('Data Processing'!DI:DI,$A140)</f>
        <v>0</v>
      </c>
      <c r="Q142" s="488">
        <f>-INDEX('Data Processing'!DJ:DJ,$A140)</f>
        <v>0</v>
      </c>
      <c r="R142" s="488">
        <f>-INDEX('Data Processing'!DK:DK,$A140)</f>
        <v>0</v>
      </c>
      <c r="S142" s="488">
        <f>-INDEX('Data Processing'!DL:DL,$A140)</f>
        <v>404.6894355</v>
      </c>
      <c r="T142" s="550">
        <f>-INDEX('Data Processing'!DM:DM,$A140)</f>
        <v>0</v>
      </c>
      <c r="U142" s="551"/>
      <c r="V142" s="271"/>
      <c r="W142" s="272"/>
      <c r="X142" s="272"/>
      <c r="Y142" s="272"/>
    </row>
    <row r="143" spans="1:25" s="561" customFormat="1">
      <c r="A143" s="440" t="str">
        <f>IF(B143="","",IFERROR(MATCH(B143,'Data Processing'!$C:$C,0),""))</f>
        <v/>
      </c>
      <c r="B143" s="548"/>
      <c r="C143" s="567" t="s">
        <v>50</v>
      </c>
      <c r="D143" s="502"/>
      <c r="E143" s="553">
        <f ca="1">INDEX('Data Processing'!BU:BU,$A140)</f>
        <v>0.5</v>
      </c>
      <c r="F143" s="553">
        <f ca="1">INDEX('Data Processing'!BV:BV,$A140)</f>
        <v>0.5</v>
      </c>
      <c r="G143" s="553">
        <f ca="1">INDEX('Data Processing'!BW:BW,$A140)</f>
        <v>0.5</v>
      </c>
      <c r="H143" s="553">
        <f ca="1">INDEX('Data Processing'!BX:BX,$A140)</f>
        <v>0.5</v>
      </c>
      <c r="I143" s="553">
        <f ca="1">INDEX('Data Processing'!BY:BY,$A140)</f>
        <v>0.5</v>
      </c>
      <c r="J143" s="553">
        <f ca="1">INDEX('Data Processing'!BZ:BZ,$A140)</f>
        <v>0.5</v>
      </c>
      <c r="K143" s="553">
        <f ca="1">INDEX('Data Processing'!CA:CA,$A140)</f>
        <v>0.5</v>
      </c>
      <c r="L143" s="553">
        <f ca="1">INDEX('Data Processing'!CB:CB,$A140)</f>
        <v>0.5</v>
      </c>
      <c r="M143" s="553">
        <f ca="1">INDEX('Data Processing'!CC:CC,$A140)</f>
        <v>0.5</v>
      </c>
      <c r="N143" s="553">
        <f ca="1">INDEX('Data Processing'!CD:CD,$A140)</f>
        <v>0.5</v>
      </c>
      <c r="O143" s="553">
        <f ca="1">INDEX('Data Processing'!CE:CE,$A140)</f>
        <v>0.5</v>
      </c>
      <c r="P143" s="553">
        <f ca="1">INDEX('Data Processing'!CF:CF,$A140)</f>
        <v>0.5</v>
      </c>
      <c r="Q143" s="553">
        <f ca="1">INDEX('Data Processing'!CG:CG,$A140)</f>
        <v>0.5</v>
      </c>
      <c r="R143" s="553">
        <f ca="1">INDEX('Data Processing'!CH:CH,$A140)</f>
        <v>0.5</v>
      </c>
      <c r="S143" s="553">
        <f ca="1">INDEX('Data Processing'!CI:CI,$A140)</f>
        <v>0.5</v>
      </c>
      <c r="T143" s="554">
        <f ca="1">INDEX('Data Processing'!CJ:CJ,$A140)</f>
        <v>0.5</v>
      </c>
      <c r="U143" s="555"/>
      <c r="V143" s="271"/>
      <c r="W143" s="272"/>
      <c r="X143" s="272"/>
      <c r="Y143" s="272"/>
    </row>
    <row r="144" spans="1:25" s="562" customFormat="1">
      <c r="A144" s="440" t="str">
        <f>IF(B144="","",IFERROR(MATCH(B144,'Data Processing'!$C:$C,0),""))</f>
        <v/>
      </c>
      <c r="B144" s="522"/>
      <c r="C144" s="523" t="s">
        <v>1015</v>
      </c>
      <c r="D144" s="488"/>
      <c r="E144" s="489">
        <f ca="1">-INDEX('Data Processing'!AS:AS,$A140)</f>
        <v>7.1966946499996993</v>
      </c>
      <c r="F144" s="489">
        <f ca="1">-INDEX('Data Processing'!AT:AT,$A140)</f>
        <v>0</v>
      </c>
      <c r="G144" s="489">
        <f ca="1">-INDEX('Data Processing'!AU:AU,$A140)</f>
        <v>0</v>
      </c>
      <c r="H144" s="489">
        <f ca="1">-INDEX('Data Processing'!AV:AV,$A140)</f>
        <v>0</v>
      </c>
      <c r="I144" s="489">
        <f ca="1">-INDEX('Data Processing'!AW:AW,$A140)</f>
        <v>0</v>
      </c>
      <c r="J144" s="489">
        <f ca="1">-INDEX('Data Processing'!AX:AX,$A140)</f>
        <v>0</v>
      </c>
      <c r="K144" s="489">
        <f ca="1">-INDEX('Data Processing'!AY:AY,$A140)</f>
        <v>0</v>
      </c>
      <c r="L144" s="489">
        <f ca="1">-INDEX('Data Processing'!AZ:AZ,$A140)</f>
        <v>0</v>
      </c>
      <c r="M144" s="489">
        <f ca="1">-INDEX('Data Processing'!BA:BA,$A140)</f>
        <v>0</v>
      </c>
      <c r="N144" s="489">
        <f ca="1">-INDEX('Data Processing'!BB:BB,$A140)</f>
        <v>0</v>
      </c>
      <c r="O144" s="489">
        <f ca="1">-INDEX('Data Processing'!BC:BC,$A140)</f>
        <v>0</v>
      </c>
      <c r="P144" s="489">
        <f ca="1">-INDEX('Data Processing'!BD:BD,$A140)</f>
        <v>0</v>
      </c>
      <c r="Q144" s="489">
        <f ca="1">-INDEX('Data Processing'!BE:BE,$A140)</f>
        <v>0</v>
      </c>
      <c r="R144" s="489">
        <f ca="1">-INDEX('Data Processing'!BF:BF,$A140)</f>
        <v>0</v>
      </c>
      <c r="S144" s="489">
        <f ca="1">-INDEX('Data Processing'!BG:BG,$A140)</f>
        <v>202.3447177500002</v>
      </c>
      <c r="T144" s="490">
        <f ca="1">-INDEX('Data Processing'!BH:BH,$A140)</f>
        <v>0</v>
      </c>
      <c r="U144" s="557"/>
      <c r="V144" s="120"/>
      <c r="W144" s="219"/>
      <c r="X144" s="219"/>
      <c r="Y144" s="219"/>
    </row>
    <row r="145" spans="1:25" s="562" customFormat="1">
      <c r="A145" s="440" t="str">
        <f>IF(B145="","",IFERROR(MATCH(B145,'Data Processing'!$C:$C,0),""))</f>
        <v/>
      </c>
      <c r="B145" s="574"/>
      <c r="C145" s="558" t="s">
        <v>1012</v>
      </c>
      <c r="D145" s="503"/>
      <c r="E145" s="559">
        <f t="shared" ref="E145:T145" ca="1" si="24">E141-E144</f>
        <v>6235.4595985100032</v>
      </c>
      <c r="F145" s="559">
        <f t="shared" ca="1" si="24"/>
        <v>6242.6562931600029</v>
      </c>
      <c r="G145" s="559">
        <f t="shared" ca="1" si="24"/>
        <v>6242.6562931600029</v>
      </c>
      <c r="H145" s="559">
        <f t="shared" ca="1" si="24"/>
        <v>6242.6562931600029</v>
      </c>
      <c r="I145" s="559">
        <f t="shared" ca="1" si="24"/>
        <v>6242.6562931600029</v>
      </c>
      <c r="J145" s="559">
        <f t="shared" ca="1" si="24"/>
        <v>6242.6562931600029</v>
      </c>
      <c r="K145" s="559">
        <f t="shared" ca="1" si="24"/>
        <v>6242.6562931600029</v>
      </c>
      <c r="L145" s="559">
        <f t="shared" ca="1" si="24"/>
        <v>6242.6562931600029</v>
      </c>
      <c r="M145" s="559">
        <f t="shared" ca="1" si="24"/>
        <v>6242.6562931600029</v>
      </c>
      <c r="N145" s="559">
        <f t="shared" ca="1" si="24"/>
        <v>6242.6562931600029</v>
      </c>
      <c r="O145" s="559">
        <f t="shared" ca="1" si="24"/>
        <v>6242.6562931600029</v>
      </c>
      <c r="P145" s="559">
        <f t="shared" ca="1" si="24"/>
        <v>6242.6562931600029</v>
      </c>
      <c r="Q145" s="559">
        <f t="shared" ca="1" si="24"/>
        <v>6242.6562931600029</v>
      </c>
      <c r="R145" s="559">
        <f t="shared" ca="1" si="24"/>
        <v>6242.6562931600029</v>
      </c>
      <c r="S145" s="559">
        <f t="shared" ca="1" si="24"/>
        <v>5837.9668576600025</v>
      </c>
      <c r="T145" s="560">
        <f t="shared" ca="1" si="24"/>
        <v>6040.3115754100027</v>
      </c>
      <c r="U145" s="557"/>
      <c r="V145" s="120"/>
      <c r="W145" s="219"/>
      <c r="X145" s="219"/>
      <c r="Y145" s="219"/>
    </row>
    <row r="146" spans="1:25" s="126" customFormat="1">
      <c r="A146" t="str">
        <f>IF(B146="","",IFERROR(MATCH(B146,'Data Processing'!$C:$C,0),""))</f>
        <v/>
      </c>
      <c r="B146" s="215">
        <v>5.4</v>
      </c>
      <c r="C146" s="228" t="s">
        <v>31</v>
      </c>
      <c r="D146" s="263">
        <f>D147+D160</f>
        <v>4385.0084512899994</v>
      </c>
      <c r="E146" s="230">
        <f t="shared" ref="E146:T146" ca="1" si="25">E147+E160</f>
        <v>4385.0084512849999</v>
      </c>
      <c r="F146" s="230">
        <f t="shared" ca="1" si="25"/>
        <v>4382.6473750249997</v>
      </c>
      <c r="G146" s="230">
        <f t="shared" ca="1" si="25"/>
        <v>4381.0332807049999</v>
      </c>
      <c r="H146" s="230">
        <f t="shared" ca="1" si="25"/>
        <v>4379.7563746349997</v>
      </c>
      <c r="I146" s="230">
        <f t="shared" ca="1" si="25"/>
        <v>4379.7563746349997</v>
      </c>
      <c r="J146" s="230">
        <f t="shared" ca="1" si="25"/>
        <v>4379.7563746349997</v>
      </c>
      <c r="K146" s="230">
        <f t="shared" ca="1" si="25"/>
        <v>4339.6666293050002</v>
      </c>
      <c r="L146" s="230">
        <f t="shared" ca="1" si="25"/>
        <v>4332.5774150199995</v>
      </c>
      <c r="M146" s="230">
        <f t="shared" ca="1" si="25"/>
        <v>4291.5146318699999</v>
      </c>
      <c r="N146" s="230">
        <f t="shared" ca="1" si="25"/>
        <v>4291.3200943800002</v>
      </c>
      <c r="O146" s="230">
        <f t="shared" ca="1" si="25"/>
        <v>4279.0599176450005</v>
      </c>
      <c r="P146" s="230">
        <f t="shared" ca="1" si="25"/>
        <v>4279.0599176450005</v>
      </c>
      <c r="Q146" s="230">
        <f t="shared" ca="1" si="25"/>
        <v>4279.0599176450005</v>
      </c>
      <c r="R146" s="230">
        <f t="shared" ca="1" si="25"/>
        <v>4247.2069381000001</v>
      </c>
      <c r="S146" s="230">
        <f t="shared" ca="1" si="25"/>
        <v>4175.5082488099997</v>
      </c>
      <c r="T146" s="231">
        <f t="shared" ca="1" si="25"/>
        <v>4103.9397524099995</v>
      </c>
      <c r="U146" s="125"/>
      <c r="V146" s="120"/>
    </row>
    <row r="147" spans="1:25" s="521" customFormat="1">
      <c r="A147" s="440" t="str">
        <f>IF(B147="","",IFERROR(MATCH(B147,'Data Processing'!$C:$C,0),""))</f>
        <v/>
      </c>
      <c r="B147" s="547"/>
      <c r="C147" s="535" t="s">
        <v>1159</v>
      </c>
      <c r="D147" s="488">
        <f t="shared" ref="D147:T147" si="26">D148+D154</f>
        <v>2834.9222153699998</v>
      </c>
      <c r="E147" s="454">
        <f t="shared" ca="1" si="26"/>
        <v>2834.9222153649998</v>
      </c>
      <c r="F147" s="454">
        <f t="shared" ca="1" si="26"/>
        <v>2834.9222153649998</v>
      </c>
      <c r="G147" s="454">
        <f t="shared" ca="1" si="26"/>
        <v>2834.7455370449998</v>
      </c>
      <c r="H147" s="454">
        <f t="shared" ca="1" si="26"/>
        <v>2834.3442341149998</v>
      </c>
      <c r="I147" s="454">
        <f t="shared" ca="1" si="26"/>
        <v>2834.3442341149998</v>
      </c>
      <c r="J147" s="454">
        <f t="shared" ca="1" si="26"/>
        <v>2834.3442341149998</v>
      </c>
      <c r="K147" s="454">
        <f t="shared" ca="1" si="26"/>
        <v>2801.0284762849997</v>
      </c>
      <c r="L147" s="454">
        <f t="shared" ca="1" si="26"/>
        <v>2793.9392619999999</v>
      </c>
      <c r="M147" s="454">
        <f t="shared" ca="1" si="26"/>
        <v>2752.8764788499998</v>
      </c>
      <c r="N147" s="454">
        <f t="shared" ca="1" si="26"/>
        <v>2752.6819413600001</v>
      </c>
      <c r="O147" s="454">
        <f t="shared" ca="1" si="26"/>
        <v>2752.6573567350001</v>
      </c>
      <c r="P147" s="454">
        <f t="shared" ca="1" si="26"/>
        <v>2752.6573567350001</v>
      </c>
      <c r="Q147" s="454">
        <f t="shared" ca="1" si="26"/>
        <v>2752.6573567350001</v>
      </c>
      <c r="R147" s="454">
        <f t="shared" ca="1" si="26"/>
        <v>2736.1639197099998</v>
      </c>
      <c r="S147" s="454">
        <f t="shared" ca="1" si="26"/>
        <v>2683.5598243300001</v>
      </c>
      <c r="T147" s="455">
        <f t="shared" ca="1" si="26"/>
        <v>2652.9054021799998</v>
      </c>
      <c r="U147" s="524"/>
      <c r="V147" s="233" t="s">
        <v>1022</v>
      </c>
      <c r="W147" s="126"/>
      <c r="X147" s="126"/>
      <c r="Y147" s="126"/>
    </row>
    <row r="148" spans="1:25" s="126" customFormat="1">
      <c r="A148">
        <f>IF(B148="","",IFERROR(MATCH(B148,'Data Processing'!$C:$C,0),""))</f>
        <v>17</v>
      </c>
      <c r="B148" s="215" t="s">
        <v>1066</v>
      </c>
      <c r="C148" s="453" t="str">
        <f>INDEX('Data Processing'!$G:$G,A148)</f>
        <v>Trade Finance - IB &amp; Affiliates</v>
      </c>
      <c r="D148" s="249">
        <f>-INDEX('Data Processing'!O:O,$A148)</f>
        <v>191.75120747000003</v>
      </c>
      <c r="E148" s="454">
        <f ca="1">-INDEX('Data Processing'!P:P,$A148)</f>
        <v>191.75120746500002</v>
      </c>
      <c r="F148" s="454">
        <f ca="1">-INDEX('Data Processing'!Q:Q,$A148)</f>
        <v>191.75120746500002</v>
      </c>
      <c r="G148" s="454">
        <f ca="1">-INDEX('Data Processing'!R:R,$A148)</f>
        <v>191.75120746500002</v>
      </c>
      <c r="H148" s="454">
        <f ca="1">-INDEX('Data Processing'!S:S,$A148)</f>
        <v>191.54103531500002</v>
      </c>
      <c r="I148" s="454">
        <f ca="1">-INDEX('Data Processing'!T:T,$A148)</f>
        <v>191.54103531500002</v>
      </c>
      <c r="J148" s="454">
        <f ca="1">-INDEX('Data Processing'!U:U,$A148)</f>
        <v>191.54103531500002</v>
      </c>
      <c r="K148" s="454">
        <f ca="1">-INDEX('Data Processing'!V:V,$A148)</f>
        <v>190.35892931500001</v>
      </c>
      <c r="L148" s="454">
        <f ca="1">-INDEX('Data Processing'!W:W,$A148)</f>
        <v>183.26971503000001</v>
      </c>
      <c r="M148" s="454">
        <f ca="1">-INDEX('Data Processing'!X:X,$A148)</f>
        <v>177.51971503000001</v>
      </c>
      <c r="N148" s="454">
        <f ca="1">-INDEX('Data Processing'!Y:Y,$A148)</f>
        <v>177.51971503000001</v>
      </c>
      <c r="O148" s="454">
        <f ca="1">-INDEX('Data Processing'!Z:Z,$A148)</f>
        <v>177.51971503000001</v>
      </c>
      <c r="P148" s="454">
        <f ca="1">-INDEX('Data Processing'!AA:AA,$A148)</f>
        <v>177.51971503000001</v>
      </c>
      <c r="Q148" s="454">
        <f ca="1">-INDEX('Data Processing'!AB:AB,$A148)</f>
        <v>177.51971503000001</v>
      </c>
      <c r="R148" s="454">
        <f ca="1">-INDEX('Data Processing'!AC:AC,$A148)</f>
        <v>161.84738332500001</v>
      </c>
      <c r="S148" s="454">
        <f ca="1">-INDEX('Data Processing'!AD:AD,$A148)</f>
        <v>160.73647659000002</v>
      </c>
      <c r="T148" s="455">
        <f ca="1">-INDEX('Data Processing'!AE:AE,$A148)</f>
        <v>147.13593123500002</v>
      </c>
      <c r="U148" s="125"/>
      <c r="V148" s="120"/>
    </row>
    <row r="149" spans="1:25" s="562" customFormat="1">
      <c r="A149" s="440" t="str">
        <f>IF(B149="","",IFERROR(MATCH(B149,'Data Processing'!$C:$C,0),""))</f>
        <v/>
      </c>
      <c r="B149" s="522"/>
      <c r="C149" s="565" t="s">
        <v>1005</v>
      </c>
      <c r="D149" s="488"/>
      <c r="E149" s="489">
        <f t="shared" ref="E149:T149" ca="1" si="27">E148</f>
        <v>191.75120746500002</v>
      </c>
      <c r="F149" s="489">
        <f t="shared" ca="1" si="27"/>
        <v>191.75120746500002</v>
      </c>
      <c r="G149" s="489">
        <f t="shared" ca="1" si="27"/>
        <v>191.75120746500002</v>
      </c>
      <c r="H149" s="489">
        <f t="shared" ca="1" si="27"/>
        <v>191.54103531500002</v>
      </c>
      <c r="I149" s="489">
        <f t="shared" ca="1" si="27"/>
        <v>191.54103531500002</v>
      </c>
      <c r="J149" s="489">
        <f t="shared" ca="1" si="27"/>
        <v>191.54103531500002</v>
      </c>
      <c r="K149" s="489">
        <f t="shared" ca="1" si="27"/>
        <v>190.35892931500001</v>
      </c>
      <c r="L149" s="489">
        <f t="shared" ca="1" si="27"/>
        <v>183.26971503000001</v>
      </c>
      <c r="M149" s="489">
        <f t="shared" ca="1" si="27"/>
        <v>177.51971503000001</v>
      </c>
      <c r="N149" s="489">
        <f t="shared" ca="1" si="27"/>
        <v>177.51971503000001</v>
      </c>
      <c r="O149" s="489">
        <f t="shared" ca="1" si="27"/>
        <v>177.51971503000001</v>
      </c>
      <c r="P149" s="489">
        <f t="shared" ca="1" si="27"/>
        <v>177.51971503000001</v>
      </c>
      <c r="Q149" s="489">
        <f t="shared" ca="1" si="27"/>
        <v>177.51971503000001</v>
      </c>
      <c r="R149" s="454">
        <f t="shared" ca="1" si="27"/>
        <v>161.84738332500001</v>
      </c>
      <c r="S149" s="454">
        <f t="shared" ca="1" si="27"/>
        <v>160.73647659000002</v>
      </c>
      <c r="T149" s="455">
        <f t="shared" ca="1" si="27"/>
        <v>147.13593123500002</v>
      </c>
      <c r="U149" s="557"/>
      <c r="V149" s="296"/>
      <c r="W149" s="295"/>
      <c r="X149" s="295"/>
      <c r="Y149" s="295"/>
    </row>
    <row r="150" spans="1:25" s="561" customFormat="1">
      <c r="A150" s="440" t="str">
        <f>IF(B150="","",IFERROR(MATCH(B150,'Data Processing'!$C:$C,0),""))</f>
        <v/>
      </c>
      <c r="B150" s="548"/>
      <c r="C150" s="567" t="s">
        <v>51</v>
      </c>
      <c r="D150" s="488"/>
      <c r="E150" s="488">
        <f>-INDEX('Data Processing'!CX:CX,$A148)</f>
        <v>1E-8</v>
      </c>
      <c r="F150" s="488">
        <f>-INDEX('Data Processing'!CY:CY,$A148)</f>
        <v>0</v>
      </c>
      <c r="G150" s="488">
        <f>-INDEX('Data Processing'!CZ:CZ,$A148)</f>
        <v>0</v>
      </c>
      <c r="H150" s="488">
        <f>-INDEX('Data Processing'!DA:DA,$A148)</f>
        <v>0.4203443</v>
      </c>
      <c r="I150" s="488">
        <f>-INDEX('Data Processing'!DB:DB,$A148)</f>
        <v>0</v>
      </c>
      <c r="J150" s="488">
        <f>-INDEX('Data Processing'!DC:DC,$A148)</f>
        <v>0</v>
      </c>
      <c r="K150" s="488">
        <f>-INDEX('Data Processing'!DD:DD,$A148)</f>
        <v>2.3642120000000002</v>
      </c>
      <c r="L150" s="488">
        <f>-INDEX('Data Processing'!DE:DE,$A148)</f>
        <v>14.178428569999999</v>
      </c>
      <c r="M150" s="488">
        <f>-INDEX('Data Processing'!DF:DF,$A148)</f>
        <v>11.5</v>
      </c>
      <c r="N150" s="488">
        <f>-INDEX('Data Processing'!DG:DG,$A148)</f>
        <v>0</v>
      </c>
      <c r="O150" s="488">
        <f>-INDEX('Data Processing'!DH:DH,$A148)</f>
        <v>0</v>
      </c>
      <c r="P150" s="488">
        <f>-INDEX('Data Processing'!DI:DI,$A148)</f>
        <v>0</v>
      </c>
      <c r="Q150" s="488">
        <f>-INDEX('Data Processing'!DJ:DJ,$A148)</f>
        <v>0</v>
      </c>
      <c r="R150" s="488">
        <f>-INDEX('Data Processing'!DK:DK,$A148)</f>
        <v>31.344663409999999</v>
      </c>
      <c r="S150" s="488">
        <f>-INDEX('Data Processing'!DL:DL,$A148)</f>
        <v>2.2218134700000003</v>
      </c>
      <c r="T150" s="550">
        <f>-INDEX('Data Processing'!DM:DM,$A148)</f>
        <v>27.201090710000006</v>
      </c>
      <c r="U150" s="551"/>
      <c r="V150" s="459"/>
      <c r="W150" s="272"/>
      <c r="X150" s="272"/>
      <c r="Y150" s="272"/>
    </row>
    <row r="151" spans="1:25" s="561" customFormat="1">
      <c r="A151" s="440" t="str">
        <f>IF(B151="","",IFERROR(MATCH(B151,'Data Processing'!$C:$C,0),""))</f>
        <v/>
      </c>
      <c r="B151" s="548"/>
      <c r="C151" s="567" t="s">
        <v>50</v>
      </c>
      <c r="D151" s="502"/>
      <c r="E151" s="553">
        <f ca="1">INDEX('Data Processing'!BU:BU,$A148)</f>
        <v>0.5</v>
      </c>
      <c r="F151" s="553">
        <f ca="1">INDEX('Data Processing'!BV:BV,$A148)</f>
        <v>0.5</v>
      </c>
      <c r="G151" s="553">
        <f ca="1">INDEX('Data Processing'!BW:BW,$A148)</f>
        <v>0.5</v>
      </c>
      <c r="H151" s="553">
        <f ca="1">INDEX('Data Processing'!BX:BX,$A148)</f>
        <v>0.5</v>
      </c>
      <c r="I151" s="553">
        <f ca="1">INDEX('Data Processing'!BY:BY,$A148)</f>
        <v>0.5</v>
      </c>
      <c r="J151" s="553">
        <f ca="1">INDEX('Data Processing'!BZ:BZ,$A148)</f>
        <v>0.5</v>
      </c>
      <c r="K151" s="553">
        <f ca="1">INDEX('Data Processing'!CA:CA,$A148)</f>
        <v>0.5</v>
      </c>
      <c r="L151" s="553">
        <f ca="1">INDEX('Data Processing'!CB:CB,$A148)</f>
        <v>0.5</v>
      </c>
      <c r="M151" s="553">
        <f ca="1">INDEX('Data Processing'!CC:CC,$A148)</f>
        <v>0.5</v>
      </c>
      <c r="N151" s="553">
        <f ca="1">INDEX('Data Processing'!CD:CD,$A148)</f>
        <v>0.5</v>
      </c>
      <c r="O151" s="553">
        <f ca="1">INDEX('Data Processing'!CE:CE,$A148)</f>
        <v>0.5</v>
      </c>
      <c r="P151" s="553">
        <f ca="1">INDEX('Data Processing'!CF:CF,$A148)</f>
        <v>0.5</v>
      </c>
      <c r="Q151" s="553">
        <f ca="1">INDEX('Data Processing'!CG:CG,$A148)</f>
        <v>0.5</v>
      </c>
      <c r="R151" s="553">
        <f ca="1">INDEX('Data Processing'!CH:CH,$A148)</f>
        <v>0.5</v>
      </c>
      <c r="S151" s="553">
        <f ca="1">INDEX('Data Processing'!CI:CI,$A148)</f>
        <v>0.5</v>
      </c>
      <c r="T151" s="554">
        <f ca="1">INDEX('Data Processing'!CJ:CJ,$A148)</f>
        <v>0.5</v>
      </c>
      <c r="U151" s="555"/>
      <c r="V151" s="271"/>
      <c r="W151" s="272"/>
      <c r="X151" s="272"/>
      <c r="Y151" s="272"/>
    </row>
    <row r="152" spans="1:25" s="562" customFormat="1">
      <c r="A152" s="440" t="str">
        <f>IF(B152="","",IFERROR(MATCH(B152,'Data Processing'!$C:$C,0),""))</f>
        <v/>
      </c>
      <c r="B152" s="522"/>
      <c r="C152" s="523" t="s">
        <v>1015</v>
      </c>
      <c r="D152" s="504"/>
      <c r="E152" s="489">
        <f ca="1">-INDEX('Data Processing'!AS:AS,$A148)</f>
        <v>5.0000039664155338E-9</v>
      </c>
      <c r="F152" s="489">
        <f ca="1">-INDEX('Data Processing'!AT:AT,$A148)</f>
        <v>0</v>
      </c>
      <c r="G152" s="489">
        <f ca="1">-INDEX('Data Processing'!AU:AU,$A148)</f>
        <v>0</v>
      </c>
      <c r="H152" s="489">
        <f ca="1">-INDEX('Data Processing'!AV:AV,$A148)</f>
        <v>0.21017215000000533</v>
      </c>
      <c r="I152" s="489">
        <f ca="1">-INDEX('Data Processing'!AW:AW,$A148)</f>
        <v>0</v>
      </c>
      <c r="J152" s="489">
        <f ca="1">-INDEX('Data Processing'!AX:AX,$A148)</f>
        <v>0</v>
      </c>
      <c r="K152" s="489">
        <f ca="1">-INDEX('Data Processing'!AY:AY,$A148)</f>
        <v>1.1821060000000045</v>
      </c>
      <c r="L152" s="489">
        <f ca="1">-INDEX('Data Processing'!AZ:AZ,$A148)</f>
        <v>7.0892142849999971</v>
      </c>
      <c r="M152" s="489">
        <f ca="1">-INDEX('Data Processing'!BA:BA,$A148)</f>
        <v>5.75</v>
      </c>
      <c r="N152" s="489">
        <f ca="1">-INDEX('Data Processing'!BB:BB,$A148)</f>
        <v>0</v>
      </c>
      <c r="O152" s="489">
        <f ca="1">-INDEX('Data Processing'!BC:BC,$A148)</f>
        <v>0</v>
      </c>
      <c r="P152" s="489">
        <f ca="1">-INDEX('Data Processing'!BD:BD,$A148)</f>
        <v>0</v>
      </c>
      <c r="Q152" s="489">
        <f ca="1">-INDEX('Data Processing'!BE:BE,$A148)</f>
        <v>0</v>
      </c>
      <c r="R152" s="489">
        <f ca="1">-INDEX('Data Processing'!BF:BF,$A148)</f>
        <v>15.672331705000005</v>
      </c>
      <c r="S152" s="489">
        <f ca="1">-INDEX('Data Processing'!BG:BG,$A148)</f>
        <v>1.1109067349999862</v>
      </c>
      <c r="T152" s="490">
        <f ca="1">-INDEX('Data Processing'!BH:BH,$A148)</f>
        <v>13.600545355000008</v>
      </c>
      <c r="U152" s="557"/>
      <c r="V152" s="120"/>
      <c r="W152" s="219"/>
      <c r="X152" s="219"/>
      <c r="Y152" s="219"/>
    </row>
    <row r="153" spans="1:25" s="562" customFormat="1">
      <c r="A153" s="440" t="str">
        <f>IF(B153="","",IFERROR(MATCH(B153,'Data Processing'!$C:$C,0),""))</f>
        <v/>
      </c>
      <c r="B153" s="522"/>
      <c r="C153" s="523" t="s">
        <v>1012</v>
      </c>
      <c r="D153" s="488"/>
      <c r="E153" s="489">
        <f t="shared" ref="E153:T153" ca="1" si="28">E149-E152</f>
        <v>191.75120746000002</v>
      </c>
      <c r="F153" s="489">
        <f t="shared" ca="1" si="28"/>
        <v>191.75120746500002</v>
      </c>
      <c r="G153" s="489">
        <f t="shared" ca="1" si="28"/>
        <v>191.75120746500002</v>
      </c>
      <c r="H153" s="489">
        <f t="shared" ca="1" si="28"/>
        <v>191.33086316500001</v>
      </c>
      <c r="I153" s="489">
        <f t="shared" ca="1" si="28"/>
        <v>191.54103531500002</v>
      </c>
      <c r="J153" s="489">
        <f t="shared" ca="1" si="28"/>
        <v>191.54103531500002</v>
      </c>
      <c r="K153" s="489">
        <f t="shared" ca="1" si="28"/>
        <v>189.17682331500001</v>
      </c>
      <c r="L153" s="489">
        <f t="shared" ca="1" si="28"/>
        <v>176.18050074500002</v>
      </c>
      <c r="M153" s="489">
        <f t="shared" ca="1" si="28"/>
        <v>171.76971503000001</v>
      </c>
      <c r="N153" s="489">
        <f t="shared" ca="1" si="28"/>
        <v>177.51971503000001</v>
      </c>
      <c r="O153" s="489">
        <f t="shared" ca="1" si="28"/>
        <v>177.51971503000001</v>
      </c>
      <c r="P153" s="489">
        <f t="shared" ca="1" si="28"/>
        <v>177.51971503000001</v>
      </c>
      <c r="Q153" s="575">
        <f t="shared" ca="1" si="28"/>
        <v>177.51971503000001</v>
      </c>
      <c r="R153" s="489">
        <f t="shared" ca="1" si="28"/>
        <v>146.17505162</v>
      </c>
      <c r="S153" s="489">
        <f t="shared" ca="1" si="28"/>
        <v>159.62556985500004</v>
      </c>
      <c r="T153" s="490">
        <f t="shared" ca="1" si="28"/>
        <v>133.53538588000001</v>
      </c>
      <c r="U153" s="557"/>
      <c r="V153" s="120"/>
      <c r="W153" s="219"/>
      <c r="X153" s="219"/>
      <c r="Y153" s="219"/>
    </row>
    <row r="154" spans="1:25" s="126" customFormat="1">
      <c r="A154">
        <f>IF(B154="","",IFERROR(MATCH(B154,'Data Processing'!$C:$C,0),""))</f>
        <v>18</v>
      </c>
      <c r="B154" s="215" t="s">
        <v>1067</v>
      </c>
      <c r="C154" s="453" t="str">
        <f>INDEX('Data Processing'!$G:$G,A154)</f>
        <v>Trade Finance - 3rd Parties</v>
      </c>
      <c r="D154" s="249">
        <f>-INDEX('Data Processing'!O:O,$A154)</f>
        <v>2643.1710078999999</v>
      </c>
      <c r="E154" s="454">
        <f ca="1">-INDEX('Data Processing'!P:P,$A154)</f>
        <v>2643.1710078999999</v>
      </c>
      <c r="F154" s="454">
        <f ca="1">-INDEX('Data Processing'!Q:Q,$A154)</f>
        <v>2643.1710078999999</v>
      </c>
      <c r="G154" s="454">
        <f ca="1">-INDEX('Data Processing'!R:R,$A154)</f>
        <v>2642.9943295799999</v>
      </c>
      <c r="H154" s="454">
        <f ca="1">-INDEX('Data Processing'!S:S,$A154)</f>
        <v>2642.8031987999998</v>
      </c>
      <c r="I154" s="454">
        <f ca="1">-INDEX('Data Processing'!T:T,$A154)</f>
        <v>2642.8031987999998</v>
      </c>
      <c r="J154" s="454">
        <f ca="1">-INDEX('Data Processing'!U:U,$A154)</f>
        <v>2642.8031987999998</v>
      </c>
      <c r="K154" s="454">
        <f ca="1">-INDEX('Data Processing'!V:V,$A154)</f>
        <v>2610.6695469699998</v>
      </c>
      <c r="L154" s="454">
        <f ca="1">-INDEX('Data Processing'!W:W,$A154)</f>
        <v>2610.6695469699998</v>
      </c>
      <c r="M154" s="454">
        <f ca="1">-INDEX('Data Processing'!X:X,$A154)</f>
        <v>2575.3567638199997</v>
      </c>
      <c r="N154" s="454">
        <f ca="1">-INDEX('Data Processing'!Y:Y,$A154)</f>
        <v>2575.1622263300001</v>
      </c>
      <c r="O154" s="454">
        <f ca="1">-INDEX('Data Processing'!Z:Z,$A154)</f>
        <v>2575.1376417050001</v>
      </c>
      <c r="P154" s="454">
        <f ca="1">-INDEX('Data Processing'!AA:AA,$A154)</f>
        <v>2575.1376417050001</v>
      </c>
      <c r="Q154" s="454">
        <f ca="1">-INDEX('Data Processing'!AB:AB,$A154)</f>
        <v>2575.1376417050001</v>
      </c>
      <c r="R154" s="454">
        <f ca="1">-INDEX('Data Processing'!AC:AC,$A154)</f>
        <v>2574.3165363849998</v>
      </c>
      <c r="S154" s="454">
        <f ca="1">-INDEX('Data Processing'!AD:AD,$A154)</f>
        <v>2522.8233477399999</v>
      </c>
      <c r="T154" s="455">
        <f ca="1">-INDEX('Data Processing'!AE:AE,$A154)</f>
        <v>2505.7694709449997</v>
      </c>
      <c r="U154" s="125"/>
      <c r="V154" s="120"/>
    </row>
    <row r="155" spans="1:25" s="562" customFormat="1">
      <c r="A155" s="440" t="str">
        <f>IF(B155="","",IFERROR(MATCH(B155,'Data Processing'!$C:$C,0),""))</f>
        <v/>
      </c>
      <c r="B155" s="522"/>
      <c r="C155" s="565" t="s">
        <v>1005</v>
      </c>
      <c r="D155" s="488"/>
      <c r="E155" s="489">
        <f t="shared" ref="E155:T155" ca="1" si="29">E154</f>
        <v>2643.1710078999999</v>
      </c>
      <c r="F155" s="489">
        <f t="shared" ca="1" si="29"/>
        <v>2643.1710078999999</v>
      </c>
      <c r="G155" s="489">
        <f t="shared" ca="1" si="29"/>
        <v>2642.9943295799999</v>
      </c>
      <c r="H155" s="489">
        <f t="shared" ca="1" si="29"/>
        <v>2642.8031987999998</v>
      </c>
      <c r="I155" s="489">
        <f t="shared" ca="1" si="29"/>
        <v>2642.8031987999998</v>
      </c>
      <c r="J155" s="489">
        <f t="shared" ca="1" si="29"/>
        <v>2642.8031987999998</v>
      </c>
      <c r="K155" s="489">
        <f t="shared" ca="1" si="29"/>
        <v>2610.6695469699998</v>
      </c>
      <c r="L155" s="489">
        <f t="shared" ca="1" si="29"/>
        <v>2610.6695469699998</v>
      </c>
      <c r="M155" s="489">
        <f t="shared" ca="1" si="29"/>
        <v>2575.3567638199997</v>
      </c>
      <c r="N155" s="489">
        <f t="shared" ca="1" si="29"/>
        <v>2575.1622263300001</v>
      </c>
      <c r="O155" s="489">
        <f t="shared" ca="1" si="29"/>
        <v>2575.1376417050001</v>
      </c>
      <c r="P155" s="489">
        <f t="shared" ca="1" si="29"/>
        <v>2575.1376417050001</v>
      </c>
      <c r="Q155" s="489">
        <f t="shared" ca="1" si="29"/>
        <v>2575.1376417050001</v>
      </c>
      <c r="R155" s="454">
        <f t="shared" ca="1" si="29"/>
        <v>2574.3165363849998</v>
      </c>
      <c r="S155" s="454">
        <f t="shared" ca="1" si="29"/>
        <v>2522.8233477399999</v>
      </c>
      <c r="T155" s="455">
        <f t="shared" ca="1" si="29"/>
        <v>2505.7694709449997</v>
      </c>
      <c r="U155" s="557"/>
      <c r="V155" s="296"/>
      <c r="W155" s="295"/>
      <c r="X155" s="295"/>
      <c r="Y155" s="295"/>
    </row>
    <row r="156" spans="1:25" s="561" customFormat="1">
      <c r="A156" s="440" t="str">
        <f>IF(B156="","",IFERROR(MATCH(B156,'Data Processing'!$C:$C,0),""))</f>
        <v/>
      </c>
      <c r="B156" s="548"/>
      <c r="C156" s="567" t="s">
        <v>51</v>
      </c>
      <c r="D156" s="488"/>
      <c r="E156" s="488">
        <f>-INDEX('Data Processing'!CX:CX,$A154)</f>
        <v>0</v>
      </c>
      <c r="F156" s="488">
        <f>-INDEX('Data Processing'!CY:CY,$A154)</f>
        <v>0</v>
      </c>
      <c r="G156" s="488">
        <f>-INDEX('Data Processing'!CZ:CZ,$A154)</f>
        <v>0.35335664</v>
      </c>
      <c r="H156" s="488">
        <f>-INDEX('Data Processing'!DA:DA,$A154)</f>
        <v>0.38226156</v>
      </c>
      <c r="I156" s="488">
        <f>-INDEX('Data Processing'!DB:DB,$A154)</f>
        <v>0</v>
      </c>
      <c r="J156" s="488">
        <f>-INDEX('Data Processing'!DC:DC,$A154)</f>
        <v>0</v>
      </c>
      <c r="K156" s="488">
        <f>-INDEX('Data Processing'!DD:DD,$A154)</f>
        <v>64.267303659999996</v>
      </c>
      <c r="L156" s="488">
        <f>-INDEX('Data Processing'!DE:DE,$A154)</f>
        <v>0</v>
      </c>
      <c r="M156" s="488">
        <f>-INDEX('Data Processing'!DF:DF,$A154)</f>
        <v>70.625566300000003</v>
      </c>
      <c r="N156" s="488">
        <f>-INDEX('Data Processing'!DG:DG,$A154)</f>
        <v>0.38907497999999996</v>
      </c>
      <c r="O156" s="488">
        <f>-INDEX('Data Processing'!DH:DH,$A154)</f>
        <v>4.9169249999999998E-2</v>
      </c>
      <c r="P156" s="488">
        <f>-INDEX('Data Processing'!DI:DI,$A154)</f>
        <v>0</v>
      </c>
      <c r="Q156" s="488">
        <f>-INDEX('Data Processing'!DJ:DJ,$A154)</f>
        <v>0</v>
      </c>
      <c r="R156" s="488">
        <f>-INDEX('Data Processing'!DK:DK,$A154)</f>
        <v>1.6422106400000001</v>
      </c>
      <c r="S156" s="488">
        <f>-INDEX('Data Processing'!DL:DL,$A154)</f>
        <v>102.98637729000001</v>
      </c>
      <c r="T156" s="550">
        <f>-INDEX('Data Processing'!DM:DM,$A154)</f>
        <v>34.107753589999994</v>
      </c>
      <c r="U156" s="551"/>
      <c r="V156" s="271"/>
      <c r="W156" s="272"/>
      <c r="X156" s="272"/>
      <c r="Y156" s="272"/>
    </row>
    <row r="157" spans="1:25" s="561" customFormat="1">
      <c r="A157" s="440" t="str">
        <f>IF(B157="","",IFERROR(MATCH(B157,'Data Processing'!$C:$C,0),""))</f>
        <v/>
      </c>
      <c r="B157" s="548"/>
      <c r="C157" s="567" t="s">
        <v>50</v>
      </c>
      <c r="D157" s="502"/>
      <c r="E157" s="553">
        <f ca="1">INDEX('Data Processing'!BU:BU,$A154)</f>
        <v>0.5</v>
      </c>
      <c r="F157" s="553">
        <f ca="1">INDEX('Data Processing'!BV:BV,$A154)</f>
        <v>0.5</v>
      </c>
      <c r="G157" s="553">
        <f ca="1">INDEX('Data Processing'!BW:BW,$A154)</f>
        <v>0.5</v>
      </c>
      <c r="H157" s="553">
        <f ca="1">INDEX('Data Processing'!BX:BX,$A154)</f>
        <v>0.5</v>
      </c>
      <c r="I157" s="553">
        <f ca="1">INDEX('Data Processing'!BY:BY,$A154)</f>
        <v>0.5</v>
      </c>
      <c r="J157" s="553">
        <f ca="1">INDEX('Data Processing'!BZ:BZ,$A154)</f>
        <v>0.5</v>
      </c>
      <c r="K157" s="553">
        <f ca="1">INDEX('Data Processing'!CA:CA,$A154)</f>
        <v>0.5</v>
      </c>
      <c r="L157" s="553">
        <f ca="1">INDEX('Data Processing'!CB:CB,$A154)</f>
        <v>0.5</v>
      </c>
      <c r="M157" s="553">
        <f ca="1">INDEX('Data Processing'!CC:CC,$A154)</f>
        <v>0.5</v>
      </c>
      <c r="N157" s="553">
        <f ca="1">INDEX('Data Processing'!CD:CD,$A154)</f>
        <v>0.5</v>
      </c>
      <c r="O157" s="553">
        <f ca="1">INDEX('Data Processing'!CE:CE,$A154)</f>
        <v>0.5</v>
      </c>
      <c r="P157" s="553">
        <f ca="1">INDEX('Data Processing'!CF:CF,$A154)</f>
        <v>0.5</v>
      </c>
      <c r="Q157" s="553">
        <f ca="1">INDEX('Data Processing'!CG:CG,$A154)</f>
        <v>0.5</v>
      </c>
      <c r="R157" s="553">
        <f ca="1">INDEX('Data Processing'!CH:CH,$A154)</f>
        <v>0.5</v>
      </c>
      <c r="S157" s="553">
        <f ca="1">INDEX('Data Processing'!CI:CI,$A154)</f>
        <v>0.5</v>
      </c>
      <c r="T157" s="554">
        <f ca="1">INDEX('Data Processing'!CJ:CJ,$A154)</f>
        <v>0.5</v>
      </c>
      <c r="U157" s="555"/>
      <c r="V157" s="271"/>
      <c r="W157" s="272"/>
      <c r="X157" s="272"/>
      <c r="Y157" s="272"/>
    </row>
    <row r="158" spans="1:25" s="562" customFormat="1">
      <c r="A158" s="440" t="str">
        <f>IF(B158="","",IFERROR(MATCH(B158,'Data Processing'!$C:$C,0),""))</f>
        <v/>
      </c>
      <c r="B158" s="522"/>
      <c r="C158" s="523" t="s">
        <v>1015</v>
      </c>
      <c r="D158" s="504"/>
      <c r="E158" s="489">
        <f ca="1">-INDEX('Data Processing'!AS:AS,$A154)</f>
        <v>0</v>
      </c>
      <c r="F158" s="489">
        <f ca="1">-INDEX('Data Processing'!AT:AT,$A154)</f>
        <v>0</v>
      </c>
      <c r="G158" s="489">
        <f ca="1">-INDEX('Data Processing'!AU:AU,$A154)</f>
        <v>0.17667832000006456</v>
      </c>
      <c r="H158" s="489">
        <f ca="1">-INDEX('Data Processing'!AV:AV,$A154)</f>
        <v>0.19113078000009409</v>
      </c>
      <c r="I158" s="489">
        <f ca="1">-INDEX('Data Processing'!AW:AW,$A154)</f>
        <v>0</v>
      </c>
      <c r="J158" s="489">
        <f ca="1">-INDEX('Data Processing'!AX:AX,$A154)</f>
        <v>0</v>
      </c>
      <c r="K158" s="489">
        <f ca="1">-INDEX('Data Processing'!AY:AY,$A154)</f>
        <v>32.133651829999963</v>
      </c>
      <c r="L158" s="489">
        <f ca="1">-INDEX('Data Processing'!AZ:AZ,$A154)</f>
        <v>0</v>
      </c>
      <c r="M158" s="489">
        <f ca="1">-INDEX('Data Processing'!BA:BA,$A154)</f>
        <v>35.312783150000087</v>
      </c>
      <c r="N158" s="489">
        <f ca="1">-INDEX('Data Processing'!BB:BB,$A154)</f>
        <v>0.19453748999967502</v>
      </c>
      <c r="O158" s="489">
        <f ca="1">-INDEX('Data Processing'!BC:BC,$A154)</f>
        <v>2.4584624999988591E-2</v>
      </c>
      <c r="P158" s="489">
        <f ca="1">-INDEX('Data Processing'!BD:BD,$A154)</f>
        <v>0</v>
      </c>
      <c r="Q158" s="489">
        <f ca="1">-INDEX('Data Processing'!BE:BE,$A154)</f>
        <v>0</v>
      </c>
      <c r="R158" s="489">
        <f ca="1">-INDEX('Data Processing'!BF:BF,$A154)</f>
        <v>0.8211053200002425</v>
      </c>
      <c r="S158" s="489">
        <f ca="1">-INDEX('Data Processing'!BG:BG,$A154)</f>
        <v>51.493188644999918</v>
      </c>
      <c r="T158" s="490">
        <f ca="1">-INDEX('Data Processing'!BH:BH,$A154)</f>
        <v>17.053876795000178</v>
      </c>
      <c r="U158" s="557"/>
      <c r="V158" s="120"/>
      <c r="W158" s="219"/>
      <c r="X158" s="219"/>
      <c r="Y158" s="219"/>
    </row>
    <row r="159" spans="1:25" s="562" customFormat="1">
      <c r="A159" s="440" t="str">
        <f>IF(B159="","",IFERROR(MATCH(B159,'Data Processing'!$C:$C,0),""))</f>
        <v/>
      </c>
      <c r="B159" s="522"/>
      <c r="C159" s="558" t="s">
        <v>1012</v>
      </c>
      <c r="D159" s="503"/>
      <c r="E159" s="559">
        <f t="shared" ref="E159:T159" ca="1" si="30">E155-E158</f>
        <v>2643.1710078999999</v>
      </c>
      <c r="F159" s="559">
        <f t="shared" ca="1" si="30"/>
        <v>2643.1710078999999</v>
      </c>
      <c r="G159" s="559">
        <f t="shared" ca="1" si="30"/>
        <v>2642.8176512599998</v>
      </c>
      <c r="H159" s="559">
        <f t="shared" ca="1" si="30"/>
        <v>2642.6120680199997</v>
      </c>
      <c r="I159" s="559">
        <f t="shared" ca="1" si="30"/>
        <v>2642.8031987999998</v>
      </c>
      <c r="J159" s="559">
        <f t="shared" ca="1" si="30"/>
        <v>2642.8031987999998</v>
      </c>
      <c r="K159" s="559">
        <f t="shared" ca="1" si="30"/>
        <v>2578.5358951399999</v>
      </c>
      <c r="L159" s="559">
        <f t="shared" ca="1" si="30"/>
        <v>2610.6695469699998</v>
      </c>
      <c r="M159" s="559">
        <f t="shared" ca="1" si="30"/>
        <v>2540.0439806699997</v>
      </c>
      <c r="N159" s="559">
        <f t="shared" ca="1" si="30"/>
        <v>2574.9676888400004</v>
      </c>
      <c r="O159" s="559">
        <f t="shared" ca="1" si="30"/>
        <v>2575.1130570800001</v>
      </c>
      <c r="P159" s="559">
        <f t="shared" ca="1" si="30"/>
        <v>2575.1376417050001</v>
      </c>
      <c r="Q159" s="559">
        <f t="shared" ca="1" si="30"/>
        <v>2575.1376417050001</v>
      </c>
      <c r="R159" s="559">
        <f t="shared" ca="1" si="30"/>
        <v>2573.4954310649996</v>
      </c>
      <c r="S159" s="559">
        <f t="shared" ca="1" si="30"/>
        <v>2471.330159095</v>
      </c>
      <c r="T159" s="560">
        <f t="shared" ca="1" si="30"/>
        <v>2488.7155941499996</v>
      </c>
      <c r="U159" s="557"/>
      <c r="V159" s="120"/>
      <c r="W159" s="219"/>
      <c r="X159" s="219"/>
      <c r="Y159" s="219"/>
    </row>
    <row r="160" spans="1:25" s="126" customFormat="1">
      <c r="A160">
        <f>IF(B160="","",IFERROR(MATCH(B160,'Data Processing'!$C:$C,0),""))</f>
        <v>19</v>
      </c>
      <c r="B160" s="215" t="s">
        <v>1156</v>
      </c>
      <c r="C160" s="452" t="str">
        <f>INDEX('Data Processing'!$G:$G,A160)</f>
        <v xml:space="preserve">Trade Finance - Non FI </v>
      </c>
      <c r="D160" s="249">
        <f>-INDEX('Data Processing'!O:O,$A160)</f>
        <v>1550.08623592</v>
      </c>
      <c r="E160" s="128">
        <f ca="1">-INDEX('Data Processing'!P:P,$A160)</f>
        <v>1550.08623592</v>
      </c>
      <c r="F160" s="128">
        <f ca="1">-INDEX('Data Processing'!Q:Q,$A160)</f>
        <v>1547.7251596600001</v>
      </c>
      <c r="G160" s="128">
        <f ca="1">-INDEX('Data Processing'!R:R,$A160)</f>
        <v>1546.2877436599999</v>
      </c>
      <c r="H160" s="128">
        <f ca="1">-INDEX('Data Processing'!S:S,$A160)</f>
        <v>1545.4121405200001</v>
      </c>
      <c r="I160" s="128">
        <f ca="1">-INDEX('Data Processing'!T:T,$A160)</f>
        <v>1545.4121405200001</v>
      </c>
      <c r="J160" s="128">
        <f ca="1">-INDEX('Data Processing'!U:U,$A160)</f>
        <v>1545.4121405200001</v>
      </c>
      <c r="K160" s="128">
        <f ca="1">-INDEX('Data Processing'!V:V,$A160)</f>
        <v>1538.6381530200001</v>
      </c>
      <c r="L160" s="128">
        <f ca="1">-INDEX('Data Processing'!W:W,$A160)</f>
        <v>1538.6381530200001</v>
      </c>
      <c r="M160" s="128">
        <f ca="1">-INDEX('Data Processing'!X:X,$A160)</f>
        <v>1538.6381530200001</v>
      </c>
      <c r="N160" s="128">
        <f ca="1">-INDEX('Data Processing'!Y:Y,$A160)</f>
        <v>1538.6381530200001</v>
      </c>
      <c r="O160" s="128">
        <f ca="1">-INDEX('Data Processing'!Z:Z,$A160)</f>
        <v>1526.4025609100001</v>
      </c>
      <c r="P160" s="128">
        <f ca="1">-INDEX('Data Processing'!AA:AA,$A160)</f>
        <v>1526.4025609100001</v>
      </c>
      <c r="Q160" s="128">
        <f ca="1">-INDEX('Data Processing'!AB:AB,$A160)</f>
        <v>1526.4025609100001</v>
      </c>
      <c r="R160" s="128">
        <f ca="1">-INDEX('Data Processing'!AC:AC,$A160)</f>
        <v>1511.04301839</v>
      </c>
      <c r="S160" s="128">
        <f ca="1">-INDEX('Data Processing'!AD:AD,$A160)</f>
        <v>1491.9484244800001</v>
      </c>
      <c r="T160" s="129">
        <f ca="1">-INDEX('Data Processing'!AE:AE,$A160)</f>
        <v>1451.03435023</v>
      </c>
      <c r="U160" s="125"/>
      <c r="V160" s="120"/>
    </row>
    <row r="161" spans="1:25" s="562" customFormat="1">
      <c r="A161" s="440" t="str">
        <f>IF(B161="","",IFERROR(MATCH(B161,'Data Processing'!$C:$C,0),""))</f>
        <v/>
      </c>
      <c r="B161" s="522"/>
      <c r="C161" s="565" t="s">
        <v>1005</v>
      </c>
      <c r="D161" s="488"/>
      <c r="E161" s="489">
        <f t="shared" ref="E161:T161" ca="1" si="31">E160</f>
        <v>1550.08623592</v>
      </c>
      <c r="F161" s="489">
        <f t="shared" ca="1" si="31"/>
        <v>1547.7251596600001</v>
      </c>
      <c r="G161" s="489">
        <f t="shared" ca="1" si="31"/>
        <v>1546.2877436599999</v>
      </c>
      <c r="H161" s="489">
        <f t="shared" ca="1" si="31"/>
        <v>1545.4121405200001</v>
      </c>
      <c r="I161" s="489">
        <f t="shared" ca="1" si="31"/>
        <v>1545.4121405200001</v>
      </c>
      <c r="J161" s="489">
        <f t="shared" ca="1" si="31"/>
        <v>1545.4121405200001</v>
      </c>
      <c r="K161" s="489">
        <f t="shared" ca="1" si="31"/>
        <v>1538.6381530200001</v>
      </c>
      <c r="L161" s="489">
        <f t="shared" ca="1" si="31"/>
        <v>1538.6381530200001</v>
      </c>
      <c r="M161" s="489">
        <f t="shared" ca="1" si="31"/>
        <v>1538.6381530200001</v>
      </c>
      <c r="N161" s="489">
        <f t="shared" ca="1" si="31"/>
        <v>1538.6381530200001</v>
      </c>
      <c r="O161" s="489">
        <f t="shared" ca="1" si="31"/>
        <v>1526.4025609100001</v>
      </c>
      <c r="P161" s="489">
        <f t="shared" ca="1" si="31"/>
        <v>1526.4025609100001</v>
      </c>
      <c r="Q161" s="489">
        <f t="shared" ca="1" si="31"/>
        <v>1526.4025609100001</v>
      </c>
      <c r="R161" s="454">
        <f t="shared" ca="1" si="31"/>
        <v>1511.04301839</v>
      </c>
      <c r="S161" s="454">
        <f t="shared" ca="1" si="31"/>
        <v>1491.9484244800001</v>
      </c>
      <c r="T161" s="455">
        <f t="shared" ca="1" si="31"/>
        <v>1451.03435023</v>
      </c>
      <c r="U161" s="557"/>
      <c r="V161" s="296"/>
      <c r="W161" s="295"/>
      <c r="X161" s="295"/>
      <c r="Y161" s="295"/>
    </row>
    <row r="162" spans="1:25" s="561" customFormat="1">
      <c r="A162" s="440" t="str">
        <f>IF(B162="","",IFERROR(MATCH(B162,'Data Processing'!$C:$C,0),""))</f>
        <v/>
      </c>
      <c r="B162" s="548"/>
      <c r="C162" s="567" t="s">
        <v>51</v>
      </c>
      <c r="D162" s="488"/>
      <c r="E162" s="488">
        <f>-INDEX('Data Processing'!CX:CX,$A160)</f>
        <v>0</v>
      </c>
      <c r="F162" s="488">
        <f>-INDEX('Data Processing'!CY:CY,$A160)</f>
        <v>2.3610762599999999</v>
      </c>
      <c r="G162" s="488">
        <f>-INDEX('Data Processing'!CZ:CZ,$A160)</f>
        <v>1.437416</v>
      </c>
      <c r="H162" s="488">
        <f>-INDEX('Data Processing'!DA:DA,$A160)</f>
        <v>0.87560314000000006</v>
      </c>
      <c r="I162" s="488">
        <f>-INDEX('Data Processing'!DB:DB,$A160)</f>
        <v>0</v>
      </c>
      <c r="J162" s="488">
        <f>-INDEX('Data Processing'!DC:DC,$A160)</f>
        <v>0</v>
      </c>
      <c r="K162" s="488">
        <f>-INDEX('Data Processing'!DD:DD,$A160)</f>
        <v>6.7739874999999996</v>
      </c>
      <c r="L162" s="488">
        <f>-INDEX('Data Processing'!DE:DE,$A160)</f>
        <v>0</v>
      </c>
      <c r="M162" s="488">
        <f>-INDEX('Data Processing'!DF:DF,$A160)</f>
        <v>0</v>
      </c>
      <c r="N162" s="488">
        <f>-INDEX('Data Processing'!DG:DG,$A160)</f>
        <v>0</v>
      </c>
      <c r="O162" s="488">
        <f>-INDEX('Data Processing'!DH:DH,$A160)</f>
        <v>12.235592109999999</v>
      </c>
      <c r="P162" s="488">
        <f>-INDEX('Data Processing'!DI:DI,$A160)</f>
        <v>0</v>
      </c>
      <c r="Q162" s="488">
        <f>-INDEX('Data Processing'!DJ:DJ,$A160)</f>
        <v>0</v>
      </c>
      <c r="R162" s="488">
        <f>-INDEX('Data Processing'!DK:DK,$A160)</f>
        <v>15.35954252</v>
      </c>
      <c r="S162" s="488">
        <f>-INDEX('Data Processing'!DL:DL,$A160)</f>
        <v>19.09459391</v>
      </c>
      <c r="T162" s="550">
        <f>-INDEX('Data Processing'!DM:DM,$A160)</f>
        <v>40.914074250000006</v>
      </c>
      <c r="U162" s="551"/>
      <c r="V162" s="271"/>
      <c r="W162" s="272"/>
      <c r="X162" s="272"/>
      <c r="Y162" s="272"/>
    </row>
    <row r="163" spans="1:25" s="561" customFormat="1">
      <c r="A163" s="440" t="str">
        <f>IF(B163="","",IFERROR(MATCH(B163,'Data Processing'!$C:$C,0),""))</f>
        <v/>
      </c>
      <c r="B163" s="548"/>
      <c r="C163" s="567" t="s">
        <v>50</v>
      </c>
      <c r="D163" s="502"/>
      <c r="E163" s="553">
        <f ca="1">INDEX('Data Processing'!BU:BU,$A160)</f>
        <v>1</v>
      </c>
      <c r="F163" s="553">
        <f ca="1">INDEX('Data Processing'!BV:BV,$A160)</f>
        <v>1</v>
      </c>
      <c r="G163" s="553">
        <f ca="1">INDEX('Data Processing'!BW:BW,$A160)</f>
        <v>1</v>
      </c>
      <c r="H163" s="553">
        <f ca="1">INDEX('Data Processing'!BX:BX,$A160)</f>
        <v>1</v>
      </c>
      <c r="I163" s="553">
        <f ca="1">INDEX('Data Processing'!BY:BY,$A160)</f>
        <v>1</v>
      </c>
      <c r="J163" s="553">
        <f ca="1">INDEX('Data Processing'!BZ:BZ,$A160)</f>
        <v>1</v>
      </c>
      <c r="K163" s="553">
        <f ca="1">INDEX('Data Processing'!CA:CA,$A160)</f>
        <v>1</v>
      </c>
      <c r="L163" s="553">
        <f ca="1">INDEX('Data Processing'!CB:CB,$A160)</f>
        <v>1</v>
      </c>
      <c r="M163" s="553">
        <f ca="1">INDEX('Data Processing'!CC:CC,$A160)</f>
        <v>1</v>
      </c>
      <c r="N163" s="553">
        <f ca="1">INDEX('Data Processing'!CD:CD,$A160)</f>
        <v>1</v>
      </c>
      <c r="O163" s="553">
        <f ca="1">INDEX('Data Processing'!CE:CE,$A160)</f>
        <v>1</v>
      </c>
      <c r="P163" s="553">
        <f ca="1">INDEX('Data Processing'!CF:CF,$A160)</f>
        <v>1</v>
      </c>
      <c r="Q163" s="553">
        <f ca="1">INDEX('Data Processing'!CG:CG,$A160)</f>
        <v>1</v>
      </c>
      <c r="R163" s="553">
        <f ca="1">INDEX('Data Processing'!CH:CH,$A160)</f>
        <v>1</v>
      </c>
      <c r="S163" s="553">
        <f ca="1">INDEX('Data Processing'!CI:CI,$A160)</f>
        <v>1</v>
      </c>
      <c r="T163" s="554">
        <f ca="1">INDEX('Data Processing'!CJ:CJ,$A160)</f>
        <v>1</v>
      </c>
      <c r="U163" s="555"/>
      <c r="V163" s="271"/>
      <c r="W163" s="272"/>
      <c r="X163" s="272"/>
      <c r="Y163" s="272"/>
    </row>
    <row r="164" spans="1:25" s="562" customFormat="1">
      <c r="A164" s="440" t="str">
        <f>IF(B164="","",IFERROR(MATCH(B164,'Data Processing'!$C:$C,0),""))</f>
        <v/>
      </c>
      <c r="B164" s="522"/>
      <c r="C164" s="523" t="s">
        <v>1015</v>
      </c>
      <c r="D164" s="504"/>
      <c r="E164" s="489">
        <f ca="1">-INDEX('Data Processing'!AS:AS,$A160)</f>
        <v>0</v>
      </c>
      <c r="F164" s="489">
        <f ca="1">-INDEX('Data Processing'!AT:AT,$A160)</f>
        <v>2.3610762599998907</v>
      </c>
      <c r="G164" s="489">
        <f ca="1">-INDEX('Data Processing'!AU:AU,$A160)</f>
        <v>1.4374160000002121</v>
      </c>
      <c r="H164" s="489">
        <f ca="1">-INDEX('Data Processing'!AV:AV,$A160)</f>
        <v>0.87560313999983919</v>
      </c>
      <c r="I164" s="489">
        <f ca="1">-INDEX('Data Processing'!AW:AW,$A160)</f>
        <v>0</v>
      </c>
      <c r="J164" s="489">
        <f ca="1">-INDEX('Data Processing'!AX:AX,$A160)</f>
        <v>0</v>
      </c>
      <c r="K164" s="489">
        <f ca="1">-INDEX('Data Processing'!AY:AY,$A160)</f>
        <v>6.7739874999999756</v>
      </c>
      <c r="L164" s="489">
        <f ca="1">-INDEX('Data Processing'!AZ:AZ,$A160)</f>
        <v>0</v>
      </c>
      <c r="M164" s="489">
        <f ca="1">-INDEX('Data Processing'!BA:BA,$A160)</f>
        <v>0</v>
      </c>
      <c r="N164" s="489">
        <f ca="1">-INDEX('Data Processing'!BB:BB,$A160)</f>
        <v>0</v>
      </c>
      <c r="O164" s="489">
        <f ca="1">-INDEX('Data Processing'!BC:BC,$A160)</f>
        <v>12.23559210999997</v>
      </c>
      <c r="P164" s="489">
        <f ca="1">-INDEX('Data Processing'!BD:BD,$A160)</f>
        <v>0</v>
      </c>
      <c r="Q164" s="489">
        <f ca="1">-INDEX('Data Processing'!BE:BE,$A160)</f>
        <v>0</v>
      </c>
      <c r="R164" s="489">
        <f ca="1">-INDEX('Data Processing'!BF:BF,$A160)</f>
        <v>15.359542520000105</v>
      </c>
      <c r="S164" s="489">
        <f ca="1">-INDEX('Data Processing'!BG:BG,$A160)</f>
        <v>19.094593909999958</v>
      </c>
      <c r="T164" s="490">
        <f ca="1">-INDEX('Data Processing'!BH:BH,$A160)</f>
        <v>40.914074250000112</v>
      </c>
      <c r="U164" s="557"/>
      <c r="V164" s="120"/>
      <c r="W164" s="219"/>
      <c r="X164" s="219"/>
      <c r="Y164" s="219"/>
    </row>
    <row r="165" spans="1:25" s="562" customFormat="1">
      <c r="A165" s="440" t="str">
        <f>IF(B165="","",IFERROR(MATCH(B165,'Data Processing'!$C:$C,0),""))</f>
        <v/>
      </c>
      <c r="B165" s="522"/>
      <c r="C165" s="558" t="s">
        <v>1012</v>
      </c>
      <c r="D165" s="503"/>
      <c r="E165" s="559">
        <f t="shared" ref="E165:T165" ca="1" si="32">E161-E164</f>
        <v>1550.08623592</v>
      </c>
      <c r="F165" s="559">
        <f t="shared" ca="1" si="32"/>
        <v>1545.3640834000003</v>
      </c>
      <c r="G165" s="559">
        <f t="shared" ca="1" si="32"/>
        <v>1544.8503276599997</v>
      </c>
      <c r="H165" s="559">
        <f t="shared" ca="1" si="32"/>
        <v>1544.5365373800003</v>
      </c>
      <c r="I165" s="559">
        <f t="shared" ca="1" si="32"/>
        <v>1545.4121405200001</v>
      </c>
      <c r="J165" s="559">
        <f t="shared" ca="1" si="32"/>
        <v>1545.4121405200001</v>
      </c>
      <c r="K165" s="559">
        <f t="shared" ca="1" si="32"/>
        <v>1531.8641655200001</v>
      </c>
      <c r="L165" s="559">
        <f t="shared" ca="1" si="32"/>
        <v>1538.6381530200001</v>
      </c>
      <c r="M165" s="559">
        <f t="shared" ca="1" si="32"/>
        <v>1538.6381530200001</v>
      </c>
      <c r="N165" s="559">
        <f t="shared" ca="1" si="32"/>
        <v>1538.6381530200001</v>
      </c>
      <c r="O165" s="559">
        <f t="shared" ca="1" si="32"/>
        <v>1514.1669688000002</v>
      </c>
      <c r="P165" s="559">
        <f t="shared" ca="1" si="32"/>
        <v>1526.4025609100001</v>
      </c>
      <c r="Q165" s="559">
        <f t="shared" ca="1" si="32"/>
        <v>1526.4025609100001</v>
      </c>
      <c r="R165" s="559">
        <f t="shared" ca="1" si="32"/>
        <v>1495.6834758699999</v>
      </c>
      <c r="S165" s="559">
        <f t="shared" ca="1" si="32"/>
        <v>1472.8538305700001</v>
      </c>
      <c r="T165" s="560">
        <f t="shared" ca="1" si="32"/>
        <v>1410.1202759799999</v>
      </c>
      <c r="U165" s="557"/>
      <c r="V165" s="120"/>
      <c r="W165" s="219"/>
      <c r="X165" s="219"/>
      <c r="Y165" s="219"/>
    </row>
    <row r="166" spans="1:25" s="126" customFormat="1">
      <c r="A166">
        <f>IF(B166="","",IFERROR(MATCH(B166,'Data Processing'!$C:$C,0),""))</f>
        <v>21</v>
      </c>
      <c r="B166" s="215">
        <v>98</v>
      </c>
      <c r="C166" s="452" t="str">
        <f>INDEX('Data Processing'!$G:$G,A166)</f>
        <v>REPO Assets</v>
      </c>
      <c r="D166" s="249">
        <f>-INDEX('Data Processing'!O:O,$A166)</f>
        <v>0</v>
      </c>
      <c r="E166" s="128">
        <f ca="1">-INDEX('Data Processing'!P:P,$A166)</f>
        <v>0</v>
      </c>
      <c r="F166" s="128">
        <f ca="1">-INDEX('Data Processing'!Q:Q,$A166)</f>
        <v>0</v>
      </c>
      <c r="G166" s="128">
        <f ca="1">-INDEX('Data Processing'!R:R,$A166)</f>
        <v>0</v>
      </c>
      <c r="H166" s="128">
        <f ca="1">-INDEX('Data Processing'!S:S,$A166)</f>
        <v>0</v>
      </c>
      <c r="I166" s="128">
        <f ca="1">-INDEX('Data Processing'!T:T,$A166)</f>
        <v>0</v>
      </c>
      <c r="J166" s="128">
        <f ca="1">-INDEX('Data Processing'!U:U,$A166)</f>
        <v>0</v>
      </c>
      <c r="K166" s="128">
        <f ca="1">-INDEX('Data Processing'!V:V,$A166)</f>
        <v>0</v>
      </c>
      <c r="L166" s="128">
        <f ca="1">-INDEX('Data Processing'!W:W,$A166)</f>
        <v>0</v>
      </c>
      <c r="M166" s="128">
        <f ca="1">-INDEX('Data Processing'!X:X,$A166)</f>
        <v>0</v>
      </c>
      <c r="N166" s="128">
        <f ca="1">-INDEX('Data Processing'!Y:Y,$A166)</f>
        <v>0</v>
      </c>
      <c r="O166" s="128">
        <f ca="1">-INDEX('Data Processing'!Z:Z,$A166)</f>
        <v>0</v>
      </c>
      <c r="P166" s="128">
        <f ca="1">-INDEX('Data Processing'!AA:AA,$A166)</f>
        <v>0</v>
      </c>
      <c r="Q166" s="128">
        <f ca="1">-INDEX('Data Processing'!AB:AB,$A166)</f>
        <v>0</v>
      </c>
      <c r="R166" s="128">
        <f ca="1">-INDEX('Data Processing'!AC:AC,$A166)</f>
        <v>0</v>
      </c>
      <c r="S166" s="128">
        <f ca="1">-INDEX('Data Processing'!AD:AD,$A166)</f>
        <v>0</v>
      </c>
      <c r="T166" s="129">
        <f ca="1">-INDEX('Data Processing'!AE:AE,$A166)</f>
        <v>0</v>
      </c>
      <c r="U166" s="125"/>
      <c r="V166" s="120"/>
    </row>
    <row r="167" spans="1:25" s="562" customFormat="1">
      <c r="A167" s="440" t="str">
        <f>IF(B167="","",IFERROR(MATCH(B167,'Data Processing'!$C:$C,0),""))</f>
        <v/>
      </c>
      <c r="B167" s="522"/>
      <c r="C167" s="565" t="s">
        <v>1005</v>
      </c>
      <c r="D167" s="488"/>
      <c r="E167" s="489">
        <f t="shared" ref="E167:T167" ca="1" si="33">E166</f>
        <v>0</v>
      </c>
      <c r="F167" s="489">
        <f t="shared" ca="1" si="33"/>
        <v>0</v>
      </c>
      <c r="G167" s="489">
        <f t="shared" ca="1" si="33"/>
        <v>0</v>
      </c>
      <c r="H167" s="489">
        <f t="shared" ca="1" si="33"/>
        <v>0</v>
      </c>
      <c r="I167" s="489">
        <f t="shared" ca="1" si="33"/>
        <v>0</v>
      </c>
      <c r="J167" s="489">
        <f t="shared" ca="1" si="33"/>
        <v>0</v>
      </c>
      <c r="K167" s="489">
        <f t="shared" ca="1" si="33"/>
        <v>0</v>
      </c>
      <c r="L167" s="489">
        <f t="shared" ca="1" si="33"/>
        <v>0</v>
      </c>
      <c r="M167" s="489">
        <f t="shared" ca="1" si="33"/>
        <v>0</v>
      </c>
      <c r="N167" s="489">
        <f t="shared" ca="1" si="33"/>
        <v>0</v>
      </c>
      <c r="O167" s="489">
        <f t="shared" ca="1" si="33"/>
        <v>0</v>
      </c>
      <c r="P167" s="489">
        <f t="shared" ca="1" si="33"/>
        <v>0</v>
      </c>
      <c r="Q167" s="489">
        <f t="shared" ca="1" si="33"/>
        <v>0</v>
      </c>
      <c r="R167" s="454">
        <f t="shared" ca="1" si="33"/>
        <v>0</v>
      </c>
      <c r="S167" s="454">
        <f t="shared" ca="1" si="33"/>
        <v>0</v>
      </c>
      <c r="T167" s="455">
        <f t="shared" ca="1" si="33"/>
        <v>0</v>
      </c>
      <c r="U167" s="557"/>
      <c r="V167" s="296"/>
      <c r="W167" s="295"/>
      <c r="X167" s="295"/>
      <c r="Y167" s="295"/>
    </row>
    <row r="168" spans="1:25" s="561" customFormat="1">
      <c r="A168" s="440" t="str">
        <f>IF(B168="","",IFERROR(MATCH(B168,'Data Processing'!$C:$C,0),""))</f>
        <v/>
      </c>
      <c r="B168" s="548"/>
      <c r="C168" s="567" t="s">
        <v>51</v>
      </c>
      <c r="D168" s="488"/>
      <c r="E168" s="488">
        <f>-INDEX('Data Processing'!CX:CX,$A166)</f>
        <v>0</v>
      </c>
      <c r="F168" s="488">
        <f>-INDEX('Data Processing'!CY:CY,$A166)</f>
        <v>0</v>
      </c>
      <c r="G168" s="488">
        <f>-INDEX('Data Processing'!CZ:CZ,$A166)</f>
        <v>0</v>
      </c>
      <c r="H168" s="488">
        <f>-INDEX('Data Processing'!DA:DA,$A166)</f>
        <v>0</v>
      </c>
      <c r="I168" s="488">
        <f>-INDEX('Data Processing'!DB:DB,$A166)</f>
        <v>0</v>
      </c>
      <c r="J168" s="488">
        <f>-INDEX('Data Processing'!DC:DC,$A166)</f>
        <v>0</v>
      </c>
      <c r="K168" s="488">
        <f>-INDEX('Data Processing'!DD:DD,$A166)</f>
        <v>0</v>
      </c>
      <c r="L168" s="488">
        <f>-INDEX('Data Processing'!DE:DE,$A166)</f>
        <v>0</v>
      </c>
      <c r="M168" s="488">
        <f>-INDEX('Data Processing'!DF:DF,$A166)</f>
        <v>0</v>
      </c>
      <c r="N168" s="488">
        <f>-INDEX('Data Processing'!DG:DG,$A166)</f>
        <v>0</v>
      </c>
      <c r="O168" s="488">
        <f>-INDEX('Data Processing'!DH:DH,$A166)</f>
        <v>0</v>
      </c>
      <c r="P168" s="488">
        <f>-INDEX('Data Processing'!DI:DI,$A166)</f>
        <v>0</v>
      </c>
      <c r="Q168" s="488">
        <f>-INDEX('Data Processing'!DJ:DJ,$A166)</f>
        <v>0</v>
      </c>
      <c r="R168" s="488">
        <f>-INDEX('Data Processing'!DK:DK,$A166)</f>
        <v>0</v>
      </c>
      <c r="S168" s="488">
        <f>-INDEX('Data Processing'!DL:DL,$A166)</f>
        <v>0</v>
      </c>
      <c r="T168" s="550">
        <f>-INDEX('Data Processing'!DM:DM,$A166)</f>
        <v>0</v>
      </c>
      <c r="U168" s="551"/>
      <c r="V168" s="271"/>
      <c r="W168" s="272"/>
      <c r="X168" s="272"/>
      <c r="Y168" s="272"/>
    </row>
    <row r="169" spans="1:25" s="561" customFormat="1">
      <c r="A169" s="440" t="str">
        <f>IF(B169="","",IFERROR(MATCH(B169,'Data Processing'!$C:$C,0),""))</f>
        <v/>
      </c>
      <c r="B169" s="548"/>
      <c r="C169" s="567" t="s">
        <v>50</v>
      </c>
      <c r="D169" s="502"/>
      <c r="E169" s="553">
        <f ca="1">INDEX('Data Processing'!BU:BU,$A166)</f>
        <v>1</v>
      </c>
      <c r="F169" s="553">
        <f ca="1">INDEX('Data Processing'!BV:BV,$A166)</f>
        <v>1</v>
      </c>
      <c r="G169" s="553">
        <f ca="1">INDEX('Data Processing'!BW:BW,$A166)</f>
        <v>1</v>
      </c>
      <c r="H169" s="553">
        <f ca="1">INDEX('Data Processing'!BX:BX,$A166)</f>
        <v>1</v>
      </c>
      <c r="I169" s="553">
        <f ca="1">INDEX('Data Processing'!BY:BY,$A166)</f>
        <v>1</v>
      </c>
      <c r="J169" s="553">
        <f ca="1">INDEX('Data Processing'!BZ:BZ,$A166)</f>
        <v>1</v>
      </c>
      <c r="K169" s="553">
        <f ca="1">INDEX('Data Processing'!CA:CA,$A166)</f>
        <v>1</v>
      </c>
      <c r="L169" s="553">
        <f ca="1">INDEX('Data Processing'!CB:CB,$A166)</f>
        <v>1</v>
      </c>
      <c r="M169" s="553">
        <f ca="1">INDEX('Data Processing'!CC:CC,$A166)</f>
        <v>1</v>
      </c>
      <c r="N169" s="553">
        <f ca="1">INDEX('Data Processing'!CD:CD,$A166)</f>
        <v>1</v>
      </c>
      <c r="O169" s="553">
        <f ca="1">INDEX('Data Processing'!CE:CE,$A166)</f>
        <v>1</v>
      </c>
      <c r="P169" s="553">
        <f ca="1">INDEX('Data Processing'!CF:CF,$A166)</f>
        <v>1</v>
      </c>
      <c r="Q169" s="553">
        <f ca="1">INDEX('Data Processing'!CG:CG,$A166)</f>
        <v>1</v>
      </c>
      <c r="R169" s="553">
        <f ca="1">INDEX('Data Processing'!CH:CH,$A166)</f>
        <v>1</v>
      </c>
      <c r="S169" s="553">
        <f ca="1">INDEX('Data Processing'!CI:CI,$A166)</f>
        <v>1</v>
      </c>
      <c r="T169" s="554">
        <f ca="1">INDEX('Data Processing'!CJ:CJ,$A166)</f>
        <v>1</v>
      </c>
      <c r="U169" s="555"/>
      <c r="V169" s="271"/>
      <c r="W169" s="272"/>
      <c r="X169" s="272"/>
      <c r="Y169" s="272"/>
    </row>
    <row r="170" spans="1:25" s="562" customFormat="1">
      <c r="A170" s="440" t="str">
        <f>IF(B170="","",IFERROR(MATCH(B170,'Data Processing'!$C:$C,0),""))</f>
        <v/>
      </c>
      <c r="B170" s="522"/>
      <c r="C170" s="523" t="s">
        <v>1015</v>
      </c>
      <c r="D170" s="504"/>
      <c r="E170" s="489">
        <f ca="1">-INDEX('Data Processing'!AS:AS,$A166)</f>
        <v>0</v>
      </c>
      <c r="F170" s="489">
        <f ca="1">-INDEX('Data Processing'!AT:AT,$A166)</f>
        <v>0</v>
      </c>
      <c r="G170" s="489">
        <f ca="1">-INDEX('Data Processing'!AU:AU,$A166)</f>
        <v>0</v>
      </c>
      <c r="H170" s="489">
        <f ca="1">-INDEX('Data Processing'!AV:AV,$A166)</f>
        <v>0</v>
      </c>
      <c r="I170" s="489">
        <f ca="1">-INDEX('Data Processing'!AW:AW,$A166)</f>
        <v>0</v>
      </c>
      <c r="J170" s="489">
        <f ca="1">-INDEX('Data Processing'!AX:AX,$A166)</f>
        <v>0</v>
      </c>
      <c r="K170" s="489">
        <f ca="1">-INDEX('Data Processing'!AY:AY,$A166)</f>
        <v>0</v>
      </c>
      <c r="L170" s="489">
        <f ca="1">-INDEX('Data Processing'!AZ:AZ,$A166)</f>
        <v>0</v>
      </c>
      <c r="M170" s="489">
        <f ca="1">-INDEX('Data Processing'!BA:BA,$A166)</f>
        <v>0</v>
      </c>
      <c r="N170" s="489">
        <f ca="1">-INDEX('Data Processing'!BB:BB,$A166)</f>
        <v>0</v>
      </c>
      <c r="O170" s="489">
        <f ca="1">-INDEX('Data Processing'!BC:BC,$A166)</f>
        <v>0</v>
      </c>
      <c r="P170" s="489">
        <f ca="1">-INDEX('Data Processing'!BD:BD,$A166)</f>
        <v>0</v>
      </c>
      <c r="Q170" s="489">
        <f ca="1">-INDEX('Data Processing'!BE:BE,$A166)</f>
        <v>0</v>
      </c>
      <c r="R170" s="489">
        <f ca="1">-INDEX('Data Processing'!BF:BF,$A166)</f>
        <v>0</v>
      </c>
      <c r="S170" s="489">
        <f ca="1">-INDEX('Data Processing'!BG:BG,$A166)</f>
        <v>0</v>
      </c>
      <c r="T170" s="490">
        <f ca="1">-INDEX('Data Processing'!BH:BH,$A166)</f>
        <v>0</v>
      </c>
      <c r="U170" s="557"/>
      <c r="V170" s="120"/>
      <c r="W170" s="219"/>
      <c r="X170" s="219"/>
      <c r="Y170" s="219"/>
    </row>
    <row r="171" spans="1:25" s="562" customFormat="1">
      <c r="A171" s="440" t="str">
        <f>IF(B171="","",IFERROR(MATCH(B171,'Data Processing'!$C:$C,0),""))</f>
        <v/>
      </c>
      <c r="B171" s="522"/>
      <c r="C171" s="558" t="s">
        <v>1012</v>
      </c>
      <c r="D171" s="503"/>
      <c r="E171" s="559">
        <f t="shared" ref="E171:T171" ca="1" si="34">E167-E170</f>
        <v>0</v>
      </c>
      <c r="F171" s="559">
        <f t="shared" ca="1" si="34"/>
        <v>0</v>
      </c>
      <c r="G171" s="559">
        <f t="shared" ca="1" si="34"/>
        <v>0</v>
      </c>
      <c r="H171" s="559">
        <f t="shared" ca="1" si="34"/>
        <v>0</v>
      </c>
      <c r="I171" s="559">
        <f t="shared" ca="1" si="34"/>
        <v>0</v>
      </c>
      <c r="J171" s="559">
        <f t="shared" ca="1" si="34"/>
        <v>0</v>
      </c>
      <c r="K171" s="559">
        <f t="shared" ca="1" si="34"/>
        <v>0</v>
      </c>
      <c r="L171" s="559">
        <f t="shared" ca="1" si="34"/>
        <v>0</v>
      </c>
      <c r="M171" s="559">
        <f t="shared" ca="1" si="34"/>
        <v>0</v>
      </c>
      <c r="N171" s="559">
        <f t="shared" ca="1" si="34"/>
        <v>0</v>
      </c>
      <c r="O171" s="559">
        <f t="shared" ca="1" si="34"/>
        <v>0</v>
      </c>
      <c r="P171" s="559">
        <f t="shared" ca="1" si="34"/>
        <v>0</v>
      </c>
      <c r="Q171" s="559">
        <f t="shared" ca="1" si="34"/>
        <v>0</v>
      </c>
      <c r="R171" s="559">
        <f t="shared" ca="1" si="34"/>
        <v>0</v>
      </c>
      <c r="S171" s="559">
        <f t="shared" ca="1" si="34"/>
        <v>0</v>
      </c>
      <c r="T171" s="560">
        <f t="shared" ca="1" si="34"/>
        <v>0</v>
      </c>
      <c r="U171" s="557"/>
      <c r="V171" s="120"/>
      <c r="W171" s="219"/>
      <c r="X171" s="219"/>
      <c r="Y171" s="219"/>
    </row>
    <row r="172" spans="1:25" s="211" customFormat="1">
      <c r="A172">
        <f>IF(B172="","",IFERROR(MATCH(B172,'Data Processing'!$C:$C,0),""))</f>
        <v>20</v>
      </c>
      <c r="B172" s="237">
        <v>6</v>
      </c>
      <c r="C172" s="238" t="str">
        <f>INDEX('Data Processing'!$G:$G,A172)</f>
        <v>BOLI</v>
      </c>
      <c r="D172" s="432">
        <f>-INDEX('Data Processing'!O:O,$A172)</f>
        <v>177.33069579000002</v>
      </c>
      <c r="E172" s="240">
        <f>-INDEX('Data Processing'!P:P,$A172)</f>
        <v>177.33069579000002</v>
      </c>
      <c r="F172" s="240">
        <f>-INDEX('Data Processing'!Q:Q,$A172)</f>
        <v>177.33069579000002</v>
      </c>
      <c r="G172" s="240">
        <f>-INDEX('Data Processing'!R:R,$A172)</f>
        <v>177.33069579000002</v>
      </c>
      <c r="H172" s="240">
        <f>-INDEX('Data Processing'!S:S,$A172)</f>
        <v>177.33069579000002</v>
      </c>
      <c r="I172" s="240">
        <f>-INDEX('Data Processing'!T:T,$A172)</f>
        <v>177.33069579000002</v>
      </c>
      <c r="J172" s="240">
        <f>-INDEX('Data Processing'!U:U,$A172)</f>
        <v>177.33069579000002</v>
      </c>
      <c r="K172" s="240">
        <f>-INDEX('Data Processing'!V:V,$A172)</f>
        <v>177.33069579000002</v>
      </c>
      <c r="L172" s="240">
        <f>-INDEX('Data Processing'!W:W,$A172)</f>
        <v>177.33069579000002</v>
      </c>
      <c r="M172" s="240">
        <f>-INDEX('Data Processing'!X:X,$A172)</f>
        <v>177.33069579000002</v>
      </c>
      <c r="N172" s="240">
        <f>-INDEX('Data Processing'!Y:Y,$A172)</f>
        <v>177.33069579000002</v>
      </c>
      <c r="O172" s="240">
        <f>-INDEX('Data Processing'!Z:Z,$A172)</f>
        <v>177.33069579000002</v>
      </c>
      <c r="P172" s="240">
        <f>-INDEX('Data Processing'!AA:AA,$A172)</f>
        <v>177.33069579000002</v>
      </c>
      <c r="Q172" s="240">
        <f>-INDEX('Data Processing'!AB:AB,$A172)</f>
        <v>177.33069579000002</v>
      </c>
      <c r="R172" s="240">
        <f>-INDEX('Data Processing'!AC:AC,$A172)</f>
        <v>177.33069579000002</v>
      </c>
      <c r="S172" s="240">
        <f>-INDEX('Data Processing'!AD:AD,$A172)</f>
        <v>177.33069579000002</v>
      </c>
      <c r="T172" s="241">
        <f>-INDEX('Data Processing'!AE:AE,$A172)</f>
        <v>177.33069579000002</v>
      </c>
      <c r="U172" s="242"/>
      <c r="V172" s="210"/>
    </row>
    <row r="173" spans="1:25" s="211" customFormat="1">
      <c r="A173">
        <f>IF(B173="","",IFERROR(MATCH(B173,'Data Processing'!$C:$C,0),""))</f>
        <v>22</v>
      </c>
      <c r="B173" s="237">
        <v>7</v>
      </c>
      <c r="C173" s="243" t="str">
        <f>INDEX('Data Processing'!$G:$G,A173)</f>
        <v>Other Assets</v>
      </c>
      <c r="D173" s="329">
        <f>-INDEX('Data Processing'!O:O,$A173)</f>
        <v>-81.621511070000054</v>
      </c>
      <c r="E173" s="244">
        <f>-INDEX('Data Processing'!P:P,$A173)</f>
        <v>-81.621511070000054</v>
      </c>
      <c r="F173" s="244">
        <f>-INDEX('Data Processing'!Q:Q,$A173)</f>
        <v>-81.621511070000054</v>
      </c>
      <c r="G173" s="244">
        <f>-INDEX('Data Processing'!R:R,$A173)</f>
        <v>-81.621511070000054</v>
      </c>
      <c r="H173" s="244">
        <f>-INDEX('Data Processing'!S:S,$A173)</f>
        <v>-81.621511070000054</v>
      </c>
      <c r="I173" s="244">
        <f>-INDEX('Data Processing'!T:T,$A173)</f>
        <v>-81.621511070000054</v>
      </c>
      <c r="J173" s="244">
        <f>-INDEX('Data Processing'!U:U,$A173)</f>
        <v>-81.621511070000054</v>
      </c>
      <c r="K173" s="244">
        <f>-INDEX('Data Processing'!V:V,$A173)</f>
        <v>-81.621511070000054</v>
      </c>
      <c r="L173" s="244">
        <f>-INDEX('Data Processing'!W:W,$A173)</f>
        <v>-81.621511070000054</v>
      </c>
      <c r="M173" s="244">
        <f>-INDEX('Data Processing'!X:X,$A173)</f>
        <v>-81.621511070000054</v>
      </c>
      <c r="N173" s="244">
        <f>-INDEX('Data Processing'!Y:Y,$A173)</f>
        <v>-81.621511070000054</v>
      </c>
      <c r="O173" s="244">
        <f>-INDEX('Data Processing'!Z:Z,$A173)</f>
        <v>-81.621511070000054</v>
      </c>
      <c r="P173" s="244">
        <f>-INDEX('Data Processing'!AA:AA,$A173)</f>
        <v>-81.621511070000054</v>
      </c>
      <c r="Q173" s="244">
        <f>-INDEX('Data Processing'!AB:AB,$A173)</f>
        <v>-81.621511070000054</v>
      </c>
      <c r="R173" s="244">
        <f>-INDEX('Data Processing'!AC:AC,$A173)</f>
        <v>-81.621511070000054</v>
      </c>
      <c r="S173" s="244">
        <f>-INDEX('Data Processing'!AD:AD,$A173)</f>
        <v>-81.621511070000054</v>
      </c>
      <c r="T173" s="245">
        <f>-INDEX('Data Processing'!AE:AE,$A173)</f>
        <v>-81.621511070000054</v>
      </c>
      <c r="U173" s="242"/>
      <c r="V173" s="210"/>
    </row>
    <row r="174" spans="1:25" s="521" customFormat="1" ht="15.75" thickBot="1">
      <c r="A174" s="440" t="str">
        <f>IF(B174="","",IFERROR(MATCH(B174,'Data Processing'!$C:$C,0),""))</f>
        <v/>
      </c>
      <c r="B174" s="576"/>
      <c r="C174" s="536" t="s">
        <v>22</v>
      </c>
      <c r="D174" s="505">
        <f>D73</f>
        <v>61187.931159929998</v>
      </c>
      <c r="E174" s="496">
        <f t="shared" ref="E174:T174" ca="1" si="35">E73</f>
        <v>59108.680406258718</v>
      </c>
      <c r="F174" s="496">
        <f t="shared" ca="1" si="35"/>
        <v>44482.203674868077</v>
      </c>
      <c r="G174" s="496">
        <f t="shared" ca="1" si="35"/>
        <v>44087.916683364601</v>
      </c>
      <c r="H174" s="496">
        <f t="shared" ca="1" si="35"/>
        <v>43695.034572940152</v>
      </c>
      <c r="I174" s="496">
        <f t="shared" ca="1" si="35"/>
        <v>43308.670816384765</v>
      </c>
      <c r="J174" s="496">
        <f t="shared" ca="1" si="35"/>
        <v>42922.307059829378</v>
      </c>
      <c r="K174" s="496">
        <f t="shared" ca="1" si="35"/>
        <v>42487.147923342833</v>
      </c>
      <c r="L174" s="496">
        <f t="shared" ca="1" si="35"/>
        <v>42152.85297711179</v>
      </c>
      <c r="M174" s="496">
        <f t="shared" ca="1" si="35"/>
        <v>41753.811222187069</v>
      </c>
      <c r="N174" s="496">
        <f t="shared" ca="1" si="35"/>
        <v>41401.167924968984</v>
      </c>
      <c r="O174" s="496">
        <f t="shared" ca="1" si="35"/>
        <v>41070.794780982753</v>
      </c>
      <c r="P174" s="496">
        <f t="shared" ca="1" si="35"/>
        <v>40740.577375013505</v>
      </c>
      <c r="Q174" s="496">
        <f t="shared" ca="1" si="35"/>
        <v>40410.359969044264</v>
      </c>
      <c r="R174" s="496">
        <f t="shared" ca="1" si="35"/>
        <v>40044.4635300054</v>
      </c>
      <c r="S174" s="496">
        <f t="shared" ca="1" si="35"/>
        <v>37208.245601202914</v>
      </c>
      <c r="T174" s="537">
        <f t="shared" ca="1" si="35"/>
        <v>35681.509414515596</v>
      </c>
      <c r="U174" s="524"/>
      <c r="V174" s="248"/>
      <c r="W174" s="126"/>
      <c r="X174" s="126"/>
      <c r="Y174" s="126"/>
    </row>
    <row r="175" spans="1:25" s="521" customFormat="1" ht="15.75" thickTop="1">
      <c r="A175" s="440" t="str">
        <f>IF(B175="","",IFERROR(MATCH(B175,'Data Processing'!$C:$C,0),""))</f>
        <v/>
      </c>
      <c r="B175" s="522"/>
      <c r="C175" s="577"/>
      <c r="D175" s="488"/>
      <c r="E175" s="525"/>
      <c r="F175" s="524"/>
      <c r="G175" s="524"/>
      <c r="H175" s="524"/>
      <c r="I175" s="524"/>
      <c r="J175" s="524"/>
      <c r="K175" s="524"/>
      <c r="L175" s="524"/>
      <c r="M175" s="524"/>
      <c r="N175" s="524"/>
      <c r="O175" s="524"/>
      <c r="P175" s="524"/>
      <c r="Q175" s="524"/>
      <c r="R175" s="524"/>
      <c r="S175" s="524"/>
      <c r="T175" s="524"/>
      <c r="U175" s="524"/>
      <c r="V175" s="250"/>
      <c r="W175" s="251"/>
      <c r="X175" s="126"/>
      <c r="Y175" s="126"/>
    </row>
    <row r="176" spans="1:25" s="528" customFormat="1">
      <c r="A176" s="440" t="str">
        <f>IF(B176="","",IFERROR(MATCH(B176,'Data Processing'!$C:$C,0),""))</f>
        <v/>
      </c>
      <c r="B176" s="578"/>
      <c r="C176" s="579" t="s">
        <v>33</v>
      </c>
      <c r="D176" s="488"/>
      <c r="E176" s="580"/>
      <c r="F176" s="534"/>
      <c r="G176" s="534"/>
      <c r="H176" s="580"/>
      <c r="I176" s="534"/>
      <c r="J176" s="534"/>
      <c r="K176" s="534"/>
      <c r="L176" s="534"/>
      <c r="M176" s="534"/>
      <c r="N176" s="534"/>
      <c r="O176" s="534"/>
      <c r="P176" s="534"/>
      <c r="Q176" s="534"/>
      <c r="R176" s="534"/>
      <c r="S176" s="534"/>
      <c r="T176" s="534"/>
      <c r="U176" s="534"/>
      <c r="V176" s="254"/>
      <c r="W176" s="121"/>
      <c r="X176" s="121"/>
      <c r="Y176" s="121"/>
    </row>
    <row r="177" spans="1:25" s="260" customFormat="1">
      <c r="A177" t="str">
        <f>IF(B177="","",IFERROR(MATCH(B177,'Data Processing'!$C:$C,0),""))</f>
        <v/>
      </c>
      <c r="B177" s="140">
        <v>8</v>
      </c>
      <c r="C177" s="141" t="s">
        <v>23</v>
      </c>
      <c r="D177" s="255">
        <f t="shared" ref="D177:T177" si="36">D178+D263</f>
        <v>38660.529976360005</v>
      </c>
      <c r="E177" s="256">
        <f t="shared" ca="1" si="36"/>
        <v>36862.07120005897</v>
      </c>
      <c r="F177" s="256">
        <f t="shared" ca="1" si="36"/>
        <v>22322.319427841081</v>
      </c>
      <c r="G177" s="256">
        <f t="shared" ca="1" si="36"/>
        <v>22022.567655623192</v>
      </c>
      <c r="H177" s="256">
        <f t="shared" ca="1" si="36"/>
        <v>21722.815883405299</v>
      </c>
      <c r="I177" s="256">
        <f t="shared" ca="1" si="36"/>
        <v>21423.064111187414</v>
      </c>
      <c r="J177" s="256">
        <f t="shared" ca="1" si="36"/>
        <v>21123.312338969521</v>
      </c>
      <c r="K177" s="256">
        <f t="shared" ca="1" si="36"/>
        <v>20823.560566751636</v>
      </c>
      <c r="L177" s="256">
        <f t="shared" ca="1" si="36"/>
        <v>20566.630476279159</v>
      </c>
      <c r="M177" s="256">
        <f t="shared" ca="1" si="36"/>
        <v>20309.700385806682</v>
      </c>
      <c r="N177" s="256">
        <f t="shared" ca="1" si="36"/>
        <v>20052.770295334201</v>
      </c>
      <c r="O177" s="256">
        <f t="shared" ca="1" si="36"/>
        <v>19795.840204861721</v>
      </c>
      <c r="P177" s="256">
        <f t="shared" ca="1" si="36"/>
        <v>19538.910114389248</v>
      </c>
      <c r="Q177" s="256">
        <f t="shared" ca="1" si="36"/>
        <v>19281.980023916771</v>
      </c>
      <c r="R177" s="256">
        <f t="shared" ca="1" si="36"/>
        <v>19025.049933444294</v>
      </c>
      <c r="S177" s="256">
        <f t="shared" ca="1" si="36"/>
        <v>18427.100807185368</v>
      </c>
      <c r="T177" s="257">
        <f t="shared" ca="1" si="36"/>
        <v>17829.993510926441</v>
      </c>
      <c r="U177" s="258"/>
      <c r="V177" s="259"/>
    </row>
    <row r="178" spans="1:25" s="219" customFormat="1">
      <c r="A178" t="str">
        <f>IF(B178="","",IFERROR(MATCH(B178,'Data Processing'!$C:$C,0),""))</f>
        <v/>
      </c>
      <c r="B178" s="261">
        <v>8.1</v>
      </c>
      <c r="C178" s="262" t="s">
        <v>34</v>
      </c>
      <c r="D178" s="263">
        <f>SUMIFS(D179:D262,$B179:$B262,"&lt;&gt;")</f>
        <v>24831.526997980003</v>
      </c>
      <c r="E178" s="264">
        <f t="shared" ref="E178:T178" ca="1" si="37">SUMIFS(E179:E262,$B179:$B262,"&lt;&gt;")</f>
        <v>24628.293531260038</v>
      </c>
      <c r="F178" s="264">
        <f t="shared" ca="1" si="37"/>
        <v>10354.421286806715</v>
      </c>
      <c r="G178" s="264">
        <f t="shared" ca="1" si="37"/>
        <v>10320.549042353392</v>
      </c>
      <c r="H178" s="264">
        <f t="shared" ca="1" si="37"/>
        <v>10286.676797900063</v>
      </c>
      <c r="I178" s="264">
        <f t="shared" ca="1" si="37"/>
        <v>10252.804553446738</v>
      </c>
      <c r="J178" s="264">
        <f t="shared" ca="1" si="37"/>
        <v>10218.932308993411</v>
      </c>
      <c r="K178" s="264">
        <f t="shared" ca="1" si="37"/>
        <v>10185.060064540086</v>
      </c>
      <c r="L178" s="264">
        <f t="shared" ca="1" si="37"/>
        <v>10156.026712151523</v>
      </c>
      <c r="M178" s="264">
        <f t="shared" ca="1" si="37"/>
        <v>10126.993359762957</v>
      </c>
      <c r="N178" s="264">
        <f t="shared" ca="1" si="37"/>
        <v>10097.96000737439</v>
      </c>
      <c r="O178" s="264">
        <f t="shared" ca="1" si="37"/>
        <v>10068.926654985822</v>
      </c>
      <c r="P178" s="264">
        <f t="shared" ca="1" si="37"/>
        <v>10039.893302597258</v>
      </c>
      <c r="Q178" s="264">
        <f t="shared" ca="1" si="37"/>
        <v>10010.859950208693</v>
      </c>
      <c r="R178" s="264">
        <f t="shared" ca="1" si="37"/>
        <v>9981.8265978201271</v>
      </c>
      <c r="S178" s="264">
        <f t="shared" ca="1" si="37"/>
        <v>9904.7722178001422</v>
      </c>
      <c r="T178" s="265">
        <f t="shared" ca="1" si="37"/>
        <v>9828.5596677801586</v>
      </c>
      <c r="U178" s="218"/>
      <c r="V178" s="120"/>
    </row>
    <row r="179" spans="1:25" s="460" customFormat="1" ht="30" customHeight="1">
      <c r="A179">
        <f>IF(B179="","",IFERROR(MATCH(B179,'Data Processing'!$C:$C,0),""))</f>
        <v>23</v>
      </c>
      <c r="B179" s="171" t="s">
        <v>994</v>
      </c>
      <c r="C179" s="452" t="str">
        <f>INDEX('Data Processing'!$G:$G,A179)</f>
        <v>Due to Interbranch - Demand</v>
      </c>
      <c r="D179" s="249">
        <f>INDEX('Data Processing'!O:O,$A179)</f>
        <v>19.421565280000003</v>
      </c>
      <c r="E179" s="128">
        <f ca="1">INDEX('Data Processing'!P:P,$A179)</f>
        <v>18.800075191040001</v>
      </c>
      <c r="F179" s="128">
        <f ca="1">INDEX('Data Processing'!Q:Q,$A179)</f>
        <v>18.69649350954667</v>
      </c>
      <c r="G179" s="128">
        <f ca="1">INDEX('Data Processing'!R:R,$A179)</f>
        <v>18.592911828053335</v>
      </c>
      <c r="H179" s="128">
        <f ca="1">INDEX('Data Processing'!S:S,$A179)</f>
        <v>18.489330146560004</v>
      </c>
      <c r="I179" s="128">
        <f ca="1">INDEX('Data Processing'!T:T,$A179)</f>
        <v>18.385748465066669</v>
      </c>
      <c r="J179" s="128">
        <f ca="1">INDEX('Data Processing'!U:U,$A179)</f>
        <v>18.282166783573338</v>
      </c>
      <c r="K179" s="128">
        <f ca="1">INDEX('Data Processing'!V:V,$A179)</f>
        <v>18.178585102080003</v>
      </c>
      <c r="L179" s="128">
        <f ca="1">INDEX('Data Processing'!W:W,$A179)</f>
        <v>18.089800803657145</v>
      </c>
      <c r="M179" s="128">
        <f ca="1">INDEX('Data Processing'!X:X,$A179)</f>
        <v>18.00101650523429</v>
      </c>
      <c r="N179" s="128">
        <f ca="1">INDEX('Data Processing'!Y:Y,$A179)</f>
        <v>17.912232206811431</v>
      </c>
      <c r="O179" s="128">
        <f ca="1">INDEX('Data Processing'!Z:Z,$A179)</f>
        <v>17.823447908388573</v>
      </c>
      <c r="P179" s="128">
        <f ca="1">INDEX('Data Processing'!AA:AA,$A179)</f>
        <v>17.734663609965718</v>
      </c>
      <c r="Q179" s="128">
        <f ca="1">INDEX('Data Processing'!AB:AB,$A179)</f>
        <v>17.64587931154286</v>
      </c>
      <c r="R179" s="128">
        <f ca="1">INDEX('Data Processing'!AC:AC,$A179)</f>
        <v>17.557095013120005</v>
      </c>
      <c r="S179" s="128">
        <f ca="1">INDEX('Data Processing'!AD:AD,$A179)</f>
        <v>17.324036229760004</v>
      </c>
      <c r="T179" s="129">
        <f ca="1">INDEX('Data Processing'!AE:AE,$A179)</f>
        <v>17.090977446400004</v>
      </c>
      <c r="U179" s="278"/>
      <c r="V179" s="296" t="s">
        <v>1226</v>
      </c>
    </row>
    <row r="180" spans="1:25" s="586" customFormat="1">
      <c r="A180" s="440" t="str">
        <f>IF(B180="","",IFERROR(MATCH(B180,'Data Processing'!$C:$C,0),""))</f>
        <v/>
      </c>
      <c r="B180" s="581"/>
      <c r="C180" s="565" t="s">
        <v>1005</v>
      </c>
      <c r="D180" s="488"/>
      <c r="E180" s="454">
        <f>D179</f>
        <v>19.421565280000003</v>
      </c>
      <c r="F180" s="454">
        <f t="shared" ref="F180:T180" ca="1" si="38">E179</f>
        <v>18.800075191040001</v>
      </c>
      <c r="G180" s="454">
        <f t="shared" ca="1" si="38"/>
        <v>18.69649350954667</v>
      </c>
      <c r="H180" s="454">
        <f t="shared" ca="1" si="38"/>
        <v>18.592911828053335</v>
      </c>
      <c r="I180" s="454">
        <f t="shared" ca="1" si="38"/>
        <v>18.489330146560004</v>
      </c>
      <c r="J180" s="454">
        <f t="shared" ca="1" si="38"/>
        <v>18.385748465066669</v>
      </c>
      <c r="K180" s="454">
        <f t="shared" ca="1" si="38"/>
        <v>18.282166783573338</v>
      </c>
      <c r="L180" s="454">
        <f t="shared" ca="1" si="38"/>
        <v>18.178585102080003</v>
      </c>
      <c r="M180" s="454">
        <f t="shared" ca="1" si="38"/>
        <v>18.089800803657145</v>
      </c>
      <c r="N180" s="454">
        <f t="shared" ca="1" si="38"/>
        <v>18.00101650523429</v>
      </c>
      <c r="O180" s="454">
        <f t="shared" ca="1" si="38"/>
        <v>17.912232206811431</v>
      </c>
      <c r="P180" s="454">
        <f t="shared" ca="1" si="38"/>
        <v>17.823447908388573</v>
      </c>
      <c r="Q180" s="454">
        <f t="shared" ca="1" si="38"/>
        <v>17.734663609965718</v>
      </c>
      <c r="R180" s="454">
        <f t="shared" ca="1" si="38"/>
        <v>17.64587931154286</v>
      </c>
      <c r="S180" s="454">
        <f t="shared" ca="1" si="38"/>
        <v>17.557095013120005</v>
      </c>
      <c r="T180" s="455">
        <f t="shared" ca="1" si="38"/>
        <v>17.324036229760004</v>
      </c>
      <c r="U180" s="582"/>
      <c r="V180" s="233" t="s">
        <v>1045</v>
      </c>
      <c r="W180" s="268"/>
      <c r="X180" s="268"/>
      <c r="Y180" s="268"/>
    </row>
    <row r="181" spans="1:25" s="521" customFormat="1">
      <c r="A181" s="440" t="str">
        <f>IF(B181="","",IFERROR(MATCH(B181,'Data Processing'!$C:$C,0),""))</f>
        <v/>
      </c>
      <c r="B181" s="522"/>
      <c r="C181" s="565" t="s">
        <v>51</v>
      </c>
      <c r="D181" s="454"/>
      <c r="E181" s="454">
        <f t="shared" ref="E181:T181" si="39">E180</f>
        <v>19.421565280000003</v>
      </c>
      <c r="F181" s="454">
        <f t="shared" ca="1" si="39"/>
        <v>18.800075191040001</v>
      </c>
      <c r="G181" s="454">
        <f t="shared" ca="1" si="39"/>
        <v>18.69649350954667</v>
      </c>
      <c r="H181" s="454">
        <f t="shared" ca="1" si="39"/>
        <v>18.592911828053335</v>
      </c>
      <c r="I181" s="454">
        <f t="shared" ca="1" si="39"/>
        <v>18.489330146560004</v>
      </c>
      <c r="J181" s="454">
        <f t="shared" ca="1" si="39"/>
        <v>18.385748465066669</v>
      </c>
      <c r="K181" s="454">
        <f t="shared" ca="1" si="39"/>
        <v>18.282166783573338</v>
      </c>
      <c r="L181" s="454">
        <f t="shared" ca="1" si="39"/>
        <v>18.178585102080003</v>
      </c>
      <c r="M181" s="454">
        <f t="shared" ca="1" si="39"/>
        <v>18.089800803657145</v>
      </c>
      <c r="N181" s="454">
        <f t="shared" ca="1" si="39"/>
        <v>18.00101650523429</v>
      </c>
      <c r="O181" s="454">
        <f t="shared" ca="1" si="39"/>
        <v>17.912232206811431</v>
      </c>
      <c r="P181" s="454">
        <f t="shared" ca="1" si="39"/>
        <v>17.823447908388573</v>
      </c>
      <c r="Q181" s="454">
        <f t="shared" ca="1" si="39"/>
        <v>17.734663609965718</v>
      </c>
      <c r="R181" s="454">
        <f t="shared" ca="1" si="39"/>
        <v>17.64587931154286</v>
      </c>
      <c r="S181" s="454">
        <f t="shared" ca="1" si="39"/>
        <v>17.557095013120005</v>
      </c>
      <c r="T181" s="455">
        <f t="shared" ca="1" si="39"/>
        <v>17.324036229760004</v>
      </c>
      <c r="U181" s="524"/>
      <c r="V181" s="120" t="s">
        <v>1024</v>
      </c>
      <c r="W181" s="126"/>
      <c r="X181" s="126"/>
      <c r="Y181" s="126"/>
    </row>
    <row r="182" spans="1:25" s="561" customFormat="1">
      <c r="A182" s="440" t="str">
        <f>IF(B182="","",IFERROR(MATCH(B182,'Data Processing'!$C:$C,0),""))</f>
        <v/>
      </c>
      <c r="B182" s="583"/>
      <c r="C182" s="567" t="s">
        <v>50</v>
      </c>
      <c r="D182" s="488"/>
      <c r="E182" s="553">
        <f ca="1">INDEX('Data Processing'!BU:BU,$A179)</f>
        <v>3.2000000000000001E-2</v>
      </c>
      <c r="F182" s="553">
        <f ca="1">INDEX('Data Processing'!BV:BV,$A179)</f>
        <v>5.3333333333333332E-3</v>
      </c>
      <c r="G182" s="553">
        <f ca="1">INDEX('Data Processing'!BW:BW,$A179)</f>
        <v>5.3333333333333332E-3</v>
      </c>
      <c r="H182" s="553">
        <f ca="1">INDEX('Data Processing'!BX:BX,$A179)</f>
        <v>5.3333333333333332E-3</v>
      </c>
      <c r="I182" s="553">
        <f ca="1">INDEX('Data Processing'!BY:BY,$A179)</f>
        <v>5.3333333333333332E-3</v>
      </c>
      <c r="J182" s="553">
        <f ca="1">INDEX('Data Processing'!BZ:BZ,$A179)</f>
        <v>5.3333333333333332E-3</v>
      </c>
      <c r="K182" s="553">
        <f ca="1">INDEX('Data Processing'!CA:CA,$A179)</f>
        <v>5.3333333333333332E-3</v>
      </c>
      <c r="L182" s="553">
        <f ca="1">INDEX('Data Processing'!CB:CB,$A179)</f>
        <v>4.5714285714285718E-3</v>
      </c>
      <c r="M182" s="553">
        <f ca="1">INDEX('Data Processing'!CC:CC,$A179)</f>
        <v>4.5714285714285718E-3</v>
      </c>
      <c r="N182" s="553">
        <f ca="1">INDEX('Data Processing'!CD:CD,$A179)</f>
        <v>4.5714285714285718E-3</v>
      </c>
      <c r="O182" s="553">
        <f ca="1">INDEX('Data Processing'!CE:CE,$A179)</f>
        <v>4.5714285714285718E-3</v>
      </c>
      <c r="P182" s="553">
        <f ca="1">INDEX('Data Processing'!CF:CF,$A179)</f>
        <v>4.5714285714285718E-3</v>
      </c>
      <c r="Q182" s="553">
        <f ca="1">INDEX('Data Processing'!CG:CG,$A179)</f>
        <v>4.5714285714285718E-3</v>
      </c>
      <c r="R182" s="553">
        <f ca="1">INDEX('Data Processing'!CH:CH,$A179)</f>
        <v>4.5714285714285718E-3</v>
      </c>
      <c r="S182" s="553">
        <f ca="1">INDEX('Data Processing'!CI:CI,$A179)</f>
        <v>1.1999999999999997E-2</v>
      </c>
      <c r="T182" s="554">
        <f ca="1">INDEX('Data Processing'!CJ:CJ,$A179)</f>
        <v>1.1999999999999997E-2</v>
      </c>
      <c r="U182" s="551"/>
      <c r="V182" s="271" t="s">
        <v>1023</v>
      </c>
      <c r="W182" s="272"/>
      <c r="X182" s="272"/>
      <c r="Y182" s="272"/>
    </row>
    <row r="183" spans="1:25" s="587" customFormat="1">
      <c r="A183" s="440" t="str">
        <f>IF(B183="","",IFERROR(MATCH(B183,'Data Processing'!$C:$C,0),""))</f>
        <v/>
      </c>
      <c r="B183" s="581"/>
      <c r="C183" s="523" t="s">
        <v>1015</v>
      </c>
      <c r="D183" s="504"/>
      <c r="E183" s="489">
        <f ca="1">INDEX('Data Processing'!AS:AS,$A179)</f>
        <v>0.62149008896000013</v>
      </c>
      <c r="F183" s="489">
        <f ca="1">INDEX('Data Processing'!AT:AT,$A179)</f>
        <v>0.10358168149333334</v>
      </c>
      <c r="G183" s="489">
        <f ca="1">INDEX('Data Processing'!AU:AU,$A179)</f>
        <v>0.10358168149333334</v>
      </c>
      <c r="H183" s="489">
        <f ca="1">INDEX('Data Processing'!AV:AV,$A179)</f>
        <v>0.10358168149333334</v>
      </c>
      <c r="I183" s="489">
        <f ca="1">INDEX('Data Processing'!AW:AW,$A179)</f>
        <v>0.10358168149333334</v>
      </c>
      <c r="J183" s="556">
        <f ca="1">INDEX('Data Processing'!AX:AX,$A179)</f>
        <v>0.10358168149333334</v>
      </c>
      <c r="K183" s="556">
        <f ca="1">INDEX('Data Processing'!AY:AY,$A179)</f>
        <v>0.10358168149333334</v>
      </c>
      <c r="L183" s="556">
        <f ca="1">INDEX('Data Processing'!AZ:AZ,$A179)</f>
        <v>8.8784298422857164E-2</v>
      </c>
      <c r="M183" s="556">
        <f ca="1">INDEX('Data Processing'!BA:BA,$A179)</f>
        <v>8.8784298422857164E-2</v>
      </c>
      <c r="N183" s="556">
        <f ca="1">INDEX('Data Processing'!BB:BB,$A179)</f>
        <v>8.8784298422857164E-2</v>
      </c>
      <c r="O183" s="556">
        <f ca="1">INDEX('Data Processing'!BC:BC,$A179)</f>
        <v>8.8784298422857164E-2</v>
      </c>
      <c r="P183" s="556">
        <f ca="1">INDEX('Data Processing'!BD:BD,$A179)</f>
        <v>8.8784298422857164E-2</v>
      </c>
      <c r="Q183" s="556">
        <f ca="1">INDEX('Data Processing'!BE:BE,$A179)</f>
        <v>8.8784298422857164E-2</v>
      </c>
      <c r="R183" s="556">
        <f ca="1">INDEX('Data Processing'!BF:BF,$A179)</f>
        <v>8.8784298422857164E-2</v>
      </c>
      <c r="S183" s="556">
        <f ca="1">INDEX('Data Processing'!BG:BG,$A179)</f>
        <v>0.23305878335999997</v>
      </c>
      <c r="T183" s="584">
        <f ca="1">INDEX('Data Processing'!BH:BH,$A179)</f>
        <v>0.23305878335999997</v>
      </c>
      <c r="U183" s="585"/>
      <c r="V183" s="276"/>
      <c r="W183" s="277"/>
      <c r="X183" s="277"/>
      <c r="Y183" s="277"/>
    </row>
    <row r="184" spans="1:25" s="587" customFormat="1">
      <c r="A184" s="440" t="str">
        <f>IF(B184="","",IFERROR(MATCH(B184,'Data Processing'!$C:$C,0),""))</f>
        <v/>
      </c>
      <c r="B184" s="581"/>
      <c r="C184" s="558" t="s">
        <v>1012</v>
      </c>
      <c r="D184" s="503"/>
      <c r="E184" s="559">
        <f t="shared" ref="E184:T184" ca="1" si="40">E180-E183</f>
        <v>18.800075191040001</v>
      </c>
      <c r="F184" s="559">
        <f t="shared" ca="1" si="40"/>
        <v>18.696493509546666</v>
      </c>
      <c r="G184" s="559">
        <f t="shared" ca="1" si="40"/>
        <v>18.592911828053335</v>
      </c>
      <c r="H184" s="559">
        <f t="shared" ca="1" si="40"/>
        <v>18.48933014656</v>
      </c>
      <c r="I184" s="559">
        <f t="shared" ca="1" si="40"/>
        <v>18.385748465066669</v>
      </c>
      <c r="J184" s="559">
        <f t="shared" ca="1" si="40"/>
        <v>18.282166783573334</v>
      </c>
      <c r="K184" s="559">
        <f t="shared" ca="1" si="40"/>
        <v>18.178585102080003</v>
      </c>
      <c r="L184" s="559">
        <f t="shared" ca="1" si="40"/>
        <v>18.089800803657145</v>
      </c>
      <c r="M184" s="559">
        <f t="shared" ca="1" si="40"/>
        <v>18.001016505234286</v>
      </c>
      <c r="N184" s="559">
        <f t="shared" ca="1" si="40"/>
        <v>17.912232206811431</v>
      </c>
      <c r="O184" s="559">
        <f t="shared" ca="1" si="40"/>
        <v>17.823447908388573</v>
      </c>
      <c r="P184" s="559">
        <f t="shared" ca="1" si="40"/>
        <v>17.734663609965715</v>
      </c>
      <c r="Q184" s="559">
        <f t="shared" ca="1" si="40"/>
        <v>17.64587931154286</v>
      </c>
      <c r="R184" s="559">
        <f t="shared" ca="1" si="40"/>
        <v>17.557095013120001</v>
      </c>
      <c r="S184" s="559">
        <f t="shared" ca="1" si="40"/>
        <v>17.324036229760004</v>
      </c>
      <c r="T184" s="560">
        <f t="shared" ca="1" si="40"/>
        <v>17.090977446400004</v>
      </c>
      <c r="U184" s="585"/>
      <c r="V184" s="276"/>
      <c r="W184" s="277"/>
      <c r="X184" s="277"/>
      <c r="Y184" s="277"/>
    </row>
    <row r="185" spans="1:25" s="279" customFormat="1">
      <c r="A185">
        <f>IF(B185="","",IFERROR(MATCH(B185,'Data Processing'!$C:$C,0),""))</f>
        <v>24</v>
      </c>
      <c r="B185" s="215" t="s">
        <v>995</v>
      </c>
      <c r="C185" s="223" t="str">
        <f>INDEX('Data Processing'!$G:$G,A185)</f>
        <v>Due to Interbranch - Investment (Exclude Large IB)</v>
      </c>
      <c r="D185" s="249">
        <f>INDEX('Data Processing'!O:O,$A185)</f>
        <v>2158.1261872099999</v>
      </c>
      <c r="E185" s="128">
        <f ca="1">INDEX('Data Processing'!P:P,$A185)</f>
        <v>2089.0661492192799</v>
      </c>
      <c r="F185" s="128">
        <f ca="1">INDEX('Data Processing'!Q:Q,$A185)</f>
        <v>2077.556142887493</v>
      </c>
      <c r="G185" s="128">
        <f ca="1">INDEX('Data Processing'!R:R,$A185)</f>
        <v>2066.0461365557067</v>
      </c>
      <c r="H185" s="128">
        <f ca="1">INDEX('Data Processing'!S:S,$A185)</f>
        <v>2054.5361302239198</v>
      </c>
      <c r="I185" s="128">
        <f ca="1">INDEX('Data Processing'!T:T,$A185)</f>
        <v>2043.0261238921332</v>
      </c>
      <c r="J185" s="128">
        <f ca="1">INDEX('Data Processing'!U:U,$A185)</f>
        <v>2031.5161175603466</v>
      </c>
      <c r="K185" s="128">
        <f ca="1">INDEX('Data Processing'!V:V,$A185)</f>
        <v>2020.0061112285598</v>
      </c>
      <c r="L185" s="128">
        <f ca="1">INDEX('Data Processing'!W:W,$A185)</f>
        <v>2010.1403915156</v>
      </c>
      <c r="M185" s="128">
        <f ca="1">INDEX('Data Processing'!X:X,$A185)</f>
        <v>2000.2746718026399</v>
      </c>
      <c r="N185" s="128">
        <f ca="1">INDEX('Data Processing'!Y:Y,$A185)</f>
        <v>1990.4089520896798</v>
      </c>
      <c r="O185" s="128">
        <f ca="1">INDEX('Data Processing'!Z:Z,$A185)</f>
        <v>1980.54323237672</v>
      </c>
      <c r="P185" s="128">
        <f ca="1">INDEX('Data Processing'!AA:AA,$A185)</f>
        <v>1970.6775126637599</v>
      </c>
      <c r="Q185" s="128">
        <f ca="1">INDEX('Data Processing'!AB:AB,$A185)</f>
        <v>1960.8117929507998</v>
      </c>
      <c r="R185" s="128">
        <f ca="1">INDEX('Data Processing'!AC:AC,$A185)</f>
        <v>1950.9460732378398</v>
      </c>
      <c r="S185" s="128">
        <f ca="1">INDEX('Data Processing'!AD:AD,$A185)</f>
        <v>1925.0485589913199</v>
      </c>
      <c r="T185" s="129">
        <f ca="1">INDEX('Data Processing'!AE:AE,$A185)</f>
        <v>1899.1510447447999</v>
      </c>
      <c r="U185" s="278"/>
      <c r="V185" s="120" t="s">
        <v>1011</v>
      </c>
    </row>
    <row r="186" spans="1:25" s="586" customFormat="1">
      <c r="A186" s="440" t="str">
        <f>IF(B186="","",IFERROR(MATCH(B186,'Data Processing'!$C:$C,0),""))</f>
        <v/>
      </c>
      <c r="B186" s="581"/>
      <c r="C186" s="565" t="s">
        <v>1005</v>
      </c>
      <c r="D186" s="488"/>
      <c r="E186" s="454">
        <f>D185</f>
        <v>2158.1261872099999</v>
      </c>
      <c r="F186" s="454">
        <f t="shared" ref="F186:T186" ca="1" si="41">E185</f>
        <v>2089.0661492192799</v>
      </c>
      <c r="G186" s="454">
        <f t="shared" ca="1" si="41"/>
        <v>2077.556142887493</v>
      </c>
      <c r="H186" s="454">
        <f t="shared" ca="1" si="41"/>
        <v>2066.0461365557067</v>
      </c>
      <c r="I186" s="454">
        <f t="shared" ca="1" si="41"/>
        <v>2054.5361302239198</v>
      </c>
      <c r="J186" s="454">
        <f t="shared" ca="1" si="41"/>
        <v>2043.0261238921332</v>
      </c>
      <c r="K186" s="454">
        <f t="shared" ca="1" si="41"/>
        <v>2031.5161175603466</v>
      </c>
      <c r="L186" s="454">
        <f t="shared" ca="1" si="41"/>
        <v>2020.0061112285598</v>
      </c>
      <c r="M186" s="454">
        <f t="shared" ca="1" si="41"/>
        <v>2010.1403915156</v>
      </c>
      <c r="N186" s="454">
        <f t="shared" ca="1" si="41"/>
        <v>2000.2746718026399</v>
      </c>
      <c r="O186" s="454">
        <f t="shared" ca="1" si="41"/>
        <v>1990.4089520896798</v>
      </c>
      <c r="P186" s="454">
        <f t="shared" ca="1" si="41"/>
        <v>1980.54323237672</v>
      </c>
      <c r="Q186" s="454">
        <f t="shared" ca="1" si="41"/>
        <v>1970.6775126637599</v>
      </c>
      <c r="R186" s="454">
        <f t="shared" ca="1" si="41"/>
        <v>1960.8117929507998</v>
      </c>
      <c r="S186" s="454">
        <f t="shared" ca="1" si="41"/>
        <v>1950.9460732378398</v>
      </c>
      <c r="T186" s="455">
        <f t="shared" ca="1" si="41"/>
        <v>1925.0485589913199</v>
      </c>
      <c r="U186" s="582"/>
      <c r="V186" s="233" t="s">
        <v>1045</v>
      </c>
      <c r="W186" s="268"/>
      <c r="X186" s="268"/>
      <c r="Y186" s="268"/>
    </row>
    <row r="187" spans="1:25" s="521" customFormat="1">
      <c r="A187" s="440" t="str">
        <f>IF(B187="","",IFERROR(MATCH(B187,'Data Processing'!$C:$C,0),""))</f>
        <v/>
      </c>
      <c r="B187" s="522"/>
      <c r="C187" s="565" t="s">
        <v>51</v>
      </c>
      <c r="D187" s="454"/>
      <c r="E187" s="454">
        <f t="shared" ref="E187:T187" si="42">E186</f>
        <v>2158.1261872099999</v>
      </c>
      <c r="F187" s="454">
        <f t="shared" ca="1" si="42"/>
        <v>2089.0661492192799</v>
      </c>
      <c r="G187" s="454">
        <f t="shared" ca="1" si="42"/>
        <v>2077.556142887493</v>
      </c>
      <c r="H187" s="454">
        <f t="shared" ca="1" si="42"/>
        <v>2066.0461365557067</v>
      </c>
      <c r="I187" s="454">
        <f t="shared" ca="1" si="42"/>
        <v>2054.5361302239198</v>
      </c>
      <c r="J187" s="454">
        <f t="shared" ca="1" si="42"/>
        <v>2043.0261238921332</v>
      </c>
      <c r="K187" s="454">
        <f t="shared" ca="1" si="42"/>
        <v>2031.5161175603466</v>
      </c>
      <c r="L187" s="454">
        <f t="shared" ca="1" si="42"/>
        <v>2020.0061112285598</v>
      </c>
      <c r="M187" s="454">
        <f t="shared" ca="1" si="42"/>
        <v>2010.1403915156</v>
      </c>
      <c r="N187" s="454">
        <f t="shared" ca="1" si="42"/>
        <v>2000.2746718026399</v>
      </c>
      <c r="O187" s="454">
        <f t="shared" ca="1" si="42"/>
        <v>1990.4089520896798</v>
      </c>
      <c r="P187" s="454">
        <f t="shared" ca="1" si="42"/>
        <v>1980.54323237672</v>
      </c>
      <c r="Q187" s="454">
        <f t="shared" ca="1" si="42"/>
        <v>1970.6775126637599</v>
      </c>
      <c r="R187" s="454">
        <f t="shared" ca="1" si="42"/>
        <v>1960.8117929507998</v>
      </c>
      <c r="S187" s="454">
        <f t="shared" ca="1" si="42"/>
        <v>1950.9460732378398</v>
      </c>
      <c r="T187" s="455">
        <f t="shared" ca="1" si="42"/>
        <v>1925.0485589913199</v>
      </c>
      <c r="U187" s="524"/>
      <c r="V187" s="120"/>
      <c r="W187" s="126"/>
      <c r="X187" s="126"/>
      <c r="Y187" s="126"/>
    </row>
    <row r="188" spans="1:25" s="561" customFormat="1">
      <c r="A188" s="440" t="str">
        <f>IF(B188="","",IFERROR(MATCH(B188,'Data Processing'!$C:$C,0),""))</f>
        <v/>
      </c>
      <c r="B188" s="583"/>
      <c r="C188" s="567" t="s">
        <v>50</v>
      </c>
      <c r="D188" s="488"/>
      <c r="E188" s="553">
        <f ca="1">INDEX('Data Processing'!BU:BU,$A185)</f>
        <v>3.2000000000000001E-2</v>
      </c>
      <c r="F188" s="553">
        <f ca="1">INDEX('Data Processing'!BV:BV,$A185)</f>
        <v>5.3333333333333332E-3</v>
      </c>
      <c r="G188" s="553">
        <f ca="1">INDEX('Data Processing'!BW:BW,$A185)</f>
        <v>5.3333333333333332E-3</v>
      </c>
      <c r="H188" s="553">
        <f ca="1">INDEX('Data Processing'!BX:BX,$A185)</f>
        <v>5.3333333333333332E-3</v>
      </c>
      <c r="I188" s="553">
        <f ca="1">INDEX('Data Processing'!BY:BY,$A185)</f>
        <v>5.3333333333333332E-3</v>
      </c>
      <c r="J188" s="553">
        <f ca="1">INDEX('Data Processing'!BZ:BZ,$A185)</f>
        <v>5.3333333333333332E-3</v>
      </c>
      <c r="K188" s="553">
        <f ca="1">INDEX('Data Processing'!CA:CA,$A185)</f>
        <v>5.3333333333333332E-3</v>
      </c>
      <c r="L188" s="553">
        <f ca="1">INDEX('Data Processing'!CB:CB,$A185)</f>
        <v>4.5714285714285718E-3</v>
      </c>
      <c r="M188" s="553">
        <f ca="1">INDEX('Data Processing'!CC:CC,$A185)</f>
        <v>4.5714285714285718E-3</v>
      </c>
      <c r="N188" s="553">
        <f ca="1">INDEX('Data Processing'!CD:CD,$A185)</f>
        <v>4.5714285714285718E-3</v>
      </c>
      <c r="O188" s="553">
        <f ca="1">INDEX('Data Processing'!CE:CE,$A185)</f>
        <v>4.5714285714285718E-3</v>
      </c>
      <c r="P188" s="553">
        <f ca="1">INDEX('Data Processing'!CF:CF,$A185)</f>
        <v>4.5714285714285718E-3</v>
      </c>
      <c r="Q188" s="553">
        <f ca="1">INDEX('Data Processing'!CG:CG,$A185)</f>
        <v>4.5714285714285718E-3</v>
      </c>
      <c r="R188" s="553">
        <f ca="1">INDEX('Data Processing'!CH:CH,$A185)</f>
        <v>4.5714285714285718E-3</v>
      </c>
      <c r="S188" s="553">
        <f ca="1">INDEX('Data Processing'!CI:CI,$A185)</f>
        <v>1.1999999999999997E-2</v>
      </c>
      <c r="T188" s="554">
        <f ca="1">INDEX('Data Processing'!CJ:CJ,$A185)</f>
        <v>1.1999999999999997E-2</v>
      </c>
      <c r="U188" s="551"/>
      <c r="V188" s="271"/>
      <c r="W188" s="272"/>
      <c r="X188" s="272"/>
      <c r="Y188" s="272"/>
    </row>
    <row r="189" spans="1:25" s="587" customFormat="1">
      <c r="A189" s="440" t="str">
        <f>IF(B189="","",IFERROR(MATCH(B189,'Data Processing'!$C:$C,0),""))</f>
        <v/>
      </c>
      <c r="B189" s="581"/>
      <c r="C189" s="523" t="s">
        <v>1015</v>
      </c>
      <c r="D189" s="504"/>
      <c r="E189" s="489">
        <f ca="1">INDEX('Data Processing'!AS:AS,$A185)</f>
        <v>69.060037990720005</v>
      </c>
      <c r="F189" s="489">
        <f ca="1">INDEX('Data Processing'!AT:AT,$A185)</f>
        <v>11.510006331786666</v>
      </c>
      <c r="G189" s="489">
        <f ca="1">INDEX('Data Processing'!AU:AU,$A185)</f>
        <v>11.510006331786666</v>
      </c>
      <c r="H189" s="489">
        <f ca="1">INDEX('Data Processing'!AV:AV,$A185)</f>
        <v>11.510006331786666</v>
      </c>
      <c r="I189" s="489">
        <f ca="1">INDEX('Data Processing'!AW:AW,$A185)</f>
        <v>11.510006331786666</v>
      </c>
      <c r="J189" s="556">
        <f ca="1">INDEX('Data Processing'!AX:AX,$A185)</f>
        <v>11.510006331786666</v>
      </c>
      <c r="K189" s="556">
        <f ca="1">INDEX('Data Processing'!AY:AY,$A185)</f>
        <v>11.510006331786666</v>
      </c>
      <c r="L189" s="556">
        <f ca="1">INDEX('Data Processing'!AZ:AZ,$A185)</f>
        <v>9.8657197129600007</v>
      </c>
      <c r="M189" s="556">
        <f ca="1">INDEX('Data Processing'!BA:BA,$A185)</f>
        <v>9.8657197129600007</v>
      </c>
      <c r="N189" s="556">
        <f ca="1">INDEX('Data Processing'!BB:BB,$A185)</f>
        <v>9.8657197129600007</v>
      </c>
      <c r="O189" s="556">
        <f ca="1">INDEX('Data Processing'!BC:BC,$A185)</f>
        <v>9.8657197129600007</v>
      </c>
      <c r="P189" s="556">
        <f ca="1">INDEX('Data Processing'!BD:BD,$A185)</f>
        <v>9.8657197129600007</v>
      </c>
      <c r="Q189" s="556">
        <f ca="1">INDEX('Data Processing'!BE:BE,$A185)</f>
        <v>9.8657197129600007</v>
      </c>
      <c r="R189" s="556">
        <f ca="1">INDEX('Data Processing'!BF:BF,$A185)</f>
        <v>9.8657197129600007</v>
      </c>
      <c r="S189" s="556">
        <f ca="1">INDEX('Data Processing'!BG:BG,$A185)</f>
        <v>25.897514246519993</v>
      </c>
      <c r="T189" s="584">
        <f ca="1">INDEX('Data Processing'!BH:BH,$A185)</f>
        <v>25.897514246519993</v>
      </c>
      <c r="U189" s="585"/>
      <c r="V189" s="276"/>
      <c r="W189" s="277"/>
      <c r="X189" s="277"/>
      <c r="Y189" s="277"/>
    </row>
    <row r="190" spans="1:25" s="587" customFormat="1">
      <c r="A190" s="440" t="str">
        <f>IF(B190="","",IFERROR(MATCH(B190,'Data Processing'!$C:$C,0),""))</f>
        <v/>
      </c>
      <c r="B190" s="581"/>
      <c r="C190" s="558" t="s">
        <v>1012</v>
      </c>
      <c r="D190" s="503"/>
      <c r="E190" s="559">
        <f t="shared" ref="E190:T190" ca="1" si="43">E186-E189</f>
        <v>2089.0661492192799</v>
      </c>
      <c r="F190" s="559">
        <f t="shared" ca="1" si="43"/>
        <v>2077.556142887493</v>
      </c>
      <c r="G190" s="559">
        <f t="shared" ca="1" si="43"/>
        <v>2066.0461365557062</v>
      </c>
      <c r="H190" s="559">
        <f t="shared" ca="1" si="43"/>
        <v>2054.5361302239198</v>
      </c>
      <c r="I190" s="559">
        <f t="shared" ca="1" si="43"/>
        <v>2043.0261238921332</v>
      </c>
      <c r="J190" s="559">
        <f t="shared" ca="1" si="43"/>
        <v>2031.5161175603466</v>
      </c>
      <c r="K190" s="559">
        <f t="shared" ca="1" si="43"/>
        <v>2020.00611122856</v>
      </c>
      <c r="L190" s="559">
        <f t="shared" ca="1" si="43"/>
        <v>2010.1403915155997</v>
      </c>
      <c r="M190" s="559">
        <f t="shared" ca="1" si="43"/>
        <v>2000.2746718026399</v>
      </c>
      <c r="N190" s="559">
        <f t="shared" ca="1" si="43"/>
        <v>1990.4089520896798</v>
      </c>
      <c r="O190" s="559">
        <f t="shared" ca="1" si="43"/>
        <v>1980.5432323767197</v>
      </c>
      <c r="P190" s="559">
        <f t="shared" ca="1" si="43"/>
        <v>1970.6775126637599</v>
      </c>
      <c r="Q190" s="559">
        <f t="shared" ca="1" si="43"/>
        <v>1960.8117929507998</v>
      </c>
      <c r="R190" s="559">
        <f t="shared" ca="1" si="43"/>
        <v>1950.9460732378398</v>
      </c>
      <c r="S190" s="559">
        <f t="shared" ca="1" si="43"/>
        <v>1925.0485589913199</v>
      </c>
      <c r="T190" s="560">
        <f t="shared" ca="1" si="43"/>
        <v>1899.1510447447999</v>
      </c>
      <c r="U190" s="585"/>
      <c r="V190" s="276"/>
      <c r="W190" s="277"/>
      <c r="X190" s="277"/>
      <c r="Y190" s="277"/>
    </row>
    <row r="191" spans="1:25" s="279" customFormat="1">
      <c r="A191">
        <f>IF(B191="","",IFERROR(MATCH(B191,'Data Processing'!$C:$C,0),""))</f>
        <v>25</v>
      </c>
      <c r="B191" s="215" t="s">
        <v>1288</v>
      </c>
      <c r="C191" s="223" t="str">
        <f>INDEX('Data Processing'!$G:$G,A191)</f>
        <v>Due to Interbranch - Investment (H.O.)</v>
      </c>
      <c r="D191" s="249">
        <f>INDEX('Data Processing'!O:O,$A191)</f>
        <v>2019.1058597900001</v>
      </c>
      <c r="E191" s="128">
        <f ca="1">INDEX('Data Processing'!P:P,$A191)</f>
        <v>1913.7494898749226</v>
      </c>
      <c r="F191" s="128">
        <f ca="1">INDEX('Data Processing'!Q:Q,$A191)</f>
        <v>1896.1900948890764</v>
      </c>
      <c r="G191" s="128">
        <f ca="1">INDEX('Data Processing'!R:R,$A191)</f>
        <v>1878.6306999032299</v>
      </c>
      <c r="H191" s="128">
        <f ca="1">INDEX('Data Processing'!S:S,$A191)</f>
        <v>1861.0713049173837</v>
      </c>
      <c r="I191" s="128">
        <f ca="1">INDEX('Data Processing'!T:T,$A191)</f>
        <v>1843.5119099315375</v>
      </c>
      <c r="J191" s="128">
        <f ca="1">INDEX('Data Processing'!U:U,$A191)</f>
        <v>1825.9525149456913</v>
      </c>
      <c r="K191" s="128">
        <f ca="1">INDEX('Data Processing'!V:V,$A191)</f>
        <v>1808.3931199598451</v>
      </c>
      <c r="L191" s="128">
        <f ca="1">INDEX('Data Processing'!W:W,$A191)</f>
        <v>1793.3422099719767</v>
      </c>
      <c r="M191" s="128">
        <f ca="1">INDEX('Data Processing'!X:X,$A191)</f>
        <v>1778.2912999841085</v>
      </c>
      <c r="N191" s="128">
        <f ca="1">INDEX('Data Processing'!Y:Y,$A191)</f>
        <v>1763.2403899962403</v>
      </c>
      <c r="O191" s="128">
        <f ca="1">INDEX('Data Processing'!Z:Z,$A191)</f>
        <v>1748.1894800083721</v>
      </c>
      <c r="P191" s="128">
        <f ca="1">INDEX('Data Processing'!AA:AA,$A191)</f>
        <v>1733.1385700205039</v>
      </c>
      <c r="Q191" s="128">
        <f ca="1">INDEX('Data Processing'!AB:AB,$A191)</f>
        <v>1718.0876600326355</v>
      </c>
      <c r="R191" s="128">
        <f ca="1">INDEX('Data Processing'!AC:AC,$A191)</f>
        <v>1703.0367500447674</v>
      </c>
      <c r="S191" s="128">
        <f ca="1">INDEX('Data Processing'!AD:AD,$A191)</f>
        <v>1663.5281113266133</v>
      </c>
      <c r="T191" s="129">
        <f ca="1">INDEX('Data Processing'!AE:AE,$A191)</f>
        <v>1624.0194726084594</v>
      </c>
      <c r="U191" s="278"/>
      <c r="V191" s="120" t="s">
        <v>1011</v>
      </c>
    </row>
    <row r="192" spans="1:25" s="586" customFormat="1">
      <c r="A192" s="440" t="str">
        <f>IF(B192="","",IFERROR(MATCH(B192,'Data Processing'!$C:$C,0),""))</f>
        <v/>
      </c>
      <c r="B192" s="581"/>
      <c r="C192" s="565" t="s">
        <v>1005</v>
      </c>
      <c r="D192" s="488"/>
      <c r="E192" s="454">
        <f>D191</f>
        <v>2019.1058597900001</v>
      </c>
      <c r="F192" s="454">
        <f t="shared" ref="F192" ca="1" si="44">E191</f>
        <v>1913.7494898749226</v>
      </c>
      <c r="G192" s="454">
        <f t="shared" ref="G192" ca="1" si="45">F191</f>
        <v>1896.1900948890764</v>
      </c>
      <c r="H192" s="454">
        <f t="shared" ref="H192" ca="1" si="46">G191</f>
        <v>1878.6306999032299</v>
      </c>
      <c r="I192" s="454">
        <f t="shared" ref="I192" ca="1" si="47">H191</f>
        <v>1861.0713049173837</v>
      </c>
      <c r="J192" s="454">
        <f t="shared" ref="J192" ca="1" si="48">I191</f>
        <v>1843.5119099315375</v>
      </c>
      <c r="K192" s="454">
        <f t="shared" ref="K192" ca="1" si="49">J191</f>
        <v>1825.9525149456913</v>
      </c>
      <c r="L192" s="454">
        <f t="shared" ref="L192" ca="1" si="50">K191</f>
        <v>1808.3931199598451</v>
      </c>
      <c r="M192" s="454">
        <f t="shared" ref="M192" ca="1" si="51">L191</f>
        <v>1793.3422099719767</v>
      </c>
      <c r="N192" s="454">
        <f t="shared" ref="N192" ca="1" si="52">M191</f>
        <v>1778.2912999841085</v>
      </c>
      <c r="O192" s="454">
        <f t="shared" ref="O192" ca="1" si="53">N191</f>
        <v>1763.2403899962403</v>
      </c>
      <c r="P192" s="454">
        <f t="shared" ref="P192" ca="1" si="54">O191</f>
        <v>1748.1894800083721</v>
      </c>
      <c r="Q192" s="454">
        <f t="shared" ref="Q192" ca="1" si="55">P191</f>
        <v>1733.1385700205039</v>
      </c>
      <c r="R192" s="454">
        <f t="shared" ref="R192" ca="1" si="56">Q191</f>
        <v>1718.0876600326355</v>
      </c>
      <c r="S192" s="454">
        <f t="shared" ref="S192" ca="1" si="57">R191</f>
        <v>1703.0367500447674</v>
      </c>
      <c r="T192" s="455">
        <f t="shared" ref="T192" ca="1" si="58">S191</f>
        <v>1663.5281113266133</v>
      </c>
      <c r="U192" s="582"/>
      <c r="V192" s="233" t="s">
        <v>1045</v>
      </c>
      <c r="W192" s="268"/>
      <c r="X192" s="268"/>
      <c r="Y192" s="268"/>
    </row>
    <row r="193" spans="1:25" s="521" customFormat="1">
      <c r="A193" s="440" t="str">
        <f>IF(B193="","",IFERROR(MATCH(B193,'Data Processing'!$C:$C,0),""))</f>
        <v/>
      </c>
      <c r="B193" s="522"/>
      <c r="C193" s="565" t="s">
        <v>51</v>
      </c>
      <c r="D193" s="454"/>
      <c r="E193" s="454">
        <f t="shared" ref="E193:T193" si="59">E192</f>
        <v>2019.1058597900001</v>
      </c>
      <c r="F193" s="454">
        <f t="shared" ca="1" si="59"/>
        <v>1913.7494898749226</v>
      </c>
      <c r="G193" s="454">
        <f t="shared" ca="1" si="59"/>
        <v>1896.1900948890764</v>
      </c>
      <c r="H193" s="454">
        <f t="shared" ca="1" si="59"/>
        <v>1878.6306999032299</v>
      </c>
      <c r="I193" s="454">
        <f t="shared" ca="1" si="59"/>
        <v>1861.0713049173837</v>
      </c>
      <c r="J193" s="454">
        <f t="shared" ca="1" si="59"/>
        <v>1843.5119099315375</v>
      </c>
      <c r="K193" s="454">
        <f t="shared" ca="1" si="59"/>
        <v>1825.9525149456913</v>
      </c>
      <c r="L193" s="454">
        <f t="shared" ca="1" si="59"/>
        <v>1808.3931199598451</v>
      </c>
      <c r="M193" s="454">
        <f t="shared" ca="1" si="59"/>
        <v>1793.3422099719767</v>
      </c>
      <c r="N193" s="454">
        <f t="shared" ca="1" si="59"/>
        <v>1778.2912999841085</v>
      </c>
      <c r="O193" s="454">
        <f t="shared" ca="1" si="59"/>
        <v>1763.2403899962403</v>
      </c>
      <c r="P193" s="454">
        <f t="shared" ca="1" si="59"/>
        <v>1748.1894800083721</v>
      </c>
      <c r="Q193" s="454">
        <f t="shared" ca="1" si="59"/>
        <v>1733.1385700205039</v>
      </c>
      <c r="R193" s="454">
        <f t="shared" ca="1" si="59"/>
        <v>1718.0876600326355</v>
      </c>
      <c r="S193" s="454">
        <f t="shared" ca="1" si="59"/>
        <v>1703.0367500447674</v>
      </c>
      <c r="T193" s="455">
        <f t="shared" ca="1" si="59"/>
        <v>1663.5281113266133</v>
      </c>
      <c r="U193" s="524"/>
      <c r="V193" s="120"/>
      <c r="W193" s="126"/>
      <c r="X193" s="126"/>
      <c r="Y193" s="126"/>
    </row>
    <row r="194" spans="1:25" s="561" customFormat="1">
      <c r="A194" s="440" t="str">
        <f>IF(B194="","",IFERROR(MATCH(B194,'Data Processing'!$C:$C,0),""))</f>
        <v/>
      </c>
      <c r="B194" s="583"/>
      <c r="C194" s="567" t="s">
        <v>50</v>
      </c>
      <c r="D194" s="488"/>
      <c r="E194" s="553">
        <f ca="1">INDEX('Data Processing'!BU:BU,$A191)</f>
        <v>5.2179715790649651E-2</v>
      </c>
      <c r="F194" s="553">
        <f ca="1">INDEX('Data Processing'!BV:BV,$A191)</f>
        <v>8.6966192984416091E-3</v>
      </c>
      <c r="G194" s="553">
        <f ca="1">INDEX('Data Processing'!BW:BW,$A191)</f>
        <v>8.6966192984416091E-3</v>
      </c>
      <c r="H194" s="553">
        <f ca="1">INDEX('Data Processing'!BX:BX,$A191)</f>
        <v>8.6966192984416091E-3</v>
      </c>
      <c r="I194" s="553">
        <f ca="1">INDEX('Data Processing'!BY:BY,$A191)</f>
        <v>8.6966192984416091E-3</v>
      </c>
      <c r="J194" s="553">
        <f ca="1">INDEX('Data Processing'!BZ:BZ,$A191)</f>
        <v>8.6966192984416091E-3</v>
      </c>
      <c r="K194" s="553">
        <f ca="1">INDEX('Data Processing'!CA:CA,$A191)</f>
        <v>8.6966192984416091E-3</v>
      </c>
      <c r="L194" s="553">
        <f ca="1">INDEX('Data Processing'!CB:CB,$A191)</f>
        <v>7.4542451129499514E-3</v>
      </c>
      <c r="M194" s="553">
        <f ca="1">INDEX('Data Processing'!CC:CC,$A191)</f>
        <v>7.4542451129499514E-3</v>
      </c>
      <c r="N194" s="553">
        <f ca="1">INDEX('Data Processing'!CD:CD,$A191)</f>
        <v>7.4542451129499514E-3</v>
      </c>
      <c r="O194" s="553">
        <f ca="1">INDEX('Data Processing'!CE:CE,$A191)</f>
        <v>7.4542451129499514E-3</v>
      </c>
      <c r="P194" s="553">
        <f ca="1">INDEX('Data Processing'!CF:CF,$A191)</f>
        <v>7.4542451129499514E-3</v>
      </c>
      <c r="Q194" s="553">
        <f ca="1">INDEX('Data Processing'!CG:CG,$A191)</f>
        <v>7.4542451129499514E-3</v>
      </c>
      <c r="R194" s="553">
        <f ca="1">INDEX('Data Processing'!CH:CH,$A191)</f>
        <v>7.4542451129499514E-3</v>
      </c>
      <c r="S194" s="553">
        <f ca="1">INDEX('Data Processing'!CI:CI,$A191)</f>
        <v>1.9567393421493606E-2</v>
      </c>
      <c r="T194" s="554">
        <f ca="1">INDEX('Data Processing'!CJ:CJ,$A191)</f>
        <v>1.9567393421493606E-2</v>
      </c>
      <c r="U194" s="551"/>
      <c r="V194" s="271"/>
      <c r="W194" s="272"/>
      <c r="X194" s="272"/>
      <c r="Y194" s="272"/>
    </row>
    <row r="195" spans="1:25" s="587" customFormat="1">
      <c r="A195" s="440" t="str">
        <f>IF(B195="","",IFERROR(MATCH(B195,'Data Processing'!$C:$C,0),""))</f>
        <v/>
      </c>
      <c r="B195" s="581"/>
      <c r="C195" s="523" t="s">
        <v>1015</v>
      </c>
      <c r="D195" s="504"/>
      <c r="E195" s="489">
        <f ca="1">INDEX('Data Processing'!AS:AS,$A191)</f>
        <v>105.35636991507751</v>
      </c>
      <c r="F195" s="489">
        <f ca="1">INDEX('Data Processing'!AT:AT,$A191)</f>
        <v>17.559394985846254</v>
      </c>
      <c r="G195" s="489">
        <f ca="1">INDEX('Data Processing'!AU:AU,$A191)</f>
        <v>17.559394985846254</v>
      </c>
      <c r="H195" s="489">
        <f ca="1">INDEX('Data Processing'!AV:AV,$A191)</f>
        <v>17.559394985846254</v>
      </c>
      <c r="I195" s="489">
        <f ca="1">INDEX('Data Processing'!AW:AW,$A191)</f>
        <v>17.559394985846254</v>
      </c>
      <c r="J195" s="556">
        <f ca="1">INDEX('Data Processing'!AX:AX,$A191)</f>
        <v>17.559394985846254</v>
      </c>
      <c r="K195" s="556">
        <f ca="1">INDEX('Data Processing'!AY:AY,$A191)</f>
        <v>17.559394985846254</v>
      </c>
      <c r="L195" s="556">
        <f ca="1">INDEX('Data Processing'!AZ:AZ,$A191)</f>
        <v>15.050909987868218</v>
      </c>
      <c r="M195" s="556">
        <f ca="1">INDEX('Data Processing'!BA:BA,$A191)</f>
        <v>15.050909987868218</v>
      </c>
      <c r="N195" s="556">
        <f ca="1">INDEX('Data Processing'!BB:BB,$A191)</f>
        <v>15.050909987868218</v>
      </c>
      <c r="O195" s="556">
        <f ca="1">INDEX('Data Processing'!BC:BC,$A191)</f>
        <v>15.050909987868218</v>
      </c>
      <c r="P195" s="556">
        <f ca="1">INDEX('Data Processing'!BD:BD,$A191)</f>
        <v>15.050909987868218</v>
      </c>
      <c r="Q195" s="556">
        <f ca="1">INDEX('Data Processing'!BE:BE,$A191)</f>
        <v>15.050909987868218</v>
      </c>
      <c r="R195" s="556">
        <f ca="1">INDEX('Data Processing'!BF:BF,$A191)</f>
        <v>15.050909987868218</v>
      </c>
      <c r="S195" s="556">
        <f ca="1">INDEX('Data Processing'!BG:BG,$A191)</f>
        <v>39.508638718154039</v>
      </c>
      <c r="T195" s="584">
        <f ca="1">INDEX('Data Processing'!BH:BH,$A191)</f>
        <v>39.508638718154039</v>
      </c>
      <c r="U195" s="585"/>
      <c r="V195" s="276"/>
      <c r="W195" s="277"/>
      <c r="X195" s="277"/>
      <c r="Y195" s="277"/>
    </row>
    <row r="196" spans="1:25" s="587" customFormat="1">
      <c r="A196" s="440" t="str">
        <f>IF(B196="","",IFERROR(MATCH(B196,'Data Processing'!$C:$C,0),""))</f>
        <v/>
      </c>
      <c r="B196" s="581"/>
      <c r="C196" s="558" t="s">
        <v>1012</v>
      </c>
      <c r="D196" s="503"/>
      <c r="E196" s="559">
        <f t="shared" ref="E196:T196" ca="1" si="60">E192-E195</f>
        <v>1913.7494898749226</v>
      </c>
      <c r="F196" s="559">
        <f t="shared" ca="1" si="60"/>
        <v>1896.1900948890764</v>
      </c>
      <c r="G196" s="559">
        <f t="shared" ca="1" si="60"/>
        <v>1878.6306999032302</v>
      </c>
      <c r="H196" s="559">
        <f t="shared" ca="1" si="60"/>
        <v>1861.0713049173837</v>
      </c>
      <c r="I196" s="559">
        <f t="shared" ca="1" si="60"/>
        <v>1843.5119099315375</v>
      </c>
      <c r="J196" s="559">
        <f t="shared" ca="1" si="60"/>
        <v>1825.9525149456913</v>
      </c>
      <c r="K196" s="559">
        <f t="shared" ca="1" si="60"/>
        <v>1808.3931199598451</v>
      </c>
      <c r="L196" s="559">
        <f t="shared" ca="1" si="60"/>
        <v>1793.3422099719769</v>
      </c>
      <c r="M196" s="559">
        <f t="shared" ca="1" si="60"/>
        <v>1778.2912999841085</v>
      </c>
      <c r="N196" s="559">
        <f t="shared" ca="1" si="60"/>
        <v>1763.2403899962403</v>
      </c>
      <c r="O196" s="559">
        <f t="shared" ca="1" si="60"/>
        <v>1748.1894800083721</v>
      </c>
      <c r="P196" s="559">
        <f t="shared" ca="1" si="60"/>
        <v>1733.1385700205039</v>
      </c>
      <c r="Q196" s="559">
        <f t="shared" ca="1" si="60"/>
        <v>1718.0876600326358</v>
      </c>
      <c r="R196" s="559">
        <f t="shared" ca="1" si="60"/>
        <v>1703.0367500447674</v>
      </c>
      <c r="S196" s="559">
        <f t="shared" ca="1" si="60"/>
        <v>1663.5281113266133</v>
      </c>
      <c r="T196" s="560">
        <f t="shared" ca="1" si="60"/>
        <v>1624.0194726084592</v>
      </c>
      <c r="U196" s="585"/>
      <c r="V196" s="276"/>
      <c r="W196" s="277"/>
      <c r="X196" s="277"/>
      <c r="Y196" s="277"/>
    </row>
    <row r="197" spans="1:25" s="279" customFormat="1">
      <c r="A197">
        <f>IF(B197="","",IFERROR(MATCH(B197,'Data Processing'!$C:$C,0),""))</f>
        <v>26</v>
      </c>
      <c r="B197" s="215" t="s">
        <v>1409</v>
      </c>
      <c r="C197" s="223" t="str">
        <f>INDEX('Data Processing'!$G:$G,A197)</f>
        <v>Due to Interbranch - Investment (MACAU)</v>
      </c>
      <c r="D197" s="249">
        <f>INDEX('Data Processing'!O:O,$A197)</f>
        <v>460.71168785000003</v>
      </c>
      <c r="E197" s="128">
        <f ca="1">INDEX('Data Processing'!P:P,$A197)</f>
        <v>445.96891383880001</v>
      </c>
      <c r="F197" s="128">
        <f ca="1">INDEX('Data Processing'!Q:Q,$A197)</f>
        <v>443.51178483693337</v>
      </c>
      <c r="G197" s="128">
        <f ca="1">INDEX('Data Processing'!R:R,$A197)</f>
        <v>441.05465583506668</v>
      </c>
      <c r="H197" s="128">
        <f ca="1">INDEX('Data Processing'!S:S,$A197)</f>
        <v>438.59752683320005</v>
      </c>
      <c r="I197" s="128">
        <f ca="1">INDEX('Data Processing'!T:T,$A197)</f>
        <v>436.14039783133336</v>
      </c>
      <c r="J197" s="128">
        <f ca="1">INDEX('Data Processing'!U:U,$A197)</f>
        <v>433.68326882946667</v>
      </c>
      <c r="K197" s="128">
        <f ca="1">INDEX('Data Processing'!V:V,$A197)</f>
        <v>431.22613982760004</v>
      </c>
      <c r="L197" s="128">
        <f ca="1">INDEX('Data Processing'!W:W,$A197)</f>
        <v>429.12002925457148</v>
      </c>
      <c r="M197" s="128">
        <f ca="1">INDEX('Data Processing'!X:X,$A197)</f>
        <v>427.01391868154286</v>
      </c>
      <c r="N197" s="128">
        <f ca="1">INDEX('Data Processing'!Y:Y,$A197)</f>
        <v>424.9078081085143</v>
      </c>
      <c r="O197" s="128">
        <f ca="1">INDEX('Data Processing'!Z:Z,$A197)</f>
        <v>422.80169753548574</v>
      </c>
      <c r="P197" s="128">
        <f ca="1">INDEX('Data Processing'!AA:AA,$A197)</f>
        <v>420.69558696245713</v>
      </c>
      <c r="Q197" s="128">
        <f ca="1">INDEX('Data Processing'!AB:AB,$A197)</f>
        <v>418.58947638942857</v>
      </c>
      <c r="R197" s="128">
        <f ca="1">INDEX('Data Processing'!AC:AC,$A197)</f>
        <v>416.48336581640001</v>
      </c>
      <c r="S197" s="128">
        <f ca="1">INDEX('Data Processing'!AD:AD,$A197)</f>
        <v>410.95482556220003</v>
      </c>
      <c r="T197" s="129">
        <f ca="1">INDEX('Data Processing'!AE:AE,$A197)</f>
        <v>405.42628530800005</v>
      </c>
      <c r="U197" s="278"/>
      <c r="V197" s="120" t="s">
        <v>1011</v>
      </c>
    </row>
    <row r="198" spans="1:25" s="586" customFormat="1">
      <c r="A198" s="440" t="str">
        <f>IF(B198="","",IFERROR(MATCH(B198,'Data Processing'!$C:$C,0),""))</f>
        <v/>
      </c>
      <c r="B198" s="581"/>
      <c r="C198" s="565" t="s">
        <v>1005</v>
      </c>
      <c r="D198" s="488"/>
      <c r="E198" s="454">
        <f>D197</f>
        <v>460.71168785000003</v>
      </c>
      <c r="F198" s="454">
        <f t="shared" ref="F198" ca="1" si="61">E197</f>
        <v>445.96891383880001</v>
      </c>
      <c r="G198" s="454">
        <f t="shared" ref="G198" ca="1" si="62">F197</f>
        <v>443.51178483693337</v>
      </c>
      <c r="H198" s="454">
        <f t="shared" ref="H198" ca="1" si="63">G197</f>
        <v>441.05465583506668</v>
      </c>
      <c r="I198" s="454">
        <f t="shared" ref="I198" ca="1" si="64">H197</f>
        <v>438.59752683320005</v>
      </c>
      <c r="J198" s="454">
        <f t="shared" ref="J198" ca="1" si="65">I197</f>
        <v>436.14039783133336</v>
      </c>
      <c r="K198" s="454">
        <f t="shared" ref="K198" ca="1" si="66">J197</f>
        <v>433.68326882946667</v>
      </c>
      <c r="L198" s="454">
        <f t="shared" ref="L198" ca="1" si="67">K197</f>
        <v>431.22613982760004</v>
      </c>
      <c r="M198" s="454">
        <f t="shared" ref="M198" ca="1" si="68">L197</f>
        <v>429.12002925457148</v>
      </c>
      <c r="N198" s="454">
        <f t="shared" ref="N198" ca="1" si="69">M197</f>
        <v>427.01391868154286</v>
      </c>
      <c r="O198" s="454">
        <f t="shared" ref="O198" ca="1" si="70">N197</f>
        <v>424.9078081085143</v>
      </c>
      <c r="P198" s="454">
        <f t="shared" ref="P198" ca="1" si="71">O197</f>
        <v>422.80169753548574</v>
      </c>
      <c r="Q198" s="454">
        <f t="shared" ref="Q198" ca="1" si="72">P197</f>
        <v>420.69558696245713</v>
      </c>
      <c r="R198" s="454">
        <f t="shared" ref="R198" ca="1" si="73">Q197</f>
        <v>418.58947638942857</v>
      </c>
      <c r="S198" s="454">
        <f t="shared" ref="S198" ca="1" si="74">R197</f>
        <v>416.48336581640001</v>
      </c>
      <c r="T198" s="455">
        <f t="shared" ref="T198" ca="1" si="75">S197</f>
        <v>410.95482556220003</v>
      </c>
      <c r="U198" s="582"/>
      <c r="V198" s="233" t="s">
        <v>1045</v>
      </c>
      <c r="W198" s="268"/>
      <c r="X198" s="268"/>
      <c r="Y198" s="268"/>
    </row>
    <row r="199" spans="1:25" s="521" customFormat="1">
      <c r="A199" s="440" t="str">
        <f>IF(B199="","",IFERROR(MATCH(B199,'Data Processing'!$C:$C,0),""))</f>
        <v/>
      </c>
      <c r="B199" s="522"/>
      <c r="C199" s="565" t="s">
        <v>51</v>
      </c>
      <c r="D199" s="454"/>
      <c r="E199" s="454">
        <f t="shared" ref="E199:T199" si="76">E198</f>
        <v>460.71168785000003</v>
      </c>
      <c r="F199" s="454">
        <f t="shared" ca="1" si="76"/>
        <v>445.96891383880001</v>
      </c>
      <c r="G199" s="454">
        <f t="shared" ca="1" si="76"/>
        <v>443.51178483693337</v>
      </c>
      <c r="H199" s="454">
        <f t="shared" ca="1" si="76"/>
        <v>441.05465583506668</v>
      </c>
      <c r="I199" s="454">
        <f t="shared" ca="1" si="76"/>
        <v>438.59752683320005</v>
      </c>
      <c r="J199" s="454">
        <f t="shared" ca="1" si="76"/>
        <v>436.14039783133336</v>
      </c>
      <c r="K199" s="454">
        <f t="shared" ca="1" si="76"/>
        <v>433.68326882946667</v>
      </c>
      <c r="L199" s="454">
        <f t="shared" ca="1" si="76"/>
        <v>431.22613982760004</v>
      </c>
      <c r="M199" s="454">
        <f t="shared" ca="1" si="76"/>
        <v>429.12002925457148</v>
      </c>
      <c r="N199" s="454">
        <f t="shared" ca="1" si="76"/>
        <v>427.01391868154286</v>
      </c>
      <c r="O199" s="454">
        <f t="shared" ca="1" si="76"/>
        <v>424.9078081085143</v>
      </c>
      <c r="P199" s="454">
        <f t="shared" ca="1" si="76"/>
        <v>422.80169753548574</v>
      </c>
      <c r="Q199" s="454">
        <f t="shared" ca="1" si="76"/>
        <v>420.69558696245713</v>
      </c>
      <c r="R199" s="454">
        <f t="shared" ca="1" si="76"/>
        <v>418.58947638942857</v>
      </c>
      <c r="S199" s="454">
        <f t="shared" ca="1" si="76"/>
        <v>416.48336581640001</v>
      </c>
      <c r="T199" s="455">
        <f t="shared" ca="1" si="76"/>
        <v>410.95482556220003</v>
      </c>
      <c r="U199" s="524"/>
      <c r="V199" s="120"/>
      <c r="W199" s="126"/>
      <c r="X199" s="126"/>
      <c r="Y199" s="126"/>
    </row>
    <row r="200" spans="1:25" s="561" customFormat="1">
      <c r="A200" s="440" t="str">
        <f>IF(B200="","",IFERROR(MATCH(B200,'Data Processing'!$C:$C,0),""))</f>
        <v/>
      </c>
      <c r="B200" s="583"/>
      <c r="C200" s="567" t="s">
        <v>50</v>
      </c>
      <c r="D200" s="488"/>
      <c r="E200" s="553">
        <f ca="1">INDEX('Data Processing'!BU:BU,$A197)</f>
        <v>3.2000000000000001E-2</v>
      </c>
      <c r="F200" s="553">
        <f ca="1">INDEX('Data Processing'!BV:BV,$A197)</f>
        <v>5.3333333333333332E-3</v>
      </c>
      <c r="G200" s="553">
        <f ca="1">INDEX('Data Processing'!BW:BW,$A197)</f>
        <v>5.3333333333333332E-3</v>
      </c>
      <c r="H200" s="553">
        <f ca="1">INDEX('Data Processing'!BX:BX,$A197)</f>
        <v>5.3333333333333332E-3</v>
      </c>
      <c r="I200" s="553">
        <f ca="1">INDEX('Data Processing'!BY:BY,$A197)</f>
        <v>5.3333333333333332E-3</v>
      </c>
      <c r="J200" s="553">
        <f ca="1">INDEX('Data Processing'!BZ:BZ,$A197)</f>
        <v>5.3333333333333332E-3</v>
      </c>
      <c r="K200" s="553">
        <f ca="1">INDEX('Data Processing'!CA:CA,$A197)</f>
        <v>5.3333333333333332E-3</v>
      </c>
      <c r="L200" s="553">
        <f ca="1">INDEX('Data Processing'!CB:CB,$A197)</f>
        <v>4.5714285714285718E-3</v>
      </c>
      <c r="M200" s="553">
        <f ca="1">INDEX('Data Processing'!CC:CC,$A197)</f>
        <v>4.5714285714285718E-3</v>
      </c>
      <c r="N200" s="553">
        <f ca="1">INDEX('Data Processing'!CD:CD,$A197)</f>
        <v>4.5714285714285718E-3</v>
      </c>
      <c r="O200" s="553">
        <f ca="1">INDEX('Data Processing'!CE:CE,$A197)</f>
        <v>4.5714285714285718E-3</v>
      </c>
      <c r="P200" s="553">
        <f ca="1">INDEX('Data Processing'!CF:CF,$A197)</f>
        <v>4.5714285714285718E-3</v>
      </c>
      <c r="Q200" s="553">
        <f ca="1">INDEX('Data Processing'!CG:CG,$A197)</f>
        <v>4.5714285714285718E-3</v>
      </c>
      <c r="R200" s="553">
        <f ca="1">INDEX('Data Processing'!CH:CH,$A197)</f>
        <v>4.5714285714285718E-3</v>
      </c>
      <c r="S200" s="553">
        <f ca="1">INDEX('Data Processing'!CI:CI,$A197)</f>
        <v>1.1999999999999997E-2</v>
      </c>
      <c r="T200" s="554">
        <f ca="1">INDEX('Data Processing'!CJ:CJ,$A197)</f>
        <v>1.1999999999999997E-2</v>
      </c>
      <c r="U200" s="551"/>
      <c r="V200" s="271"/>
      <c r="W200" s="272"/>
      <c r="X200" s="272"/>
      <c r="Y200" s="272"/>
    </row>
    <row r="201" spans="1:25" s="587" customFormat="1">
      <c r="A201" s="440" t="str">
        <f>IF(B201="","",IFERROR(MATCH(B201,'Data Processing'!$C:$C,0),""))</f>
        <v/>
      </c>
      <c r="B201" s="581"/>
      <c r="C201" s="523" t="s">
        <v>1015</v>
      </c>
      <c r="D201" s="504"/>
      <c r="E201" s="489">
        <f ca="1">INDEX('Data Processing'!AS:AS,$A197)</f>
        <v>14.742774011200002</v>
      </c>
      <c r="F201" s="489">
        <f ca="1">INDEX('Data Processing'!AT:AT,$A197)</f>
        <v>2.4571290018666669</v>
      </c>
      <c r="G201" s="489">
        <f ca="1">INDEX('Data Processing'!AU:AU,$A197)</f>
        <v>2.4571290018666669</v>
      </c>
      <c r="H201" s="489">
        <f ca="1">INDEX('Data Processing'!AV:AV,$A197)</f>
        <v>2.4571290018666669</v>
      </c>
      <c r="I201" s="489">
        <f ca="1">INDEX('Data Processing'!AW:AW,$A197)</f>
        <v>2.4571290018666669</v>
      </c>
      <c r="J201" s="556">
        <f ca="1">INDEX('Data Processing'!AX:AX,$A197)</f>
        <v>2.4571290018666669</v>
      </c>
      <c r="K201" s="556">
        <f ca="1">INDEX('Data Processing'!AY:AY,$A197)</f>
        <v>2.4571290018666669</v>
      </c>
      <c r="L201" s="556">
        <f ca="1">INDEX('Data Processing'!AZ:AZ,$A197)</f>
        <v>2.1061105730285719</v>
      </c>
      <c r="M201" s="556">
        <f ca="1">INDEX('Data Processing'!BA:BA,$A197)</f>
        <v>2.1061105730285719</v>
      </c>
      <c r="N201" s="556">
        <f ca="1">INDEX('Data Processing'!BB:BB,$A197)</f>
        <v>2.1061105730285719</v>
      </c>
      <c r="O201" s="556">
        <f ca="1">INDEX('Data Processing'!BC:BC,$A197)</f>
        <v>2.1061105730285719</v>
      </c>
      <c r="P201" s="556">
        <f ca="1">INDEX('Data Processing'!BD:BD,$A197)</f>
        <v>2.1061105730285719</v>
      </c>
      <c r="Q201" s="556">
        <f ca="1">INDEX('Data Processing'!BE:BE,$A197)</f>
        <v>2.1061105730285719</v>
      </c>
      <c r="R201" s="556">
        <f ca="1">INDEX('Data Processing'!BF:BF,$A197)</f>
        <v>2.1061105730285719</v>
      </c>
      <c r="S201" s="556">
        <f ca="1">INDEX('Data Processing'!BG:BG,$A197)</f>
        <v>5.5285402541999993</v>
      </c>
      <c r="T201" s="584">
        <f ca="1">INDEX('Data Processing'!BH:BH,$A197)</f>
        <v>5.5285402541999993</v>
      </c>
      <c r="U201" s="585"/>
      <c r="V201" s="276"/>
      <c r="W201" s="277"/>
      <c r="X201" s="277"/>
      <c r="Y201" s="277"/>
    </row>
    <row r="202" spans="1:25" s="587" customFormat="1">
      <c r="A202" s="440" t="str">
        <f>IF(B202="","",IFERROR(MATCH(B202,'Data Processing'!$C:$C,0),""))</f>
        <v/>
      </c>
      <c r="B202" s="581"/>
      <c r="C202" s="558" t="s">
        <v>1012</v>
      </c>
      <c r="D202" s="503"/>
      <c r="E202" s="559">
        <f t="shared" ref="E202:T202" ca="1" si="77">E198-E201</f>
        <v>445.96891383880001</v>
      </c>
      <c r="F202" s="559">
        <f t="shared" ca="1" si="77"/>
        <v>443.51178483693332</v>
      </c>
      <c r="G202" s="559">
        <f t="shared" ca="1" si="77"/>
        <v>441.05465583506668</v>
      </c>
      <c r="H202" s="559">
        <f t="shared" ca="1" si="77"/>
        <v>438.59752683319999</v>
      </c>
      <c r="I202" s="559">
        <f t="shared" ca="1" si="77"/>
        <v>436.14039783133336</v>
      </c>
      <c r="J202" s="559">
        <f t="shared" ca="1" si="77"/>
        <v>433.68326882946667</v>
      </c>
      <c r="K202" s="559">
        <f t="shared" ca="1" si="77"/>
        <v>431.22613982759998</v>
      </c>
      <c r="L202" s="559">
        <f t="shared" ca="1" si="77"/>
        <v>429.12002925457148</v>
      </c>
      <c r="M202" s="559">
        <f t="shared" ca="1" si="77"/>
        <v>427.01391868154292</v>
      </c>
      <c r="N202" s="559">
        <f t="shared" ca="1" si="77"/>
        <v>424.9078081085143</v>
      </c>
      <c r="O202" s="559">
        <f t="shared" ca="1" si="77"/>
        <v>422.80169753548574</v>
      </c>
      <c r="P202" s="559">
        <f t="shared" ca="1" si="77"/>
        <v>420.69558696245718</v>
      </c>
      <c r="Q202" s="559">
        <f t="shared" ca="1" si="77"/>
        <v>418.58947638942857</v>
      </c>
      <c r="R202" s="559">
        <f t="shared" ca="1" si="77"/>
        <v>416.48336581640001</v>
      </c>
      <c r="S202" s="559">
        <f t="shared" ca="1" si="77"/>
        <v>410.95482556220003</v>
      </c>
      <c r="T202" s="560">
        <f t="shared" ca="1" si="77"/>
        <v>405.42628530800005</v>
      </c>
      <c r="U202" s="585"/>
      <c r="V202" s="276"/>
      <c r="W202" s="277"/>
      <c r="X202" s="277"/>
      <c r="Y202" s="277"/>
    </row>
    <row r="203" spans="1:25" s="279" customFormat="1">
      <c r="A203">
        <f>IF(B203="","",IFERROR(MATCH(B203,'Data Processing'!$C:$C,0),""))</f>
        <v>28</v>
      </c>
      <c r="B203" s="215" t="s">
        <v>996</v>
      </c>
      <c r="C203" s="223" t="str">
        <f>INDEX('Data Processing'!$G:$G,A203)</f>
        <v>Due to Interbranch - Call Loans (Exclude HO)</v>
      </c>
      <c r="D203" s="249">
        <f>INDEX('Data Processing'!O:O,$A203)</f>
        <v>460.84183000000002</v>
      </c>
      <c r="E203" s="128">
        <f ca="1">INDEX('Data Processing'!P:P,$A203)</f>
        <v>460.84183000000002</v>
      </c>
      <c r="F203" s="128">
        <f ca="1">INDEX('Data Processing'!Q:Q,$A203)</f>
        <v>460.84183000000002</v>
      </c>
      <c r="G203" s="128">
        <f ca="1">INDEX('Data Processing'!R:R,$A203)</f>
        <v>460.84183000000002</v>
      </c>
      <c r="H203" s="128">
        <f ca="1">INDEX('Data Processing'!S:S,$A203)</f>
        <v>460.84183000000002</v>
      </c>
      <c r="I203" s="128">
        <f ca="1">INDEX('Data Processing'!T:T,$A203)</f>
        <v>460.84183000000002</v>
      </c>
      <c r="J203" s="128">
        <f ca="1">INDEX('Data Processing'!U:U,$A203)</f>
        <v>460.84183000000002</v>
      </c>
      <c r="K203" s="128">
        <f ca="1">INDEX('Data Processing'!V:V,$A203)</f>
        <v>460.84183000000002</v>
      </c>
      <c r="L203" s="128">
        <f ca="1">INDEX('Data Processing'!W:W,$A203)</f>
        <v>460.84183000000002</v>
      </c>
      <c r="M203" s="128">
        <f ca="1">INDEX('Data Processing'!X:X,$A203)</f>
        <v>460.84183000000002</v>
      </c>
      <c r="N203" s="128">
        <f ca="1">INDEX('Data Processing'!Y:Y,$A203)</f>
        <v>460.84183000000002</v>
      </c>
      <c r="O203" s="128">
        <f ca="1">INDEX('Data Processing'!Z:Z,$A203)</f>
        <v>460.84183000000002</v>
      </c>
      <c r="P203" s="128">
        <f ca="1">INDEX('Data Processing'!AA:AA,$A203)</f>
        <v>460.84183000000002</v>
      </c>
      <c r="Q203" s="128">
        <f ca="1">INDEX('Data Processing'!AB:AB,$A203)</f>
        <v>460.84183000000002</v>
      </c>
      <c r="R203" s="128">
        <f ca="1">INDEX('Data Processing'!AC:AC,$A203)</f>
        <v>460.84183000000002</v>
      </c>
      <c r="S203" s="128">
        <f ca="1">INDEX('Data Processing'!AD:AD,$A203)</f>
        <v>460</v>
      </c>
      <c r="T203" s="129">
        <f ca="1">INDEX('Data Processing'!AE:AE,$A203)</f>
        <v>460</v>
      </c>
      <c r="U203" s="278"/>
      <c r="V203" s="120"/>
    </row>
    <row r="204" spans="1:25" s="487" customFormat="1" ht="30">
      <c r="A204" s="440" t="str">
        <f>IF(B204="","",IFERROR(MATCH(B204,'Data Processing'!$C:$C,0),""))</f>
        <v/>
      </c>
      <c r="B204" s="583"/>
      <c r="C204" s="565" t="s">
        <v>1005</v>
      </c>
      <c r="D204" s="488"/>
      <c r="E204" s="454">
        <f>D203</f>
        <v>460.84183000000002</v>
      </c>
      <c r="F204" s="454">
        <f t="shared" ref="F204:T204" ca="1" si="78">E203</f>
        <v>460.84183000000002</v>
      </c>
      <c r="G204" s="454">
        <f t="shared" ca="1" si="78"/>
        <v>460.84183000000002</v>
      </c>
      <c r="H204" s="454">
        <f t="shared" ca="1" si="78"/>
        <v>460.84183000000002</v>
      </c>
      <c r="I204" s="454">
        <f t="shared" ca="1" si="78"/>
        <v>460.84183000000002</v>
      </c>
      <c r="J204" s="454">
        <f t="shared" ca="1" si="78"/>
        <v>460.84183000000002</v>
      </c>
      <c r="K204" s="454">
        <f t="shared" ca="1" si="78"/>
        <v>460.84183000000002</v>
      </c>
      <c r="L204" s="454">
        <f t="shared" ca="1" si="78"/>
        <v>460.84183000000002</v>
      </c>
      <c r="M204" s="454">
        <f t="shared" ca="1" si="78"/>
        <v>460.84183000000002</v>
      </c>
      <c r="N204" s="454">
        <f t="shared" ca="1" si="78"/>
        <v>460.84183000000002</v>
      </c>
      <c r="O204" s="454">
        <f t="shared" ca="1" si="78"/>
        <v>460.84183000000002</v>
      </c>
      <c r="P204" s="454">
        <f t="shared" ca="1" si="78"/>
        <v>460.84183000000002</v>
      </c>
      <c r="Q204" s="454">
        <f t="shared" ca="1" si="78"/>
        <v>460.84183000000002</v>
      </c>
      <c r="R204" s="454">
        <f t="shared" ca="1" si="78"/>
        <v>460.84183000000002</v>
      </c>
      <c r="S204" s="454">
        <f t="shared" ca="1" si="78"/>
        <v>460.84183000000002</v>
      </c>
      <c r="T204" s="455">
        <f t="shared" ca="1" si="78"/>
        <v>460</v>
      </c>
      <c r="U204" s="485"/>
      <c r="V204" s="233" t="s">
        <v>1046</v>
      </c>
      <c r="W204" s="279"/>
      <c r="X204" s="279"/>
      <c r="Y204" s="279"/>
    </row>
    <row r="205" spans="1:25" s="521" customFormat="1">
      <c r="A205" s="440" t="str">
        <f>IF(B205="","",IFERROR(MATCH(B205,'Data Processing'!$C:$C,0),""))</f>
        <v/>
      </c>
      <c r="B205" s="522"/>
      <c r="C205" s="565" t="s">
        <v>51</v>
      </c>
      <c r="D205" s="454"/>
      <c r="E205" s="454">
        <f>INDEX('Data Processing'!CX:CX,$A203)</f>
        <v>0</v>
      </c>
      <c r="F205" s="454">
        <f>INDEX('Data Processing'!CY:CY,$A203)</f>
        <v>0</v>
      </c>
      <c r="G205" s="454">
        <f>INDEX('Data Processing'!CZ:CZ,$A203)</f>
        <v>0</v>
      </c>
      <c r="H205" s="454">
        <f>INDEX('Data Processing'!DA:DA,$A203)</f>
        <v>0</v>
      </c>
      <c r="I205" s="454">
        <f>INDEX('Data Processing'!DB:DB,$A203)</f>
        <v>0</v>
      </c>
      <c r="J205" s="454">
        <f>INDEX('Data Processing'!DC:DC,$A203)</f>
        <v>0</v>
      </c>
      <c r="K205" s="454">
        <f>INDEX('Data Processing'!DD:DD,$A203)</f>
        <v>0</v>
      </c>
      <c r="L205" s="454">
        <f>INDEX('Data Processing'!DE:DE,$A203)</f>
        <v>0</v>
      </c>
      <c r="M205" s="454">
        <f>INDEX('Data Processing'!DF:DF,$A203)</f>
        <v>0</v>
      </c>
      <c r="N205" s="454">
        <f>INDEX('Data Processing'!DG:DG,$A203)</f>
        <v>0</v>
      </c>
      <c r="O205" s="454">
        <f>INDEX('Data Processing'!DH:DH,$A203)</f>
        <v>0</v>
      </c>
      <c r="P205" s="454">
        <f>INDEX('Data Processing'!DI:DI,$A203)</f>
        <v>0</v>
      </c>
      <c r="Q205" s="454">
        <f>INDEX('Data Processing'!DJ:DJ,$A203)</f>
        <v>0</v>
      </c>
      <c r="R205" s="454">
        <f>INDEX('Data Processing'!DK:DK,$A203)</f>
        <v>0</v>
      </c>
      <c r="S205" s="454">
        <f>INDEX('Data Processing'!DL:DL,$A203)</f>
        <v>0.84182999999999997</v>
      </c>
      <c r="T205" s="455">
        <f>INDEX('Data Processing'!DM:DM,$A203)</f>
        <v>0</v>
      </c>
      <c r="U205" s="524"/>
      <c r="V205" s="120"/>
      <c r="W205" s="126"/>
      <c r="X205" s="126"/>
      <c r="Y205" s="126"/>
    </row>
    <row r="206" spans="1:25" s="561" customFormat="1">
      <c r="A206" s="440" t="str">
        <f>IF(B206="","",IFERROR(MATCH(B206,'Data Processing'!$C:$C,0),""))</f>
        <v/>
      </c>
      <c r="B206" s="583"/>
      <c r="C206" s="567" t="s">
        <v>50</v>
      </c>
      <c r="D206" s="488"/>
      <c r="E206" s="553">
        <f ca="1">INDEX('Data Processing'!BU:BU,$A203)</f>
        <v>1</v>
      </c>
      <c r="F206" s="553">
        <f ca="1">INDEX('Data Processing'!BV:BV,$A203)</f>
        <v>1</v>
      </c>
      <c r="G206" s="553">
        <f ca="1">INDEX('Data Processing'!BW:BW,$A203)</f>
        <v>1</v>
      </c>
      <c r="H206" s="553">
        <f ca="1">INDEX('Data Processing'!BX:BX,$A203)</f>
        <v>1</v>
      </c>
      <c r="I206" s="553">
        <f ca="1">INDEX('Data Processing'!BY:BY,$A203)</f>
        <v>1</v>
      </c>
      <c r="J206" s="553">
        <f ca="1">INDEX('Data Processing'!BZ:BZ,$A203)</f>
        <v>1</v>
      </c>
      <c r="K206" s="553">
        <f ca="1">INDEX('Data Processing'!CA:CA,$A203)</f>
        <v>1</v>
      </c>
      <c r="L206" s="553">
        <f ca="1">INDEX('Data Processing'!CB:CB,$A203)</f>
        <v>1</v>
      </c>
      <c r="M206" s="553">
        <f ca="1">INDEX('Data Processing'!CC:CC,$A203)</f>
        <v>1</v>
      </c>
      <c r="N206" s="553">
        <f ca="1">INDEX('Data Processing'!CD:CD,$A203)</f>
        <v>1</v>
      </c>
      <c r="O206" s="553">
        <f ca="1">INDEX('Data Processing'!CE:CE,$A203)</f>
        <v>1</v>
      </c>
      <c r="P206" s="553">
        <f ca="1">INDEX('Data Processing'!CF:CF,$A203)</f>
        <v>1</v>
      </c>
      <c r="Q206" s="553">
        <f ca="1">INDEX('Data Processing'!CG:CG,$A203)</f>
        <v>1</v>
      </c>
      <c r="R206" s="553">
        <f ca="1">INDEX('Data Processing'!CH:CH,$A203)</f>
        <v>1</v>
      </c>
      <c r="S206" s="553">
        <f ca="1">INDEX('Data Processing'!CI:CI,$A203)</f>
        <v>1</v>
      </c>
      <c r="T206" s="554">
        <f ca="1">INDEX('Data Processing'!CJ:CJ,$A203)</f>
        <v>1</v>
      </c>
      <c r="U206" s="551"/>
      <c r="V206" s="271"/>
      <c r="W206" s="272"/>
      <c r="X206" s="272"/>
      <c r="Y206" s="272"/>
    </row>
    <row r="207" spans="1:25" s="587" customFormat="1">
      <c r="A207" s="440" t="str">
        <f>IF(B207="","",IFERROR(MATCH(B207,'Data Processing'!$C:$C,0),""))</f>
        <v/>
      </c>
      <c r="B207" s="522"/>
      <c r="C207" s="523" t="s">
        <v>998</v>
      </c>
      <c r="D207" s="504"/>
      <c r="E207" s="489">
        <f ca="1">INDEX('Data Processing'!AS:AS,$A203)</f>
        <v>0</v>
      </c>
      <c r="F207" s="489">
        <f ca="1">INDEX('Data Processing'!AT:AT,$A203)</f>
        <v>0</v>
      </c>
      <c r="G207" s="489">
        <f ca="1">INDEX('Data Processing'!AU:AU,$A203)</f>
        <v>0</v>
      </c>
      <c r="H207" s="489">
        <f ca="1">INDEX('Data Processing'!AV:AV,$A203)</f>
        <v>0</v>
      </c>
      <c r="I207" s="489">
        <f ca="1">INDEX('Data Processing'!AW:AW,$A203)</f>
        <v>0</v>
      </c>
      <c r="J207" s="489">
        <f ca="1">INDEX('Data Processing'!AX:AX,$A203)</f>
        <v>0</v>
      </c>
      <c r="K207" s="489">
        <f ca="1">INDEX('Data Processing'!AY:AY,$A203)</f>
        <v>0</v>
      </c>
      <c r="L207" s="489">
        <f ca="1">INDEX('Data Processing'!AZ:AZ,$A203)</f>
        <v>0</v>
      </c>
      <c r="M207" s="489">
        <f ca="1">INDEX('Data Processing'!BA:BA,$A203)</f>
        <v>0</v>
      </c>
      <c r="N207" s="489">
        <f ca="1">INDEX('Data Processing'!BB:BB,$A203)</f>
        <v>0</v>
      </c>
      <c r="O207" s="489">
        <f ca="1">INDEX('Data Processing'!BC:BC,$A203)</f>
        <v>0</v>
      </c>
      <c r="P207" s="489">
        <f ca="1">INDEX('Data Processing'!BD:BD,$A203)</f>
        <v>0</v>
      </c>
      <c r="Q207" s="489">
        <f ca="1">INDEX('Data Processing'!BE:BE,$A203)</f>
        <v>0</v>
      </c>
      <c r="R207" s="489">
        <f ca="1">INDEX('Data Processing'!BF:BF,$A203)</f>
        <v>0</v>
      </c>
      <c r="S207" s="489">
        <f ca="1">INDEX('Data Processing'!BG:BG,$A203)</f>
        <v>0.84183000000001584</v>
      </c>
      <c r="T207" s="490">
        <f ca="1">INDEX('Data Processing'!BH:BH,$A203)</f>
        <v>0</v>
      </c>
      <c r="U207" s="585"/>
      <c r="V207" s="276"/>
      <c r="W207" s="277"/>
      <c r="X207" s="277"/>
      <c r="Y207" s="277"/>
    </row>
    <row r="208" spans="1:25" s="587" customFormat="1">
      <c r="A208" s="440" t="str">
        <f>IF(B208="","",IFERROR(MATCH(B208,'Data Processing'!$C:$C,0),""))</f>
        <v/>
      </c>
      <c r="B208" s="522"/>
      <c r="C208" s="523" t="s">
        <v>1012</v>
      </c>
      <c r="D208" s="488"/>
      <c r="E208" s="489">
        <f t="shared" ref="E208:T208" ca="1" si="79">E204-E207</f>
        <v>460.84183000000002</v>
      </c>
      <c r="F208" s="489">
        <f t="shared" ca="1" si="79"/>
        <v>460.84183000000002</v>
      </c>
      <c r="G208" s="489">
        <f t="shared" ca="1" si="79"/>
        <v>460.84183000000002</v>
      </c>
      <c r="H208" s="489">
        <f t="shared" ca="1" si="79"/>
        <v>460.84183000000002</v>
      </c>
      <c r="I208" s="489">
        <f t="shared" ca="1" si="79"/>
        <v>460.84183000000002</v>
      </c>
      <c r="J208" s="489">
        <f t="shared" ca="1" si="79"/>
        <v>460.84183000000002</v>
      </c>
      <c r="K208" s="489">
        <f t="shared" ca="1" si="79"/>
        <v>460.84183000000002</v>
      </c>
      <c r="L208" s="489">
        <f t="shared" ca="1" si="79"/>
        <v>460.84183000000002</v>
      </c>
      <c r="M208" s="489">
        <f t="shared" ca="1" si="79"/>
        <v>460.84183000000002</v>
      </c>
      <c r="N208" s="489">
        <f t="shared" ca="1" si="79"/>
        <v>460.84183000000002</v>
      </c>
      <c r="O208" s="489">
        <f t="shared" ca="1" si="79"/>
        <v>460.84183000000002</v>
      </c>
      <c r="P208" s="489">
        <f t="shared" ca="1" si="79"/>
        <v>460.84183000000002</v>
      </c>
      <c r="Q208" s="489">
        <f t="shared" ca="1" si="79"/>
        <v>460.84183000000002</v>
      </c>
      <c r="R208" s="489">
        <f t="shared" ca="1" si="79"/>
        <v>460.84183000000002</v>
      </c>
      <c r="S208" s="489">
        <f t="shared" ca="1" si="79"/>
        <v>460</v>
      </c>
      <c r="T208" s="490">
        <f t="shared" ca="1" si="79"/>
        <v>460</v>
      </c>
      <c r="U208" s="585"/>
      <c r="V208" s="276"/>
      <c r="W208" s="277"/>
      <c r="X208" s="277"/>
      <c r="Y208" s="277"/>
    </row>
    <row r="209" spans="1:25" s="279" customFormat="1">
      <c r="A209">
        <f>IF(B209="","",IFERROR(MATCH(B209,'Data Processing'!$C:$C,0),""))</f>
        <v>29</v>
      </c>
      <c r="B209" s="215" t="s">
        <v>1230</v>
      </c>
      <c r="C209" s="223" t="str">
        <f>INDEX('Data Processing'!$G:$G,A209)</f>
        <v>Due to Interbranch - Call Loans (H.O.)</v>
      </c>
      <c r="D209" s="249">
        <f>INDEX('Data Processing'!O:O,$A209)</f>
        <v>19377</v>
      </c>
      <c r="E209" s="128">
        <f ca="1">INDEX('Data Processing'!P:P,$A209)</f>
        <v>19377</v>
      </c>
      <c r="F209" s="128">
        <f ca="1">INDEX('Data Processing'!Q:Q,$A209)</f>
        <v>5137</v>
      </c>
      <c r="G209" s="128">
        <f ca="1">INDEX('Data Processing'!R:R,$A209)</f>
        <v>5137</v>
      </c>
      <c r="H209" s="128">
        <f ca="1">INDEX('Data Processing'!S:S,$A209)</f>
        <v>5137</v>
      </c>
      <c r="I209" s="128">
        <f ca="1">INDEX('Data Processing'!T:T,$A209)</f>
        <v>5137</v>
      </c>
      <c r="J209" s="128">
        <f ca="1">INDEX('Data Processing'!U:U,$A209)</f>
        <v>5137</v>
      </c>
      <c r="K209" s="128">
        <f ca="1">INDEX('Data Processing'!V:V,$A209)</f>
        <v>5137</v>
      </c>
      <c r="L209" s="128">
        <f ca="1">INDEX('Data Processing'!W:W,$A209)</f>
        <v>5137</v>
      </c>
      <c r="M209" s="128">
        <f ca="1">INDEX('Data Processing'!X:X,$A209)</f>
        <v>5137</v>
      </c>
      <c r="N209" s="128">
        <f ca="1">INDEX('Data Processing'!Y:Y,$A209)</f>
        <v>5137</v>
      </c>
      <c r="O209" s="128">
        <f ca="1">INDEX('Data Processing'!Z:Z,$A209)</f>
        <v>5137</v>
      </c>
      <c r="P209" s="128">
        <f ca="1">INDEX('Data Processing'!AA:AA,$A209)</f>
        <v>5137</v>
      </c>
      <c r="Q209" s="128">
        <f ca="1">INDEX('Data Processing'!AB:AB,$A209)</f>
        <v>5137</v>
      </c>
      <c r="R209" s="128">
        <f ca="1">INDEX('Data Processing'!AC:AC,$A209)</f>
        <v>5137</v>
      </c>
      <c r="S209" s="128">
        <f ca="1">INDEX('Data Processing'!AD:AD,$A209)</f>
        <v>5137</v>
      </c>
      <c r="T209" s="129">
        <f ca="1">INDEX('Data Processing'!AE:AE,$A209)</f>
        <v>5137</v>
      </c>
      <c r="U209" s="278"/>
      <c r="V209" s="120"/>
    </row>
    <row r="210" spans="1:25" s="487" customFormat="1" ht="30">
      <c r="A210" s="440" t="str">
        <f>IF(B210="","",IFERROR(MATCH(B210,'Data Processing'!$C:$C,0),""))</f>
        <v/>
      </c>
      <c r="B210" s="583"/>
      <c r="C210" s="565" t="s">
        <v>1005</v>
      </c>
      <c r="D210" s="488"/>
      <c r="E210" s="454">
        <f>D209</f>
        <v>19377</v>
      </c>
      <c r="F210" s="454">
        <f t="shared" ref="F210:T210" ca="1" si="80">E209</f>
        <v>19377</v>
      </c>
      <c r="G210" s="454">
        <f t="shared" ca="1" si="80"/>
        <v>5137</v>
      </c>
      <c r="H210" s="454">
        <f t="shared" ca="1" si="80"/>
        <v>5137</v>
      </c>
      <c r="I210" s="454">
        <f t="shared" ca="1" si="80"/>
        <v>5137</v>
      </c>
      <c r="J210" s="454">
        <f t="shared" ca="1" si="80"/>
        <v>5137</v>
      </c>
      <c r="K210" s="454">
        <f t="shared" ca="1" si="80"/>
        <v>5137</v>
      </c>
      <c r="L210" s="454">
        <f t="shared" ca="1" si="80"/>
        <v>5137</v>
      </c>
      <c r="M210" s="454">
        <f t="shared" ca="1" si="80"/>
        <v>5137</v>
      </c>
      <c r="N210" s="454">
        <f t="shared" ca="1" si="80"/>
        <v>5137</v>
      </c>
      <c r="O210" s="454">
        <f t="shared" ca="1" si="80"/>
        <v>5137</v>
      </c>
      <c r="P210" s="454">
        <f t="shared" ca="1" si="80"/>
        <v>5137</v>
      </c>
      <c r="Q210" s="454">
        <f t="shared" ca="1" si="80"/>
        <v>5137</v>
      </c>
      <c r="R210" s="454">
        <f t="shared" ca="1" si="80"/>
        <v>5137</v>
      </c>
      <c r="S210" s="454">
        <f t="shared" ca="1" si="80"/>
        <v>5137</v>
      </c>
      <c r="T210" s="455">
        <f t="shared" ca="1" si="80"/>
        <v>5137</v>
      </c>
      <c r="U210" s="485"/>
      <c r="V210" s="233" t="s">
        <v>1046</v>
      </c>
      <c r="W210" s="279"/>
      <c r="X210" s="279"/>
      <c r="Y210" s="279"/>
    </row>
    <row r="211" spans="1:25" s="521" customFormat="1">
      <c r="A211" s="440" t="str">
        <f>IF(B211="","",IFERROR(MATCH(B211,'Data Processing'!$C:$C,0),""))</f>
        <v/>
      </c>
      <c r="B211" s="522"/>
      <c r="C211" s="565" t="s">
        <v>51</v>
      </c>
      <c r="D211" s="454"/>
      <c r="E211" s="454">
        <f>INDEX('Data Processing'!CX:CX,$A209)</f>
        <v>0</v>
      </c>
      <c r="F211" s="454">
        <f>INDEX('Data Processing'!CY:CY,$A209)</f>
        <v>14240</v>
      </c>
      <c r="G211" s="454">
        <f>INDEX('Data Processing'!CZ:CZ,$A209)</f>
        <v>0</v>
      </c>
      <c r="H211" s="454">
        <f>INDEX('Data Processing'!DA:DA,$A209)</f>
        <v>0</v>
      </c>
      <c r="I211" s="454">
        <f>INDEX('Data Processing'!DB:DB,$A209)</f>
        <v>0</v>
      </c>
      <c r="J211" s="454">
        <f>INDEX('Data Processing'!DC:DC,$A209)</f>
        <v>0</v>
      </c>
      <c r="K211" s="454">
        <f>INDEX('Data Processing'!DD:DD,$A209)</f>
        <v>0</v>
      </c>
      <c r="L211" s="454">
        <f>INDEX('Data Processing'!DE:DE,$A209)</f>
        <v>0</v>
      </c>
      <c r="M211" s="454">
        <f>INDEX('Data Processing'!DF:DF,$A209)</f>
        <v>0</v>
      </c>
      <c r="N211" s="454">
        <f>INDEX('Data Processing'!DG:DG,$A209)</f>
        <v>0</v>
      </c>
      <c r="O211" s="454">
        <f>INDEX('Data Processing'!DH:DH,$A209)</f>
        <v>0</v>
      </c>
      <c r="P211" s="454">
        <f>INDEX('Data Processing'!DI:DI,$A209)</f>
        <v>0</v>
      </c>
      <c r="Q211" s="454">
        <f>INDEX('Data Processing'!DJ:DJ,$A209)</f>
        <v>0</v>
      </c>
      <c r="R211" s="454">
        <f>INDEX('Data Processing'!DK:DK,$A209)</f>
        <v>0</v>
      </c>
      <c r="S211" s="454">
        <f>INDEX('Data Processing'!DL:DL,$A209)</f>
        <v>0</v>
      </c>
      <c r="T211" s="455">
        <f>INDEX('Data Processing'!DM:DM,$A209)</f>
        <v>0</v>
      </c>
      <c r="U211" s="524"/>
      <c r="V211" s="120"/>
      <c r="W211" s="126"/>
      <c r="X211" s="126"/>
      <c r="Y211" s="126"/>
    </row>
    <row r="212" spans="1:25" s="561" customFormat="1">
      <c r="A212" s="440" t="str">
        <f>IF(B212="","",IFERROR(MATCH(B212,'Data Processing'!$C:$C,0),""))</f>
        <v/>
      </c>
      <c r="B212" s="583"/>
      <c r="C212" s="567" t="s">
        <v>50</v>
      </c>
      <c r="D212" s="488"/>
      <c r="E212" s="553">
        <f ca="1">INDEX('Data Processing'!BU:BU,$A209)</f>
        <v>1</v>
      </c>
      <c r="F212" s="553">
        <f ca="1">INDEX('Data Processing'!BV:BV,$A209)</f>
        <v>1</v>
      </c>
      <c r="G212" s="553">
        <f ca="1">INDEX('Data Processing'!BW:BW,$A209)</f>
        <v>1</v>
      </c>
      <c r="H212" s="553">
        <f ca="1">INDEX('Data Processing'!BX:BX,$A209)</f>
        <v>1</v>
      </c>
      <c r="I212" s="553">
        <f ca="1">INDEX('Data Processing'!BY:BY,$A209)</f>
        <v>1</v>
      </c>
      <c r="J212" s="553">
        <f ca="1">INDEX('Data Processing'!BZ:BZ,$A209)</f>
        <v>1</v>
      </c>
      <c r="K212" s="553">
        <f ca="1">INDEX('Data Processing'!CA:CA,$A209)</f>
        <v>1</v>
      </c>
      <c r="L212" s="553">
        <f ca="1">INDEX('Data Processing'!CB:CB,$A209)</f>
        <v>1</v>
      </c>
      <c r="M212" s="553">
        <f ca="1">INDEX('Data Processing'!CC:CC,$A209)</f>
        <v>1</v>
      </c>
      <c r="N212" s="553">
        <f ca="1">INDEX('Data Processing'!CD:CD,$A209)</f>
        <v>1</v>
      </c>
      <c r="O212" s="553">
        <f ca="1">INDEX('Data Processing'!CE:CE,$A209)</f>
        <v>1</v>
      </c>
      <c r="P212" s="553">
        <f ca="1">INDEX('Data Processing'!CF:CF,$A209)</f>
        <v>1</v>
      </c>
      <c r="Q212" s="553">
        <f ca="1">INDEX('Data Processing'!CG:CG,$A209)</f>
        <v>1</v>
      </c>
      <c r="R212" s="553">
        <f ca="1">INDEX('Data Processing'!CH:CH,$A209)</f>
        <v>1</v>
      </c>
      <c r="S212" s="553">
        <f ca="1">INDEX('Data Processing'!CI:CI,$A209)</f>
        <v>1</v>
      </c>
      <c r="T212" s="554">
        <f ca="1">INDEX('Data Processing'!CJ:CJ,$A209)</f>
        <v>1</v>
      </c>
      <c r="U212" s="551"/>
      <c r="V212" s="271"/>
      <c r="W212" s="272"/>
      <c r="X212" s="272"/>
      <c r="Y212" s="272"/>
    </row>
    <row r="213" spans="1:25" s="587" customFormat="1">
      <c r="A213" s="440" t="str">
        <f>IF(B213="","",IFERROR(MATCH(B213,'Data Processing'!$C:$C,0),""))</f>
        <v/>
      </c>
      <c r="B213" s="522"/>
      <c r="C213" s="523" t="s">
        <v>998</v>
      </c>
      <c r="D213" s="504"/>
      <c r="E213" s="489">
        <f ca="1">INDEX('Data Processing'!AS:AS,$A209)</f>
        <v>0</v>
      </c>
      <c r="F213" s="489">
        <f ca="1">INDEX('Data Processing'!AT:AT,$A209)</f>
        <v>14240</v>
      </c>
      <c r="G213" s="489">
        <f ca="1">INDEX('Data Processing'!AU:AU,$A209)</f>
        <v>0</v>
      </c>
      <c r="H213" s="489">
        <f ca="1">INDEX('Data Processing'!AV:AV,$A209)</f>
        <v>0</v>
      </c>
      <c r="I213" s="489">
        <f ca="1">INDEX('Data Processing'!AW:AW,$A209)</f>
        <v>0</v>
      </c>
      <c r="J213" s="489">
        <f ca="1">INDEX('Data Processing'!AX:AX,$A209)</f>
        <v>0</v>
      </c>
      <c r="K213" s="489">
        <f ca="1">INDEX('Data Processing'!AY:AY,$A209)</f>
        <v>0</v>
      </c>
      <c r="L213" s="489">
        <f ca="1">INDEX('Data Processing'!AZ:AZ,$A209)</f>
        <v>0</v>
      </c>
      <c r="M213" s="489">
        <f ca="1">INDEX('Data Processing'!BA:BA,$A209)</f>
        <v>0</v>
      </c>
      <c r="N213" s="489">
        <f ca="1">INDEX('Data Processing'!BB:BB,$A209)</f>
        <v>0</v>
      </c>
      <c r="O213" s="489">
        <f ca="1">INDEX('Data Processing'!BC:BC,$A209)</f>
        <v>0</v>
      </c>
      <c r="P213" s="489">
        <f ca="1">INDEX('Data Processing'!BD:BD,$A209)</f>
        <v>0</v>
      </c>
      <c r="Q213" s="489">
        <f ca="1">INDEX('Data Processing'!BE:BE,$A209)</f>
        <v>0</v>
      </c>
      <c r="R213" s="489">
        <f ca="1">INDEX('Data Processing'!BF:BF,$A209)</f>
        <v>0</v>
      </c>
      <c r="S213" s="489">
        <f ca="1">INDEX('Data Processing'!BG:BG,$A209)</f>
        <v>0</v>
      </c>
      <c r="T213" s="490">
        <f ca="1">INDEX('Data Processing'!BH:BH,$A209)</f>
        <v>0</v>
      </c>
      <c r="U213" s="585"/>
      <c r="V213" s="276"/>
      <c r="W213" s="277"/>
      <c r="X213" s="277"/>
      <c r="Y213" s="277"/>
    </row>
    <row r="214" spans="1:25" s="587" customFormat="1">
      <c r="A214" s="440" t="str">
        <f>IF(B214="","",IFERROR(MATCH(B214,'Data Processing'!$C:$C,0),""))</f>
        <v/>
      </c>
      <c r="B214" s="522"/>
      <c r="C214" s="523" t="s">
        <v>1012</v>
      </c>
      <c r="D214" s="488"/>
      <c r="E214" s="489">
        <f t="shared" ref="E214:T214" ca="1" si="81">E210-E213</f>
        <v>19377</v>
      </c>
      <c r="F214" s="489">
        <f t="shared" ca="1" si="81"/>
        <v>5137</v>
      </c>
      <c r="G214" s="489">
        <f t="shared" ca="1" si="81"/>
        <v>5137</v>
      </c>
      <c r="H214" s="489">
        <f t="shared" ca="1" si="81"/>
        <v>5137</v>
      </c>
      <c r="I214" s="489">
        <f t="shared" ca="1" si="81"/>
        <v>5137</v>
      </c>
      <c r="J214" s="489">
        <f t="shared" ca="1" si="81"/>
        <v>5137</v>
      </c>
      <c r="K214" s="489">
        <f t="shared" ca="1" si="81"/>
        <v>5137</v>
      </c>
      <c r="L214" s="489">
        <f t="shared" ca="1" si="81"/>
        <v>5137</v>
      </c>
      <c r="M214" s="489">
        <f t="shared" ca="1" si="81"/>
        <v>5137</v>
      </c>
      <c r="N214" s="489">
        <f t="shared" ca="1" si="81"/>
        <v>5137</v>
      </c>
      <c r="O214" s="489">
        <f t="shared" ca="1" si="81"/>
        <v>5137</v>
      </c>
      <c r="P214" s="489">
        <f t="shared" ca="1" si="81"/>
        <v>5137</v>
      </c>
      <c r="Q214" s="489">
        <f t="shared" ca="1" si="81"/>
        <v>5137</v>
      </c>
      <c r="R214" s="489">
        <f t="shared" ca="1" si="81"/>
        <v>5137</v>
      </c>
      <c r="S214" s="489">
        <f t="shared" ca="1" si="81"/>
        <v>5137</v>
      </c>
      <c r="T214" s="490">
        <f t="shared" ca="1" si="81"/>
        <v>5137</v>
      </c>
      <c r="U214" s="585"/>
      <c r="V214" s="276"/>
      <c r="W214" s="277"/>
      <c r="X214" s="277"/>
      <c r="Y214" s="277"/>
    </row>
    <row r="215" spans="1:25" s="279" customFormat="1">
      <c r="A215">
        <f>IF(B215="","",IFERROR(MATCH(B215,'Data Processing'!$C:$C,0),""))</f>
        <v>30</v>
      </c>
      <c r="B215" s="215" t="s">
        <v>1287</v>
      </c>
      <c r="C215" s="223" t="str">
        <f>INDEX('Data Processing'!$G:$G,A215)</f>
        <v>Due to Interbranch - Trade Finance</v>
      </c>
      <c r="D215" s="249">
        <f>INDEX('Data Processing'!O:O,$A215)</f>
        <v>0</v>
      </c>
      <c r="E215" s="128">
        <f ca="1">INDEX('Data Processing'!P:P,$A215)</f>
        <v>0</v>
      </c>
      <c r="F215" s="128">
        <f ca="1">INDEX('Data Processing'!Q:Q,$A215)</f>
        <v>0</v>
      </c>
      <c r="G215" s="128">
        <f ca="1">INDEX('Data Processing'!R:R,$A215)</f>
        <v>0</v>
      </c>
      <c r="H215" s="128">
        <f ca="1">INDEX('Data Processing'!S:S,$A215)</f>
        <v>0</v>
      </c>
      <c r="I215" s="128">
        <f ca="1">INDEX('Data Processing'!T:T,$A215)</f>
        <v>0</v>
      </c>
      <c r="J215" s="128">
        <f ca="1">INDEX('Data Processing'!U:U,$A215)</f>
        <v>0</v>
      </c>
      <c r="K215" s="128">
        <f ca="1">INDEX('Data Processing'!V:V,$A215)</f>
        <v>0</v>
      </c>
      <c r="L215" s="128">
        <f ca="1">INDEX('Data Processing'!W:W,$A215)</f>
        <v>0</v>
      </c>
      <c r="M215" s="128">
        <f ca="1">INDEX('Data Processing'!X:X,$A215)</f>
        <v>0</v>
      </c>
      <c r="N215" s="128">
        <f ca="1">INDEX('Data Processing'!Y:Y,$A215)</f>
        <v>0</v>
      </c>
      <c r="O215" s="128">
        <f ca="1">INDEX('Data Processing'!Z:Z,$A215)</f>
        <v>0</v>
      </c>
      <c r="P215" s="128">
        <f ca="1">INDEX('Data Processing'!AA:AA,$A215)</f>
        <v>0</v>
      </c>
      <c r="Q215" s="128">
        <f ca="1">INDEX('Data Processing'!AB:AB,$A215)</f>
        <v>0</v>
      </c>
      <c r="R215" s="128">
        <f ca="1">INDEX('Data Processing'!AC:AC,$A215)</f>
        <v>0</v>
      </c>
      <c r="S215" s="128">
        <f ca="1">INDEX('Data Processing'!AD:AD,$A215)</f>
        <v>0</v>
      </c>
      <c r="T215" s="129">
        <f ca="1">INDEX('Data Processing'!AE:AE,$A215)</f>
        <v>0</v>
      </c>
      <c r="U215" s="278"/>
      <c r="V215" s="120"/>
    </row>
    <row r="216" spans="1:25" s="487" customFormat="1" ht="30">
      <c r="A216" s="440" t="str">
        <f>IF(B216="","",IFERROR(MATCH(B216,'Data Processing'!$C:$C,0),""))</f>
        <v/>
      </c>
      <c r="B216" s="583"/>
      <c r="C216" s="565" t="s">
        <v>1005</v>
      </c>
      <c r="D216" s="488"/>
      <c r="E216" s="454">
        <f>D215</f>
        <v>0</v>
      </c>
      <c r="F216" s="454">
        <f t="shared" ref="F216" ca="1" si="82">E215</f>
        <v>0</v>
      </c>
      <c r="G216" s="454">
        <f t="shared" ref="G216" ca="1" si="83">F215</f>
        <v>0</v>
      </c>
      <c r="H216" s="454">
        <f t="shared" ref="H216" ca="1" si="84">G215</f>
        <v>0</v>
      </c>
      <c r="I216" s="454">
        <f t="shared" ref="I216" ca="1" si="85">H215</f>
        <v>0</v>
      </c>
      <c r="J216" s="454">
        <f t="shared" ref="J216" ca="1" si="86">I215</f>
        <v>0</v>
      </c>
      <c r="K216" s="454">
        <f t="shared" ref="K216" ca="1" si="87">J215</f>
        <v>0</v>
      </c>
      <c r="L216" s="454">
        <f t="shared" ref="L216" ca="1" si="88">K215</f>
        <v>0</v>
      </c>
      <c r="M216" s="454">
        <f t="shared" ref="M216" ca="1" si="89">L215</f>
        <v>0</v>
      </c>
      <c r="N216" s="454">
        <f t="shared" ref="N216" ca="1" si="90">M215</f>
        <v>0</v>
      </c>
      <c r="O216" s="454">
        <f t="shared" ref="O216" ca="1" si="91">N215</f>
        <v>0</v>
      </c>
      <c r="P216" s="454">
        <f t="shared" ref="P216" ca="1" si="92">O215</f>
        <v>0</v>
      </c>
      <c r="Q216" s="454">
        <f t="shared" ref="Q216" ca="1" si="93">P215</f>
        <v>0</v>
      </c>
      <c r="R216" s="454">
        <f t="shared" ref="R216" ca="1" si="94">Q215</f>
        <v>0</v>
      </c>
      <c r="S216" s="454">
        <f t="shared" ref="S216" ca="1" si="95">R215</f>
        <v>0</v>
      </c>
      <c r="T216" s="455">
        <f t="shared" ref="T216" ca="1" si="96">S215</f>
        <v>0</v>
      </c>
      <c r="U216" s="485"/>
      <c r="V216" s="233" t="s">
        <v>1046</v>
      </c>
      <c r="W216" s="279"/>
      <c r="X216" s="279"/>
      <c r="Y216" s="279"/>
    </row>
    <row r="217" spans="1:25" s="521" customFormat="1">
      <c r="A217" s="440" t="str">
        <f>IF(B217="","",IFERROR(MATCH(B217,'Data Processing'!$C:$C,0),""))</f>
        <v/>
      </c>
      <c r="B217" s="522"/>
      <c r="C217" s="565" t="s">
        <v>51</v>
      </c>
      <c r="D217" s="454"/>
      <c r="E217" s="454">
        <f>INDEX('Data Processing'!CX:CX,$A215)</f>
        <v>0</v>
      </c>
      <c r="F217" s="454">
        <f>INDEX('Data Processing'!CY:CY,$A215)</f>
        <v>0</v>
      </c>
      <c r="G217" s="454">
        <f>INDEX('Data Processing'!CZ:CZ,$A215)</f>
        <v>0</v>
      </c>
      <c r="H217" s="454">
        <f>INDEX('Data Processing'!DA:DA,$A215)</f>
        <v>0</v>
      </c>
      <c r="I217" s="454">
        <f>INDEX('Data Processing'!DB:DB,$A215)</f>
        <v>0</v>
      </c>
      <c r="J217" s="454">
        <f>INDEX('Data Processing'!DC:DC,$A215)</f>
        <v>0</v>
      </c>
      <c r="K217" s="454">
        <f>INDEX('Data Processing'!DD:DD,$A215)</f>
        <v>0</v>
      </c>
      <c r="L217" s="454">
        <f>INDEX('Data Processing'!DE:DE,$A215)</f>
        <v>0</v>
      </c>
      <c r="M217" s="454">
        <f>INDEX('Data Processing'!DF:DF,$A215)</f>
        <v>0</v>
      </c>
      <c r="N217" s="454">
        <f>INDEX('Data Processing'!DG:DG,$A215)</f>
        <v>0</v>
      </c>
      <c r="O217" s="454">
        <f>INDEX('Data Processing'!DH:DH,$A215)</f>
        <v>0</v>
      </c>
      <c r="P217" s="454">
        <f>INDEX('Data Processing'!DI:DI,$A215)</f>
        <v>0</v>
      </c>
      <c r="Q217" s="454">
        <f>INDEX('Data Processing'!DJ:DJ,$A215)</f>
        <v>0</v>
      </c>
      <c r="R217" s="454">
        <f>INDEX('Data Processing'!DK:DK,$A215)</f>
        <v>0</v>
      </c>
      <c r="S217" s="454">
        <f>INDEX('Data Processing'!DL:DL,$A215)</f>
        <v>0</v>
      </c>
      <c r="T217" s="455">
        <f>INDEX('Data Processing'!DM:DM,$A215)</f>
        <v>0</v>
      </c>
      <c r="U217" s="524"/>
      <c r="V217" s="120"/>
      <c r="W217" s="126"/>
      <c r="X217" s="126"/>
      <c r="Y217" s="126"/>
    </row>
    <row r="218" spans="1:25" s="561" customFormat="1">
      <c r="A218" s="440" t="str">
        <f>IF(B218="","",IFERROR(MATCH(B218,'Data Processing'!$C:$C,0),""))</f>
        <v/>
      </c>
      <c r="B218" s="583"/>
      <c r="C218" s="567" t="s">
        <v>50</v>
      </c>
      <c r="D218" s="488"/>
      <c r="E218" s="553">
        <f ca="1">INDEX('Data Processing'!BU:BU,$A215)</f>
        <v>1</v>
      </c>
      <c r="F218" s="553">
        <f ca="1">INDEX('Data Processing'!BV:BV,$A215)</f>
        <v>1</v>
      </c>
      <c r="G218" s="553">
        <f ca="1">INDEX('Data Processing'!BW:BW,$A215)</f>
        <v>1</v>
      </c>
      <c r="H218" s="553">
        <f ca="1">INDEX('Data Processing'!BX:BX,$A215)</f>
        <v>1</v>
      </c>
      <c r="I218" s="553">
        <f ca="1">INDEX('Data Processing'!BY:BY,$A215)</f>
        <v>1</v>
      </c>
      <c r="J218" s="553">
        <f ca="1">INDEX('Data Processing'!BZ:BZ,$A215)</f>
        <v>1</v>
      </c>
      <c r="K218" s="553">
        <f ca="1">INDEX('Data Processing'!CA:CA,$A215)</f>
        <v>1</v>
      </c>
      <c r="L218" s="553">
        <f ca="1">INDEX('Data Processing'!CB:CB,$A215)</f>
        <v>1</v>
      </c>
      <c r="M218" s="553">
        <f ca="1">INDEX('Data Processing'!CC:CC,$A215)</f>
        <v>1</v>
      </c>
      <c r="N218" s="553">
        <f ca="1">INDEX('Data Processing'!CD:CD,$A215)</f>
        <v>1</v>
      </c>
      <c r="O218" s="553">
        <f ca="1">INDEX('Data Processing'!CE:CE,$A215)</f>
        <v>1</v>
      </c>
      <c r="P218" s="553">
        <f ca="1">INDEX('Data Processing'!CF:CF,$A215)</f>
        <v>1</v>
      </c>
      <c r="Q218" s="553">
        <f ca="1">INDEX('Data Processing'!CG:CG,$A215)</f>
        <v>1</v>
      </c>
      <c r="R218" s="553">
        <f ca="1">INDEX('Data Processing'!CH:CH,$A215)</f>
        <v>1</v>
      </c>
      <c r="S218" s="553">
        <f ca="1">INDEX('Data Processing'!CI:CI,$A215)</f>
        <v>1</v>
      </c>
      <c r="T218" s="554">
        <f ca="1">INDEX('Data Processing'!CJ:CJ,$A215)</f>
        <v>1</v>
      </c>
      <c r="U218" s="551"/>
      <c r="V218" s="271"/>
      <c r="W218" s="272"/>
      <c r="X218" s="272"/>
      <c r="Y218" s="272"/>
    </row>
    <row r="219" spans="1:25" s="587" customFormat="1">
      <c r="A219" s="440" t="str">
        <f>IF(B219="","",IFERROR(MATCH(B219,'Data Processing'!$C:$C,0),""))</f>
        <v/>
      </c>
      <c r="B219" s="522"/>
      <c r="C219" s="523" t="s">
        <v>998</v>
      </c>
      <c r="D219" s="504"/>
      <c r="E219" s="489">
        <f ca="1">INDEX('Data Processing'!AS:AS,$A215)</f>
        <v>0</v>
      </c>
      <c r="F219" s="489">
        <f ca="1">INDEX('Data Processing'!AT:AT,$A215)</f>
        <v>0</v>
      </c>
      <c r="G219" s="489">
        <f ca="1">INDEX('Data Processing'!AU:AU,$A215)</f>
        <v>0</v>
      </c>
      <c r="H219" s="489">
        <f ca="1">INDEX('Data Processing'!AV:AV,$A215)</f>
        <v>0</v>
      </c>
      <c r="I219" s="489">
        <f ca="1">INDEX('Data Processing'!AW:AW,$A215)</f>
        <v>0</v>
      </c>
      <c r="J219" s="489">
        <f ca="1">INDEX('Data Processing'!AX:AX,$A215)</f>
        <v>0</v>
      </c>
      <c r="K219" s="489">
        <f ca="1">INDEX('Data Processing'!AY:AY,$A215)</f>
        <v>0</v>
      </c>
      <c r="L219" s="489">
        <f ca="1">INDEX('Data Processing'!AZ:AZ,$A215)</f>
        <v>0</v>
      </c>
      <c r="M219" s="489">
        <f ca="1">INDEX('Data Processing'!BA:BA,$A215)</f>
        <v>0</v>
      </c>
      <c r="N219" s="489">
        <f ca="1">INDEX('Data Processing'!BB:BB,$A215)</f>
        <v>0</v>
      </c>
      <c r="O219" s="489">
        <f ca="1">INDEX('Data Processing'!BC:BC,$A215)</f>
        <v>0</v>
      </c>
      <c r="P219" s="489">
        <f ca="1">INDEX('Data Processing'!BD:BD,$A215)</f>
        <v>0</v>
      </c>
      <c r="Q219" s="489">
        <f ca="1">INDEX('Data Processing'!BE:BE,$A215)</f>
        <v>0</v>
      </c>
      <c r="R219" s="489">
        <f ca="1">INDEX('Data Processing'!BF:BF,$A215)</f>
        <v>0</v>
      </c>
      <c r="S219" s="489">
        <f ca="1">INDEX('Data Processing'!BG:BG,$A215)</f>
        <v>0</v>
      </c>
      <c r="T219" s="490">
        <f ca="1">INDEX('Data Processing'!BH:BH,$A215)</f>
        <v>0</v>
      </c>
      <c r="U219" s="585"/>
      <c r="V219" s="276"/>
      <c r="W219" s="277"/>
      <c r="X219" s="277"/>
      <c r="Y219" s="277"/>
    </row>
    <row r="220" spans="1:25" s="587" customFormat="1">
      <c r="A220" s="440" t="str">
        <f>IF(B220="","",IFERROR(MATCH(B220,'Data Processing'!$C:$C,0),""))</f>
        <v/>
      </c>
      <c r="B220" s="522"/>
      <c r="C220" s="523" t="s">
        <v>1012</v>
      </c>
      <c r="D220" s="488"/>
      <c r="E220" s="489">
        <f t="shared" ref="E220:T220" ca="1" si="97">E216-E219</f>
        <v>0</v>
      </c>
      <c r="F220" s="489">
        <f t="shared" ca="1" si="97"/>
        <v>0</v>
      </c>
      <c r="G220" s="489">
        <f t="shared" ca="1" si="97"/>
        <v>0</v>
      </c>
      <c r="H220" s="489">
        <f t="shared" ca="1" si="97"/>
        <v>0</v>
      </c>
      <c r="I220" s="489">
        <f t="shared" ca="1" si="97"/>
        <v>0</v>
      </c>
      <c r="J220" s="489">
        <f t="shared" ca="1" si="97"/>
        <v>0</v>
      </c>
      <c r="K220" s="489">
        <f t="shared" ca="1" si="97"/>
        <v>0</v>
      </c>
      <c r="L220" s="489">
        <f t="shared" ca="1" si="97"/>
        <v>0</v>
      </c>
      <c r="M220" s="489">
        <f t="shared" ca="1" si="97"/>
        <v>0</v>
      </c>
      <c r="N220" s="489">
        <f t="shared" ca="1" si="97"/>
        <v>0</v>
      </c>
      <c r="O220" s="489">
        <f t="shared" ca="1" si="97"/>
        <v>0</v>
      </c>
      <c r="P220" s="489">
        <f t="shared" ca="1" si="97"/>
        <v>0</v>
      </c>
      <c r="Q220" s="489">
        <f t="shared" ca="1" si="97"/>
        <v>0</v>
      </c>
      <c r="R220" s="489">
        <f t="shared" ca="1" si="97"/>
        <v>0</v>
      </c>
      <c r="S220" s="489">
        <f t="shared" ca="1" si="97"/>
        <v>0</v>
      </c>
      <c r="T220" s="490">
        <f t="shared" ca="1" si="97"/>
        <v>0</v>
      </c>
      <c r="U220" s="585"/>
      <c r="V220" s="276"/>
      <c r="W220" s="277"/>
      <c r="X220" s="277"/>
      <c r="Y220" s="277"/>
    </row>
    <row r="221" spans="1:25" s="279" customFormat="1">
      <c r="A221">
        <f>IF(B221="","",IFERROR(MATCH(B221,'Data Processing'!$C:$C,0),""))</f>
        <v>31</v>
      </c>
      <c r="B221" s="215" t="s">
        <v>1161</v>
      </c>
      <c r="C221" s="223" t="str">
        <f>INDEX('Data Processing'!$G:$G,A221)</f>
        <v>Due to Affiliate - Demand - US</v>
      </c>
      <c r="D221" s="249">
        <f>INDEX('Data Processing'!O:O,$A221)</f>
        <v>8.3589006299999991</v>
      </c>
      <c r="E221" s="128">
        <f ca="1">INDEX('Data Processing'!P:P,$A221)</f>
        <v>8.0245446047999991</v>
      </c>
      <c r="F221" s="128">
        <f ca="1">INDEX('Data Processing'!Q:Q,$A221)</f>
        <v>7.9688186005999988</v>
      </c>
      <c r="G221" s="128">
        <f ca="1">INDEX('Data Processing'!R:R,$A221)</f>
        <v>7.9130925963999994</v>
      </c>
      <c r="H221" s="128">
        <f ca="1">INDEX('Data Processing'!S:S,$A221)</f>
        <v>7.8573665921999991</v>
      </c>
      <c r="I221" s="128">
        <f ca="1">INDEX('Data Processing'!T:T,$A221)</f>
        <v>7.8016405879999988</v>
      </c>
      <c r="J221" s="128">
        <f ca="1">INDEX('Data Processing'!U:U,$A221)</f>
        <v>7.7459145837999994</v>
      </c>
      <c r="K221" s="128">
        <f ca="1">INDEX('Data Processing'!V:V,$A221)</f>
        <v>7.6901885795999991</v>
      </c>
      <c r="L221" s="128">
        <f ca="1">INDEX('Data Processing'!W:W,$A221)</f>
        <v>7.6424234331428567</v>
      </c>
      <c r="M221" s="128">
        <f ca="1">INDEX('Data Processing'!X:X,$A221)</f>
        <v>7.5946582866857133</v>
      </c>
      <c r="N221" s="128">
        <f ca="1">INDEX('Data Processing'!Y:Y,$A221)</f>
        <v>7.5468931402285708</v>
      </c>
      <c r="O221" s="128">
        <f ca="1">INDEX('Data Processing'!Z:Z,$A221)</f>
        <v>7.4991279937714284</v>
      </c>
      <c r="P221" s="128">
        <f ca="1">INDEX('Data Processing'!AA:AA,$A221)</f>
        <v>7.451362847314285</v>
      </c>
      <c r="Q221" s="128">
        <f ca="1">INDEX('Data Processing'!AB:AB,$A221)</f>
        <v>7.4035977008571425</v>
      </c>
      <c r="R221" s="128">
        <f ca="1">INDEX('Data Processing'!AC:AC,$A221)</f>
        <v>7.3558325543999992</v>
      </c>
      <c r="S221" s="128">
        <f ca="1">INDEX('Data Processing'!AD:AD,$A221)</f>
        <v>7.2304490449499994</v>
      </c>
      <c r="T221" s="129">
        <f ca="1">INDEX('Data Processing'!AE:AE,$A221)</f>
        <v>7.1050655354999996</v>
      </c>
      <c r="U221" s="278"/>
      <c r="V221" s="120"/>
    </row>
    <row r="222" spans="1:25" s="487" customFormat="1" ht="15" customHeight="1">
      <c r="A222" s="440" t="str">
        <f>IF(B222="","",IFERROR(MATCH(B222,'Data Processing'!$C:$C,0),""))</f>
        <v/>
      </c>
      <c r="B222" s="583"/>
      <c r="C222" s="565" t="s">
        <v>1005</v>
      </c>
      <c r="D222" s="488"/>
      <c r="E222" s="454">
        <f>D221</f>
        <v>8.3589006299999991</v>
      </c>
      <c r="F222" s="454">
        <f t="shared" ref="F222" ca="1" si="98">E221</f>
        <v>8.0245446047999991</v>
      </c>
      <c r="G222" s="454">
        <f t="shared" ref="G222" ca="1" si="99">F221</f>
        <v>7.9688186005999988</v>
      </c>
      <c r="H222" s="454">
        <f t="shared" ref="H222" ca="1" si="100">G221</f>
        <v>7.9130925963999994</v>
      </c>
      <c r="I222" s="454">
        <f t="shared" ref="I222" ca="1" si="101">H221</f>
        <v>7.8573665921999991</v>
      </c>
      <c r="J222" s="454">
        <f t="shared" ref="J222" ca="1" si="102">I221</f>
        <v>7.8016405879999988</v>
      </c>
      <c r="K222" s="454">
        <f t="shared" ref="K222" ca="1" si="103">J221</f>
        <v>7.7459145837999994</v>
      </c>
      <c r="L222" s="454">
        <f t="shared" ref="L222" ca="1" si="104">K221</f>
        <v>7.6901885795999991</v>
      </c>
      <c r="M222" s="454">
        <f t="shared" ref="M222" ca="1" si="105">L221</f>
        <v>7.6424234331428567</v>
      </c>
      <c r="N222" s="454">
        <f t="shared" ref="N222" ca="1" si="106">M221</f>
        <v>7.5946582866857133</v>
      </c>
      <c r="O222" s="454">
        <f t="shared" ref="O222" ca="1" si="107">N221</f>
        <v>7.5468931402285708</v>
      </c>
      <c r="P222" s="454">
        <f t="shared" ref="P222" ca="1" si="108">O221</f>
        <v>7.4991279937714284</v>
      </c>
      <c r="Q222" s="454">
        <f t="shared" ref="Q222" ca="1" si="109">P221</f>
        <v>7.451362847314285</v>
      </c>
      <c r="R222" s="454">
        <f t="shared" ref="R222" ca="1" si="110">Q221</f>
        <v>7.4035977008571425</v>
      </c>
      <c r="S222" s="454">
        <f t="shared" ref="S222" ca="1" si="111">R221</f>
        <v>7.3558325543999992</v>
      </c>
      <c r="T222" s="455">
        <f t="shared" ref="T222" ca="1" si="112">S221</f>
        <v>7.2304490449499994</v>
      </c>
      <c r="U222" s="485"/>
      <c r="V222" s="233" t="s">
        <v>1046</v>
      </c>
      <c r="W222" s="279"/>
      <c r="X222" s="279"/>
      <c r="Y222" s="279"/>
    </row>
    <row r="223" spans="1:25" s="521" customFormat="1">
      <c r="A223" s="440" t="str">
        <f>IF(B223="","",IFERROR(MATCH(B223,'Data Processing'!$C:$C,0),""))</f>
        <v/>
      </c>
      <c r="B223" s="522"/>
      <c r="C223" s="565" t="s">
        <v>51</v>
      </c>
      <c r="D223" s="454"/>
      <c r="E223" s="454">
        <f>INDEX('Data Processing'!CX:CX,$A221)</f>
        <v>8.3589006299999991</v>
      </c>
      <c r="F223" s="454">
        <f>INDEX('Data Processing'!CY:CY,$A221)</f>
        <v>0</v>
      </c>
      <c r="G223" s="454">
        <f>INDEX('Data Processing'!CZ:CZ,$A221)</f>
        <v>0</v>
      </c>
      <c r="H223" s="454">
        <f>INDEX('Data Processing'!DA:DA,$A221)</f>
        <v>0</v>
      </c>
      <c r="I223" s="454">
        <f>INDEX('Data Processing'!DB:DB,$A221)</f>
        <v>0</v>
      </c>
      <c r="J223" s="454">
        <f>INDEX('Data Processing'!DC:DC,$A221)</f>
        <v>0</v>
      </c>
      <c r="K223" s="454">
        <f>INDEX('Data Processing'!DD:DD,$A221)</f>
        <v>0</v>
      </c>
      <c r="L223" s="454">
        <f>INDEX('Data Processing'!DE:DE,$A221)</f>
        <v>0</v>
      </c>
      <c r="M223" s="454">
        <f>INDEX('Data Processing'!DF:DF,$A221)</f>
        <v>0</v>
      </c>
      <c r="N223" s="454">
        <f>INDEX('Data Processing'!DG:DG,$A221)</f>
        <v>0</v>
      </c>
      <c r="O223" s="454">
        <f>INDEX('Data Processing'!DH:DH,$A221)</f>
        <v>0</v>
      </c>
      <c r="P223" s="454">
        <f>INDEX('Data Processing'!DI:DI,$A221)</f>
        <v>0</v>
      </c>
      <c r="Q223" s="454">
        <f>INDEX('Data Processing'!DJ:DJ,$A221)</f>
        <v>0</v>
      </c>
      <c r="R223" s="454">
        <f>INDEX('Data Processing'!DK:DK,$A221)</f>
        <v>0</v>
      </c>
      <c r="S223" s="454">
        <f>INDEX('Data Processing'!DL:DL,$A221)</f>
        <v>0</v>
      </c>
      <c r="T223" s="455">
        <f>INDEX('Data Processing'!DM:DM,$A221)</f>
        <v>0</v>
      </c>
      <c r="U223" s="524"/>
      <c r="V223" s="120"/>
      <c r="W223" s="126"/>
      <c r="X223" s="126"/>
      <c r="Y223" s="126"/>
    </row>
    <row r="224" spans="1:25" s="561" customFormat="1">
      <c r="A224" s="440" t="str">
        <f>IF(B224="","",IFERROR(MATCH(B224,'Data Processing'!$C:$C,0),""))</f>
        <v/>
      </c>
      <c r="B224" s="583"/>
      <c r="C224" s="567" t="s">
        <v>50</v>
      </c>
      <c r="D224" s="488"/>
      <c r="E224" s="553">
        <f ca="1">INDEX('Data Processing'!BU:BU,$A221)</f>
        <v>3.9999999999999994E-2</v>
      </c>
      <c r="F224" s="553">
        <f ca="1">INDEX('Data Processing'!BV:BV,$A221)</f>
        <v>6.6666666666666662E-3</v>
      </c>
      <c r="G224" s="553">
        <f ca="1">INDEX('Data Processing'!BW:BW,$A221)</f>
        <v>6.6666666666666662E-3</v>
      </c>
      <c r="H224" s="553">
        <f ca="1">INDEX('Data Processing'!BX:BX,$A221)</f>
        <v>6.6666666666666662E-3</v>
      </c>
      <c r="I224" s="553">
        <f ca="1">INDEX('Data Processing'!BY:BY,$A221)</f>
        <v>6.6666666666666662E-3</v>
      </c>
      <c r="J224" s="553">
        <f ca="1">INDEX('Data Processing'!BZ:BZ,$A221)</f>
        <v>6.6666666666666662E-3</v>
      </c>
      <c r="K224" s="553">
        <f ca="1">INDEX('Data Processing'!CA:CA,$A221)</f>
        <v>6.6666666666666662E-3</v>
      </c>
      <c r="L224" s="553">
        <f ca="1">INDEX('Data Processing'!CB:CB,$A221)</f>
        <v>5.7142857142857143E-3</v>
      </c>
      <c r="M224" s="553">
        <f ca="1">INDEX('Data Processing'!CC:CC,$A221)</f>
        <v>5.7142857142857143E-3</v>
      </c>
      <c r="N224" s="553">
        <f ca="1">INDEX('Data Processing'!CD:CD,$A221)</f>
        <v>5.7142857142857143E-3</v>
      </c>
      <c r="O224" s="553">
        <f ca="1">INDEX('Data Processing'!CE:CE,$A221)</f>
        <v>5.7142857142857143E-3</v>
      </c>
      <c r="P224" s="553">
        <f ca="1">INDEX('Data Processing'!CF:CF,$A221)</f>
        <v>5.7142857142857143E-3</v>
      </c>
      <c r="Q224" s="553">
        <f ca="1">INDEX('Data Processing'!CG:CG,$A221)</f>
        <v>5.7142857142857143E-3</v>
      </c>
      <c r="R224" s="553">
        <f ca="1">INDEX('Data Processing'!CH:CH,$A221)</f>
        <v>5.7142857142857143E-3</v>
      </c>
      <c r="S224" s="553">
        <f ca="1">INDEX('Data Processing'!CI:CI,$A221)</f>
        <v>1.4999999999999999E-2</v>
      </c>
      <c r="T224" s="554">
        <f ca="1">INDEX('Data Processing'!CJ:CJ,$A221)</f>
        <v>1.4999999999999999E-2</v>
      </c>
      <c r="U224" s="551"/>
      <c r="V224" s="271"/>
      <c r="W224" s="272"/>
      <c r="X224" s="272"/>
      <c r="Y224" s="272"/>
    </row>
    <row r="225" spans="1:25" s="587" customFormat="1">
      <c r="A225" s="440" t="str">
        <f>IF(B225="","",IFERROR(MATCH(B225,'Data Processing'!$C:$C,0),""))</f>
        <v/>
      </c>
      <c r="B225" s="522"/>
      <c r="C225" s="523" t="s">
        <v>998</v>
      </c>
      <c r="D225" s="504"/>
      <c r="E225" s="489">
        <f ca="1">INDEX('Data Processing'!AS:AS,$A221)</f>
        <v>0.33435602519999991</v>
      </c>
      <c r="F225" s="489">
        <f ca="1">INDEX('Data Processing'!AT:AT,$A221)</f>
        <v>5.5726004199999991E-2</v>
      </c>
      <c r="G225" s="489">
        <f ca="1">INDEX('Data Processing'!AU:AU,$A221)</f>
        <v>5.5726004199999991E-2</v>
      </c>
      <c r="H225" s="489">
        <f ca="1">INDEX('Data Processing'!AV:AV,$A221)</f>
        <v>5.5726004199999991E-2</v>
      </c>
      <c r="I225" s="489">
        <f ca="1">INDEX('Data Processing'!AW:AW,$A221)</f>
        <v>5.5726004199999991E-2</v>
      </c>
      <c r="J225" s="489">
        <f ca="1">INDEX('Data Processing'!AX:AX,$A221)</f>
        <v>5.5726004199999991E-2</v>
      </c>
      <c r="K225" s="489">
        <f ca="1">INDEX('Data Processing'!AY:AY,$A221)</f>
        <v>5.5726004199999991E-2</v>
      </c>
      <c r="L225" s="489">
        <f ca="1">INDEX('Data Processing'!AZ:AZ,$A221)</f>
        <v>4.7765146457142853E-2</v>
      </c>
      <c r="M225" s="489">
        <f ca="1">INDEX('Data Processing'!BA:BA,$A221)</f>
        <v>4.7765146457142853E-2</v>
      </c>
      <c r="N225" s="489">
        <f ca="1">INDEX('Data Processing'!BB:BB,$A221)</f>
        <v>4.7765146457142853E-2</v>
      </c>
      <c r="O225" s="489">
        <f ca="1">INDEX('Data Processing'!BC:BC,$A221)</f>
        <v>4.7765146457142853E-2</v>
      </c>
      <c r="P225" s="489">
        <f ca="1">INDEX('Data Processing'!BD:BD,$A221)</f>
        <v>4.7765146457142853E-2</v>
      </c>
      <c r="Q225" s="489">
        <f ca="1">INDEX('Data Processing'!BE:BE,$A221)</f>
        <v>4.7765146457142853E-2</v>
      </c>
      <c r="R225" s="489">
        <f ca="1">INDEX('Data Processing'!BF:BF,$A221)</f>
        <v>4.7765146457142853E-2</v>
      </c>
      <c r="S225" s="489">
        <f ca="1">INDEX('Data Processing'!BG:BG,$A221)</f>
        <v>0.12538350944999999</v>
      </c>
      <c r="T225" s="490">
        <f ca="1">INDEX('Data Processing'!BH:BH,$A221)</f>
        <v>0.12538350944999999</v>
      </c>
      <c r="U225" s="585"/>
      <c r="V225" s="276"/>
      <c r="W225" s="277"/>
      <c r="X225" s="277"/>
      <c r="Y225" s="277"/>
    </row>
    <row r="226" spans="1:25" s="587" customFormat="1">
      <c r="A226" s="440" t="str">
        <f>IF(B226="","",IFERROR(MATCH(B226,'Data Processing'!$C:$C,0),""))</f>
        <v/>
      </c>
      <c r="B226" s="522"/>
      <c r="C226" s="523" t="s">
        <v>1012</v>
      </c>
      <c r="D226" s="488"/>
      <c r="E226" s="489">
        <f t="shared" ref="E226:T226" ca="1" si="113">E222-E225</f>
        <v>8.0245446047999991</v>
      </c>
      <c r="F226" s="489">
        <f t="shared" ca="1" si="113"/>
        <v>7.9688186005999988</v>
      </c>
      <c r="G226" s="489">
        <f t="shared" ca="1" si="113"/>
        <v>7.9130925963999985</v>
      </c>
      <c r="H226" s="489">
        <f t="shared" ca="1" si="113"/>
        <v>7.8573665921999991</v>
      </c>
      <c r="I226" s="489">
        <f t="shared" ca="1" si="113"/>
        <v>7.8016405879999988</v>
      </c>
      <c r="J226" s="489">
        <f t="shared" ca="1" si="113"/>
        <v>7.7459145837999985</v>
      </c>
      <c r="K226" s="489">
        <f t="shared" ca="1" si="113"/>
        <v>7.6901885795999991</v>
      </c>
      <c r="L226" s="489">
        <f t="shared" ca="1" si="113"/>
        <v>7.6424234331428567</v>
      </c>
      <c r="M226" s="489">
        <f t="shared" ca="1" si="113"/>
        <v>7.5946582866857142</v>
      </c>
      <c r="N226" s="489">
        <f t="shared" ca="1" si="113"/>
        <v>7.5468931402285708</v>
      </c>
      <c r="O226" s="489">
        <f t="shared" ca="1" si="113"/>
        <v>7.4991279937714284</v>
      </c>
      <c r="P226" s="489">
        <f t="shared" ca="1" si="113"/>
        <v>7.4513628473142859</v>
      </c>
      <c r="Q226" s="489">
        <f t="shared" ca="1" si="113"/>
        <v>7.4035977008571425</v>
      </c>
      <c r="R226" s="489">
        <f t="shared" ca="1" si="113"/>
        <v>7.3558325544000001</v>
      </c>
      <c r="S226" s="489">
        <f t="shared" ca="1" si="113"/>
        <v>7.2304490449499994</v>
      </c>
      <c r="T226" s="490">
        <f t="shared" ca="1" si="113"/>
        <v>7.1050655354999996</v>
      </c>
      <c r="U226" s="585"/>
      <c r="V226" s="276"/>
      <c r="W226" s="277"/>
      <c r="X226" s="277"/>
      <c r="Y226" s="277"/>
    </row>
    <row r="227" spans="1:25" s="279" customFormat="1">
      <c r="A227">
        <f>IF(B227="","",IFERROR(MATCH(B227,'Data Processing'!$C:$C,0),""))</f>
        <v>32</v>
      </c>
      <c r="B227" s="215" t="s">
        <v>1162</v>
      </c>
      <c r="C227" s="223" t="str">
        <f>INDEX('Data Processing'!$G:$G,A227)</f>
        <v>Due to Affiliate - Demand - Non-US</v>
      </c>
      <c r="D227" s="249">
        <f>INDEX('Data Processing'!O:O,$A227)</f>
        <v>9.7052584900000003</v>
      </c>
      <c r="E227" s="128">
        <f ca="1">INDEX('Data Processing'!P:P,$A227)</f>
        <v>9.3170481503999998</v>
      </c>
      <c r="F227" s="128">
        <f ca="1">INDEX('Data Processing'!Q:Q,$A227)</f>
        <v>9.2523464271333342</v>
      </c>
      <c r="G227" s="128">
        <f ca="1">INDEX('Data Processing'!R:R,$A227)</f>
        <v>9.1876447038666669</v>
      </c>
      <c r="H227" s="128">
        <f ca="1">INDEX('Data Processing'!S:S,$A227)</f>
        <v>9.1229429805999995</v>
      </c>
      <c r="I227" s="128">
        <f ca="1">INDEX('Data Processing'!T:T,$A227)</f>
        <v>9.058241257333334</v>
      </c>
      <c r="J227" s="128">
        <f ca="1">INDEX('Data Processing'!U:U,$A227)</f>
        <v>8.9935395340666666</v>
      </c>
      <c r="K227" s="128">
        <f ca="1">INDEX('Data Processing'!V:V,$A227)</f>
        <v>8.9288378108000011</v>
      </c>
      <c r="L227" s="128">
        <f ca="1">INDEX('Data Processing'!W:W,$A227)</f>
        <v>8.8733791908571433</v>
      </c>
      <c r="M227" s="128">
        <f ca="1">INDEX('Data Processing'!X:X,$A227)</f>
        <v>8.8179205709142856</v>
      </c>
      <c r="N227" s="128">
        <f ca="1">INDEX('Data Processing'!Y:Y,$A227)</f>
        <v>8.7624619509714279</v>
      </c>
      <c r="O227" s="128">
        <f ca="1">INDEX('Data Processing'!Z:Z,$A227)</f>
        <v>8.7070033310285719</v>
      </c>
      <c r="P227" s="128">
        <f ca="1">INDEX('Data Processing'!AA:AA,$A227)</f>
        <v>8.6515447110857142</v>
      </c>
      <c r="Q227" s="128">
        <f ca="1">INDEX('Data Processing'!AB:AB,$A227)</f>
        <v>8.5960860911428583</v>
      </c>
      <c r="R227" s="128">
        <f ca="1">INDEX('Data Processing'!AC:AC,$A227)</f>
        <v>8.5406274712000005</v>
      </c>
      <c r="S227" s="128">
        <f ca="1">INDEX('Data Processing'!AD:AD,$A227)</f>
        <v>8.3950485938499995</v>
      </c>
      <c r="T227" s="129">
        <f ca="1">INDEX('Data Processing'!AE:AE,$A227)</f>
        <v>8.2494697165000002</v>
      </c>
      <c r="U227" s="278"/>
      <c r="V227" s="120"/>
    </row>
    <row r="228" spans="1:25" s="487" customFormat="1" ht="15" customHeight="1">
      <c r="A228" s="440" t="str">
        <f>IF(B228="","",IFERROR(MATCH(B228,'Data Processing'!$C:$C,0),""))</f>
        <v/>
      </c>
      <c r="B228" s="583"/>
      <c r="C228" s="565" t="s">
        <v>1005</v>
      </c>
      <c r="D228" s="488"/>
      <c r="E228" s="454">
        <f>D227</f>
        <v>9.7052584900000003</v>
      </c>
      <c r="F228" s="454">
        <f t="shared" ref="F228" ca="1" si="114">E227</f>
        <v>9.3170481503999998</v>
      </c>
      <c r="G228" s="454">
        <f t="shared" ref="G228" ca="1" si="115">F227</f>
        <v>9.2523464271333342</v>
      </c>
      <c r="H228" s="454">
        <f t="shared" ref="H228" ca="1" si="116">G227</f>
        <v>9.1876447038666669</v>
      </c>
      <c r="I228" s="454">
        <f t="shared" ref="I228" ca="1" si="117">H227</f>
        <v>9.1229429805999995</v>
      </c>
      <c r="J228" s="454">
        <f t="shared" ref="J228" ca="1" si="118">I227</f>
        <v>9.058241257333334</v>
      </c>
      <c r="K228" s="454">
        <f t="shared" ref="K228" ca="1" si="119">J227</f>
        <v>8.9935395340666666</v>
      </c>
      <c r="L228" s="454">
        <f t="shared" ref="L228" ca="1" si="120">K227</f>
        <v>8.9288378108000011</v>
      </c>
      <c r="M228" s="454">
        <f t="shared" ref="M228" ca="1" si="121">L227</f>
        <v>8.8733791908571433</v>
      </c>
      <c r="N228" s="454">
        <f t="shared" ref="N228" ca="1" si="122">M227</f>
        <v>8.8179205709142856</v>
      </c>
      <c r="O228" s="454">
        <f t="shared" ref="O228" ca="1" si="123">N227</f>
        <v>8.7624619509714279</v>
      </c>
      <c r="P228" s="454">
        <f t="shared" ref="P228" ca="1" si="124">O227</f>
        <v>8.7070033310285719</v>
      </c>
      <c r="Q228" s="454">
        <f t="shared" ref="Q228" ca="1" si="125">P227</f>
        <v>8.6515447110857142</v>
      </c>
      <c r="R228" s="454">
        <f t="shared" ref="R228" ca="1" si="126">Q227</f>
        <v>8.5960860911428583</v>
      </c>
      <c r="S228" s="454">
        <f t="shared" ref="S228" ca="1" si="127">R227</f>
        <v>8.5406274712000005</v>
      </c>
      <c r="T228" s="455">
        <f t="shared" ref="T228" ca="1" si="128">S227</f>
        <v>8.3950485938499995</v>
      </c>
      <c r="U228" s="485"/>
      <c r="V228" s="233" t="s">
        <v>1046</v>
      </c>
      <c r="W228" s="279"/>
      <c r="X228" s="279"/>
      <c r="Y228" s="279"/>
    </row>
    <row r="229" spans="1:25" s="521" customFormat="1">
      <c r="A229" s="440" t="str">
        <f>IF(B229="","",IFERROR(MATCH(B229,'Data Processing'!$C:$C,0),""))</f>
        <v/>
      </c>
      <c r="B229" s="522"/>
      <c r="C229" s="565" t="s">
        <v>51</v>
      </c>
      <c r="D229" s="454"/>
      <c r="E229" s="454">
        <f>INDEX('Data Processing'!CX:CX,$A227)</f>
        <v>9.7052584900000003</v>
      </c>
      <c r="F229" s="454">
        <f>INDEX('Data Processing'!CY:CY,$A227)</f>
        <v>0</v>
      </c>
      <c r="G229" s="454">
        <f>INDEX('Data Processing'!CZ:CZ,$A227)</f>
        <v>0</v>
      </c>
      <c r="H229" s="454">
        <f>INDEX('Data Processing'!DA:DA,$A227)</f>
        <v>0</v>
      </c>
      <c r="I229" s="454">
        <f>INDEX('Data Processing'!DB:DB,$A227)</f>
        <v>0</v>
      </c>
      <c r="J229" s="454">
        <f>INDEX('Data Processing'!DC:DC,$A227)</f>
        <v>0</v>
      </c>
      <c r="K229" s="454">
        <f>INDEX('Data Processing'!DD:DD,$A227)</f>
        <v>0</v>
      </c>
      <c r="L229" s="454">
        <f>INDEX('Data Processing'!DE:DE,$A227)</f>
        <v>0</v>
      </c>
      <c r="M229" s="454">
        <f>INDEX('Data Processing'!DF:DF,$A227)</f>
        <v>0</v>
      </c>
      <c r="N229" s="454">
        <f>INDEX('Data Processing'!DG:DG,$A227)</f>
        <v>0</v>
      </c>
      <c r="O229" s="454">
        <f>INDEX('Data Processing'!DH:DH,$A227)</f>
        <v>0</v>
      </c>
      <c r="P229" s="454">
        <f>INDEX('Data Processing'!DI:DI,$A227)</f>
        <v>0</v>
      </c>
      <c r="Q229" s="454">
        <f>INDEX('Data Processing'!DJ:DJ,$A227)</f>
        <v>0</v>
      </c>
      <c r="R229" s="454">
        <f>INDEX('Data Processing'!DK:DK,$A227)</f>
        <v>0</v>
      </c>
      <c r="S229" s="454">
        <f>INDEX('Data Processing'!DL:DL,$A227)</f>
        <v>0</v>
      </c>
      <c r="T229" s="455">
        <f>INDEX('Data Processing'!DM:DM,$A227)</f>
        <v>0</v>
      </c>
      <c r="U229" s="524"/>
      <c r="V229" s="120"/>
      <c r="W229" s="126"/>
      <c r="X229" s="126"/>
      <c r="Y229" s="126"/>
    </row>
    <row r="230" spans="1:25" s="561" customFormat="1">
      <c r="A230" s="440" t="str">
        <f>IF(B230="","",IFERROR(MATCH(B230,'Data Processing'!$C:$C,0),""))</f>
        <v/>
      </c>
      <c r="B230" s="583"/>
      <c r="C230" s="567" t="s">
        <v>50</v>
      </c>
      <c r="D230" s="488"/>
      <c r="E230" s="553">
        <f ca="1">INDEX('Data Processing'!BU:BU,$A227)</f>
        <v>3.9999999999999994E-2</v>
      </c>
      <c r="F230" s="553">
        <f ca="1">INDEX('Data Processing'!BV:BV,$A227)</f>
        <v>6.6666666666666662E-3</v>
      </c>
      <c r="G230" s="553">
        <f ca="1">INDEX('Data Processing'!BW:BW,$A227)</f>
        <v>6.6666666666666662E-3</v>
      </c>
      <c r="H230" s="553">
        <f ca="1">INDEX('Data Processing'!BX:BX,$A227)</f>
        <v>6.6666666666666662E-3</v>
      </c>
      <c r="I230" s="553">
        <f ca="1">INDEX('Data Processing'!BY:BY,$A227)</f>
        <v>6.6666666666666662E-3</v>
      </c>
      <c r="J230" s="553">
        <f ca="1">INDEX('Data Processing'!BZ:BZ,$A227)</f>
        <v>6.6666666666666662E-3</v>
      </c>
      <c r="K230" s="553">
        <f ca="1">INDEX('Data Processing'!CA:CA,$A227)</f>
        <v>6.6666666666666662E-3</v>
      </c>
      <c r="L230" s="553">
        <f ca="1">INDEX('Data Processing'!CB:CB,$A227)</f>
        <v>5.7142857142857143E-3</v>
      </c>
      <c r="M230" s="553">
        <f ca="1">INDEX('Data Processing'!CC:CC,$A227)</f>
        <v>5.7142857142857143E-3</v>
      </c>
      <c r="N230" s="553">
        <f ca="1">INDEX('Data Processing'!CD:CD,$A227)</f>
        <v>5.7142857142857143E-3</v>
      </c>
      <c r="O230" s="553">
        <f ca="1">INDEX('Data Processing'!CE:CE,$A227)</f>
        <v>5.7142857142857143E-3</v>
      </c>
      <c r="P230" s="553">
        <f ca="1">INDEX('Data Processing'!CF:CF,$A227)</f>
        <v>5.7142857142857143E-3</v>
      </c>
      <c r="Q230" s="553">
        <f ca="1">INDEX('Data Processing'!CG:CG,$A227)</f>
        <v>5.7142857142857143E-3</v>
      </c>
      <c r="R230" s="553">
        <f ca="1">INDEX('Data Processing'!CH:CH,$A227)</f>
        <v>5.7142857142857143E-3</v>
      </c>
      <c r="S230" s="553">
        <f ca="1">INDEX('Data Processing'!CI:CI,$A227)</f>
        <v>1.4999999999999999E-2</v>
      </c>
      <c r="T230" s="554">
        <f ca="1">INDEX('Data Processing'!CJ:CJ,$A227)</f>
        <v>1.4999999999999999E-2</v>
      </c>
      <c r="U230" s="551"/>
      <c r="V230" s="271"/>
      <c r="W230" s="272"/>
      <c r="X230" s="272"/>
      <c r="Y230" s="272"/>
    </row>
    <row r="231" spans="1:25" s="587" customFormat="1">
      <c r="A231" s="440" t="str">
        <f>IF(B231="","",IFERROR(MATCH(B231,'Data Processing'!$C:$C,0),""))</f>
        <v/>
      </c>
      <c r="B231" s="522"/>
      <c r="C231" s="523" t="s">
        <v>998</v>
      </c>
      <c r="D231" s="504"/>
      <c r="E231" s="489">
        <f ca="1">INDEX('Data Processing'!AS:AS,$A227)</f>
        <v>0.38821033959999995</v>
      </c>
      <c r="F231" s="489">
        <f ca="1">INDEX('Data Processing'!AT:AT,$A227)</f>
        <v>6.4701723266666664E-2</v>
      </c>
      <c r="G231" s="489">
        <f ca="1">INDEX('Data Processing'!AU:AU,$A227)</f>
        <v>6.4701723266666664E-2</v>
      </c>
      <c r="H231" s="489">
        <f ca="1">INDEX('Data Processing'!AV:AV,$A227)</f>
        <v>6.4701723266666664E-2</v>
      </c>
      <c r="I231" s="489">
        <f ca="1">INDEX('Data Processing'!AW:AW,$A227)</f>
        <v>6.4701723266666664E-2</v>
      </c>
      <c r="J231" s="489">
        <f ca="1">INDEX('Data Processing'!AX:AX,$A227)</f>
        <v>6.4701723266666664E-2</v>
      </c>
      <c r="K231" s="489">
        <f ca="1">INDEX('Data Processing'!AY:AY,$A227)</f>
        <v>6.4701723266666664E-2</v>
      </c>
      <c r="L231" s="489">
        <f ca="1">INDEX('Data Processing'!AZ:AZ,$A227)</f>
        <v>5.5458619942857147E-2</v>
      </c>
      <c r="M231" s="489">
        <f ca="1">INDEX('Data Processing'!BA:BA,$A227)</f>
        <v>5.5458619942857147E-2</v>
      </c>
      <c r="N231" s="489">
        <f ca="1">INDEX('Data Processing'!BB:BB,$A227)</f>
        <v>5.5458619942857147E-2</v>
      </c>
      <c r="O231" s="489">
        <f ca="1">INDEX('Data Processing'!BC:BC,$A227)</f>
        <v>5.5458619942857147E-2</v>
      </c>
      <c r="P231" s="489">
        <f ca="1">INDEX('Data Processing'!BD:BD,$A227)</f>
        <v>5.5458619942857147E-2</v>
      </c>
      <c r="Q231" s="489">
        <f ca="1">INDEX('Data Processing'!BE:BE,$A227)</f>
        <v>5.5458619942857147E-2</v>
      </c>
      <c r="R231" s="489">
        <f ca="1">INDEX('Data Processing'!BF:BF,$A227)</f>
        <v>5.5458619942857147E-2</v>
      </c>
      <c r="S231" s="489">
        <f ca="1">INDEX('Data Processing'!BG:BG,$A227)</f>
        <v>0.14557887735</v>
      </c>
      <c r="T231" s="490">
        <f ca="1">INDEX('Data Processing'!BH:BH,$A227)</f>
        <v>0.14557887735</v>
      </c>
      <c r="U231" s="585"/>
      <c r="V231" s="276"/>
      <c r="W231" s="277"/>
      <c r="X231" s="277"/>
      <c r="Y231" s="277"/>
    </row>
    <row r="232" spans="1:25" s="587" customFormat="1">
      <c r="A232" s="440" t="str">
        <f>IF(B232="","",IFERROR(MATCH(B232,'Data Processing'!$C:$C,0),""))</f>
        <v/>
      </c>
      <c r="B232" s="522"/>
      <c r="C232" s="523" t="s">
        <v>1012</v>
      </c>
      <c r="D232" s="488"/>
      <c r="E232" s="489">
        <f t="shared" ref="E232:T232" ca="1" si="129">E228-E231</f>
        <v>9.3170481503999998</v>
      </c>
      <c r="F232" s="489">
        <f t="shared" ca="1" si="129"/>
        <v>9.2523464271333324</v>
      </c>
      <c r="G232" s="489">
        <f t="shared" ca="1" si="129"/>
        <v>9.1876447038666669</v>
      </c>
      <c r="H232" s="489">
        <f t="shared" ca="1" si="129"/>
        <v>9.1229429805999995</v>
      </c>
      <c r="I232" s="489">
        <f t="shared" ca="1" si="129"/>
        <v>9.0582412573333322</v>
      </c>
      <c r="J232" s="489">
        <f t="shared" ca="1" si="129"/>
        <v>8.9935395340666666</v>
      </c>
      <c r="K232" s="489">
        <f t="shared" ca="1" si="129"/>
        <v>8.9288378107999993</v>
      </c>
      <c r="L232" s="489">
        <f t="shared" ca="1" si="129"/>
        <v>8.8733791908571433</v>
      </c>
      <c r="M232" s="489">
        <f t="shared" ca="1" si="129"/>
        <v>8.8179205709142856</v>
      </c>
      <c r="N232" s="489">
        <f t="shared" ca="1" si="129"/>
        <v>8.7624619509714279</v>
      </c>
      <c r="O232" s="489">
        <f t="shared" ca="1" si="129"/>
        <v>8.7070033310285702</v>
      </c>
      <c r="P232" s="489">
        <f t="shared" ca="1" si="129"/>
        <v>8.6515447110857142</v>
      </c>
      <c r="Q232" s="489">
        <f t="shared" ca="1" si="129"/>
        <v>8.5960860911428565</v>
      </c>
      <c r="R232" s="489">
        <f t="shared" ca="1" si="129"/>
        <v>8.5406274712000005</v>
      </c>
      <c r="S232" s="489">
        <f t="shared" ca="1" si="129"/>
        <v>8.3950485938500012</v>
      </c>
      <c r="T232" s="490">
        <f t="shared" ca="1" si="129"/>
        <v>8.2494697165000002</v>
      </c>
      <c r="U232" s="585"/>
      <c r="V232" s="276"/>
      <c r="W232" s="277"/>
      <c r="X232" s="277"/>
      <c r="Y232" s="277"/>
    </row>
    <row r="233" spans="1:25" s="279" customFormat="1">
      <c r="A233">
        <f>IF(B233="","",IFERROR(MATCH(B233,'Data Processing'!$C:$C,0),""))</f>
        <v>33</v>
      </c>
      <c r="B233" s="215" t="s">
        <v>1163</v>
      </c>
      <c r="C233" s="223" t="str">
        <f>INDEX('Data Processing'!$G:$G,A233)</f>
        <v>Due to Affiliate - Investment - US</v>
      </c>
      <c r="D233" s="249">
        <f>INDEX('Data Processing'!O:O,$A233)</f>
        <v>1.3937934699999999</v>
      </c>
      <c r="E233" s="128">
        <f ca="1">INDEX('Data Processing'!P:P,$A233)</f>
        <v>1.3380417311999999</v>
      </c>
      <c r="F233" s="128">
        <f ca="1">INDEX('Data Processing'!Q:Q,$A233)</f>
        <v>1.3287497747333332</v>
      </c>
      <c r="G233" s="128">
        <f ca="1">INDEX('Data Processing'!R:R,$A233)</f>
        <v>1.3194578182666665</v>
      </c>
      <c r="H233" s="128">
        <f ca="1">INDEX('Data Processing'!S:S,$A233)</f>
        <v>1.3101658617999998</v>
      </c>
      <c r="I233" s="128">
        <f ca="1">INDEX('Data Processing'!T:T,$A233)</f>
        <v>1.3008739053333331</v>
      </c>
      <c r="J233" s="128">
        <f ca="1">INDEX('Data Processing'!U:U,$A233)</f>
        <v>1.2915819488666664</v>
      </c>
      <c r="K233" s="128">
        <f ca="1">INDEX('Data Processing'!V:V,$A233)</f>
        <v>1.2822899924</v>
      </c>
      <c r="L233" s="128">
        <f ca="1">INDEX('Data Processing'!W:W,$A233)</f>
        <v>1.2743254582857142</v>
      </c>
      <c r="M233" s="128">
        <f ca="1">INDEX('Data Processing'!X:X,$A233)</f>
        <v>1.2663609241714284</v>
      </c>
      <c r="N233" s="128">
        <f ca="1">INDEX('Data Processing'!Y:Y,$A233)</f>
        <v>1.2583963900571427</v>
      </c>
      <c r="O233" s="128">
        <f ca="1">INDEX('Data Processing'!Z:Z,$A233)</f>
        <v>1.2504318559428571</v>
      </c>
      <c r="P233" s="128">
        <f ca="1">INDEX('Data Processing'!AA:AA,$A233)</f>
        <v>1.2424673218285713</v>
      </c>
      <c r="Q233" s="128">
        <f ca="1">INDEX('Data Processing'!AB:AB,$A233)</f>
        <v>1.2345027877142856</v>
      </c>
      <c r="R233" s="128">
        <f ca="1">INDEX('Data Processing'!AC:AC,$A233)</f>
        <v>1.2265382535999998</v>
      </c>
      <c r="S233" s="128">
        <f ca="1">INDEX('Data Processing'!AD:AD,$A233)</f>
        <v>1.2056313515499999</v>
      </c>
      <c r="T233" s="129">
        <f ca="1">INDEX('Data Processing'!AE:AE,$A233)</f>
        <v>1.1847244494999998</v>
      </c>
      <c r="U233" s="278"/>
      <c r="V233" s="120"/>
    </row>
    <row r="234" spans="1:25" s="487" customFormat="1" ht="15" customHeight="1">
      <c r="A234" s="440" t="str">
        <f>IF(B234="","",IFERROR(MATCH(B234,'Data Processing'!$C:$C,0),""))</f>
        <v/>
      </c>
      <c r="B234" s="583"/>
      <c r="C234" s="565" t="s">
        <v>1005</v>
      </c>
      <c r="D234" s="488"/>
      <c r="E234" s="454">
        <f>D233</f>
        <v>1.3937934699999999</v>
      </c>
      <c r="F234" s="454">
        <f t="shared" ref="F234" ca="1" si="130">E233</f>
        <v>1.3380417311999999</v>
      </c>
      <c r="G234" s="454">
        <f t="shared" ref="G234" ca="1" si="131">F233</f>
        <v>1.3287497747333332</v>
      </c>
      <c r="H234" s="454">
        <f t="shared" ref="H234" ca="1" si="132">G233</f>
        <v>1.3194578182666665</v>
      </c>
      <c r="I234" s="454">
        <f t="shared" ref="I234" ca="1" si="133">H233</f>
        <v>1.3101658617999998</v>
      </c>
      <c r="J234" s="454">
        <f t="shared" ref="J234" ca="1" si="134">I233</f>
        <v>1.3008739053333331</v>
      </c>
      <c r="K234" s="454">
        <f t="shared" ref="K234" ca="1" si="135">J233</f>
        <v>1.2915819488666664</v>
      </c>
      <c r="L234" s="454">
        <f t="shared" ref="L234" ca="1" si="136">K233</f>
        <v>1.2822899924</v>
      </c>
      <c r="M234" s="454">
        <f t="shared" ref="M234" ca="1" si="137">L233</f>
        <v>1.2743254582857142</v>
      </c>
      <c r="N234" s="454">
        <f t="shared" ref="N234" ca="1" si="138">M233</f>
        <v>1.2663609241714284</v>
      </c>
      <c r="O234" s="454">
        <f t="shared" ref="O234" ca="1" si="139">N233</f>
        <v>1.2583963900571427</v>
      </c>
      <c r="P234" s="454">
        <f t="shared" ref="P234" ca="1" si="140">O233</f>
        <v>1.2504318559428571</v>
      </c>
      <c r="Q234" s="454">
        <f t="shared" ref="Q234" ca="1" si="141">P233</f>
        <v>1.2424673218285713</v>
      </c>
      <c r="R234" s="454">
        <f t="shared" ref="R234" ca="1" si="142">Q233</f>
        <v>1.2345027877142856</v>
      </c>
      <c r="S234" s="454">
        <f t="shared" ref="S234" ca="1" si="143">R233</f>
        <v>1.2265382535999998</v>
      </c>
      <c r="T234" s="455">
        <f t="shared" ref="T234" ca="1" si="144">S233</f>
        <v>1.2056313515499999</v>
      </c>
      <c r="U234" s="485"/>
      <c r="V234" s="233" t="s">
        <v>1046</v>
      </c>
      <c r="W234" s="279"/>
      <c r="X234" s="279"/>
      <c r="Y234" s="279"/>
    </row>
    <row r="235" spans="1:25" s="521" customFormat="1">
      <c r="A235" s="440" t="str">
        <f>IF(B235="","",IFERROR(MATCH(B235,'Data Processing'!$C:$C,0),""))</f>
        <v/>
      </c>
      <c r="B235" s="522"/>
      <c r="C235" s="565" t="s">
        <v>51</v>
      </c>
      <c r="D235" s="454"/>
      <c r="E235" s="454">
        <f>INDEX('Data Processing'!CX:CX,$A233)</f>
        <v>1.3937934699999999</v>
      </c>
      <c r="F235" s="454">
        <f>INDEX('Data Processing'!CY:CY,$A233)</f>
        <v>0</v>
      </c>
      <c r="G235" s="454">
        <f>INDEX('Data Processing'!CZ:CZ,$A233)</f>
        <v>0</v>
      </c>
      <c r="H235" s="454">
        <f>INDEX('Data Processing'!DA:DA,$A233)</f>
        <v>0</v>
      </c>
      <c r="I235" s="454">
        <f>INDEX('Data Processing'!DB:DB,$A233)</f>
        <v>0</v>
      </c>
      <c r="J235" s="454">
        <f>INDEX('Data Processing'!DC:DC,$A233)</f>
        <v>0</v>
      </c>
      <c r="K235" s="454">
        <f>INDEX('Data Processing'!DD:DD,$A233)</f>
        <v>0</v>
      </c>
      <c r="L235" s="454">
        <f>INDEX('Data Processing'!DE:DE,$A233)</f>
        <v>0</v>
      </c>
      <c r="M235" s="454">
        <f>INDEX('Data Processing'!DF:DF,$A233)</f>
        <v>0</v>
      </c>
      <c r="N235" s="454">
        <f>INDEX('Data Processing'!DG:DG,$A233)</f>
        <v>0</v>
      </c>
      <c r="O235" s="454">
        <f>INDEX('Data Processing'!DH:DH,$A233)</f>
        <v>0</v>
      </c>
      <c r="P235" s="454">
        <f>INDEX('Data Processing'!DI:DI,$A233)</f>
        <v>0</v>
      </c>
      <c r="Q235" s="454">
        <f>INDEX('Data Processing'!DJ:DJ,$A233)</f>
        <v>0</v>
      </c>
      <c r="R235" s="454">
        <f>INDEX('Data Processing'!DK:DK,$A233)</f>
        <v>0</v>
      </c>
      <c r="S235" s="454">
        <f>INDEX('Data Processing'!DL:DL,$A233)</f>
        <v>0</v>
      </c>
      <c r="T235" s="455">
        <f>INDEX('Data Processing'!DM:DM,$A233)</f>
        <v>0</v>
      </c>
      <c r="U235" s="524"/>
      <c r="V235" s="120"/>
      <c r="W235" s="126"/>
      <c r="X235" s="126"/>
      <c r="Y235" s="126"/>
    </row>
    <row r="236" spans="1:25" s="561" customFormat="1">
      <c r="A236" s="440" t="str">
        <f>IF(B236="","",IFERROR(MATCH(B236,'Data Processing'!$C:$C,0),""))</f>
        <v/>
      </c>
      <c r="B236" s="583"/>
      <c r="C236" s="567" t="s">
        <v>50</v>
      </c>
      <c r="D236" s="488"/>
      <c r="E236" s="553">
        <f ca="1">INDEX('Data Processing'!BU:BU,$A233)</f>
        <v>3.9999999999999994E-2</v>
      </c>
      <c r="F236" s="553">
        <f ca="1">INDEX('Data Processing'!BV:BV,$A233)</f>
        <v>6.6666666666666662E-3</v>
      </c>
      <c r="G236" s="553">
        <f ca="1">INDEX('Data Processing'!BW:BW,$A233)</f>
        <v>6.6666666666666662E-3</v>
      </c>
      <c r="H236" s="553">
        <f ca="1">INDEX('Data Processing'!BX:BX,$A233)</f>
        <v>6.6666666666666662E-3</v>
      </c>
      <c r="I236" s="553">
        <f ca="1">INDEX('Data Processing'!BY:BY,$A233)</f>
        <v>6.6666666666666662E-3</v>
      </c>
      <c r="J236" s="553">
        <f ca="1">INDEX('Data Processing'!BZ:BZ,$A233)</f>
        <v>6.6666666666666662E-3</v>
      </c>
      <c r="K236" s="553">
        <f ca="1">INDEX('Data Processing'!CA:CA,$A233)</f>
        <v>6.6666666666666662E-3</v>
      </c>
      <c r="L236" s="553">
        <f ca="1">INDEX('Data Processing'!CB:CB,$A233)</f>
        <v>5.7142857142857143E-3</v>
      </c>
      <c r="M236" s="553">
        <f ca="1">INDEX('Data Processing'!CC:CC,$A233)</f>
        <v>5.7142857142857143E-3</v>
      </c>
      <c r="N236" s="553">
        <f ca="1">INDEX('Data Processing'!CD:CD,$A233)</f>
        <v>5.7142857142857143E-3</v>
      </c>
      <c r="O236" s="553">
        <f ca="1">INDEX('Data Processing'!CE:CE,$A233)</f>
        <v>5.7142857142857143E-3</v>
      </c>
      <c r="P236" s="553">
        <f ca="1">INDEX('Data Processing'!CF:CF,$A233)</f>
        <v>5.7142857142857143E-3</v>
      </c>
      <c r="Q236" s="553">
        <f ca="1">INDEX('Data Processing'!CG:CG,$A233)</f>
        <v>5.7142857142857143E-3</v>
      </c>
      <c r="R236" s="553">
        <f ca="1">INDEX('Data Processing'!CH:CH,$A233)</f>
        <v>5.7142857142857143E-3</v>
      </c>
      <c r="S236" s="553">
        <f ca="1">INDEX('Data Processing'!CI:CI,$A233)</f>
        <v>1.4999999999999999E-2</v>
      </c>
      <c r="T236" s="554">
        <f ca="1">INDEX('Data Processing'!CJ:CJ,$A233)</f>
        <v>1.4999999999999999E-2</v>
      </c>
      <c r="U236" s="551"/>
      <c r="V236" s="271"/>
      <c r="W236" s="272"/>
      <c r="X236" s="272"/>
      <c r="Y236" s="272"/>
    </row>
    <row r="237" spans="1:25" s="587" customFormat="1">
      <c r="A237" s="440" t="str">
        <f>IF(B237="","",IFERROR(MATCH(B237,'Data Processing'!$C:$C,0),""))</f>
        <v/>
      </c>
      <c r="B237" s="522"/>
      <c r="C237" s="523" t="s">
        <v>998</v>
      </c>
      <c r="D237" s="504"/>
      <c r="E237" s="489">
        <f ca="1">INDEX('Data Processing'!AS:AS,$A233)</f>
        <v>5.5751738799999985E-2</v>
      </c>
      <c r="F237" s="489">
        <f ca="1">INDEX('Data Processing'!AT:AT,$A233)</f>
        <v>9.2919564666666659E-3</v>
      </c>
      <c r="G237" s="489">
        <f ca="1">INDEX('Data Processing'!AU:AU,$A233)</f>
        <v>9.2919564666666659E-3</v>
      </c>
      <c r="H237" s="489">
        <f ca="1">INDEX('Data Processing'!AV:AV,$A233)</f>
        <v>9.2919564666666659E-3</v>
      </c>
      <c r="I237" s="489">
        <f ca="1">INDEX('Data Processing'!AW:AW,$A233)</f>
        <v>9.2919564666666659E-3</v>
      </c>
      <c r="J237" s="489">
        <f ca="1">INDEX('Data Processing'!AX:AX,$A233)</f>
        <v>9.2919564666666659E-3</v>
      </c>
      <c r="K237" s="489">
        <f ca="1">INDEX('Data Processing'!AY:AY,$A233)</f>
        <v>9.2919564666666659E-3</v>
      </c>
      <c r="L237" s="489">
        <f ca="1">INDEX('Data Processing'!AZ:AZ,$A233)</f>
        <v>7.9645341142857134E-3</v>
      </c>
      <c r="M237" s="489">
        <f ca="1">INDEX('Data Processing'!BA:BA,$A233)</f>
        <v>7.9645341142857134E-3</v>
      </c>
      <c r="N237" s="489">
        <f ca="1">INDEX('Data Processing'!BB:BB,$A233)</f>
        <v>7.9645341142857134E-3</v>
      </c>
      <c r="O237" s="489">
        <f ca="1">INDEX('Data Processing'!BC:BC,$A233)</f>
        <v>7.9645341142857134E-3</v>
      </c>
      <c r="P237" s="489">
        <f ca="1">INDEX('Data Processing'!BD:BD,$A233)</f>
        <v>7.9645341142857134E-3</v>
      </c>
      <c r="Q237" s="489">
        <f ca="1">INDEX('Data Processing'!BE:BE,$A233)</f>
        <v>7.9645341142857134E-3</v>
      </c>
      <c r="R237" s="489">
        <f ca="1">INDEX('Data Processing'!BF:BF,$A233)</f>
        <v>7.9645341142857134E-3</v>
      </c>
      <c r="S237" s="489">
        <f ca="1">INDEX('Data Processing'!BG:BG,$A233)</f>
        <v>2.0906902049999999E-2</v>
      </c>
      <c r="T237" s="490">
        <f ca="1">INDEX('Data Processing'!BH:BH,$A233)</f>
        <v>2.0906902049999999E-2</v>
      </c>
      <c r="U237" s="585"/>
      <c r="V237" s="276"/>
      <c r="W237" s="277"/>
      <c r="X237" s="277"/>
      <c r="Y237" s="277"/>
    </row>
    <row r="238" spans="1:25" s="587" customFormat="1">
      <c r="A238" s="440" t="str">
        <f>IF(B238="","",IFERROR(MATCH(B238,'Data Processing'!$C:$C,0),""))</f>
        <v/>
      </c>
      <c r="B238" s="522"/>
      <c r="C238" s="523" t="s">
        <v>1012</v>
      </c>
      <c r="D238" s="488"/>
      <c r="E238" s="489">
        <f t="shared" ref="E238:T238" ca="1" si="145">E234-E237</f>
        <v>1.3380417311999999</v>
      </c>
      <c r="F238" s="489">
        <f t="shared" ca="1" si="145"/>
        <v>1.3287497747333332</v>
      </c>
      <c r="G238" s="489">
        <f t="shared" ca="1" si="145"/>
        <v>1.3194578182666665</v>
      </c>
      <c r="H238" s="489">
        <f t="shared" ca="1" si="145"/>
        <v>1.3101658617999998</v>
      </c>
      <c r="I238" s="489">
        <f t="shared" ca="1" si="145"/>
        <v>1.3008739053333331</v>
      </c>
      <c r="J238" s="489">
        <f t="shared" ca="1" si="145"/>
        <v>1.2915819488666664</v>
      </c>
      <c r="K238" s="489">
        <f t="shared" ca="1" si="145"/>
        <v>1.2822899923999997</v>
      </c>
      <c r="L238" s="489">
        <f t="shared" ca="1" si="145"/>
        <v>1.2743254582857142</v>
      </c>
      <c r="M238" s="489">
        <f t="shared" ca="1" si="145"/>
        <v>1.2663609241714284</v>
      </c>
      <c r="N238" s="489">
        <f t="shared" ca="1" si="145"/>
        <v>1.2583963900571427</v>
      </c>
      <c r="O238" s="489">
        <f t="shared" ca="1" si="145"/>
        <v>1.2504318559428569</v>
      </c>
      <c r="P238" s="489">
        <f t="shared" ca="1" si="145"/>
        <v>1.2424673218285713</v>
      </c>
      <c r="Q238" s="489">
        <f t="shared" ca="1" si="145"/>
        <v>1.2345027877142856</v>
      </c>
      <c r="R238" s="489">
        <f t="shared" ca="1" si="145"/>
        <v>1.2265382535999998</v>
      </c>
      <c r="S238" s="489">
        <f t="shared" ca="1" si="145"/>
        <v>1.2056313515499999</v>
      </c>
      <c r="T238" s="490">
        <f t="shared" ca="1" si="145"/>
        <v>1.1847244495</v>
      </c>
      <c r="U238" s="585"/>
      <c r="V238" s="276"/>
      <c r="W238" s="277"/>
      <c r="X238" s="277"/>
      <c r="Y238" s="277"/>
    </row>
    <row r="239" spans="1:25" s="279" customFormat="1">
      <c r="A239">
        <f>IF(B239="","",IFERROR(MATCH(B239,'Data Processing'!$C:$C,0),""))</f>
        <v>36</v>
      </c>
      <c r="B239" s="215" t="s">
        <v>1164</v>
      </c>
      <c r="C239" s="223" t="str">
        <f>INDEX('Data Processing'!$G:$G,A239)</f>
        <v>Due to Affiliate - Draft</v>
      </c>
      <c r="D239" s="249">
        <f>INDEX('Data Processing'!O:O,$A239)</f>
        <v>0</v>
      </c>
      <c r="E239" s="128">
        <f ca="1">INDEX('Data Processing'!P:P,$A239)</f>
        <v>0</v>
      </c>
      <c r="F239" s="128">
        <f ca="1">INDEX('Data Processing'!Q:Q,$A239)</f>
        <v>0</v>
      </c>
      <c r="G239" s="128">
        <f ca="1">INDEX('Data Processing'!R:R,$A239)</f>
        <v>0</v>
      </c>
      <c r="H239" s="128">
        <f ca="1">INDEX('Data Processing'!S:S,$A239)</f>
        <v>0</v>
      </c>
      <c r="I239" s="128">
        <f ca="1">INDEX('Data Processing'!T:T,$A239)</f>
        <v>0</v>
      </c>
      <c r="J239" s="128">
        <f ca="1">INDEX('Data Processing'!U:U,$A239)</f>
        <v>0</v>
      </c>
      <c r="K239" s="128">
        <f ca="1">INDEX('Data Processing'!V:V,$A239)</f>
        <v>0</v>
      </c>
      <c r="L239" s="128">
        <f ca="1">INDEX('Data Processing'!W:W,$A239)</f>
        <v>0</v>
      </c>
      <c r="M239" s="128">
        <f ca="1">INDEX('Data Processing'!X:X,$A239)</f>
        <v>0</v>
      </c>
      <c r="N239" s="128">
        <f ca="1">INDEX('Data Processing'!Y:Y,$A239)</f>
        <v>0</v>
      </c>
      <c r="O239" s="128">
        <f ca="1">INDEX('Data Processing'!Z:Z,$A239)</f>
        <v>0</v>
      </c>
      <c r="P239" s="128">
        <f ca="1">INDEX('Data Processing'!AA:AA,$A239)</f>
        <v>0</v>
      </c>
      <c r="Q239" s="128">
        <f ca="1">INDEX('Data Processing'!AB:AB,$A239)</f>
        <v>0</v>
      </c>
      <c r="R239" s="128">
        <f ca="1">INDEX('Data Processing'!AC:AC,$A239)</f>
        <v>0</v>
      </c>
      <c r="S239" s="128">
        <f ca="1">INDEX('Data Processing'!AD:AD,$A239)</f>
        <v>0</v>
      </c>
      <c r="T239" s="129">
        <f ca="1">INDEX('Data Processing'!AE:AE,$A239)</f>
        <v>0</v>
      </c>
      <c r="U239" s="278"/>
      <c r="V239" s="120"/>
    </row>
    <row r="240" spans="1:25" s="487" customFormat="1" ht="15" customHeight="1">
      <c r="A240" s="440" t="str">
        <f>IF(B240="","",IFERROR(MATCH(B240,'Data Processing'!$C:$C,0),""))</f>
        <v/>
      </c>
      <c r="B240" s="583"/>
      <c r="C240" s="565" t="s">
        <v>1005</v>
      </c>
      <c r="D240" s="488"/>
      <c r="E240" s="454">
        <f>D239</f>
        <v>0</v>
      </c>
      <c r="F240" s="454">
        <f t="shared" ref="F240" ca="1" si="146">E239</f>
        <v>0</v>
      </c>
      <c r="G240" s="454">
        <f t="shared" ref="G240" ca="1" si="147">F239</f>
        <v>0</v>
      </c>
      <c r="H240" s="454">
        <f t="shared" ref="H240" ca="1" si="148">G239</f>
        <v>0</v>
      </c>
      <c r="I240" s="454">
        <f t="shared" ref="I240" ca="1" si="149">H239</f>
        <v>0</v>
      </c>
      <c r="J240" s="454">
        <f t="shared" ref="J240" ca="1" si="150">I239</f>
        <v>0</v>
      </c>
      <c r="K240" s="454">
        <f t="shared" ref="K240" ca="1" si="151">J239</f>
        <v>0</v>
      </c>
      <c r="L240" s="454">
        <f t="shared" ref="L240" ca="1" si="152">K239</f>
        <v>0</v>
      </c>
      <c r="M240" s="454">
        <f t="shared" ref="M240" ca="1" si="153">L239</f>
        <v>0</v>
      </c>
      <c r="N240" s="454">
        <f t="shared" ref="N240" ca="1" si="154">M239</f>
        <v>0</v>
      </c>
      <c r="O240" s="454">
        <f t="shared" ref="O240" ca="1" si="155">N239</f>
        <v>0</v>
      </c>
      <c r="P240" s="454">
        <f t="shared" ref="P240" ca="1" si="156">O239</f>
        <v>0</v>
      </c>
      <c r="Q240" s="454">
        <f t="shared" ref="Q240" ca="1" si="157">P239</f>
        <v>0</v>
      </c>
      <c r="R240" s="454">
        <f t="shared" ref="R240" ca="1" si="158">Q239</f>
        <v>0</v>
      </c>
      <c r="S240" s="454">
        <f t="shared" ref="S240" ca="1" si="159">R239</f>
        <v>0</v>
      </c>
      <c r="T240" s="455">
        <f t="shared" ref="T240" ca="1" si="160">S239</f>
        <v>0</v>
      </c>
      <c r="U240" s="485"/>
      <c r="V240" s="233" t="s">
        <v>1046</v>
      </c>
      <c r="W240" s="279"/>
      <c r="X240" s="279"/>
      <c r="Y240" s="279"/>
    </row>
    <row r="241" spans="1:25" s="521" customFormat="1">
      <c r="A241" s="440" t="str">
        <f>IF(B241="","",IFERROR(MATCH(B241,'Data Processing'!$C:$C,0),""))</f>
        <v/>
      </c>
      <c r="B241" s="522"/>
      <c r="C241" s="565" t="s">
        <v>51</v>
      </c>
      <c r="D241" s="454"/>
      <c r="E241" s="454">
        <f>INDEX('Data Processing'!CX:CX,$A239)</f>
        <v>0</v>
      </c>
      <c r="F241" s="454">
        <f>INDEX('Data Processing'!CY:CY,$A239)</f>
        <v>0</v>
      </c>
      <c r="G241" s="454">
        <f>INDEX('Data Processing'!CZ:CZ,$A239)</f>
        <v>0</v>
      </c>
      <c r="H241" s="454">
        <f>INDEX('Data Processing'!DA:DA,$A239)</f>
        <v>0</v>
      </c>
      <c r="I241" s="454">
        <f>INDEX('Data Processing'!DB:DB,$A239)</f>
        <v>0</v>
      </c>
      <c r="J241" s="454">
        <f>INDEX('Data Processing'!DC:DC,$A239)</f>
        <v>0</v>
      </c>
      <c r="K241" s="454">
        <f>INDEX('Data Processing'!DD:DD,$A239)</f>
        <v>0</v>
      </c>
      <c r="L241" s="454">
        <f>INDEX('Data Processing'!DE:DE,$A239)</f>
        <v>0</v>
      </c>
      <c r="M241" s="454">
        <f>INDEX('Data Processing'!DF:DF,$A239)</f>
        <v>0</v>
      </c>
      <c r="N241" s="454">
        <f>INDEX('Data Processing'!DG:DG,$A239)</f>
        <v>0</v>
      </c>
      <c r="O241" s="454">
        <f>INDEX('Data Processing'!DH:DH,$A239)</f>
        <v>0</v>
      </c>
      <c r="P241" s="454">
        <f>INDEX('Data Processing'!DI:DI,$A239)</f>
        <v>0</v>
      </c>
      <c r="Q241" s="454">
        <f>INDEX('Data Processing'!DJ:DJ,$A239)</f>
        <v>0</v>
      </c>
      <c r="R241" s="454">
        <f>INDEX('Data Processing'!DK:DK,$A239)</f>
        <v>0</v>
      </c>
      <c r="S241" s="454">
        <f>INDEX('Data Processing'!DL:DL,$A239)</f>
        <v>0</v>
      </c>
      <c r="T241" s="455">
        <f>INDEX('Data Processing'!DM:DM,$A239)</f>
        <v>0</v>
      </c>
      <c r="U241" s="524"/>
      <c r="V241" s="120"/>
      <c r="W241" s="126"/>
      <c r="X241" s="126"/>
      <c r="Y241" s="126"/>
    </row>
    <row r="242" spans="1:25" s="561" customFormat="1">
      <c r="A242" s="440" t="str">
        <f>IF(B242="","",IFERROR(MATCH(B242,'Data Processing'!$C:$C,0),""))</f>
        <v/>
      </c>
      <c r="B242" s="583"/>
      <c r="C242" s="567" t="s">
        <v>50</v>
      </c>
      <c r="D242" s="488"/>
      <c r="E242" s="553">
        <f ca="1">INDEX('Data Processing'!BU:BU,$A239)</f>
        <v>3.9999999999999994E-2</v>
      </c>
      <c r="F242" s="553">
        <f ca="1">INDEX('Data Processing'!BV:BV,$A239)</f>
        <v>6.6666666666666662E-3</v>
      </c>
      <c r="G242" s="553">
        <f ca="1">INDEX('Data Processing'!BW:BW,$A239)</f>
        <v>6.6666666666666662E-3</v>
      </c>
      <c r="H242" s="553">
        <f ca="1">INDEX('Data Processing'!BX:BX,$A239)</f>
        <v>6.6666666666666662E-3</v>
      </c>
      <c r="I242" s="553">
        <f ca="1">INDEX('Data Processing'!BY:BY,$A239)</f>
        <v>6.6666666666666662E-3</v>
      </c>
      <c r="J242" s="553">
        <f ca="1">INDEX('Data Processing'!BZ:BZ,$A239)</f>
        <v>6.6666666666666662E-3</v>
      </c>
      <c r="K242" s="553">
        <f ca="1">INDEX('Data Processing'!CA:CA,$A239)</f>
        <v>6.6666666666666662E-3</v>
      </c>
      <c r="L242" s="553">
        <f ca="1">INDEX('Data Processing'!CB:CB,$A239)</f>
        <v>5.7142857142857143E-3</v>
      </c>
      <c r="M242" s="553">
        <f ca="1">INDEX('Data Processing'!CC:CC,$A239)</f>
        <v>5.7142857142857143E-3</v>
      </c>
      <c r="N242" s="553">
        <f ca="1">INDEX('Data Processing'!CD:CD,$A239)</f>
        <v>5.7142857142857143E-3</v>
      </c>
      <c r="O242" s="553">
        <f ca="1">INDEX('Data Processing'!CE:CE,$A239)</f>
        <v>5.7142857142857143E-3</v>
      </c>
      <c r="P242" s="553">
        <f ca="1">INDEX('Data Processing'!CF:CF,$A239)</f>
        <v>5.7142857142857143E-3</v>
      </c>
      <c r="Q242" s="553">
        <f ca="1">INDEX('Data Processing'!CG:CG,$A239)</f>
        <v>5.7142857142857143E-3</v>
      </c>
      <c r="R242" s="553">
        <f ca="1">INDEX('Data Processing'!CH:CH,$A239)</f>
        <v>5.7142857142857143E-3</v>
      </c>
      <c r="S242" s="553">
        <f ca="1">INDEX('Data Processing'!CI:CI,$A239)</f>
        <v>1.4999999999999999E-2</v>
      </c>
      <c r="T242" s="554">
        <f ca="1">INDEX('Data Processing'!CJ:CJ,$A239)</f>
        <v>1.4999999999999999E-2</v>
      </c>
      <c r="U242" s="551"/>
      <c r="V242" s="271"/>
      <c r="W242" s="272"/>
      <c r="X242" s="272"/>
      <c r="Y242" s="272"/>
    </row>
    <row r="243" spans="1:25" s="587" customFormat="1">
      <c r="A243" s="440" t="str">
        <f>IF(B243="","",IFERROR(MATCH(B243,'Data Processing'!$C:$C,0),""))</f>
        <v/>
      </c>
      <c r="B243" s="522"/>
      <c r="C243" s="523" t="s">
        <v>998</v>
      </c>
      <c r="D243" s="504"/>
      <c r="E243" s="489">
        <f ca="1">INDEX('Data Processing'!AS:AS,$A239)</f>
        <v>0</v>
      </c>
      <c r="F243" s="489">
        <f ca="1">INDEX('Data Processing'!AT:AT,$A239)</f>
        <v>0</v>
      </c>
      <c r="G243" s="489">
        <f ca="1">INDEX('Data Processing'!AU:AU,$A239)</f>
        <v>0</v>
      </c>
      <c r="H243" s="489">
        <f ca="1">INDEX('Data Processing'!AV:AV,$A239)</f>
        <v>0</v>
      </c>
      <c r="I243" s="489">
        <f ca="1">INDEX('Data Processing'!AW:AW,$A239)</f>
        <v>0</v>
      </c>
      <c r="J243" s="489">
        <f ca="1">INDEX('Data Processing'!AX:AX,$A239)</f>
        <v>0</v>
      </c>
      <c r="K243" s="489">
        <f ca="1">INDEX('Data Processing'!AY:AY,$A239)</f>
        <v>0</v>
      </c>
      <c r="L243" s="489">
        <f ca="1">INDEX('Data Processing'!AZ:AZ,$A239)</f>
        <v>0</v>
      </c>
      <c r="M243" s="489">
        <f ca="1">INDEX('Data Processing'!BA:BA,$A239)</f>
        <v>0</v>
      </c>
      <c r="N243" s="489">
        <f ca="1">INDEX('Data Processing'!BB:BB,$A239)</f>
        <v>0</v>
      </c>
      <c r="O243" s="489">
        <f ca="1">INDEX('Data Processing'!BC:BC,$A239)</f>
        <v>0</v>
      </c>
      <c r="P243" s="489">
        <f ca="1">INDEX('Data Processing'!BD:BD,$A239)</f>
        <v>0</v>
      </c>
      <c r="Q243" s="489">
        <f ca="1">INDEX('Data Processing'!BE:BE,$A239)</f>
        <v>0</v>
      </c>
      <c r="R243" s="489">
        <f ca="1">INDEX('Data Processing'!BF:BF,$A239)</f>
        <v>0</v>
      </c>
      <c r="S243" s="489">
        <f ca="1">INDEX('Data Processing'!BG:BG,$A239)</f>
        <v>0</v>
      </c>
      <c r="T243" s="490">
        <f ca="1">INDEX('Data Processing'!BH:BH,$A239)</f>
        <v>0</v>
      </c>
      <c r="U243" s="585"/>
      <c r="V243" s="276"/>
      <c r="W243" s="277"/>
      <c r="X243" s="277"/>
      <c r="Y243" s="277"/>
    </row>
    <row r="244" spans="1:25" s="587" customFormat="1">
      <c r="A244" s="440" t="str">
        <f>IF(B244="","",IFERROR(MATCH(B244,'Data Processing'!$C:$C,0),""))</f>
        <v/>
      </c>
      <c r="B244" s="522"/>
      <c r="C244" s="523" t="s">
        <v>1012</v>
      </c>
      <c r="D244" s="488"/>
      <c r="E244" s="489">
        <f t="shared" ref="E244:T244" ca="1" si="161">E240-E243</f>
        <v>0</v>
      </c>
      <c r="F244" s="489">
        <f t="shared" ca="1" si="161"/>
        <v>0</v>
      </c>
      <c r="G244" s="489">
        <f t="shared" ca="1" si="161"/>
        <v>0</v>
      </c>
      <c r="H244" s="489">
        <f t="shared" ca="1" si="161"/>
        <v>0</v>
      </c>
      <c r="I244" s="489">
        <f t="shared" ca="1" si="161"/>
        <v>0</v>
      </c>
      <c r="J244" s="489">
        <f t="shared" ca="1" si="161"/>
        <v>0</v>
      </c>
      <c r="K244" s="489">
        <f t="shared" ca="1" si="161"/>
        <v>0</v>
      </c>
      <c r="L244" s="489">
        <f t="shared" ca="1" si="161"/>
        <v>0</v>
      </c>
      <c r="M244" s="489">
        <f t="shared" ca="1" si="161"/>
        <v>0</v>
      </c>
      <c r="N244" s="489">
        <f t="shared" ca="1" si="161"/>
        <v>0</v>
      </c>
      <c r="O244" s="489">
        <f t="shared" ca="1" si="161"/>
        <v>0</v>
      </c>
      <c r="P244" s="489">
        <f t="shared" ca="1" si="161"/>
        <v>0</v>
      </c>
      <c r="Q244" s="489">
        <f t="shared" ca="1" si="161"/>
        <v>0</v>
      </c>
      <c r="R244" s="489">
        <f t="shared" ca="1" si="161"/>
        <v>0</v>
      </c>
      <c r="S244" s="489">
        <f t="shared" ca="1" si="161"/>
        <v>0</v>
      </c>
      <c r="T244" s="490">
        <f t="shared" ca="1" si="161"/>
        <v>0</v>
      </c>
      <c r="U244" s="585"/>
      <c r="V244" s="276"/>
      <c r="W244" s="277"/>
      <c r="X244" s="277"/>
      <c r="Y244" s="277"/>
    </row>
    <row r="245" spans="1:25" s="279" customFormat="1">
      <c r="A245">
        <f>IF(B245="","",IFERROR(MATCH(B245,'Data Processing'!$C:$C,0),""))</f>
        <v>37</v>
      </c>
      <c r="B245" s="215" t="s">
        <v>1165</v>
      </c>
      <c r="C245" s="223" t="str">
        <f>INDEX('Data Processing'!$G:$G,A245)</f>
        <v>Due to Affiliate - Call Loans</v>
      </c>
      <c r="D245" s="249">
        <f>INDEX('Data Processing'!O:O,$A245)</f>
        <v>0</v>
      </c>
      <c r="E245" s="128">
        <f ca="1">INDEX('Data Processing'!P:P,$A245)</f>
        <v>0</v>
      </c>
      <c r="F245" s="128">
        <f ca="1">INDEX('Data Processing'!Q:Q,$A245)</f>
        <v>0</v>
      </c>
      <c r="G245" s="128">
        <f ca="1">INDEX('Data Processing'!R:R,$A245)</f>
        <v>0</v>
      </c>
      <c r="H245" s="128">
        <f ca="1">INDEX('Data Processing'!S:S,$A245)</f>
        <v>0</v>
      </c>
      <c r="I245" s="128">
        <f ca="1">INDEX('Data Processing'!T:T,$A245)</f>
        <v>0</v>
      </c>
      <c r="J245" s="128">
        <f ca="1">INDEX('Data Processing'!U:U,$A245)</f>
        <v>0</v>
      </c>
      <c r="K245" s="128">
        <f ca="1">INDEX('Data Processing'!V:V,$A245)</f>
        <v>0</v>
      </c>
      <c r="L245" s="128">
        <f ca="1">INDEX('Data Processing'!W:W,$A245)</f>
        <v>0</v>
      </c>
      <c r="M245" s="128">
        <f ca="1">INDEX('Data Processing'!X:X,$A245)</f>
        <v>0</v>
      </c>
      <c r="N245" s="128">
        <f ca="1">INDEX('Data Processing'!Y:Y,$A245)</f>
        <v>0</v>
      </c>
      <c r="O245" s="128">
        <f ca="1">INDEX('Data Processing'!Z:Z,$A245)</f>
        <v>0</v>
      </c>
      <c r="P245" s="128">
        <f ca="1">INDEX('Data Processing'!AA:AA,$A245)</f>
        <v>0</v>
      </c>
      <c r="Q245" s="128">
        <f ca="1">INDEX('Data Processing'!AB:AB,$A245)</f>
        <v>0</v>
      </c>
      <c r="R245" s="128">
        <f ca="1">INDEX('Data Processing'!AC:AC,$A245)</f>
        <v>0</v>
      </c>
      <c r="S245" s="128">
        <f ca="1">INDEX('Data Processing'!AD:AD,$A245)</f>
        <v>0</v>
      </c>
      <c r="T245" s="129">
        <f ca="1">INDEX('Data Processing'!AE:AE,$A245)</f>
        <v>0</v>
      </c>
      <c r="U245" s="278"/>
      <c r="V245" s="120"/>
    </row>
    <row r="246" spans="1:25" s="487" customFormat="1" ht="15" customHeight="1">
      <c r="A246" s="440" t="str">
        <f>IF(B246="","",IFERROR(MATCH(B246,'Data Processing'!$C:$C,0),""))</f>
        <v/>
      </c>
      <c r="B246" s="583"/>
      <c r="C246" s="565" t="s">
        <v>1005</v>
      </c>
      <c r="D246" s="488"/>
      <c r="E246" s="454">
        <f>D245</f>
        <v>0</v>
      </c>
      <c r="F246" s="454">
        <f t="shared" ref="F246" ca="1" si="162">E245</f>
        <v>0</v>
      </c>
      <c r="G246" s="454">
        <f t="shared" ref="G246" ca="1" si="163">F245</f>
        <v>0</v>
      </c>
      <c r="H246" s="454">
        <f t="shared" ref="H246" ca="1" si="164">G245</f>
        <v>0</v>
      </c>
      <c r="I246" s="454">
        <f t="shared" ref="I246" ca="1" si="165">H245</f>
        <v>0</v>
      </c>
      <c r="J246" s="454">
        <f t="shared" ref="J246" ca="1" si="166">I245</f>
        <v>0</v>
      </c>
      <c r="K246" s="454">
        <f t="shared" ref="K246" ca="1" si="167">J245</f>
        <v>0</v>
      </c>
      <c r="L246" s="454">
        <f t="shared" ref="L246" ca="1" si="168">K245</f>
        <v>0</v>
      </c>
      <c r="M246" s="454">
        <f t="shared" ref="M246" ca="1" si="169">L245</f>
        <v>0</v>
      </c>
      <c r="N246" s="454">
        <f t="shared" ref="N246" ca="1" si="170">M245</f>
        <v>0</v>
      </c>
      <c r="O246" s="454">
        <f t="shared" ref="O246" ca="1" si="171">N245</f>
        <v>0</v>
      </c>
      <c r="P246" s="454">
        <f t="shared" ref="P246" ca="1" si="172">O245</f>
        <v>0</v>
      </c>
      <c r="Q246" s="454">
        <f t="shared" ref="Q246" ca="1" si="173">P245</f>
        <v>0</v>
      </c>
      <c r="R246" s="454">
        <f t="shared" ref="R246" ca="1" si="174">Q245</f>
        <v>0</v>
      </c>
      <c r="S246" s="454">
        <f t="shared" ref="S246" ca="1" si="175">R245</f>
        <v>0</v>
      </c>
      <c r="T246" s="455">
        <f t="shared" ref="T246" ca="1" si="176">S245</f>
        <v>0</v>
      </c>
      <c r="U246" s="485"/>
      <c r="V246" s="233" t="s">
        <v>1046</v>
      </c>
      <c r="W246" s="279"/>
      <c r="X246" s="279"/>
      <c r="Y246" s="279"/>
    </row>
    <row r="247" spans="1:25" s="521" customFormat="1">
      <c r="A247" s="440" t="str">
        <f>IF(B247="","",IFERROR(MATCH(B247,'Data Processing'!$C:$C,0),""))</f>
        <v/>
      </c>
      <c r="B247" s="522"/>
      <c r="C247" s="565" t="s">
        <v>51</v>
      </c>
      <c r="D247" s="454"/>
      <c r="E247" s="454">
        <f>INDEX('Data Processing'!CX:CX,$A245)</f>
        <v>0</v>
      </c>
      <c r="F247" s="454">
        <f>INDEX('Data Processing'!CY:CY,$A245)</f>
        <v>0</v>
      </c>
      <c r="G247" s="454">
        <f>INDEX('Data Processing'!CZ:CZ,$A245)</f>
        <v>0</v>
      </c>
      <c r="H247" s="454">
        <f>INDEX('Data Processing'!DA:DA,$A245)</f>
        <v>0</v>
      </c>
      <c r="I247" s="454">
        <f>INDEX('Data Processing'!DB:DB,$A245)</f>
        <v>0</v>
      </c>
      <c r="J247" s="454">
        <f>INDEX('Data Processing'!DC:DC,$A245)</f>
        <v>0</v>
      </c>
      <c r="K247" s="454">
        <f>INDEX('Data Processing'!DD:DD,$A245)</f>
        <v>0</v>
      </c>
      <c r="L247" s="454">
        <f>INDEX('Data Processing'!DE:DE,$A245)</f>
        <v>0</v>
      </c>
      <c r="M247" s="454">
        <f>INDEX('Data Processing'!DF:DF,$A245)</f>
        <v>0</v>
      </c>
      <c r="N247" s="454">
        <f>INDEX('Data Processing'!DG:DG,$A245)</f>
        <v>0</v>
      </c>
      <c r="O247" s="454">
        <f>INDEX('Data Processing'!DH:DH,$A245)</f>
        <v>0</v>
      </c>
      <c r="P247" s="454">
        <f>INDEX('Data Processing'!DI:DI,$A245)</f>
        <v>0</v>
      </c>
      <c r="Q247" s="454">
        <f>INDEX('Data Processing'!DJ:DJ,$A245)</f>
        <v>0</v>
      </c>
      <c r="R247" s="454">
        <f>INDEX('Data Processing'!DK:DK,$A245)</f>
        <v>0</v>
      </c>
      <c r="S247" s="454">
        <f>INDEX('Data Processing'!DL:DL,$A245)</f>
        <v>0</v>
      </c>
      <c r="T247" s="455">
        <f>INDEX('Data Processing'!DM:DM,$A245)</f>
        <v>0</v>
      </c>
      <c r="U247" s="524"/>
      <c r="V247" s="120"/>
      <c r="W247" s="126"/>
      <c r="X247" s="126"/>
      <c r="Y247" s="126"/>
    </row>
    <row r="248" spans="1:25" s="561" customFormat="1">
      <c r="A248" s="440" t="str">
        <f>IF(B248="","",IFERROR(MATCH(B248,'Data Processing'!$C:$C,0),""))</f>
        <v/>
      </c>
      <c r="B248" s="583"/>
      <c r="C248" s="567" t="s">
        <v>50</v>
      </c>
      <c r="D248" s="488"/>
      <c r="E248" s="553">
        <f ca="1">INDEX('Data Processing'!BU:BU,$A245)</f>
        <v>1</v>
      </c>
      <c r="F248" s="553">
        <f ca="1">INDEX('Data Processing'!BV:BV,$A245)</f>
        <v>1</v>
      </c>
      <c r="G248" s="553">
        <f ca="1">INDEX('Data Processing'!BW:BW,$A245)</f>
        <v>1</v>
      </c>
      <c r="H248" s="553">
        <f ca="1">INDEX('Data Processing'!BX:BX,$A245)</f>
        <v>1</v>
      </c>
      <c r="I248" s="553">
        <f ca="1">INDEX('Data Processing'!BY:BY,$A245)</f>
        <v>1</v>
      </c>
      <c r="J248" s="553">
        <f ca="1">INDEX('Data Processing'!BZ:BZ,$A245)</f>
        <v>1</v>
      </c>
      <c r="K248" s="553">
        <f ca="1">INDEX('Data Processing'!CA:CA,$A245)</f>
        <v>1</v>
      </c>
      <c r="L248" s="553">
        <f ca="1">INDEX('Data Processing'!CB:CB,$A245)</f>
        <v>1</v>
      </c>
      <c r="M248" s="553">
        <f ca="1">INDEX('Data Processing'!CC:CC,$A245)</f>
        <v>1</v>
      </c>
      <c r="N248" s="553">
        <f ca="1">INDEX('Data Processing'!CD:CD,$A245)</f>
        <v>1</v>
      </c>
      <c r="O248" s="553">
        <f ca="1">INDEX('Data Processing'!CE:CE,$A245)</f>
        <v>1</v>
      </c>
      <c r="P248" s="553">
        <f ca="1">INDEX('Data Processing'!CF:CF,$A245)</f>
        <v>1</v>
      </c>
      <c r="Q248" s="553">
        <f ca="1">INDEX('Data Processing'!CG:CG,$A245)</f>
        <v>1</v>
      </c>
      <c r="R248" s="553">
        <f ca="1">INDEX('Data Processing'!CH:CH,$A245)</f>
        <v>1</v>
      </c>
      <c r="S248" s="553">
        <f ca="1">INDEX('Data Processing'!CI:CI,$A245)</f>
        <v>1</v>
      </c>
      <c r="T248" s="554">
        <f ca="1">INDEX('Data Processing'!CJ:CJ,$A245)</f>
        <v>1</v>
      </c>
      <c r="U248" s="551"/>
      <c r="V248" s="271"/>
      <c r="W248" s="272"/>
      <c r="X248" s="272"/>
      <c r="Y248" s="272"/>
    </row>
    <row r="249" spans="1:25" s="587" customFormat="1">
      <c r="A249" s="440" t="str">
        <f>IF(B249="","",IFERROR(MATCH(B249,'Data Processing'!$C:$C,0),""))</f>
        <v/>
      </c>
      <c r="B249" s="522"/>
      <c r="C249" s="523" t="s">
        <v>998</v>
      </c>
      <c r="D249" s="504"/>
      <c r="E249" s="489">
        <f ca="1">INDEX('Data Processing'!AS:AS,$A245)</f>
        <v>0</v>
      </c>
      <c r="F249" s="489">
        <f ca="1">INDEX('Data Processing'!AT:AT,$A245)</f>
        <v>0</v>
      </c>
      <c r="G249" s="489">
        <f ca="1">INDEX('Data Processing'!AU:AU,$A245)</f>
        <v>0</v>
      </c>
      <c r="H249" s="489">
        <f ca="1">INDEX('Data Processing'!AV:AV,$A245)</f>
        <v>0</v>
      </c>
      <c r="I249" s="489">
        <f ca="1">INDEX('Data Processing'!AW:AW,$A245)</f>
        <v>0</v>
      </c>
      <c r="J249" s="489">
        <f ca="1">INDEX('Data Processing'!AX:AX,$A245)</f>
        <v>0</v>
      </c>
      <c r="K249" s="489">
        <f ca="1">INDEX('Data Processing'!AY:AY,$A245)</f>
        <v>0</v>
      </c>
      <c r="L249" s="489">
        <f ca="1">INDEX('Data Processing'!AZ:AZ,$A245)</f>
        <v>0</v>
      </c>
      <c r="M249" s="489">
        <f ca="1">INDEX('Data Processing'!BA:BA,$A245)</f>
        <v>0</v>
      </c>
      <c r="N249" s="489">
        <f ca="1">INDEX('Data Processing'!BB:BB,$A245)</f>
        <v>0</v>
      </c>
      <c r="O249" s="489">
        <f ca="1">INDEX('Data Processing'!BC:BC,$A245)</f>
        <v>0</v>
      </c>
      <c r="P249" s="489">
        <f ca="1">INDEX('Data Processing'!BD:BD,$A245)</f>
        <v>0</v>
      </c>
      <c r="Q249" s="489">
        <f ca="1">INDEX('Data Processing'!BE:BE,$A245)</f>
        <v>0</v>
      </c>
      <c r="R249" s="489">
        <f ca="1">INDEX('Data Processing'!BF:BF,$A245)</f>
        <v>0</v>
      </c>
      <c r="S249" s="489">
        <f ca="1">INDEX('Data Processing'!BG:BG,$A245)</f>
        <v>0</v>
      </c>
      <c r="T249" s="490">
        <f ca="1">INDEX('Data Processing'!BH:BH,$A245)</f>
        <v>0</v>
      </c>
      <c r="U249" s="585"/>
      <c r="V249" s="276"/>
      <c r="W249" s="277"/>
      <c r="X249" s="277"/>
      <c r="Y249" s="277"/>
    </row>
    <row r="250" spans="1:25" s="587" customFormat="1">
      <c r="A250" s="440" t="str">
        <f>IF(B250="","",IFERROR(MATCH(B250,'Data Processing'!$C:$C,0),""))</f>
        <v/>
      </c>
      <c r="B250" s="522"/>
      <c r="C250" s="523" t="s">
        <v>1012</v>
      </c>
      <c r="D250" s="488"/>
      <c r="E250" s="489">
        <f t="shared" ref="E250:T250" ca="1" si="177">E246-E249</f>
        <v>0</v>
      </c>
      <c r="F250" s="489">
        <f t="shared" ca="1" si="177"/>
        <v>0</v>
      </c>
      <c r="G250" s="489">
        <f t="shared" ca="1" si="177"/>
        <v>0</v>
      </c>
      <c r="H250" s="489">
        <f t="shared" ca="1" si="177"/>
        <v>0</v>
      </c>
      <c r="I250" s="489">
        <f t="shared" ca="1" si="177"/>
        <v>0</v>
      </c>
      <c r="J250" s="489">
        <f t="shared" ca="1" si="177"/>
        <v>0</v>
      </c>
      <c r="K250" s="489">
        <f t="shared" ca="1" si="177"/>
        <v>0</v>
      </c>
      <c r="L250" s="489">
        <f t="shared" ca="1" si="177"/>
        <v>0</v>
      </c>
      <c r="M250" s="489">
        <f t="shared" ca="1" si="177"/>
        <v>0</v>
      </c>
      <c r="N250" s="489">
        <f t="shared" ca="1" si="177"/>
        <v>0</v>
      </c>
      <c r="O250" s="489">
        <f t="shared" ca="1" si="177"/>
        <v>0</v>
      </c>
      <c r="P250" s="489">
        <f t="shared" ca="1" si="177"/>
        <v>0</v>
      </c>
      <c r="Q250" s="489">
        <f t="shared" ca="1" si="177"/>
        <v>0</v>
      </c>
      <c r="R250" s="489">
        <f t="shared" ca="1" si="177"/>
        <v>0</v>
      </c>
      <c r="S250" s="489">
        <f t="shared" ca="1" si="177"/>
        <v>0</v>
      </c>
      <c r="T250" s="490">
        <f t="shared" ca="1" si="177"/>
        <v>0</v>
      </c>
      <c r="U250" s="585"/>
      <c r="V250" s="276"/>
      <c r="W250" s="277"/>
      <c r="X250" s="277"/>
      <c r="Y250" s="277"/>
    </row>
    <row r="251" spans="1:25" s="279" customFormat="1">
      <c r="A251">
        <f>IF(B251="","",IFERROR(MATCH(B251,'Data Processing'!$C:$C,0),""))</f>
        <v>34</v>
      </c>
      <c r="B251" s="215" t="s">
        <v>997</v>
      </c>
      <c r="C251" s="223" t="str">
        <f>INDEX('Data Processing'!$G:$G,A251)</f>
        <v>Due to Affiliate - Investment - Non-US</v>
      </c>
      <c r="D251" s="249">
        <f>INDEX('Data Processing'!O:O,$A251)</f>
        <v>316.77946496999999</v>
      </c>
      <c r="E251" s="128">
        <f ca="1">INDEX('Data Processing'!P:P,$A251)</f>
        <v>304.10828637119999</v>
      </c>
      <c r="F251" s="128">
        <f ca="1">INDEX('Data Processing'!Q:Q,$A251)</f>
        <v>301.99642327139998</v>
      </c>
      <c r="G251" s="128">
        <f ca="1">INDEX('Data Processing'!R:R,$A251)</f>
        <v>299.88456017160001</v>
      </c>
      <c r="H251" s="128">
        <f ca="1">INDEX('Data Processing'!S:S,$A251)</f>
        <v>297.7726970718</v>
      </c>
      <c r="I251" s="128">
        <f ca="1">INDEX('Data Processing'!T:T,$A251)</f>
        <v>295.66083397199998</v>
      </c>
      <c r="J251" s="128">
        <f ca="1">INDEX('Data Processing'!U:U,$A251)</f>
        <v>293.54897087220002</v>
      </c>
      <c r="K251" s="128">
        <f ca="1">INDEX('Data Processing'!V:V,$A251)</f>
        <v>291.4371077724</v>
      </c>
      <c r="L251" s="128">
        <f ca="1">INDEX('Data Processing'!W:W,$A251)</f>
        <v>289.62693940114286</v>
      </c>
      <c r="M251" s="128">
        <f ca="1">INDEX('Data Processing'!X:X,$A251)</f>
        <v>287.81677102988573</v>
      </c>
      <c r="N251" s="128">
        <f ca="1">INDEX('Data Processing'!Y:Y,$A251)</f>
        <v>286.00660265862859</v>
      </c>
      <c r="O251" s="128">
        <f ca="1">INDEX('Data Processing'!Z:Z,$A251)</f>
        <v>284.1964342873714</v>
      </c>
      <c r="P251" s="128">
        <f ca="1">INDEX('Data Processing'!AA:AA,$A251)</f>
        <v>282.38626591611427</v>
      </c>
      <c r="Q251" s="128">
        <f ca="1">INDEX('Data Processing'!AB:AB,$A251)</f>
        <v>280.57609754485713</v>
      </c>
      <c r="R251" s="128">
        <f ca="1">INDEX('Data Processing'!AC:AC,$A251)</f>
        <v>278.7659291736</v>
      </c>
      <c r="S251" s="128">
        <f ca="1">INDEX('Data Processing'!AD:AD,$A251)</f>
        <v>274.01423719905</v>
      </c>
      <c r="T251" s="129">
        <f ca="1">INDEX('Data Processing'!AE:AE,$A251)</f>
        <v>269.2625452245</v>
      </c>
      <c r="U251" s="278"/>
      <c r="V251" s="120"/>
    </row>
    <row r="252" spans="1:25" s="487" customFormat="1" ht="15" customHeight="1">
      <c r="A252" s="440" t="str">
        <f>IF(B252="","",IFERROR(MATCH(B252,'Data Processing'!$C:$C,0),""))</f>
        <v/>
      </c>
      <c r="B252" s="583"/>
      <c r="C252" s="565" t="s">
        <v>1005</v>
      </c>
      <c r="D252" s="488"/>
      <c r="E252" s="454">
        <f>D251</f>
        <v>316.77946496999999</v>
      </c>
      <c r="F252" s="454">
        <f t="shared" ref="F252" ca="1" si="178">E251</f>
        <v>304.10828637119999</v>
      </c>
      <c r="G252" s="454">
        <f t="shared" ref="G252" ca="1" si="179">F251</f>
        <v>301.99642327139998</v>
      </c>
      <c r="H252" s="454">
        <f t="shared" ref="H252" ca="1" si="180">G251</f>
        <v>299.88456017160001</v>
      </c>
      <c r="I252" s="454">
        <f t="shared" ref="I252" ca="1" si="181">H251</f>
        <v>297.7726970718</v>
      </c>
      <c r="J252" s="454">
        <f t="shared" ref="J252" ca="1" si="182">I251</f>
        <v>295.66083397199998</v>
      </c>
      <c r="K252" s="454">
        <f t="shared" ref="K252" ca="1" si="183">J251</f>
        <v>293.54897087220002</v>
      </c>
      <c r="L252" s="454">
        <f t="shared" ref="L252" ca="1" si="184">K251</f>
        <v>291.4371077724</v>
      </c>
      <c r="M252" s="454">
        <f t="shared" ref="M252" ca="1" si="185">L251</f>
        <v>289.62693940114286</v>
      </c>
      <c r="N252" s="454">
        <f t="shared" ref="N252" ca="1" si="186">M251</f>
        <v>287.81677102988573</v>
      </c>
      <c r="O252" s="454">
        <f t="shared" ref="O252" ca="1" si="187">N251</f>
        <v>286.00660265862859</v>
      </c>
      <c r="P252" s="454">
        <f t="shared" ref="P252" ca="1" si="188">O251</f>
        <v>284.1964342873714</v>
      </c>
      <c r="Q252" s="454">
        <f t="shared" ref="Q252" ca="1" si="189">P251</f>
        <v>282.38626591611427</v>
      </c>
      <c r="R252" s="454">
        <f t="shared" ref="R252" ca="1" si="190">Q251</f>
        <v>280.57609754485713</v>
      </c>
      <c r="S252" s="454">
        <f t="shared" ref="S252" ca="1" si="191">R251</f>
        <v>278.7659291736</v>
      </c>
      <c r="T252" s="455">
        <f t="shared" ref="T252" ca="1" si="192">S251</f>
        <v>274.01423719905</v>
      </c>
      <c r="U252" s="485"/>
      <c r="V252" s="233" t="s">
        <v>1046</v>
      </c>
      <c r="W252" s="279"/>
      <c r="X252" s="279"/>
      <c r="Y252" s="279"/>
    </row>
    <row r="253" spans="1:25" s="521" customFormat="1">
      <c r="A253" s="440" t="str">
        <f>IF(B253="","",IFERROR(MATCH(B253,'Data Processing'!$C:$C,0),""))</f>
        <v/>
      </c>
      <c r="B253" s="522"/>
      <c r="C253" s="565" t="s">
        <v>51</v>
      </c>
      <c r="D253" s="454"/>
      <c r="E253" s="454">
        <f>INDEX('Data Processing'!CX:CX,$A251)</f>
        <v>316.77946496999999</v>
      </c>
      <c r="F253" s="454">
        <f>INDEX('Data Processing'!CY:CY,$A251)</f>
        <v>0</v>
      </c>
      <c r="G253" s="454">
        <f>INDEX('Data Processing'!CZ:CZ,$A251)</f>
        <v>0</v>
      </c>
      <c r="H253" s="454">
        <f>INDEX('Data Processing'!DA:DA,$A251)</f>
        <v>0</v>
      </c>
      <c r="I253" s="454">
        <f>INDEX('Data Processing'!DB:DB,$A251)</f>
        <v>0</v>
      </c>
      <c r="J253" s="454">
        <f>INDEX('Data Processing'!DC:DC,$A251)</f>
        <v>0</v>
      </c>
      <c r="K253" s="454">
        <f>INDEX('Data Processing'!DD:DD,$A251)</f>
        <v>0</v>
      </c>
      <c r="L253" s="454">
        <f>INDEX('Data Processing'!DE:DE,$A251)</f>
        <v>0</v>
      </c>
      <c r="M253" s="454">
        <f>INDEX('Data Processing'!DF:DF,$A251)</f>
        <v>0</v>
      </c>
      <c r="N253" s="454">
        <f>INDEX('Data Processing'!DG:DG,$A251)</f>
        <v>0</v>
      </c>
      <c r="O253" s="454">
        <f>INDEX('Data Processing'!DH:DH,$A251)</f>
        <v>0</v>
      </c>
      <c r="P253" s="454">
        <f>INDEX('Data Processing'!DI:DI,$A251)</f>
        <v>0</v>
      </c>
      <c r="Q253" s="454">
        <f>INDEX('Data Processing'!DJ:DJ,$A251)</f>
        <v>0</v>
      </c>
      <c r="R253" s="454">
        <f>INDEX('Data Processing'!DK:DK,$A251)</f>
        <v>0</v>
      </c>
      <c r="S253" s="454">
        <f>INDEX('Data Processing'!DL:DL,$A251)</f>
        <v>0</v>
      </c>
      <c r="T253" s="455">
        <f>INDEX('Data Processing'!DM:DM,$A251)</f>
        <v>0</v>
      </c>
      <c r="U253" s="524"/>
      <c r="V253" s="120"/>
      <c r="W253" s="126"/>
      <c r="X253" s="126"/>
      <c r="Y253" s="126"/>
    </row>
    <row r="254" spans="1:25" s="561" customFormat="1">
      <c r="A254" s="440" t="str">
        <f>IF(B254="","",IFERROR(MATCH(B254,'Data Processing'!$C:$C,0),""))</f>
        <v/>
      </c>
      <c r="B254" s="583"/>
      <c r="C254" s="567" t="s">
        <v>50</v>
      </c>
      <c r="D254" s="488"/>
      <c r="E254" s="553">
        <f ca="1">INDEX('Data Processing'!BU:BU,$A251)</f>
        <v>3.9999999999999994E-2</v>
      </c>
      <c r="F254" s="553">
        <f ca="1">INDEX('Data Processing'!BV:BV,$A251)</f>
        <v>6.6666666666666662E-3</v>
      </c>
      <c r="G254" s="553">
        <f ca="1">INDEX('Data Processing'!BW:BW,$A251)</f>
        <v>6.6666666666666662E-3</v>
      </c>
      <c r="H254" s="553">
        <f ca="1">INDEX('Data Processing'!BX:BX,$A251)</f>
        <v>6.6666666666666662E-3</v>
      </c>
      <c r="I254" s="553">
        <f ca="1">INDEX('Data Processing'!BY:BY,$A251)</f>
        <v>6.6666666666666662E-3</v>
      </c>
      <c r="J254" s="553">
        <f ca="1">INDEX('Data Processing'!BZ:BZ,$A251)</f>
        <v>6.6666666666666662E-3</v>
      </c>
      <c r="K254" s="553">
        <f ca="1">INDEX('Data Processing'!CA:CA,$A251)</f>
        <v>6.6666666666666662E-3</v>
      </c>
      <c r="L254" s="553">
        <f ca="1">INDEX('Data Processing'!CB:CB,$A251)</f>
        <v>5.7142857142857143E-3</v>
      </c>
      <c r="M254" s="553">
        <f ca="1">INDEX('Data Processing'!CC:CC,$A251)</f>
        <v>5.7142857142857143E-3</v>
      </c>
      <c r="N254" s="553">
        <f ca="1">INDEX('Data Processing'!CD:CD,$A251)</f>
        <v>5.7142857142857143E-3</v>
      </c>
      <c r="O254" s="553">
        <f ca="1">INDEX('Data Processing'!CE:CE,$A251)</f>
        <v>5.7142857142857143E-3</v>
      </c>
      <c r="P254" s="553">
        <f ca="1">INDEX('Data Processing'!CF:CF,$A251)</f>
        <v>5.7142857142857143E-3</v>
      </c>
      <c r="Q254" s="553">
        <f ca="1">INDEX('Data Processing'!CG:CG,$A251)</f>
        <v>5.7142857142857143E-3</v>
      </c>
      <c r="R254" s="553">
        <f ca="1">INDEX('Data Processing'!CH:CH,$A251)</f>
        <v>5.7142857142857143E-3</v>
      </c>
      <c r="S254" s="553">
        <f ca="1">INDEX('Data Processing'!CI:CI,$A251)</f>
        <v>1.4999999999999999E-2</v>
      </c>
      <c r="T254" s="554">
        <f ca="1">INDEX('Data Processing'!CJ:CJ,$A251)</f>
        <v>1.4999999999999999E-2</v>
      </c>
      <c r="U254" s="551"/>
      <c r="V254" s="271"/>
      <c r="W254" s="272"/>
      <c r="X254" s="272"/>
      <c r="Y254" s="272"/>
    </row>
    <row r="255" spans="1:25" s="587" customFormat="1">
      <c r="A255" s="440" t="str">
        <f>IF(B255="","",IFERROR(MATCH(B255,'Data Processing'!$C:$C,0),""))</f>
        <v/>
      </c>
      <c r="B255" s="522"/>
      <c r="C255" s="523" t="s">
        <v>998</v>
      </c>
      <c r="D255" s="504"/>
      <c r="E255" s="489">
        <f ca="1">INDEX('Data Processing'!AS:AS,$A251)</f>
        <v>12.671178598799997</v>
      </c>
      <c r="F255" s="489">
        <f ca="1">INDEX('Data Processing'!AT:AT,$A251)</f>
        <v>2.1118630997999999</v>
      </c>
      <c r="G255" s="489">
        <f ca="1">INDEX('Data Processing'!AU:AU,$A251)</f>
        <v>2.1118630997999999</v>
      </c>
      <c r="H255" s="489">
        <f ca="1">INDEX('Data Processing'!AV:AV,$A251)</f>
        <v>2.1118630997999999</v>
      </c>
      <c r="I255" s="489">
        <f ca="1">INDEX('Data Processing'!AW:AW,$A251)</f>
        <v>2.1118630997999999</v>
      </c>
      <c r="J255" s="489">
        <f ca="1">INDEX('Data Processing'!AX:AX,$A251)</f>
        <v>2.1118630997999999</v>
      </c>
      <c r="K255" s="489">
        <f ca="1">INDEX('Data Processing'!AY:AY,$A251)</f>
        <v>2.1118630997999999</v>
      </c>
      <c r="L255" s="489">
        <f ca="1">INDEX('Data Processing'!AZ:AZ,$A251)</f>
        <v>1.8101683712571428</v>
      </c>
      <c r="M255" s="489">
        <f ca="1">INDEX('Data Processing'!BA:BA,$A251)</f>
        <v>1.8101683712571428</v>
      </c>
      <c r="N255" s="489">
        <f ca="1">INDEX('Data Processing'!BB:BB,$A251)</f>
        <v>1.8101683712571428</v>
      </c>
      <c r="O255" s="489">
        <f ca="1">INDEX('Data Processing'!BC:BC,$A251)</f>
        <v>1.8101683712571428</v>
      </c>
      <c r="P255" s="489">
        <f ca="1">INDEX('Data Processing'!BD:BD,$A251)</f>
        <v>1.8101683712571428</v>
      </c>
      <c r="Q255" s="489">
        <f ca="1">INDEX('Data Processing'!BE:BE,$A251)</f>
        <v>1.8101683712571428</v>
      </c>
      <c r="R255" s="489">
        <f ca="1">INDEX('Data Processing'!BF:BF,$A251)</f>
        <v>1.8101683712571428</v>
      </c>
      <c r="S255" s="489">
        <f ca="1">INDEX('Data Processing'!BG:BG,$A251)</f>
        <v>4.7516919745499999</v>
      </c>
      <c r="T255" s="490">
        <f ca="1">INDEX('Data Processing'!BH:BH,$A251)</f>
        <v>4.7516919745499999</v>
      </c>
      <c r="U255" s="585"/>
      <c r="V255" s="276"/>
      <c r="W255" s="277"/>
      <c r="X255" s="277"/>
      <c r="Y255" s="277"/>
    </row>
    <row r="256" spans="1:25" s="587" customFormat="1">
      <c r="A256" s="440" t="str">
        <f>IF(B256="","",IFERROR(MATCH(B256,'Data Processing'!$C:$C,0),""))</f>
        <v/>
      </c>
      <c r="B256" s="522"/>
      <c r="C256" s="523" t="s">
        <v>1012</v>
      </c>
      <c r="D256" s="488"/>
      <c r="E256" s="489">
        <f t="shared" ref="E256:T256" ca="1" si="193">E252-E255</f>
        <v>304.10828637119999</v>
      </c>
      <c r="F256" s="489">
        <f t="shared" ca="1" si="193"/>
        <v>301.99642327139998</v>
      </c>
      <c r="G256" s="489">
        <f t="shared" ca="1" si="193"/>
        <v>299.88456017159996</v>
      </c>
      <c r="H256" s="489">
        <f t="shared" ca="1" si="193"/>
        <v>297.7726970718</v>
      </c>
      <c r="I256" s="489">
        <f t="shared" ca="1" si="193"/>
        <v>295.66083397199998</v>
      </c>
      <c r="J256" s="489">
        <f t="shared" ca="1" si="193"/>
        <v>293.54897087219996</v>
      </c>
      <c r="K256" s="489">
        <f t="shared" ca="1" si="193"/>
        <v>291.4371077724</v>
      </c>
      <c r="L256" s="489">
        <f t="shared" ca="1" si="193"/>
        <v>289.62693940114286</v>
      </c>
      <c r="M256" s="489">
        <f t="shared" ca="1" si="193"/>
        <v>287.81677102988573</v>
      </c>
      <c r="N256" s="489">
        <f t="shared" ca="1" si="193"/>
        <v>286.00660265862859</v>
      </c>
      <c r="O256" s="489">
        <f t="shared" ca="1" si="193"/>
        <v>284.19643428737146</v>
      </c>
      <c r="P256" s="489">
        <f t="shared" ca="1" si="193"/>
        <v>282.38626591611427</v>
      </c>
      <c r="Q256" s="489">
        <f t="shared" ca="1" si="193"/>
        <v>280.57609754485713</v>
      </c>
      <c r="R256" s="489">
        <f t="shared" ca="1" si="193"/>
        <v>278.7659291736</v>
      </c>
      <c r="S256" s="489">
        <f t="shared" ca="1" si="193"/>
        <v>274.01423719905</v>
      </c>
      <c r="T256" s="490">
        <f t="shared" ca="1" si="193"/>
        <v>269.2625452245</v>
      </c>
      <c r="U256" s="585"/>
      <c r="V256" s="276"/>
      <c r="W256" s="277"/>
      <c r="X256" s="277"/>
      <c r="Y256" s="277"/>
    </row>
    <row r="257" spans="1:25" s="279" customFormat="1">
      <c r="A257">
        <f>IF(B257="","",IFERROR(MATCH(B257,'Data Processing'!$C:$C,0),""))</f>
        <v>35</v>
      </c>
      <c r="B257" s="215" t="s">
        <v>1351</v>
      </c>
      <c r="C257" s="223" t="str">
        <f>INDEX('Data Processing'!$G:$G,A257)</f>
        <v>Due to Affiliate - Investment - BOC HK LTD</v>
      </c>
      <c r="D257" s="249">
        <f>INDEX('Data Processing'!O:O,$A257)</f>
        <v>8.2450289999999996E-2</v>
      </c>
      <c r="E257" s="128">
        <f ca="1">INDEX('Data Processing'!P:P,$A257)</f>
        <v>7.9152278399999998E-2</v>
      </c>
      <c r="F257" s="128">
        <f ca="1">INDEX('Data Processing'!Q:Q,$A257)</f>
        <v>7.8602609800000001E-2</v>
      </c>
      <c r="G257" s="128">
        <f ca="1">INDEX('Data Processing'!R:R,$A257)</f>
        <v>7.8052941200000003E-2</v>
      </c>
      <c r="H257" s="128">
        <f ca="1">INDEX('Data Processing'!S:S,$A257)</f>
        <v>7.7503272599999992E-2</v>
      </c>
      <c r="I257" s="128">
        <f ca="1">INDEX('Data Processing'!T:T,$A257)</f>
        <v>7.6953603999999995E-2</v>
      </c>
      <c r="J257" s="128">
        <f ca="1">INDEX('Data Processing'!U:U,$A257)</f>
        <v>7.6403935399999998E-2</v>
      </c>
      <c r="K257" s="128">
        <f ca="1">INDEX('Data Processing'!V:V,$A257)</f>
        <v>7.58542668E-2</v>
      </c>
      <c r="L257" s="128">
        <f ca="1">INDEX('Data Processing'!W:W,$A257)</f>
        <v>7.5383122285714282E-2</v>
      </c>
      <c r="M257" s="128">
        <f ca="1">INDEX('Data Processing'!X:X,$A257)</f>
        <v>7.4911977771428565E-2</v>
      </c>
      <c r="N257" s="128">
        <f ca="1">INDEX('Data Processing'!Y:Y,$A257)</f>
        <v>7.4440833257142847E-2</v>
      </c>
      <c r="O257" s="128">
        <f ca="1">INDEX('Data Processing'!Z:Z,$A257)</f>
        <v>7.3969688742857143E-2</v>
      </c>
      <c r="P257" s="128">
        <f ca="1">INDEX('Data Processing'!AA:AA,$A257)</f>
        <v>7.3498544228571425E-2</v>
      </c>
      <c r="Q257" s="128">
        <f ca="1">INDEX('Data Processing'!AB:AB,$A257)</f>
        <v>7.3027399714285707E-2</v>
      </c>
      <c r="R257" s="128">
        <f ca="1">INDEX('Data Processing'!AC:AC,$A257)</f>
        <v>7.2556255200000003E-2</v>
      </c>
      <c r="S257" s="287">
        <f ca="1">INDEX('Data Processing'!AD:AD,$A257)</f>
        <v>7.1319500849999995E-2</v>
      </c>
      <c r="T257" s="220">
        <f ca="1">INDEX('Data Processing'!AE:AE,$A257)</f>
        <v>7.0082746499999987E-2</v>
      </c>
      <c r="U257" s="278"/>
      <c r="V257" s="120"/>
    </row>
    <row r="258" spans="1:25" s="586" customFormat="1">
      <c r="A258" s="440" t="str">
        <f>IF(B258="","",IFERROR(MATCH(B258,'Data Processing'!$C:$C,0),""))</f>
        <v/>
      </c>
      <c r="B258" s="522"/>
      <c r="C258" s="565" t="s">
        <v>1005</v>
      </c>
      <c r="D258" s="488"/>
      <c r="E258" s="454">
        <f>D257</f>
        <v>8.2450289999999996E-2</v>
      </c>
      <c r="F258" s="454">
        <f t="shared" ref="F258:T258" ca="1" si="194">E257</f>
        <v>7.9152278399999998E-2</v>
      </c>
      <c r="G258" s="454">
        <f t="shared" ca="1" si="194"/>
        <v>7.8602609800000001E-2</v>
      </c>
      <c r="H258" s="454">
        <f t="shared" ca="1" si="194"/>
        <v>7.8052941200000003E-2</v>
      </c>
      <c r="I258" s="454">
        <f t="shared" ca="1" si="194"/>
        <v>7.7503272599999992E-2</v>
      </c>
      <c r="J258" s="454">
        <f t="shared" ca="1" si="194"/>
        <v>7.6953603999999995E-2</v>
      </c>
      <c r="K258" s="454">
        <f t="shared" ca="1" si="194"/>
        <v>7.6403935399999998E-2</v>
      </c>
      <c r="L258" s="454">
        <f t="shared" ca="1" si="194"/>
        <v>7.58542668E-2</v>
      </c>
      <c r="M258" s="454">
        <f t="shared" ca="1" si="194"/>
        <v>7.5383122285714282E-2</v>
      </c>
      <c r="N258" s="454">
        <f t="shared" ca="1" si="194"/>
        <v>7.4911977771428565E-2</v>
      </c>
      <c r="O258" s="454">
        <f t="shared" ca="1" si="194"/>
        <v>7.4440833257142847E-2</v>
      </c>
      <c r="P258" s="454">
        <f t="shared" ca="1" si="194"/>
        <v>7.3969688742857143E-2</v>
      </c>
      <c r="Q258" s="454">
        <f t="shared" ca="1" si="194"/>
        <v>7.3498544228571425E-2</v>
      </c>
      <c r="R258" s="454">
        <f t="shared" ca="1" si="194"/>
        <v>7.3027399714285707E-2</v>
      </c>
      <c r="S258" s="454">
        <f t="shared" ca="1" si="194"/>
        <v>7.2556255200000003E-2</v>
      </c>
      <c r="T258" s="455">
        <f t="shared" ca="1" si="194"/>
        <v>7.1319500849999995E-2</v>
      </c>
      <c r="U258" s="582"/>
      <c r="V258" s="233" t="s">
        <v>1045</v>
      </c>
      <c r="W258" s="268"/>
      <c r="X258" s="268"/>
      <c r="Y258" s="268"/>
    </row>
    <row r="259" spans="1:25" s="521" customFormat="1">
      <c r="A259" s="440" t="str">
        <f>IF(B259="","",IFERROR(MATCH(B259,'Data Processing'!$C:$C,0),""))</f>
        <v/>
      </c>
      <c r="B259" s="522"/>
      <c r="C259" s="565" t="s">
        <v>51</v>
      </c>
      <c r="D259" s="454"/>
      <c r="E259" s="454">
        <f t="shared" ref="E259:T259" si="195">E258</f>
        <v>8.2450289999999996E-2</v>
      </c>
      <c r="F259" s="454">
        <f t="shared" ca="1" si="195"/>
        <v>7.9152278399999998E-2</v>
      </c>
      <c r="G259" s="454">
        <f t="shared" ca="1" si="195"/>
        <v>7.8602609800000001E-2</v>
      </c>
      <c r="H259" s="454">
        <f t="shared" ca="1" si="195"/>
        <v>7.8052941200000003E-2</v>
      </c>
      <c r="I259" s="454">
        <f t="shared" ca="1" si="195"/>
        <v>7.7503272599999992E-2</v>
      </c>
      <c r="J259" s="454">
        <f t="shared" ca="1" si="195"/>
        <v>7.6953603999999995E-2</v>
      </c>
      <c r="K259" s="454">
        <f t="shared" ca="1" si="195"/>
        <v>7.6403935399999998E-2</v>
      </c>
      <c r="L259" s="454">
        <f t="shared" ca="1" si="195"/>
        <v>7.58542668E-2</v>
      </c>
      <c r="M259" s="454">
        <f t="shared" ca="1" si="195"/>
        <v>7.5383122285714282E-2</v>
      </c>
      <c r="N259" s="454">
        <f t="shared" ca="1" si="195"/>
        <v>7.4911977771428565E-2</v>
      </c>
      <c r="O259" s="454">
        <f t="shared" ca="1" si="195"/>
        <v>7.4440833257142847E-2</v>
      </c>
      <c r="P259" s="454">
        <f t="shared" ca="1" si="195"/>
        <v>7.3969688742857143E-2</v>
      </c>
      <c r="Q259" s="454">
        <f t="shared" ca="1" si="195"/>
        <v>7.3498544228571425E-2</v>
      </c>
      <c r="R259" s="454">
        <f t="shared" ca="1" si="195"/>
        <v>7.3027399714285707E-2</v>
      </c>
      <c r="S259" s="454">
        <f t="shared" ca="1" si="195"/>
        <v>7.2556255200000003E-2</v>
      </c>
      <c r="T259" s="455">
        <f t="shared" ca="1" si="195"/>
        <v>7.1319500849999995E-2</v>
      </c>
      <c r="U259" s="524"/>
      <c r="V259" s="120"/>
      <c r="W259" s="126"/>
      <c r="X259" s="126"/>
      <c r="Y259" s="126"/>
    </row>
    <row r="260" spans="1:25" s="561" customFormat="1">
      <c r="A260" s="440" t="str">
        <f>IF(B260="","",IFERROR(MATCH(B260,'Data Processing'!$C:$C,0),""))</f>
        <v/>
      </c>
      <c r="B260" s="583"/>
      <c r="C260" s="567" t="s">
        <v>50</v>
      </c>
      <c r="D260" s="488"/>
      <c r="E260" s="553">
        <f ca="1">INDEX('Data Processing'!BU:BU,$A257)</f>
        <v>3.9999999999999994E-2</v>
      </c>
      <c r="F260" s="553">
        <f ca="1">INDEX('Data Processing'!BV:BV,$A257)</f>
        <v>6.6666666666666662E-3</v>
      </c>
      <c r="G260" s="553">
        <f ca="1">INDEX('Data Processing'!BW:BW,$A257)</f>
        <v>6.6666666666666662E-3</v>
      </c>
      <c r="H260" s="553">
        <f ca="1">INDEX('Data Processing'!BX:BX,$A257)</f>
        <v>6.6666666666666662E-3</v>
      </c>
      <c r="I260" s="553">
        <f ca="1">INDEX('Data Processing'!BY:BY,$A257)</f>
        <v>6.6666666666666662E-3</v>
      </c>
      <c r="J260" s="553">
        <f ca="1">INDEX('Data Processing'!BZ:BZ,$A257)</f>
        <v>6.6666666666666662E-3</v>
      </c>
      <c r="K260" s="553">
        <f ca="1">INDEX('Data Processing'!CA:CA,$A257)</f>
        <v>6.6666666666666662E-3</v>
      </c>
      <c r="L260" s="553">
        <f ca="1">INDEX('Data Processing'!CB:CB,$A257)</f>
        <v>5.7142857142857143E-3</v>
      </c>
      <c r="M260" s="553">
        <f ca="1">INDEX('Data Processing'!CC:CC,$A257)</f>
        <v>5.7142857142857143E-3</v>
      </c>
      <c r="N260" s="553">
        <f ca="1">INDEX('Data Processing'!CD:CD,$A257)</f>
        <v>5.7142857142857143E-3</v>
      </c>
      <c r="O260" s="553">
        <f ca="1">INDEX('Data Processing'!CE:CE,$A257)</f>
        <v>5.7142857142857143E-3</v>
      </c>
      <c r="P260" s="553">
        <f ca="1">INDEX('Data Processing'!CF:CF,$A257)</f>
        <v>5.7142857142857143E-3</v>
      </c>
      <c r="Q260" s="553">
        <f ca="1">INDEX('Data Processing'!CG:CG,$A257)</f>
        <v>5.7142857142857143E-3</v>
      </c>
      <c r="R260" s="553">
        <f ca="1">INDEX('Data Processing'!CH:CH,$A257)</f>
        <v>5.7142857142857143E-3</v>
      </c>
      <c r="S260" s="553">
        <f ca="1">INDEX('Data Processing'!CI:CI,$A257)</f>
        <v>1.4999999999999999E-2</v>
      </c>
      <c r="T260" s="554">
        <f ca="1">INDEX('Data Processing'!CJ:CJ,$A257)</f>
        <v>1.4999999999999999E-2</v>
      </c>
      <c r="U260" s="551"/>
      <c r="V260" s="271"/>
      <c r="W260" s="272"/>
      <c r="X260" s="272"/>
      <c r="Y260" s="272"/>
    </row>
    <row r="261" spans="1:25" s="587" customFormat="1">
      <c r="A261" s="440" t="str">
        <f>IF(B261="","",IFERROR(MATCH(B261,'Data Processing'!$C:$C,0),""))</f>
        <v/>
      </c>
      <c r="B261" s="522"/>
      <c r="C261" s="523" t="s">
        <v>998</v>
      </c>
      <c r="D261" s="504"/>
      <c r="E261" s="489">
        <f ca="1">INDEX('Data Processing'!AS:AS,$A257)</f>
        <v>3.2980115999999993E-3</v>
      </c>
      <c r="F261" s="489">
        <f ca="1">INDEX('Data Processing'!AT:AT,$A257)</f>
        <v>5.4966859999999989E-4</v>
      </c>
      <c r="G261" s="489">
        <f ca="1">INDEX('Data Processing'!AU:AU,$A257)</f>
        <v>5.4966859999999989E-4</v>
      </c>
      <c r="H261" s="489">
        <f ca="1">INDEX('Data Processing'!AV:AV,$A257)</f>
        <v>5.4966859999999989E-4</v>
      </c>
      <c r="I261" s="489">
        <f ca="1">INDEX('Data Processing'!AW:AW,$A257)</f>
        <v>5.4966859999999989E-4</v>
      </c>
      <c r="J261" s="489">
        <f ca="1">INDEX('Data Processing'!AX:AX,$A257)</f>
        <v>5.4966859999999989E-4</v>
      </c>
      <c r="K261" s="489">
        <f ca="1">INDEX('Data Processing'!AY:AY,$A257)</f>
        <v>5.4966859999999989E-4</v>
      </c>
      <c r="L261" s="489">
        <f ca="1">INDEX('Data Processing'!AZ:AZ,$A257)</f>
        <v>4.7114451428571428E-4</v>
      </c>
      <c r="M261" s="489">
        <f ca="1">INDEX('Data Processing'!BA:BA,$A257)</f>
        <v>4.7114451428571428E-4</v>
      </c>
      <c r="N261" s="489">
        <f ca="1">INDEX('Data Processing'!BB:BB,$A257)</f>
        <v>4.7114451428571428E-4</v>
      </c>
      <c r="O261" s="489">
        <f ca="1">INDEX('Data Processing'!BC:BC,$A257)</f>
        <v>4.7114451428571428E-4</v>
      </c>
      <c r="P261" s="489">
        <f ca="1">INDEX('Data Processing'!BD:BD,$A257)</f>
        <v>4.7114451428571428E-4</v>
      </c>
      <c r="Q261" s="489">
        <f ca="1">INDEX('Data Processing'!BE:BE,$A257)</f>
        <v>4.7114451428571428E-4</v>
      </c>
      <c r="R261" s="489">
        <f ca="1">INDEX('Data Processing'!BF:BF,$A257)</f>
        <v>4.7114451428571428E-4</v>
      </c>
      <c r="S261" s="489">
        <f ca="1">INDEX('Data Processing'!BG:BG,$A257)</f>
        <v>1.23675435E-3</v>
      </c>
      <c r="T261" s="490">
        <f ca="1">INDEX('Data Processing'!BH:BH,$A257)</f>
        <v>1.23675435E-3</v>
      </c>
      <c r="U261" s="585"/>
      <c r="V261" s="276"/>
      <c r="W261" s="277"/>
      <c r="X261" s="277"/>
      <c r="Y261" s="277"/>
    </row>
    <row r="262" spans="1:25" s="587" customFormat="1">
      <c r="A262" s="440" t="str">
        <f>IF(B262="","",IFERROR(MATCH(B262,'Data Processing'!$C:$C,0),""))</f>
        <v/>
      </c>
      <c r="B262" s="522"/>
      <c r="C262" s="523" t="s">
        <v>1012</v>
      </c>
      <c r="D262" s="488"/>
      <c r="E262" s="489">
        <f t="shared" ref="E262:T262" ca="1" si="196">E258-E261</f>
        <v>7.9152278399999998E-2</v>
      </c>
      <c r="F262" s="489">
        <f t="shared" ca="1" si="196"/>
        <v>7.8602609800000001E-2</v>
      </c>
      <c r="G262" s="489">
        <f t="shared" ca="1" si="196"/>
        <v>7.8052941200000003E-2</v>
      </c>
      <c r="H262" s="489">
        <f t="shared" ca="1" si="196"/>
        <v>7.7503272600000006E-2</v>
      </c>
      <c r="I262" s="489">
        <f t="shared" ca="1" si="196"/>
        <v>7.6953603999999995E-2</v>
      </c>
      <c r="J262" s="489">
        <f t="shared" ca="1" si="196"/>
        <v>7.6403935399999998E-2</v>
      </c>
      <c r="K262" s="489">
        <f t="shared" ca="1" si="196"/>
        <v>7.58542668E-2</v>
      </c>
      <c r="L262" s="489">
        <f t="shared" ca="1" si="196"/>
        <v>7.5383122285714282E-2</v>
      </c>
      <c r="M262" s="489">
        <f t="shared" ca="1" si="196"/>
        <v>7.4911977771428565E-2</v>
      </c>
      <c r="N262" s="489">
        <f t="shared" ca="1" si="196"/>
        <v>7.4440833257142847E-2</v>
      </c>
      <c r="O262" s="489">
        <f t="shared" ca="1" si="196"/>
        <v>7.3969688742857129E-2</v>
      </c>
      <c r="P262" s="489">
        <f t="shared" ca="1" si="196"/>
        <v>7.3498544228571425E-2</v>
      </c>
      <c r="Q262" s="489">
        <f t="shared" ca="1" si="196"/>
        <v>7.3027399714285707E-2</v>
      </c>
      <c r="R262" s="489">
        <f t="shared" ca="1" si="196"/>
        <v>7.2556255199999989E-2</v>
      </c>
      <c r="S262" s="489">
        <f t="shared" ca="1" si="196"/>
        <v>7.1319500850000009E-2</v>
      </c>
      <c r="T262" s="490">
        <f t="shared" ca="1" si="196"/>
        <v>7.0082746500000001E-2</v>
      </c>
      <c r="U262" s="585"/>
      <c r="V262" s="276"/>
      <c r="W262" s="277"/>
      <c r="X262" s="277"/>
      <c r="Y262" s="277"/>
    </row>
    <row r="263" spans="1:25" s="219" customFormat="1" ht="30">
      <c r="A263" t="str">
        <f>IF(B263="","",IFERROR(MATCH(B263,'Data Processing'!$C:$C,0),""))</f>
        <v/>
      </c>
      <c r="B263" s="127">
        <v>8.1999999999999993</v>
      </c>
      <c r="C263" s="517" t="s">
        <v>36</v>
      </c>
      <c r="D263" s="518">
        <f>SUMIFS(D264:D335,$B264:$B335,"&lt;&gt;")</f>
        <v>13829.002978380006</v>
      </c>
      <c r="E263" s="519">
        <f t="shared" ref="E263:T263" ca="1" si="197">SUMIFS(E264:E335,$B264:$B335,"&lt;&gt;")</f>
        <v>12233.777668798928</v>
      </c>
      <c r="F263" s="519">
        <f t="shared" ca="1" si="197"/>
        <v>11967.898141034364</v>
      </c>
      <c r="G263" s="519">
        <f t="shared" ca="1" si="197"/>
        <v>11702.0186132698</v>
      </c>
      <c r="H263" s="519">
        <f t="shared" ca="1" si="197"/>
        <v>11436.139085505236</v>
      </c>
      <c r="I263" s="519">
        <f t="shared" ca="1" si="197"/>
        <v>11170.259557740674</v>
      </c>
      <c r="J263" s="519">
        <f t="shared" ca="1" si="197"/>
        <v>10904.38002997611</v>
      </c>
      <c r="K263" s="519">
        <f t="shared" ca="1" si="197"/>
        <v>10638.500502211549</v>
      </c>
      <c r="L263" s="519">
        <f t="shared" ca="1" si="197"/>
        <v>10410.603764127636</v>
      </c>
      <c r="M263" s="519">
        <f t="shared" ca="1" si="197"/>
        <v>10182.707026043725</v>
      </c>
      <c r="N263" s="519">
        <f t="shared" ca="1" si="197"/>
        <v>9954.8102879598136</v>
      </c>
      <c r="O263" s="519">
        <f t="shared" ca="1" si="197"/>
        <v>9726.9135498759006</v>
      </c>
      <c r="P263" s="519">
        <f t="shared" ca="1" si="197"/>
        <v>9499.0168117919893</v>
      </c>
      <c r="Q263" s="519">
        <f t="shared" ca="1" si="197"/>
        <v>9271.1200737080781</v>
      </c>
      <c r="R263" s="519">
        <f t="shared" ca="1" si="197"/>
        <v>9043.223335624165</v>
      </c>
      <c r="S263" s="519">
        <f t="shared" ca="1" si="197"/>
        <v>8522.3285893852262</v>
      </c>
      <c r="T263" s="520">
        <f t="shared" ca="1" si="197"/>
        <v>8001.4338431462838</v>
      </c>
      <c r="U263" s="218"/>
      <c r="V263" s="120" t="s">
        <v>1000</v>
      </c>
    </row>
    <row r="264" spans="1:25" s="279" customFormat="1">
      <c r="A264">
        <f>IF(B264="","",IFERROR(MATCH(B264,'Data Processing'!$C:$C,0),""))</f>
        <v>39</v>
      </c>
      <c r="B264" s="215" t="s">
        <v>1299</v>
      </c>
      <c r="C264" s="223" t="str">
        <f>INDEX('Data Processing'!$G:$G,A264)</f>
        <v>Due to Banks - Demand</v>
      </c>
      <c r="D264" s="249">
        <f>INDEX('Data Processing'!O:O,$A264)</f>
        <v>174.70603417999999</v>
      </c>
      <c r="E264" s="128">
        <f ca="1">INDEX('Data Processing'!P:P,$A264)</f>
        <v>163.99073075029332</v>
      </c>
      <c r="F264" s="128">
        <f ca="1">INDEX('Data Processing'!Q:Q,$A264)</f>
        <v>162.20484684534222</v>
      </c>
      <c r="G264" s="128">
        <f ca="1">INDEX('Data Processing'!R:R,$A264)</f>
        <v>160.41896294039111</v>
      </c>
      <c r="H264" s="128">
        <f ca="1">INDEX('Data Processing'!S:S,$A264)</f>
        <v>158.63307903543998</v>
      </c>
      <c r="I264" s="128">
        <f ca="1">INDEX('Data Processing'!T:T,$A264)</f>
        <v>156.84719513048887</v>
      </c>
      <c r="J264" s="128">
        <f ca="1">INDEX('Data Processing'!U:U,$A264)</f>
        <v>155.06131122553776</v>
      </c>
      <c r="K264" s="128">
        <f ca="1">INDEX('Data Processing'!V:V,$A264)</f>
        <v>153.27542732058663</v>
      </c>
      <c r="L264" s="128">
        <f ca="1">INDEX('Data Processing'!W:W,$A264)</f>
        <v>151.74466968777142</v>
      </c>
      <c r="M264" s="128">
        <f ca="1">INDEX('Data Processing'!X:X,$A264)</f>
        <v>150.21391205495615</v>
      </c>
      <c r="N264" s="128">
        <f ca="1">INDEX('Data Processing'!Y:Y,$A264)</f>
        <v>148.68315442214094</v>
      </c>
      <c r="O264" s="128">
        <f ca="1">INDEX('Data Processing'!Z:Z,$A264)</f>
        <v>147.15239678932568</v>
      </c>
      <c r="P264" s="128">
        <f ca="1">INDEX('Data Processing'!AA:AA,$A264)</f>
        <v>145.62163915651047</v>
      </c>
      <c r="Q264" s="128">
        <f ca="1">INDEX('Data Processing'!AB:AB,$A264)</f>
        <v>144.0908815236952</v>
      </c>
      <c r="R264" s="128">
        <f ca="1">INDEX('Data Processing'!AC:AC,$A264)</f>
        <v>142.56012389087999</v>
      </c>
      <c r="S264" s="287">
        <f ca="1">INDEX('Data Processing'!AD:AD,$A264)</f>
        <v>138.54188510473998</v>
      </c>
      <c r="T264" s="220">
        <f ca="1">INDEX('Data Processing'!AE:AE,$A264)</f>
        <v>134.52364631859999</v>
      </c>
      <c r="U264" s="278"/>
      <c r="V264" s="120"/>
    </row>
    <row r="265" spans="1:25" s="586" customFormat="1">
      <c r="A265" s="440" t="str">
        <f>IF(B265="","",IFERROR(MATCH(B265,'Data Processing'!$C:$C,0),""))</f>
        <v/>
      </c>
      <c r="B265" s="522"/>
      <c r="C265" s="565" t="s">
        <v>1005</v>
      </c>
      <c r="D265" s="488"/>
      <c r="E265" s="454">
        <f>D264</f>
        <v>174.70603417999999</v>
      </c>
      <c r="F265" s="454">
        <f t="shared" ref="F265" ca="1" si="198">E264</f>
        <v>163.99073075029332</v>
      </c>
      <c r="G265" s="454">
        <f t="shared" ref="G265" ca="1" si="199">F264</f>
        <v>162.20484684534222</v>
      </c>
      <c r="H265" s="454">
        <f t="shared" ref="H265" ca="1" si="200">G264</f>
        <v>160.41896294039111</v>
      </c>
      <c r="I265" s="454">
        <f t="shared" ref="I265" ca="1" si="201">H264</f>
        <v>158.63307903543998</v>
      </c>
      <c r="J265" s="454">
        <f t="shared" ref="J265" ca="1" si="202">I264</f>
        <v>156.84719513048887</v>
      </c>
      <c r="K265" s="454">
        <f t="shared" ref="K265" ca="1" si="203">J264</f>
        <v>155.06131122553776</v>
      </c>
      <c r="L265" s="454">
        <f t="shared" ref="L265" ca="1" si="204">K264</f>
        <v>153.27542732058663</v>
      </c>
      <c r="M265" s="454">
        <f t="shared" ref="M265" ca="1" si="205">L264</f>
        <v>151.74466968777142</v>
      </c>
      <c r="N265" s="454">
        <f t="shared" ref="N265" ca="1" si="206">M264</f>
        <v>150.21391205495615</v>
      </c>
      <c r="O265" s="454">
        <f t="shared" ref="O265" ca="1" si="207">N264</f>
        <v>148.68315442214094</v>
      </c>
      <c r="P265" s="454">
        <f t="shared" ref="P265" ca="1" si="208">O264</f>
        <v>147.15239678932568</v>
      </c>
      <c r="Q265" s="454">
        <f t="shared" ref="Q265" ca="1" si="209">P264</f>
        <v>145.62163915651047</v>
      </c>
      <c r="R265" s="454">
        <f t="shared" ref="R265" ca="1" si="210">Q264</f>
        <v>144.0908815236952</v>
      </c>
      <c r="S265" s="454">
        <f t="shared" ref="S265" ca="1" si="211">R264</f>
        <v>142.56012389087999</v>
      </c>
      <c r="T265" s="455">
        <f t="shared" ref="T265" ca="1" si="212">S264</f>
        <v>138.54188510473998</v>
      </c>
      <c r="U265" s="582"/>
      <c r="V265" s="233" t="s">
        <v>1045</v>
      </c>
      <c r="W265" s="268"/>
      <c r="X265" s="268"/>
      <c r="Y265" s="268"/>
    </row>
    <row r="266" spans="1:25" s="521" customFormat="1">
      <c r="A266" s="440" t="str">
        <f>IF(B266="","",IFERROR(MATCH(B266,'Data Processing'!$C:$C,0),""))</f>
        <v/>
      </c>
      <c r="B266" s="522"/>
      <c r="C266" s="565" t="s">
        <v>51</v>
      </c>
      <c r="D266" s="454"/>
      <c r="E266" s="454">
        <f t="shared" ref="E266:T266" si="213">E265</f>
        <v>174.70603417999999</v>
      </c>
      <c r="F266" s="454">
        <f t="shared" ca="1" si="213"/>
        <v>163.99073075029332</v>
      </c>
      <c r="G266" s="454">
        <f t="shared" ca="1" si="213"/>
        <v>162.20484684534222</v>
      </c>
      <c r="H266" s="454">
        <f t="shared" ca="1" si="213"/>
        <v>160.41896294039111</v>
      </c>
      <c r="I266" s="454">
        <f t="shared" ca="1" si="213"/>
        <v>158.63307903543998</v>
      </c>
      <c r="J266" s="454">
        <f t="shared" ca="1" si="213"/>
        <v>156.84719513048887</v>
      </c>
      <c r="K266" s="454">
        <f t="shared" ca="1" si="213"/>
        <v>155.06131122553776</v>
      </c>
      <c r="L266" s="454">
        <f t="shared" ca="1" si="213"/>
        <v>153.27542732058663</v>
      </c>
      <c r="M266" s="454">
        <f t="shared" ca="1" si="213"/>
        <v>151.74466968777142</v>
      </c>
      <c r="N266" s="454">
        <f t="shared" ca="1" si="213"/>
        <v>150.21391205495615</v>
      </c>
      <c r="O266" s="454">
        <f t="shared" ca="1" si="213"/>
        <v>148.68315442214094</v>
      </c>
      <c r="P266" s="454">
        <f t="shared" ca="1" si="213"/>
        <v>147.15239678932568</v>
      </c>
      <c r="Q266" s="454">
        <f t="shared" ca="1" si="213"/>
        <v>145.62163915651047</v>
      </c>
      <c r="R266" s="454">
        <f t="shared" ca="1" si="213"/>
        <v>144.0908815236952</v>
      </c>
      <c r="S266" s="454">
        <f t="shared" ca="1" si="213"/>
        <v>142.56012389087999</v>
      </c>
      <c r="T266" s="455">
        <f t="shared" ca="1" si="213"/>
        <v>138.54188510473998</v>
      </c>
      <c r="U266" s="524"/>
      <c r="V266" s="120"/>
      <c r="W266" s="126"/>
      <c r="X266" s="126"/>
      <c r="Y266" s="126"/>
    </row>
    <row r="267" spans="1:25" s="561" customFormat="1">
      <c r="A267" s="440" t="str">
        <f>IF(B267="","",IFERROR(MATCH(B267,'Data Processing'!$C:$C,0),""))</f>
        <v/>
      </c>
      <c r="B267" s="583"/>
      <c r="C267" s="567" t="s">
        <v>50</v>
      </c>
      <c r="D267" s="488"/>
      <c r="E267" s="553">
        <f ca="1">INDEX('Data Processing'!BU:BU,$A264)</f>
        <v>6.1333333333333351E-2</v>
      </c>
      <c r="F267" s="553">
        <f ca="1">INDEX('Data Processing'!BV:BV,$A264)</f>
        <v>1.0222222222222225E-2</v>
      </c>
      <c r="G267" s="553">
        <f ca="1">INDEX('Data Processing'!BW:BW,$A264)</f>
        <v>1.0222222222222225E-2</v>
      </c>
      <c r="H267" s="553">
        <f ca="1">INDEX('Data Processing'!BX:BX,$A264)</f>
        <v>1.0222222222222225E-2</v>
      </c>
      <c r="I267" s="553">
        <f ca="1">INDEX('Data Processing'!BY:BY,$A264)</f>
        <v>1.0222222222222225E-2</v>
      </c>
      <c r="J267" s="553">
        <f ca="1">INDEX('Data Processing'!BZ:BZ,$A264)</f>
        <v>1.0222222222222225E-2</v>
      </c>
      <c r="K267" s="553">
        <f ca="1">INDEX('Data Processing'!CA:CA,$A264)</f>
        <v>1.0222222222222225E-2</v>
      </c>
      <c r="L267" s="553">
        <f ca="1">INDEX('Data Processing'!CB:CB,$A264)</f>
        <v>8.7619047619047659E-3</v>
      </c>
      <c r="M267" s="553">
        <f ca="1">INDEX('Data Processing'!CC:CC,$A264)</f>
        <v>8.7619047619047659E-3</v>
      </c>
      <c r="N267" s="553">
        <f ca="1">INDEX('Data Processing'!CD:CD,$A264)</f>
        <v>8.7619047619047659E-3</v>
      </c>
      <c r="O267" s="553">
        <f ca="1">INDEX('Data Processing'!CE:CE,$A264)</f>
        <v>8.7619047619047659E-3</v>
      </c>
      <c r="P267" s="553">
        <f ca="1">INDEX('Data Processing'!CF:CF,$A264)</f>
        <v>8.7619047619047659E-3</v>
      </c>
      <c r="Q267" s="553">
        <f ca="1">INDEX('Data Processing'!CG:CG,$A264)</f>
        <v>8.7619047619047659E-3</v>
      </c>
      <c r="R267" s="553">
        <f ca="1">INDEX('Data Processing'!CH:CH,$A264)</f>
        <v>8.7619047619047659E-3</v>
      </c>
      <c r="S267" s="553">
        <f ca="1">INDEX('Data Processing'!CI:CI,$A264)</f>
        <v>2.2999999999999993E-2</v>
      </c>
      <c r="T267" s="554">
        <f ca="1">INDEX('Data Processing'!CJ:CJ,$A264)</f>
        <v>2.2999999999999993E-2</v>
      </c>
      <c r="U267" s="551"/>
      <c r="V267" s="271"/>
      <c r="W267" s="272"/>
      <c r="X267" s="272"/>
      <c r="Y267" s="272"/>
    </row>
    <row r="268" spans="1:25" s="587" customFormat="1">
      <c r="A268" s="440" t="str">
        <f>IF(B268="","",IFERROR(MATCH(B268,'Data Processing'!$C:$C,0),""))</f>
        <v/>
      </c>
      <c r="B268" s="522"/>
      <c r="C268" s="523" t="s">
        <v>998</v>
      </c>
      <c r="D268" s="504"/>
      <c r="E268" s="489">
        <f ca="1">INDEX('Data Processing'!AS:AS,$A264)</f>
        <v>10.715303429706669</v>
      </c>
      <c r="F268" s="489">
        <f ca="1">INDEX('Data Processing'!AT:AT,$A264)</f>
        <v>1.7858839049511115</v>
      </c>
      <c r="G268" s="489">
        <f ca="1">INDEX('Data Processing'!AU:AU,$A264)</f>
        <v>1.7858839049511115</v>
      </c>
      <c r="H268" s="489">
        <f ca="1">INDEX('Data Processing'!AV:AV,$A264)</f>
        <v>1.7858839049511115</v>
      </c>
      <c r="I268" s="489">
        <f ca="1">INDEX('Data Processing'!AW:AW,$A264)</f>
        <v>1.7858839049511115</v>
      </c>
      <c r="J268" s="489">
        <f ca="1">INDEX('Data Processing'!AX:AX,$A264)</f>
        <v>1.7858839049511115</v>
      </c>
      <c r="K268" s="489">
        <f ca="1">INDEX('Data Processing'!AY:AY,$A264)</f>
        <v>1.7858839049511115</v>
      </c>
      <c r="L268" s="489">
        <f ca="1">INDEX('Data Processing'!AZ:AZ,$A264)</f>
        <v>1.5307576328152388</v>
      </c>
      <c r="M268" s="489">
        <f ca="1">INDEX('Data Processing'!BA:BA,$A264)</f>
        <v>1.5307576328152388</v>
      </c>
      <c r="N268" s="489">
        <f ca="1">INDEX('Data Processing'!BB:BB,$A264)</f>
        <v>1.5307576328152388</v>
      </c>
      <c r="O268" s="489">
        <f ca="1">INDEX('Data Processing'!BC:BC,$A264)</f>
        <v>1.5307576328152388</v>
      </c>
      <c r="P268" s="489">
        <f ca="1">INDEX('Data Processing'!BD:BD,$A264)</f>
        <v>1.5307576328152388</v>
      </c>
      <c r="Q268" s="489">
        <f ca="1">INDEX('Data Processing'!BE:BE,$A264)</f>
        <v>1.5307576328152388</v>
      </c>
      <c r="R268" s="489">
        <f ca="1">INDEX('Data Processing'!BF:BF,$A264)</f>
        <v>1.5307576328152388</v>
      </c>
      <c r="S268" s="489">
        <f ca="1">INDEX('Data Processing'!BG:BG,$A264)</f>
        <v>4.0182387861399986</v>
      </c>
      <c r="T268" s="490">
        <f ca="1">INDEX('Data Processing'!BH:BH,$A264)</f>
        <v>4.0182387861399986</v>
      </c>
      <c r="U268" s="585"/>
      <c r="V268" s="276"/>
      <c r="W268" s="277"/>
      <c r="X268" s="277"/>
      <c r="Y268" s="277"/>
    </row>
    <row r="269" spans="1:25" s="587" customFormat="1">
      <c r="A269" s="440" t="str">
        <f>IF(B269="","",IFERROR(MATCH(B269,'Data Processing'!$C:$C,0),""))</f>
        <v/>
      </c>
      <c r="B269" s="522"/>
      <c r="C269" s="523" t="s">
        <v>1012</v>
      </c>
      <c r="D269" s="488"/>
      <c r="E269" s="489">
        <f t="shared" ref="E269:T269" ca="1" si="214">E265-E268</f>
        <v>163.99073075029332</v>
      </c>
      <c r="F269" s="489">
        <f t="shared" ca="1" si="214"/>
        <v>162.20484684534222</v>
      </c>
      <c r="G269" s="489">
        <f t="shared" ca="1" si="214"/>
        <v>160.41896294039111</v>
      </c>
      <c r="H269" s="489">
        <f t="shared" ca="1" si="214"/>
        <v>158.63307903544001</v>
      </c>
      <c r="I269" s="489">
        <f t="shared" ca="1" si="214"/>
        <v>156.84719513048887</v>
      </c>
      <c r="J269" s="489">
        <f t="shared" ca="1" si="214"/>
        <v>155.06131122553776</v>
      </c>
      <c r="K269" s="489">
        <f t="shared" ca="1" si="214"/>
        <v>153.27542732058666</v>
      </c>
      <c r="L269" s="489">
        <f t="shared" ca="1" si="214"/>
        <v>151.74466968777139</v>
      </c>
      <c r="M269" s="489">
        <f t="shared" ca="1" si="214"/>
        <v>150.21391205495618</v>
      </c>
      <c r="N269" s="489">
        <f t="shared" ca="1" si="214"/>
        <v>148.68315442214092</v>
      </c>
      <c r="O269" s="489">
        <f t="shared" ca="1" si="214"/>
        <v>147.15239678932571</v>
      </c>
      <c r="P269" s="489">
        <f t="shared" ca="1" si="214"/>
        <v>145.62163915651044</v>
      </c>
      <c r="Q269" s="489">
        <f t="shared" ca="1" si="214"/>
        <v>144.09088152369523</v>
      </c>
      <c r="R269" s="489">
        <f t="shared" ca="1" si="214"/>
        <v>142.56012389087996</v>
      </c>
      <c r="S269" s="489">
        <f t="shared" ca="1" si="214"/>
        <v>138.54188510474</v>
      </c>
      <c r="T269" s="490">
        <f t="shared" ca="1" si="214"/>
        <v>134.52364631859999</v>
      </c>
      <c r="U269" s="585"/>
      <c r="V269" s="276"/>
      <c r="W269" s="277"/>
      <c r="X269" s="277"/>
      <c r="Y269" s="277"/>
    </row>
    <row r="270" spans="1:25" s="279" customFormat="1">
      <c r="A270">
        <f>IF(B270="","",IFERROR(MATCH(B270,'Data Processing'!$C:$C,0),""))</f>
        <v>40</v>
      </c>
      <c r="B270" s="215" t="s">
        <v>1300</v>
      </c>
      <c r="C270" s="223" t="str">
        <f>INDEX('Data Processing'!$G:$G,A270)</f>
        <v>Due to Banks - Call Loans</v>
      </c>
      <c r="D270" s="249">
        <f>INDEX('Data Processing'!O:O,$A270)</f>
        <v>0</v>
      </c>
      <c r="E270" s="128">
        <f ca="1">INDEX('Data Processing'!P:P,$A270)</f>
        <v>0</v>
      </c>
      <c r="F270" s="128">
        <f ca="1">INDEX('Data Processing'!Q:Q,$A270)</f>
        <v>0</v>
      </c>
      <c r="G270" s="128">
        <f ca="1">INDEX('Data Processing'!R:R,$A270)</f>
        <v>0</v>
      </c>
      <c r="H270" s="128">
        <f ca="1">INDEX('Data Processing'!S:S,$A270)</f>
        <v>0</v>
      </c>
      <c r="I270" s="128">
        <f ca="1">INDEX('Data Processing'!T:T,$A270)</f>
        <v>0</v>
      </c>
      <c r="J270" s="128">
        <f ca="1">INDEX('Data Processing'!U:U,$A270)</f>
        <v>0</v>
      </c>
      <c r="K270" s="128">
        <f ca="1">INDEX('Data Processing'!V:V,$A270)</f>
        <v>0</v>
      </c>
      <c r="L270" s="128">
        <f ca="1">INDEX('Data Processing'!W:W,$A270)</f>
        <v>0</v>
      </c>
      <c r="M270" s="128">
        <f ca="1">INDEX('Data Processing'!X:X,$A270)</f>
        <v>0</v>
      </c>
      <c r="N270" s="128">
        <f ca="1">INDEX('Data Processing'!Y:Y,$A270)</f>
        <v>0</v>
      </c>
      <c r="O270" s="128">
        <f ca="1">INDEX('Data Processing'!Z:Z,$A270)</f>
        <v>0</v>
      </c>
      <c r="P270" s="128">
        <f ca="1">INDEX('Data Processing'!AA:AA,$A270)</f>
        <v>0</v>
      </c>
      <c r="Q270" s="128">
        <f ca="1">INDEX('Data Processing'!AB:AB,$A270)</f>
        <v>0</v>
      </c>
      <c r="R270" s="128">
        <f ca="1">INDEX('Data Processing'!AC:AC,$A270)</f>
        <v>0</v>
      </c>
      <c r="S270" s="287">
        <f ca="1">INDEX('Data Processing'!AD:AD,$A270)</f>
        <v>0</v>
      </c>
      <c r="T270" s="220">
        <f ca="1">INDEX('Data Processing'!AE:AE,$A270)</f>
        <v>0</v>
      </c>
      <c r="U270" s="278"/>
      <c r="V270" s="120"/>
    </row>
    <row r="271" spans="1:25" s="586" customFormat="1">
      <c r="A271" s="440" t="str">
        <f>IF(B271="","",IFERROR(MATCH(B271,'Data Processing'!$C:$C,0),""))</f>
        <v/>
      </c>
      <c r="B271" s="522"/>
      <c r="C271" s="565" t="s">
        <v>1005</v>
      </c>
      <c r="D271" s="488"/>
      <c r="E271" s="454">
        <f>D270</f>
        <v>0</v>
      </c>
      <c r="F271" s="454">
        <f t="shared" ref="F271" ca="1" si="215">E270</f>
        <v>0</v>
      </c>
      <c r="G271" s="454">
        <f t="shared" ref="G271" ca="1" si="216">F270</f>
        <v>0</v>
      </c>
      <c r="H271" s="454">
        <f t="shared" ref="H271" ca="1" si="217">G270</f>
        <v>0</v>
      </c>
      <c r="I271" s="454">
        <f t="shared" ref="I271" ca="1" si="218">H270</f>
        <v>0</v>
      </c>
      <c r="J271" s="454">
        <f t="shared" ref="J271" ca="1" si="219">I270</f>
        <v>0</v>
      </c>
      <c r="K271" s="454">
        <f t="shared" ref="K271" ca="1" si="220">J270</f>
        <v>0</v>
      </c>
      <c r="L271" s="454">
        <f t="shared" ref="L271" ca="1" si="221">K270</f>
        <v>0</v>
      </c>
      <c r="M271" s="454">
        <f t="shared" ref="M271" ca="1" si="222">L270</f>
        <v>0</v>
      </c>
      <c r="N271" s="454">
        <f t="shared" ref="N271" ca="1" si="223">M270</f>
        <v>0</v>
      </c>
      <c r="O271" s="454">
        <f t="shared" ref="O271" ca="1" si="224">N270</f>
        <v>0</v>
      </c>
      <c r="P271" s="454">
        <f t="shared" ref="P271" ca="1" si="225">O270</f>
        <v>0</v>
      </c>
      <c r="Q271" s="454">
        <f t="shared" ref="Q271" ca="1" si="226">P270</f>
        <v>0</v>
      </c>
      <c r="R271" s="454">
        <f t="shared" ref="R271" ca="1" si="227">Q270</f>
        <v>0</v>
      </c>
      <c r="S271" s="454">
        <f t="shared" ref="S271" ca="1" si="228">R270</f>
        <v>0</v>
      </c>
      <c r="T271" s="455">
        <f t="shared" ref="T271" ca="1" si="229">S270</f>
        <v>0</v>
      </c>
      <c r="U271" s="582"/>
      <c r="V271" s="233" t="s">
        <v>1045</v>
      </c>
      <c r="W271" s="268"/>
      <c r="X271" s="268"/>
      <c r="Y271" s="268"/>
    </row>
    <row r="272" spans="1:25" s="521" customFormat="1">
      <c r="A272" s="440" t="str">
        <f>IF(B272="","",IFERROR(MATCH(B272,'Data Processing'!$C:$C,0),""))</f>
        <v/>
      </c>
      <c r="B272" s="522"/>
      <c r="C272" s="565" t="s">
        <v>51</v>
      </c>
      <c r="D272" s="454"/>
      <c r="E272" s="454">
        <f t="shared" ref="E272:T272" si="230">E271</f>
        <v>0</v>
      </c>
      <c r="F272" s="454">
        <f t="shared" ca="1" si="230"/>
        <v>0</v>
      </c>
      <c r="G272" s="454">
        <f t="shared" ca="1" si="230"/>
        <v>0</v>
      </c>
      <c r="H272" s="454">
        <f t="shared" ca="1" si="230"/>
        <v>0</v>
      </c>
      <c r="I272" s="454">
        <f t="shared" ca="1" si="230"/>
        <v>0</v>
      </c>
      <c r="J272" s="454">
        <f t="shared" ca="1" si="230"/>
        <v>0</v>
      </c>
      <c r="K272" s="454">
        <f t="shared" ca="1" si="230"/>
        <v>0</v>
      </c>
      <c r="L272" s="454">
        <f t="shared" ca="1" si="230"/>
        <v>0</v>
      </c>
      <c r="M272" s="454">
        <f t="shared" ca="1" si="230"/>
        <v>0</v>
      </c>
      <c r="N272" s="454">
        <f t="shared" ca="1" si="230"/>
        <v>0</v>
      </c>
      <c r="O272" s="454">
        <f t="shared" ca="1" si="230"/>
        <v>0</v>
      </c>
      <c r="P272" s="454">
        <f t="shared" ca="1" si="230"/>
        <v>0</v>
      </c>
      <c r="Q272" s="454">
        <f t="shared" ca="1" si="230"/>
        <v>0</v>
      </c>
      <c r="R272" s="454">
        <f t="shared" ca="1" si="230"/>
        <v>0</v>
      </c>
      <c r="S272" s="454">
        <f t="shared" ca="1" si="230"/>
        <v>0</v>
      </c>
      <c r="T272" s="455">
        <f t="shared" ca="1" si="230"/>
        <v>0</v>
      </c>
      <c r="U272" s="524"/>
      <c r="V272" s="120"/>
      <c r="W272" s="126"/>
      <c r="X272" s="126"/>
      <c r="Y272" s="126"/>
    </row>
    <row r="273" spans="1:25" s="561" customFormat="1">
      <c r="A273" s="440" t="str">
        <f>IF(B273="","",IFERROR(MATCH(B273,'Data Processing'!$C:$C,0),""))</f>
        <v/>
      </c>
      <c r="B273" s="583"/>
      <c r="C273" s="567" t="s">
        <v>50</v>
      </c>
      <c r="D273" s="488"/>
      <c r="E273" s="553">
        <f ca="1">INDEX('Data Processing'!BU:BU,$A270)</f>
        <v>1</v>
      </c>
      <c r="F273" s="553">
        <f ca="1">INDEX('Data Processing'!BV:BV,$A270)</f>
        <v>1</v>
      </c>
      <c r="G273" s="553">
        <f ca="1">INDEX('Data Processing'!BW:BW,$A270)</f>
        <v>1</v>
      </c>
      <c r="H273" s="553">
        <f ca="1">INDEX('Data Processing'!BX:BX,$A270)</f>
        <v>1</v>
      </c>
      <c r="I273" s="553">
        <f ca="1">INDEX('Data Processing'!BY:BY,$A270)</f>
        <v>1</v>
      </c>
      <c r="J273" s="553">
        <f ca="1">INDEX('Data Processing'!BZ:BZ,$A270)</f>
        <v>1</v>
      </c>
      <c r="K273" s="553">
        <f ca="1">INDEX('Data Processing'!CA:CA,$A270)</f>
        <v>1</v>
      </c>
      <c r="L273" s="553">
        <f ca="1">INDEX('Data Processing'!CB:CB,$A270)</f>
        <v>1</v>
      </c>
      <c r="M273" s="553">
        <f ca="1">INDEX('Data Processing'!CC:CC,$A270)</f>
        <v>1</v>
      </c>
      <c r="N273" s="553">
        <f ca="1">INDEX('Data Processing'!CD:CD,$A270)</f>
        <v>1</v>
      </c>
      <c r="O273" s="553">
        <f ca="1">INDEX('Data Processing'!CE:CE,$A270)</f>
        <v>1</v>
      </c>
      <c r="P273" s="553">
        <f ca="1">INDEX('Data Processing'!CF:CF,$A270)</f>
        <v>1</v>
      </c>
      <c r="Q273" s="553">
        <f ca="1">INDEX('Data Processing'!CG:CG,$A270)</f>
        <v>1</v>
      </c>
      <c r="R273" s="553">
        <f ca="1">INDEX('Data Processing'!CH:CH,$A270)</f>
        <v>1</v>
      </c>
      <c r="S273" s="553">
        <f ca="1">INDEX('Data Processing'!CI:CI,$A270)</f>
        <v>1</v>
      </c>
      <c r="T273" s="554">
        <f ca="1">INDEX('Data Processing'!CJ:CJ,$A270)</f>
        <v>1</v>
      </c>
      <c r="U273" s="551"/>
      <c r="V273" s="271"/>
      <c r="W273" s="272"/>
      <c r="X273" s="272"/>
      <c r="Y273" s="272"/>
    </row>
    <row r="274" spans="1:25" s="587" customFormat="1">
      <c r="A274" s="440" t="str">
        <f>IF(B274="","",IFERROR(MATCH(B274,'Data Processing'!$C:$C,0),""))</f>
        <v/>
      </c>
      <c r="B274" s="522"/>
      <c r="C274" s="523" t="s">
        <v>998</v>
      </c>
      <c r="D274" s="504"/>
      <c r="E274" s="489">
        <f ca="1">INDEX('Data Processing'!AS:AS,$A270)</f>
        <v>0</v>
      </c>
      <c r="F274" s="489">
        <f ca="1">INDEX('Data Processing'!AT:AT,$A270)</f>
        <v>0</v>
      </c>
      <c r="G274" s="489">
        <f ca="1">INDEX('Data Processing'!AU:AU,$A270)</f>
        <v>0</v>
      </c>
      <c r="H274" s="489">
        <f ca="1">INDEX('Data Processing'!AV:AV,$A270)</f>
        <v>0</v>
      </c>
      <c r="I274" s="489">
        <f ca="1">INDEX('Data Processing'!AW:AW,$A270)</f>
        <v>0</v>
      </c>
      <c r="J274" s="489">
        <f ca="1">INDEX('Data Processing'!AX:AX,$A270)</f>
        <v>0</v>
      </c>
      <c r="K274" s="489">
        <f ca="1">INDEX('Data Processing'!AY:AY,$A270)</f>
        <v>0</v>
      </c>
      <c r="L274" s="489">
        <f ca="1">INDEX('Data Processing'!AZ:AZ,$A270)</f>
        <v>0</v>
      </c>
      <c r="M274" s="489">
        <f ca="1">INDEX('Data Processing'!BA:BA,$A270)</f>
        <v>0</v>
      </c>
      <c r="N274" s="489">
        <f ca="1">INDEX('Data Processing'!BB:BB,$A270)</f>
        <v>0</v>
      </c>
      <c r="O274" s="489">
        <f ca="1">INDEX('Data Processing'!BC:BC,$A270)</f>
        <v>0</v>
      </c>
      <c r="P274" s="489">
        <f ca="1">INDEX('Data Processing'!BD:BD,$A270)</f>
        <v>0</v>
      </c>
      <c r="Q274" s="489">
        <f ca="1">INDEX('Data Processing'!BE:BE,$A270)</f>
        <v>0</v>
      </c>
      <c r="R274" s="489">
        <f ca="1">INDEX('Data Processing'!BF:BF,$A270)</f>
        <v>0</v>
      </c>
      <c r="S274" s="489">
        <f ca="1">INDEX('Data Processing'!BG:BG,$A270)</f>
        <v>0</v>
      </c>
      <c r="T274" s="490">
        <f ca="1">INDEX('Data Processing'!BH:BH,$A270)</f>
        <v>0</v>
      </c>
      <c r="U274" s="585"/>
      <c r="V274" s="276"/>
      <c r="W274" s="277"/>
      <c r="X274" s="277"/>
      <c r="Y274" s="277"/>
    </row>
    <row r="275" spans="1:25" s="587" customFormat="1">
      <c r="A275" s="440" t="str">
        <f>IF(B275="","",IFERROR(MATCH(B275,'Data Processing'!$C:$C,0),""))</f>
        <v/>
      </c>
      <c r="B275" s="522"/>
      <c r="C275" s="523" t="s">
        <v>1012</v>
      </c>
      <c r="D275" s="488"/>
      <c r="E275" s="489">
        <f t="shared" ref="E275:T275" ca="1" si="231">E271-E274</f>
        <v>0</v>
      </c>
      <c r="F275" s="489">
        <f t="shared" ca="1" si="231"/>
        <v>0</v>
      </c>
      <c r="G275" s="489">
        <f t="shared" ca="1" si="231"/>
        <v>0</v>
      </c>
      <c r="H275" s="489">
        <f t="shared" ca="1" si="231"/>
        <v>0</v>
      </c>
      <c r="I275" s="489">
        <f t="shared" ca="1" si="231"/>
        <v>0</v>
      </c>
      <c r="J275" s="489">
        <f t="shared" ca="1" si="231"/>
        <v>0</v>
      </c>
      <c r="K275" s="489">
        <f t="shared" ca="1" si="231"/>
        <v>0</v>
      </c>
      <c r="L275" s="489">
        <f t="shared" ca="1" si="231"/>
        <v>0</v>
      </c>
      <c r="M275" s="489">
        <f t="shared" ca="1" si="231"/>
        <v>0</v>
      </c>
      <c r="N275" s="489">
        <f t="shared" ca="1" si="231"/>
        <v>0</v>
      </c>
      <c r="O275" s="489">
        <f t="shared" ca="1" si="231"/>
        <v>0</v>
      </c>
      <c r="P275" s="489">
        <f t="shared" ca="1" si="231"/>
        <v>0</v>
      </c>
      <c r="Q275" s="489">
        <f t="shared" ca="1" si="231"/>
        <v>0</v>
      </c>
      <c r="R275" s="489">
        <f t="shared" ca="1" si="231"/>
        <v>0</v>
      </c>
      <c r="S275" s="489">
        <f t="shared" ca="1" si="231"/>
        <v>0</v>
      </c>
      <c r="T275" s="490">
        <f t="shared" ca="1" si="231"/>
        <v>0</v>
      </c>
      <c r="U275" s="585"/>
      <c r="V275" s="276"/>
      <c r="W275" s="277"/>
      <c r="X275" s="277"/>
      <c r="Y275" s="277"/>
    </row>
    <row r="276" spans="1:25" s="279" customFormat="1">
      <c r="A276">
        <f>IF(B276="","",IFERROR(MATCH(B276,'Data Processing'!$C:$C,0),""))</f>
        <v>41</v>
      </c>
      <c r="B276" s="215" t="s">
        <v>1301</v>
      </c>
      <c r="C276" s="223" t="str">
        <f>INDEX('Data Processing'!$G:$G,A276)</f>
        <v>Blocked Account</v>
      </c>
      <c r="D276" s="249">
        <f>INDEX('Data Processing'!O:O,$A276)</f>
        <v>1.4091577800000004</v>
      </c>
      <c r="E276" s="128">
        <f ca="1">INDEX('Data Processing'!P:P,$A276)</f>
        <v>1.3573007736960003</v>
      </c>
      <c r="F276" s="128">
        <f ca="1">INDEX('Data Processing'!Q:Q,$A276)</f>
        <v>1.3400151049280002</v>
      </c>
      <c r="G276" s="128">
        <f ca="1">INDEX('Data Processing'!R:R,$A276)</f>
        <v>1.3227294361600004</v>
      </c>
      <c r="H276" s="128">
        <f ca="1">INDEX('Data Processing'!S:S,$A276)</f>
        <v>1.3054437673920003</v>
      </c>
      <c r="I276" s="128">
        <f ca="1">INDEX('Data Processing'!T:T,$A276)</f>
        <v>1.2881580986240002</v>
      </c>
      <c r="J276" s="128">
        <f ca="1">INDEX('Data Processing'!U:U,$A276)</f>
        <v>1.2708724298560004</v>
      </c>
      <c r="K276" s="128">
        <f ca="1">INDEX('Data Processing'!V:V,$A276)</f>
        <v>1.2535867610880003</v>
      </c>
      <c r="L276" s="128">
        <f ca="1">INDEX('Data Processing'!W:W,$A276)</f>
        <v>1.2387704735725718</v>
      </c>
      <c r="M276" s="128">
        <f ca="1">INDEX('Data Processing'!X:X,$A276)</f>
        <v>1.223954186057143</v>
      </c>
      <c r="N276" s="128">
        <f ca="1">INDEX('Data Processing'!Y:Y,$A276)</f>
        <v>1.2091378985417145</v>
      </c>
      <c r="O276" s="128">
        <f ca="1">INDEX('Data Processing'!Z:Z,$A276)</f>
        <v>1.194321611026286</v>
      </c>
      <c r="P276" s="128">
        <f ca="1">INDEX('Data Processing'!AA:AA,$A276)</f>
        <v>1.1795053235108575</v>
      </c>
      <c r="Q276" s="128">
        <f ca="1">INDEX('Data Processing'!AB:AB,$A276)</f>
        <v>1.1646890359954289</v>
      </c>
      <c r="R276" s="128">
        <f ca="1">INDEX('Data Processing'!AC:AC,$A276)</f>
        <v>1.1498727484800002</v>
      </c>
      <c r="S276" s="287">
        <f ca="1">INDEX('Data Processing'!AD:AD,$A276)</f>
        <v>1.1174621195400003</v>
      </c>
      <c r="T276" s="220">
        <f ca="1">INDEX('Data Processing'!AE:AE,$A276)</f>
        <v>1.0850514906000002</v>
      </c>
      <c r="U276" s="278"/>
      <c r="V276" s="120"/>
    </row>
    <row r="277" spans="1:25" s="586" customFormat="1">
      <c r="A277" s="440" t="str">
        <f>IF(B277="","",IFERROR(MATCH(B277,'Data Processing'!$C:$C,0),""))</f>
        <v/>
      </c>
      <c r="B277" s="522"/>
      <c r="C277" s="565" t="s">
        <v>1005</v>
      </c>
      <c r="D277" s="488"/>
      <c r="E277" s="454">
        <f>D276</f>
        <v>1.4091577800000004</v>
      </c>
      <c r="F277" s="454">
        <f t="shared" ref="F277" ca="1" si="232">E276</f>
        <v>1.3573007736960003</v>
      </c>
      <c r="G277" s="454">
        <f t="shared" ref="G277" ca="1" si="233">F276</f>
        <v>1.3400151049280002</v>
      </c>
      <c r="H277" s="454">
        <f t="shared" ref="H277" ca="1" si="234">G276</f>
        <v>1.3227294361600004</v>
      </c>
      <c r="I277" s="454">
        <f t="shared" ref="I277" ca="1" si="235">H276</f>
        <v>1.3054437673920003</v>
      </c>
      <c r="J277" s="454">
        <f t="shared" ref="J277" ca="1" si="236">I276</f>
        <v>1.2881580986240002</v>
      </c>
      <c r="K277" s="454">
        <f t="shared" ref="K277" ca="1" si="237">J276</f>
        <v>1.2708724298560004</v>
      </c>
      <c r="L277" s="454">
        <f t="shared" ref="L277" ca="1" si="238">K276</f>
        <v>1.2535867610880003</v>
      </c>
      <c r="M277" s="454">
        <f t="shared" ref="M277" ca="1" si="239">L276</f>
        <v>1.2387704735725718</v>
      </c>
      <c r="N277" s="454">
        <f t="shared" ref="N277" ca="1" si="240">M276</f>
        <v>1.223954186057143</v>
      </c>
      <c r="O277" s="454">
        <f t="shared" ref="O277" ca="1" si="241">N276</f>
        <v>1.2091378985417145</v>
      </c>
      <c r="P277" s="454">
        <f t="shared" ref="P277" ca="1" si="242">O276</f>
        <v>1.194321611026286</v>
      </c>
      <c r="Q277" s="454">
        <f t="shared" ref="Q277" ca="1" si="243">P276</f>
        <v>1.1795053235108575</v>
      </c>
      <c r="R277" s="454">
        <f t="shared" ref="R277" ca="1" si="244">Q276</f>
        <v>1.1646890359954289</v>
      </c>
      <c r="S277" s="454">
        <f t="shared" ref="S277" ca="1" si="245">R276</f>
        <v>1.1498727484800002</v>
      </c>
      <c r="T277" s="455">
        <f t="shared" ref="T277" ca="1" si="246">S276</f>
        <v>1.1174621195400003</v>
      </c>
      <c r="U277" s="582"/>
      <c r="V277" s="233" t="s">
        <v>1045</v>
      </c>
      <c r="W277" s="268"/>
      <c r="X277" s="268"/>
      <c r="Y277" s="268"/>
    </row>
    <row r="278" spans="1:25" s="521" customFormat="1">
      <c r="A278" s="440" t="str">
        <f>IF(B278="","",IFERROR(MATCH(B278,'Data Processing'!$C:$C,0),""))</f>
        <v/>
      </c>
      <c r="B278" s="522"/>
      <c r="C278" s="565" t="s">
        <v>51</v>
      </c>
      <c r="D278" s="454"/>
      <c r="E278" s="454">
        <f t="shared" ref="E278:T278" si="247">E277</f>
        <v>1.4091577800000004</v>
      </c>
      <c r="F278" s="454">
        <f t="shared" ca="1" si="247"/>
        <v>1.3573007736960003</v>
      </c>
      <c r="G278" s="454">
        <f t="shared" ca="1" si="247"/>
        <v>1.3400151049280002</v>
      </c>
      <c r="H278" s="454">
        <f t="shared" ca="1" si="247"/>
        <v>1.3227294361600004</v>
      </c>
      <c r="I278" s="454">
        <f t="shared" ca="1" si="247"/>
        <v>1.3054437673920003</v>
      </c>
      <c r="J278" s="454">
        <f t="shared" ca="1" si="247"/>
        <v>1.2881580986240002</v>
      </c>
      <c r="K278" s="454">
        <f t="shared" ca="1" si="247"/>
        <v>1.2708724298560004</v>
      </c>
      <c r="L278" s="454">
        <f t="shared" ca="1" si="247"/>
        <v>1.2535867610880003</v>
      </c>
      <c r="M278" s="454">
        <f t="shared" ca="1" si="247"/>
        <v>1.2387704735725718</v>
      </c>
      <c r="N278" s="454">
        <f t="shared" ca="1" si="247"/>
        <v>1.223954186057143</v>
      </c>
      <c r="O278" s="454">
        <f t="shared" ca="1" si="247"/>
        <v>1.2091378985417145</v>
      </c>
      <c r="P278" s="454">
        <f t="shared" ca="1" si="247"/>
        <v>1.194321611026286</v>
      </c>
      <c r="Q278" s="454">
        <f t="shared" ca="1" si="247"/>
        <v>1.1795053235108575</v>
      </c>
      <c r="R278" s="454">
        <f t="shared" ca="1" si="247"/>
        <v>1.1646890359954289</v>
      </c>
      <c r="S278" s="454">
        <f t="shared" ca="1" si="247"/>
        <v>1.1498727484800002</v>
      </c>
      <c r="T278" s="455">
        <f t="shared" ca="1" si="247"/>
        <v>1.1174621195400003</v>
      </c>
      <c r="U278" s="524"/>
      <c r="V278" s="120"/>
      <c r="W278" s="126"/>
      <c r="X278" s="126"/>
      <c r="Y278" s="126"/>
    </row>
    <row r="279" spans="1:25" s="561" customFormat="1">
      <c r="A279" s="440" t="str">
        <f>IF(B279="","",IFERROR(MATCH(B279,'Data Processing'!$C:$C,0),""))</f>
        <v/>
      </c>
      <c r="B279" s="583"/>
      <c r="C279" s="567" t="s">
        <v>50</v>
      </c>
      <c r="D279" s="488"/>
      <c r="E279" s="553">
        <f ca="1">INDEX('Data Processing'!BU:BU,$A276)</f>
        <v>3.6800000000000013E-2</v>
      </c>
      <c r="F279" s="553">
        <f ca="1">INDEX('Data Processing'!BV:BV,$A276)</f>
        <v>1.2266666666666671E-2</v>
      </c>
      <c r="G279" s="553">
        <f ca="1">INDEX('Data Processing'!BW:BW,$A276)</f>
        <v>1.2266666666666671E-2</v>
      </c>
      <c r="H279" s="553">
        <f ca="1">INDEX('Data Processing'!BX:BX,$A276)</f>
        <v>1.2266666666666671E-2</v>
      </c>
      <c r="I279" s="553">
        <f ca="1">INDEX('Data Processing'!BY:BY,$A276)</f>
        <v>1.2266666666666671E-2</v>
      </c>
      <c r="J279" s="553">
        <f ca="1">INDEX('Data Processing'!BZ:BZ,$A276)</f>
        <v>1.2266666666666671E-2</v>
      </c>
      <c r="K279" s="553">
        <f ca="1">INDEX('Data Processing'!CA:CA,$A276)</f>
        <v>1.2266666666666671E-2</v>
      </c>
      <c r="L279" s="553">
        <f ca="1">INDEX('Data Processing'!CB:CB,$A276)</f>
        <v>1.0514285714285719E-2</v>
      </c>
      <c r="M279" s="553">
        <f ca="1">INDEX('Data Processing'!CC:CC,$A276)</f>
        <v>1.0514285714285719E-2</v>
      </c>
      <c r="N279" s="553">
        <f ca="1">INDEX('Data Processing'!CD:CD,$A276)</f>
        <v>1.0514285714285719E-2</v>
      </c>
      <c r="O279" s="553">
        <f ca="1">INDEX('Data Processing'!CE:CE,$A276)</f>
        <v>1.0514285714285719E-2</v>
      </c>
      <c r="P279" s="553">
        <f ca="1">INDEX('Data Processing'!CF:CF,$A276)</f>
        <v>1.0514285714285719E-2</v>
      </c>
      <c r="Q279" s="553">
        <f ca="1">INDEX('Data Processing'!CG:CG,$A276)</f>
        <v>1.0514285714285719E-2</v>
      </c>
      <c r="R279" s="553">
        <f ca="1">INDEX('Data Processing'!CH:CH,$A276)</f>
        <v>1.0514285714285719E-2</v>
      </c>
      <c r="S279" s="553">
        <f ca="1">INDEX('Data Processing'!CI:CI,$A276)</f>
        <v>2.2999999999999993E-2</v>
      </c>
      <c r="T279" s="554">
        <f ca="1">INDEX('Data Processing'!CJ:CJ,$A276)</f>
        <v>2.2999999999999993E-2</v>
      </c>
      <c r="U279" s="551"/>
      <c r="V279" s="271"/>
      <c r="W279" s="272"/>
      <c r="X279" s="272"/>
      <c r="Y279" s="272"/>
    </row>
    <row r="280" spans="1:25" s="587" customFormat="1">
      <c r="A280" s="440" t="str">
        <f>IF(B280="","",IFERROR(MATCH(B280,'Data Processing'!$C:$C,0),""))</f>
        <v/>
      </c>
      <c r="B280" s="522"/>
      <c r="C280" s="523" t="s">
        <v>998</v>
      </c>
      <c r="D280" s="504"/>
      <c r="E280" s="489">
        <f ca="1">INDEX('Data Processing'!AS:AS,$A276)</f>
        <v>5.1857006304000031E-2</v>
      </c>
      <c r="F280" s="489">
        <f ca="1">INDEX('Data Processing'!AT:AT,$A276)</f>
        <v>1.7285668768000011E-2</v>
      </c>
      <c r="G280" s="489">
        <f ca="1">INDEX('Data Processing'!AU:AU,$A276)</f>
        <v>1.7285668768000011E-2</v>
      </c>
      <c r="H280" s="489">
        <f ca="1">INDEX('Data Processing'!AV:AV,$A276)</f>
        <v>1.7285668768000011E-2</v>
      </c>
      <c r="I280" s="489">
        <f ca="1">INDEX('Data Processing'!AW:AW,$A276)</f>
        <v>1.7285668768000011E-2</v>
      </c>
      <c r="J280" s="489">
        <f ca="1">INDEX('Data Processing'!AX:AX,$A276)</f>
        <v>1.7285668768000011E-2</v>
      </c>
      <c r="K280" s="489">
        <f ca="1">INDEX('Data Processing'!AY:AY,$A276)</f>
        <v>1.7285668768000011E-2</v>
      </c>
      <c r="L280" s="489">
        <f ca="1">INDEX('Data Processing'!AZ:AZ,$A276)</f>
        <v>1.4816287515428583E-2</v>
      </c>
      <c r="M280" s="489">
        <f ca="1">INDEX('Data Processing'!BA:BA,$A276)</f>
        <v>1.4816287515428583E-2</v>
      </c>
      <c r="N280" s="489">
        <f ca="1">INDEX('Data Processing'!BB:BB,$A276)</f>
        <v>1.4816287515428583E-2</v>
      </c>
      <c r="O280" s="489">
        <f ca="1">INDEX('Data Processing'!BC:BC,$A276)</f>
        <v>1.4816287515428583E-2</v>
      </c>
      <c r="P280" s="489">
        <f ca="1">INDEX('Data Processing'!BD:BD,$A276)</f>
        <v>1.4816287515428583E-2</v>
      </c>
      <c r="Q280" s="489">
        <f ca="1">INDEX('Data Processing'!BE:BE,$A276)</f>
        <v>1.4816287515428583E-2</v>
      </c>
      <c r="R280" s="489">
        <f ca="1">INDEX('Data Processing'!BF:BF,$A276)</f>
        <v>1.4816287515428583E-2</v>
      </c>
      <c r="S280" s="489">
        <f ca="1">INDEX('Data Processing'!BG:BG,$A276)</f>
        <v>3.2410628939999998E-2</v>
      </c>
      <c r="T280" s="490">
        <f ca="1">INDEX('Data Processing'!BH:BH,$A276)</f>
        <v>3.2410628939999998E-2</v>
      </c>
      <c r="U280" s="585"/>
      <c r="V280" s="276"/>
      <c r="W280" s="277"/>
      <c r="X280" s="277"/>
      <c r="Y280" s="277"/>
    </row>
    <row r="281" spans="1:25" s="587" customFormat="1">
      <c r="A281" s="440" t="str">
        <f>IF(B281="","",IFERROR(MATCH(B281,'Data Processing'!$C:$C,0),""))</f>
        <v/>
      </c>
      <c r="B281" s="522"/>
      <c r="C281" s="523" t="s">
        <v>1012</v>
      </c>
      <c r="D281" s="488"/>
      <c r="E281" s="489">
        <f t="shared" ref="E281:T281" ca="1" si="248">E277-E280</f>
        <v>1.3573007736960003</v>
      </c>
      <c r="F281" s="489">
        <f t="shared" ca="1" si="248"/>
        <v>1.3400151049280002</v>
      </c>
      <c r="G281" s="489">
        <f t="shared" ca="1" si="248"/>
        <v>1.3227294361600002</v>
      </c>
      <c r="H281" s="489">
        <f t="shared" ca="1" si="248"/>
        <v>1.3054437673920003</v>
      </c>
      <c r="I281" s="489">
        <f t="shared" ca="1" si="248"/>
        <v>1.2881580986240002</v>
      </c>
      <c r="J281" s="489">
        <f t="shared" ca="1" si="248"/>
        <v>1.2708724298560001</v>
      </c>
      <c r="K281" s="489">
        <f t="shared" ca="1" si="248"/>
        <v>1.2535867610880003</v>
      </c>
      <c r="L281" s="489">
        <f t="shared" ca="1" si="248"/>
        <v>1.2387704735725718</v>
      </c>
      <c r="M281" s="489">
        <f t="shared" ca="1" si="248"/>
        <v>1.2239541860571432</v>
      </c>
      <c r="N281" s="489">
        <f t="shared" ca="1" si="248"/>
        <v>1.2091378985417145</v>
      </c>
      <c r="O281" s="489">
        <f t="shared" ca="1" si="248"/>
        <v>1.194321611026286</v>
      </c>
      <c r="P281" s="489">
        <f t="shared" ca="1" si="248"/>
        <v>1.1795053235108575</v>
      </c>
      <c r="Q281" s="489">
        <f t="shared" ca="1" si="248"/>
        <v>1.1646890359954289</v>
      </c>
      <c r="R281" s="489">
        <f t="shared" ca="1" si="248"/>
        <v>1.1498727484800004</v>
      </c>
      <c r="S281" s="489">
        <f t="shared" ca="1" si="248"/>
        <v>1.1174621195400003</v>
      </c>
      <c r="T281" s="490">
        <f t="shared" ca="1" si="248"/>
        <v>1.0850514906000004</v>
      </c>
      <c r="U281" s="585"/>
      <c r="V281" s="276"/>
      <c r="W281" s="277"/>
      <c r="X281" s="277"/>
      <c r="Y281" s="277"/>
    </row>
    <row r="282" spans="1:25" s="279" customFormat="1">
      <c r="A282">
        <f>IF(B282="","",IFERROR(MATCH(B282,'Data Processing'!$C:$C,0),""))</f>
        <v>42</v>
      </c>
      <c r="B282" s="215" t="s">
        <v>1302</v>
      </c>
      <c r="C282" s="223" t="str">
        <f>INDEX('Data Processing'!$G:$G,A282)</f>
        <v>Due to Non-Bank FI (Exclude Large FI)</v>
      </c>
      <c r="D282" s="249">
        <f>INDEX('Data Processing'!O:O,$A282)</f>
        <v>366.42940659000016</v>
      </c>
      <c r="E282" s="128">
        <f ca="1">INDEX('Data Processing'!P:P,$A282)</f>
        <v>343.95506965248012</v>
      </c>
      <c r="F282" s="128">
        <f ca="1">INDEX('Data Processing'!Q:Q,$A282)</f>
        <v>340.20934682956016</v>
      </c>
      <c r="G282" s="128">
        <f ca="1">INDEX('Data Processing'!R:R,$A282)</f>
        <v>336.46362400664015</v>
      </c>
      <c r="H282" s="128">
        <f ca="1">INDEX('Data Processing'!S:S,$A282)</f>
        <v>332.71790118372013</v>
      </c>
      <c r="I282" s="128">
        <f ca="1">INDEX('Data Processing'!T:T,$A282)</f>
        <v>328.97217836080011</v>
      </c>
      <c r="J282" s="128">
        <f ca="1">INDEX('Data Processing'!U:U,$A282)</f>
        <v>325.22645553788016</v>
      </c>
      <c r="K282" s="128">
        <f ca="1">INDEX('Data Processing'!V:V,$A282)</f>
        <v>321.48073271496014</v>
      </c>
      <c r="L282" s="128">
        <f ca="1">INDEX('Data Processing'!W:W,$A282)</f>
        <v>318.27011315245727</v>
      </c>
      <c r="M282" s="128">
        <f ca="1">INDEX('Data Processing'!X:X,$A282)</f>
        <v>315.0594935899544</v>
      </c>
      <c r="N282" s="128">
        <f ca="1">INDEX('Data Processing'!Y:Y,$A282)</f>
        <v>311.84887402745153</v>
      </c>
      <c r="O282" s="128">
        <f ca="1">INDEX('Data Processing'!Z:Z,$A282)</f>
        <v>308.63825446494866</v>
      </c>
      <c r="P282" s="128">
        <f ca="1">INDEX('Data Processing'!AA:AA,$A282)</f>
        <v>305.42763490244579</v>
      </c>
      <c r="Q282" s="128">
        <f ca="1">INDEX('Data Processing'!AB:AB,$A282)</f>
        <v>302.21701533994298</v>
      </c>
      <c r="R282" s="128">
        <f ca="1">INDEX('Data Processing'!AC:AC,$A282)</f>
        <v>299.0063957774401</v>
      </c>
      <c r="S282" s="287">
        <f ca="1">INDEX('Data Processing'!AD:AD,$A282)</f>
        <v>290.57851942587013</v>
      </c>
      <c r="T282" s="220">
        <f ca="1">INDEX('Data Processing'!AE:AE,$A282)</f>
        <v>282.15064307430009</v>
      </c>
      <c r="U282" s="278"/>
      <c r="V282" s="120"/>
    </row>
    <row r="283" spans="1:25" s="586" customFormat="1">
      <c r="A283" s="440" t="str">
        <f>IF(B283="","",IFERROR(MATCH(B283,'Data Processing'!$C:$C,0),""))</f>
        <v/>
      </c>
      <c r="B283" s="522"/>
      <c r="C283" s="565" t="s">
        <v>1005</v>
      </c>
      <c r="D283" s="488"/>
      <c r="E283" s="454">
        <f>D282</f>
        <v>366.42940659000016</v>
      </c>
      <c r="F283" s="454">
        <f t="shared" ref="F283" ca="1" si="249">E282</f>
        <v>343.95506965248012</v>
      </c>
      <c r="G283" s="454">
        <f t="shared" ref="G283" ca="1" si="250">F282</f>
        <v>340.20934682956016</v>
      </c>
      <c r="H283" s="454">
        <f t="shared" ref="H283" ca="1" si="251">G282</f>
        <v>336.46362400664015</v>
      </c>
      <c r="I283" s="454">
        <f t="shared" ref="I283" ca="1" si="252">H282</f>
        <v>332.71790118372013</v>
      </c>
      <c r="J283" s="454">
        <f t="shared" ref="J283" ca="1" si="253">I282</f>
        <v>328.97217836080011</v>
      </c>
      <c r="K283" s="454">
        <f t="shared" ref="K283" ca="1" si="254">J282</f>
        <v>325.22645553788016</v>
      </c>
      <c r="L283" s="454">
        <f t="shared" ref="L283" ca="1" si="255">K282</f>
        <v>321.48073271496014</v>
      </c>
      <c r="M283" s="454">
        <f t="shared" ref="M283" ca="1" si="256">L282</f>
        <v>318.27011315245727</v>
      </c>
      <c r="N283" s="454">
        <f t="shared" ref="N283" ca="1" si="257">M282</f>
        <v>315.0594935899544</v>
      </c>
      <c r="O283" s="454">
        <f t="shared" ref="O283" ca="1" si="258">N282</f>
        <v>311.84887402745153</v>
      </c>
      <c r="P283" s="454">
        <f t="shared" ref="P283" ca="1" si="259">O282</f>
        <v>308.63825446494866</v>
      </c>
      <c r="Q283" s="454">
        <f t="shared" ref="Q283" ca="1" si="260">P282</f>
        <v>305.42763490244579</v>
      </c>
      <c r="R283" s="454">
        <f t="shared" ref="R283" ca="1" si="261">Q282</f>
        <v>302.21701533994298</v>
      </c>
      <c r="S283" s="454">
        <f t="shared" ref="S283" ca="1" si="262">R282</f>
        <v>299.0063957774401</v>
      </c>
      <c r="T283" s="455">
        <f t="shared" ref="T283" ca="1" si="263">S282</f>
        <v>290.57851942587013</v>
      </c>
      <c r="U283" s="582"/>
      <c r="V283" s="233" t="s">
        <v>1045</v>
      </c>
      <c r="W283" s="268"/>
      <c r="X283" s="268"/>
      <c r="Y283" s="268"/>
    </row>
    <row r="284" spans="1:25" s="521" customFormat="1">
      <c r="A284" s="440" t="str">
        <f>IF(B284="","",IFERROR(MATCH(B284,'Data Processing'!$C:$C,0),""))</f>
        <v/>
      </c>
      <c r="B284" s="522"/>
      <c r="C284" s="565" t="s">
        <v>51</v>
      </c>
      <c r="D284" s="454"/>
      <c r="E284" s="454">
        <f t="shared" ref="E284:T284" si="264">E283</f>
        <v>366.42940659000016</v>
      </c>
      <c r="F284" s="454">
        <f t="shared" ca="1" si="264"/>
        <v>343.95506965248012</v>
      </c>
      <c r="G284" s="454">
        <f t="shared" ca="1" si="264"/>
        <v>340.20934682956016</v>
      </c>
      <c r="H284" s="454">
        <f t="shared" ca="1" si="264"/>
        <v>336.46362400664015</v>
      </c>
      <c r="I284" s="454">
        <f t="shared" ca="1" si="264"/>
        <v>332.71790118372013</v>
      </c>
      <c r="J284" s="454">
        <f t="shared" ca="1" si="264"/>
        <v>328.97217836080011</v>
      </c>
      <c r="K284" s="454">
        <f t="shared" ca="1" si="264"/>
        <v>325.22645553788016</v>
      </c>
      <c r="L284" s="454">
        <f t="shared" ca="1" si="264"/>
        <v>321.48073271496014</v>
      </c>
      <c r="M284" s="454">
        <f t="shared" ca="1" si="264"/>
        <v>318.27011315245727</v>
      </c>
      <c r="N284" s="454">
        <f t="shared" ca="1" si="264"/>
        <v>315.0594935899544</v>
      </c>
      <c r="O284" s="454">
        <f t="shared" ca="1" si="264"/>
        <v>311.84887402745153</v>
      </c>
      <c r="P284" s="454">
        <f t="shared" ca="1" si="264"/>
        <v>308.63825446494866</v>
      </c>
      <c r="Q284" s="454">
        <f t="shared" ca="1" si="264"/>
        <v>305.42763490244579</v>
      </c>
      <c r="R284" s="454">
        <f t="shared" ca="1" si="264"/>
        <v>302.21701533994298</v>
      </c>
      <c r="S284" s="454">
        <f t="shared" ca="1" si="264"/>
        <v>299.0063957774401</v>
      </c>
      <c r="T284" s="455">
        <f t="shared" ca="1" si="264"/>
        <v>290.57851942587013</v>
      </c>
      <c r="U284" s="524"/>
      <c r="V284" s="120"/>
      <c r="W284" s="126"/>
      <c r="X284" s="126"/>
      <c r="Y284" s="126"/>
    </row>
    <row r="285" spans="1:25" s="561" customFormat="1">
      <c r="A285" s="440" t="str">
        <f>IF(B285="","",IFERROR(MATCH(B285,'Data Processing'!$C:$C,0),""))</f>
        <v/>
      </c>
      <c r="B285" s="583"/>
      <c r="C285" s="567" t="s">
        <v>50</v>
      </c>
      <c r="D285" s="488"/>
      <c r="E285" s="553">
        <f ca="1">INDEX('Data Processing'!BU:BU,$A282)</f>
        <v>6.1333333333333351E-2</v>
      </c>
      <c r="F285" s="553">
        <f ca="1">INDEX('Data Processing'!BV:BV,$A282)</f>
        <v>1.0222222222222225E-2</v>
      </c>
      <c r="G285" s="553">
        <f ca="1">INDEX('Data Processing'!BW:BW,$A282)</f>
        <v>1.0222222222222225E-2</v>
      </c>
      <c r="H285" s="553">
        <f ca="1">INDEX('Data Processing'!BX:BX,$A282)</f>
        <v>1.0222222222222225E-2</v>
      </c>
      <c r="I285" s="553">
        <f ca="1">INDEX('Data Processing'!BY:BY,$A282)</f>
        <v>1.0222222222222225E-2</v>
      </c>
      <c r="J285" s="553">
        <f ca="1">INDEX('Data Processing'!BZ:BZ,$A282)</f>
        <v>1.0222222222222225E-2</v>
      </c>
      <c r="K285" s="553">
        <f ca="1">INDEX('Data Processing'!CA:CA,$A282)</f>
        <v>1.0222222222222225E-2</v>
      </c>
      <c r="L285" s="553">
        <f ca="1">INDEX('Data Processing'!CB:CB,$A282)</f>
        <v>8.7619047619047659E-3</v>
      </c>
      <c r="M285" s="553">
        <f ca="1">INDEX('Data Processing'!CC:CC,$A282)</f>
        <v>8.7619047619047659E-3</v>
      </c>
      <c r="N285" s="553">
        <f ca="1">INDEX('Data Processing'!CD:CD,$A282)</f>
        <v>8.7619047619047659E-3</v>
      </c>
      <c r="O285" s="553">
        <f ca="1">INDEX('Data Processing'!CE:CE,$A282)</f>
        <v>8.7619047619047659E-3</v>
      </c>
      <c r="P285" s="553">
        <f ca="1">INDEX('Data Processing'!CF:CF,$A282)</f>
        <v>8.7619047619047659E-3</v>
      </c>
      <c r="Q285" s="553">
        <f ca="1">INDEX('Data Processing'!CG:CG,$A282)</f>
        <v>8.7619047619047659E-3</v>
      </c>
      <c r="R285" s="553">
        <f ca="1">INDEX('Data Processing'!CH:CH,$A282)</f>
        <v>8.7619047619047659E-3</v>
      </c>
      <c r="S285" s="553">
        <f ca="1">INDEX('Data Processing'!CI:CI,$A282)</f>
        <v>2.2999999999999993E-2</v>
      </c>
      <c r="T285" s="554">
        <f ca="1">INDEX('Data Processing'!CJ:CJ,$A282)</f>
        <v>2.2999999999999993E-2</v>
      </c>
      <c r="U285" s="551"/>
      <c r="V285" s="271"/>
      <c r="W285" s="272"/>
      <c r="X285" s="272"/>
      <c r="Y285" s="272"/>
    </row>
    <row r="286" spans="1:25" s="587" customFormat="1">
      <c r="A286" s="440" t="str">
        <f>IF(B286="","",IFERROR(MATCH(B286,'Data Processing'!$C:$C,0),""))</f>
        <v/>
      </c>
      <c r="B286" s="522"/>
      <c r="C286" s="523" t="s">
        <v>998</v>
      </c>
      <c r="D286" s="504"/>
      <c r="E286" s="489">
        <f ca="1">INDEX('Data Processing'!AS:AS,$A282)</f>
        <v>22.474336937520015</v>
      </c>
      <c r="F286" s="489">
        <f ca="1">INDEX('Data Processing'!AT:AT,$A282)</f>
        <v>3.7457228229200026</v>
      </c>
      <c r="G286" s="489">
        <f ca="1">INDEX('Data Processing'!AU:AU,$A282)</f>
        <v>3.7457228229200026</v>
      </c>
      <c r="H286" s="489">
        <f ca="1">INDEX('Data Processing'!AV:AV,$A282)</f>
        <v>3.7457228229200026</v>
      </c>
      <c r="I286" s="489">
        <f ca="1">INDEX('Data Processing'!AW:AW,$A282)</f>
        <v>3.7457228229200026</v>
      </c>
      <c r="J286" s="489">
        <f ca="1">INDEX('Data Processing'!AX:AX,$A282)</f>
        <v>3.7457228229200026</v>
      </c>
      <c r="K286" s="489">
        <f ca="1">INDEX('Data Processing'!AY:AY,$A282)</f>
        <v>3.7457228229200026</v>
      </c>
      <c r="L286" s="489">
        <f ca="1">INDEX('Data Processing'!AZ:AZ,$A282)</f>
        <v>3.2106195625028602</v>
      </c>
      <c r="M286" s="489">
        <f ca="1">INDEX('Data Processing'!BA:BA,$A282)</f>
        <v>3.2106195625028602</v>
      </c>
      <c r="N286" s="489">
        <f ca="1">INDEX('Data Processing'!BB:BB,$A282)</f>
        <v>3.2106195625028602</v>
      </c>
      <c r="O286" s="489">
        <f ca="1">INDEX('Data Processing'!BC:BC,$A282)</f>
        <v>3.2106195625028602</v>
      </c>
      <c r="P286" s="489">
        <f ca="1">INDEX('Data Processing'!BD:BD,$A282)</f>
        <v>3.2106195625028602</v>
      </c>
      <c r="Q286" s="489">
        <f ca="1">INDEX('Data Processing'!BE:BE,$A282)</f>
        <v>3.2106195625028602</v>
      </c>
      <c r="R286" s="489">
        <f ca="1">INDEX('Data Processing'!BF:BF,$A282)</f>
        <v>3.2106195625028602</v>
      </c>
      <c r="S286" s="489">
        <f ca="1">INDEX('Data Processing'!BG:BG,$A282)</f>
        <v>8.427876351570001</v>
      </c>
      <c r="T286" s="490">
        <f ca="1">INDEX('Data Processing'!BH:BH,$A282)</f>
        <v>8.427876351570001</v>
      </c>
      <c r="U286" s="585"/>
      <c r="V286" s="276"/>
      <c r="W286" s="277"/>
      <c r="X286" s="277"/>
      <c r="Y286" s="277"/>
    </row>
    <row r="287" spans="1:25" s="587" customFormat="1">
      <c r="A287" s="440" t="str">
        <f>IF(B287="","",IFERROR(MATCH(B287,'Data Processing'!$C:$C,0),""))</f>
        <v/>
      </c>
      <c r="B287" s="522"/>
      <c r="C287" s="523" t="s">
        <v>1012</v>
      </c>
      <c r="D287" s="488"/>
      <c r="E287" s="489">
        <f t="shared" ref="E287:T287" ca="1" si="265">E283-E286</f>
        <v>343.95506965248012</v>
      </c>
      <c r="F287" s="489">
        <f t="shared" ca="1" si="265"/>
        <v>340.2093468295601</v>
      </c>
      <c r="G287" s="489">
        <f t="shared" ca="1" si="265"/>
        <v>336.46362400664015</v>
      </c>
      <c r="H287" s="489">
        <f t="shared" ca="1" si="265"/>
        <v>332.71790118372013</v>
      </c>
      <c r="I287" s="489">
        <f t="shared" ca="1" si="265"/>
        <v>328.97217836080011</v>
      </c>
      <c r="J287" s="489">
        <f t="shared" ca="1" si="265"/>
        <v>325.2264555378801</v>
      </c>
      <c r="K287" s="489">
        <f t="shared" ca="1" si="265"/>
        <v>321.48073271496014</v>
      </c>
      <c r="L287" s="489">
        <f t="shared" ca="1" si="265"/>
        <v>318.27011315245727</v>
      </c>
      <c r="M287" s="489">
        <f t="shared" ca="1" si="265"/>
        <v>315.0594935899544</v>
      </c>
      <c r="N287" s="489">
        <f t="shared" ca="1" si="265"/>
        <v>311.84887402745153</v>
      </c>
      <c r="O287" s="489">
        <f t="shared" ca="1" si="265"/>
        <v>308.63825446494866</v>
      </c>
      <c r="P287" s="489">
        <f t="shared" ca="1" si="265"/>
        <v>305.42763490244579</v>
      </c>
      <c r="Q287" s="489">
        <f t="shared" ca="1" si="265"/>
        <v>302.21701533994292</v>
      </c>
      <c r="R287" s="489">
        <f t="shared" ca="1" si="265"/>
        <v>299.0063957774401</v>
      </c>
      <c r="S287" s="489">
        <f t="shared" ca="1" si="265"/>
        <v>290.57851942587013</v>
      </c>
      <c r="T287" s="490">
        <f t="shared" ca="1" si="265"/>
        <v>282.15064307430015</v>
      </c>
      <c r="U287" s="585"/>
      <c r="V287" s="276"/>
      <c r="W287" s="277"/>
      <c r="X287" s="277"/>
      <c r="Y287" s="277"/>
    </row>
    <row r="288" spans="1:25" s="295" customFormat="1">
      <c r="A288">
        <f>IF(B288="","",IFERROR(MATCH(B288,'Data Processing'!$C:$C,0),""))</f>
        <v>43</v>
      </c>
      <c r="B288" s="294" t="s">
        <v>1269</v>
      </c>
      <c r="C288" s="456" t="str">
        <f>INDEX('Data Processing'!$G:$G,A288)</f>
        <v>Due to Non-Bank Large FI - Best Investment</v>
      </c>
      <c r="D288" s="302">
        <f>INDEX('Data Processing'!O:O,$A288)</f>
        <v>5.7349952499999999</v>
      </c>
      <c r="E288" s="457">
        <f ca="1">INDEX('Data Processing'!P:P,$A288)</f>
        <v>5.3832488746666662</v>
      </c>
      <c r="F288" s="457">
        <f ca="1">INDEX('Data Processing'!Q:Q,$A288)</f>
        <v>5.3246244787777774</v>
      </c>
      <c r="G288" s="457">
        <f ca="1">INDEX('Data Processing'!R:R,$A288)</f>
        <v>5.2660000828888887</v>
      </c>
      <c r="H288" s="457">
        <f ca="1">INDEX('Data Processing'!S:S,$A288)</f>
        <v>5.2073756869999999</v>
      </c>
      <c r="I288" s="457">
        <f ca="1">INDEX('Data Processing'!T:T,$A288)</f>
        <v>5.1487512911111111</v>
      </c>
      <c r="J288" s="457">
        <f ca="1">INDEX('Data Processing'!U:U,$A288)</f>
        <v>5.0901268952222223</v>
      </c>
      <c r="K288" s="457">
        <f ca="1">INDEX('Data Processing'!V:V,$A288)</f>
        <v>5.0315024993333335</v>
      </c>
      <c r="L288" s="457">
        <f ca="1">INDEX('Data Processing'!W:W,$A288)</f>
        <v>4.9812530171428566</v>
      </c>
      <c r="M288" s="457">
        <f ca="1">INDEX('Data Processing'!X:X,$A288)</f>
        <v>4.9310035349523806</v>
      </c>
      <c r="N288" s="457">
        <f ca="1">INDEX('Data Processing'!Y:Y,$A288)</f>
        <v>4.8807540527619047</v>
      </c>
      <c r="O288" s="457">
        <f ca="1">INDEX('Data Processing'!Z:Z,$A288)</f>
        <v>4.8305045705714278</v>
      </c>
      <c r="P288" s="457">
        <f ca="1">INDEX('Data Processing'!AA:AA,$A288)</f>
        <v>4.7802550883809518</v>
      </c>
      <c r="Q288" s="457">
        <f ca="1">INDEX('Data Processing'!AB:AB,$A288)</f>
        <v>4.7300056061904758</v>
      </c>
      <c r="R288" s="457">
        <f ca="1">INDEX('Data Processing'!AC:AC,$A288)</f>
        <v>4.6797561239999999</v>
      </c>
      <c r="S288" s="457">
        <f ca="1">INDEX('Data Processing'!AD:AD,$A288)</f>
        <v>4.5478512332499994</v>
      </c>
      <c r="T288" s="458">
        <f ca="1">INDEX('Data Processing'!AE:AE,$A288)</f>
        <v>4.4159463424999998</v>
      </c>
      <c r="U288" s="218"/>
      <c r="V288" s="296" t="s">
        <v>1031</v>
      </c>
    </row>
    <row r="289" spans="1:25" s="562" customFormat="1">
      <c r="A289" s="440" t="str">
        <f>IF(B289="","",IFERROR(MATCH(B289,'Data Processing'!$C:$C,0),""))</f>
        <v/>
      </c>
      <c r="B289" s="522"/>
      <c r="C289" s="565" t="s">
        <v>1005</v>
      </c>
      <c r="D289" s="488"/>
      <c r="E289" s="454">
        <f>D288</f>
        <v>5.7349952499999999</v>
      </c>
      <c r="F289" s="454">
        <f t="shared" ref="F289" ca="1" si="266">E288</f>
        <v>5.3832488746666662</v>
      </c>
      <c r="G289" s="454">
        <f t="shared" ref="G289" ca="1" si="267">F288</f>
        <v>5.3246244787777774</v>
      </c>
      <c r="H289" s="454">
        <f t="shared" ref="H289" ca="1" si="268">G288</f>
        <v>5.2660000828888887</v>
      </c>
      <c r="I289" s="454">
        <f t="shared" ref="I289" ca="1" si="269">H288</f>
        <v>5.2073756869999999</v>
      </c>
      <c r="J289" s="454">
        <f t="shared" ref="J289" ca="1" si="270">I288</f>
        <v>5.1487512911111111</v>
      </c>
      <c r="K289" s="454">
        <f t="shared" ref="K289" ca="1" si="271">J288</f>
        <v>5.0901268952222223</v>
      </c>
      <c r="L289" s="454">
        <f t="shared" ref="L289" ca="1" si="272">K288</f>
        <v>5.0315024993333335</v>
      </c>
      <c r="M289" s="454">
        <f t="shared" ref="M289" ca="1" si="273">L288</f>
        <v>4.9812530171428566</v>
      </c>
      <c r="N289" s="454">
        <f t="shared" ref="N289" ca="1" si="274">M288</f>
        <v>4.9310035349523806</v>
      </c>
      <c r="O289" s="454">
        <f t="shared" ref="O289" ca="1" si="275">N288</f>
        <v>4.8807540527619047</v>
      </c>
      <c r="P289" s="454">
        <f t="shared" ref="P289" ca="1" si="276">O288</f>
        <v>4.8305045705714278</v>
      </c>
      <c r="Q289" s="454">
        <f t="shared" ref="Q289" ca="1" si="277">P288</f>
        <v>4.7802550883809518</v>
      </c>
      <c r="R289" s="454">
        <f t="shared" ref="R289" ca="1" si="278">Q288</f>
        <v>4.7300056061904758</v>
      </c>
      <c r="S289" s="454">
        <f t="shared" ref="S289" ca="1" si="279">R288</f>
        <v>4.6797561239999999</v>
      </c>
      <c r="T289" s="455">
        <f t="shared" ref="T289" ca="1" si="280">S288</f>
        <v>4.5478512332499994</v>
      </c>
      <c r="U289" s="557"/>
      <c r="V289" s="296"/>
      <c r="W289" s="295"/>
      <c r="X289" s="295"/>
      <c r="Y289" s="295"/>
    </row>
    <row r="290" spans="1:25" s="561" customFormat="1">
      <c r="A290" s="440" t="str">
        <f>IF(B290="","",IFERROR(MATCH(B290,'Data Processing'!$C:$C,0),""))</f>
        <v/>
      </c>
      <c r="B290" s="583"/>
      <c r="C290" s="565" t="s">
        <v>51</v>
      </c>
      <c r="D290" s="488"/>
      <c r="E290" s="454">
        <f t="shared" ref="E290:T290" si="281">E289</f>
        <v>5.7349952499999999</v>
      </c>
      <c r="F290" s="454">
        <f t="shared" ca="1" si="281"/>
        <v>5.3832488746666662</v>
      </c>
      <c r="G290" s="454">
        <f t="shared" ca="1" si="281"/>
        <v>5.3246244787777774</v>
      </c>
      <c r="H290" s="454">
        <f t="shared" ca="1" si="281"/>
        <v>5.2660000828888887</v>
      </c>
      <c r="I290" s="454">
        <f t="shared" ca="1" si="281"/>
        <v>5.2073756869999999</v>
      </c>
      <c r="J290" s="454">
        <f t="shared" ca="1" si="281"/>
        <v>5.1487512911111111</v>
      </c>
      <c r="K290" s="454">
        <f t="shared" ca="1" si="281"/>
        <v>5.0901268952222223</v>
      </c>
      <c r="L290" s="454">
        <f t="shared" ca="1" si="281"/>
        <v>5.0315024993333335</v>
      </c>
      <c r="M290" s="454">
        <f t="shared" ca="1" si="281"/>
        <v>4.9812530171428566</v>
      </c>
      <c r="N290" s="454">
        <f t="shared" ca="1" si="281"/>
        <v>4.9310035349523806</v>
      </c>
      <c r="O290" s="454">
        <f t="shared" ca="1" si="281"/>
        <v>4.8807540527619047</v>
      </c>
      <c r="P290" s="454">
        <f t="shared" ca="1" si="281"/>
        <v>4.8305045705714278</v>
      </c>
      <c r="Q290" s="454">
        <f t="shared" ca="1" si="281"/>
        <v>4.7802550883809518</v>
      </c>
      <c r="R290" s="454">
        <f t="shared" ca="1" si="281"/>
        <v>4.7300056061904758</v>
      </c>
      <c r="S290" s="454">
        <f t="shared" ca="1" si="281"/>
        <v>4.6797561239999999</v>
      </c>
      <c r="T290" s="455">
        <f t="shared" ca="1" si="281"/>
        <v>4.5478512332499994</v>
      </c>
      <c r="U290" s="551"/>
      <c r="V290" s="298"/>
      <c r="W290" s="299"/>
      <c r="X290" s="299"/>
      <c r="Y290" s="299"/>
    </row>
    <row r="291" spans="1:25" s="562" customFormat="1">
      <c r="A291" s="440" t="str">
        <f>IF(B291="","",IFERROR(MATCH(B291,'Data Processing'!$C:$C,0),""))</f>
        <v/>
      </c>
      <c r="B291" s="522"/>
      <c r="C291" s="567" t="s">
        <v>50</v>
      </c>
      <c r="D291" s="488"/>
      <c r="E291" s="553">
        <f ca="1">INDEX('Data Processing'!BU:BU,$A288)</f>
        <v>6.1333333333333351E-2</v>
      </c>
      <c r="F291" s="553">
        <f ca="1">INDEX('Data Processing'!BV:BV,$A288)</f>
        <v>1.0222222222222225E-2</v>
      </c>
      <c r="G291" s="553">
        <f ca="1">INDEX('Data Processing'!BW:BW,$A288)</f>
        <v>1.0222222222222225E-2</v>
      </c>
      <c r="H291" s="553">
        <f ca="1">INDEX('Data Processing'!BX:BX,$A288)</f>
        <v>1.0222222222222225E-2</v>
      </c>
      <c r="I291" s="553">
        <f ca="1">INDEX('Data Processing'!BY:BY,$A288)</f>
        <v>1.0222222222222225E-2</v>
      </c>
      <c r="J291" s="553">
        <f ca="1">INDEX('Data Processing'!BZ:BZ,$A288)</f>
        <v>1.0222222222222225E-2</v>
      </c>
      <c r="K291" s="553">
        <f ca="1">INDEX('Data Processing'!CA:CA,$A288)</f>
        <v>1.0222222222222225E-2</v>
      </c>
      <c r="L291" s="553">
        <f ca="1">INDEX('Data Processing'!CB:CB,$A288)</f>
        <v>8.7619047619047659E-3</v>
      </c>
      <c r="M291" s="553">
        <f ca="1">INDEX('Data Processing'!CC:CC,$A288)</f>
        <v>8.7619047619047659E-3</v>
      </c>
      <c r="N291" s="553">
        <f ca="1">INDEX('Data Processing'!CD:CD,$A288)</f>
        <v>8.7619047619047659E-3</v>
      </c>
      <c r="O291" s="553">
        <f ca="1">INDEX('Data Processing'!CE:CE,$A288)</f>
        <v>8.7619047619047659E-3</v>
      </c>
      <c r="P291" s="553">
        <f ca="1">INDEX('Data Processing'!CF:CF,$A288)</f>
        <v>8.7619047619047659E-3</v>
      </c>
      <c r="Q291" s="553">
        <f ca="1">INDEX('Data Processing'!CG:CG,$A288)</f>
        <v>8.7619047619047659E-3</v>
      </c>
      <c r="R291" s="553">
        <f ca="1">INDEX('Data Processing'!CH:CH,$A288)</f>
        <v>8.7619047619047659E-3</v>
      </c>
      <c r="S291" s="553">
        <f ca="1">INDEX('Data Processing'!CI:CI,$A288)</f>
        <v>2.2999999999999993E-2</v>
      </c>
      <c r="T291" s="554">
        <f ca="1">INDEX('Data Processing'!CJ:CJ,$A288)</f>
        <v>2.2999999999999993E-2</v>
      </c>
      <c r="U291" s="557"/>
      <c r="V291" s="296"/>
      <c r="W291" s="295"/>
      <c r="X291" s="295"/>
      <c r="Y291" s="295"/>
    </row>
    <row r="292" spans="1:25" s="562" customFormat="1">
      <c r="A292" s="440" t="str">
        <f>IF(B292="","",IFERROR(MATCH(B292,'Data Processing'!$C:$C,0),""))</f>
        <v/>
      </c>
      <c r="B292" s="522"/>
      <c r="C292" s="523" t="s">
        <v>998</v>
      </c>
      <c r="D292" s="488"/>
      <c r="E292" s="489">
        <f ca="1">INDEX('Data Processing'!AS:AS,$A288)</f>
        <v>0.35174637533333342</v>
      </c>
      <c r="F292" s="556">
        <f ca="1">INDEX('Data Processing'!AT:AT,$A288)</f>
        <v>5.8624395888888903E-2</v>
      </c>
      <c r="G292" s="556">
        <f ca="1">INDEX('Data Processing'!AU:AU,$A288)</f>
        <v>5.8624395888888903E-2</v>
      </c>
      <c r="H292" s="556">
        <f ca="1">INDEX('Data Processing'!AV:AV,$A288)</f>
        <v>5.8624395888888903E-2</v>
      </c>
      <c r="I292" s="556">
        <f ca="1">INDEX('Data Processing'!AW:AW,$A288)</f>
        <v>5.8624395888888903E-2</v>
      </c>
      <c r="J292" s="556">
        <f ca="1">INDEX('Data Processing'!AX:AX,$A288)</f>
        <v>5.8624395888888903E-2</v>
      </c>
      <c r="K292" s="556">
        <f ca="1">INDEX('Data Processing'!AY:AY,$A288)</f>
        <v>5.8624395888888903E-2</v>
      </c>
      <c r="L292" s="556">
        <f ca="1">INDEX('Data Processing'!AZ:AZ,$A288)</f>
        <v>5.0249482190476209E-2</v>
      </c>
      <c r="M292" s="556">
        <f ca="1">INDEX('Data Processing'!BA:BA,$A288)</f>
        <v>5.0249482190476209E-2</v>
      </c>
      <c r="N292" s="556">
        <f ca="1">INDEX('Data Processing'!BB:BB,$A288)</f>
        <v>5.0249482190476209E-2</v>
      </c>
      <c r="O292" s="556">
        <f ca="1">INDEX('Data Processing'!BC:BC,$A288)</f>
        <v>5.0249482190476209E-2</v>
      </c>
      <c r="P292" s="556">
        <f ca="1">INDEX('Data Processing'!BD:BD,$A288)</f>
        <v>5.0249482190476209E-2</v>
      </c>
      <c r="Q292" s="556">
        <f ca="1">INDEX('Data Processing'!BE:BE,$A288)</f>
        <v>5.0249482190476209E-2</v>
      </c>
      <c r="R292" s="556">
        <f ca="1">INDEX('Data Processing'!BF:BF,$A288)</f>
        <v>5.0249482190476209E-2</v>
      </c>
      <c r="S292" s="556">
        <f ca="1">INDEX('Data Processing'!BG:BG,$A288)</f>
        <v>0.13190489074999995</v>
      </c>
      <c r="T292" s="584">
        <f ca="1">INDEX('Data Processing'!BH:BH,$A288)</f>
        <v>0.13190489074999995</v>
      </c>
      <c r="U292" s="557"/>
      <c r="V292" s="296"/>
      <c r="W292" s="295"/>
      <c r="X292" s="295"/>
      <c r="Y292" s="295"/>
    </row>
    <row r="293" spans="1:25" s="562" customFormat="1">
      <c r="A293" s="440" t="str">
        <f>IF(B293="","",IFERROR(MATCH(B293,'Data Processing'!$C:$C,0),""))</f>
        <v/>
      </c>
      <c r="B293" s="522"/>
      <c r="C293" s="523" t="s">
        <v>1012</v>
      </c>
      <c r="D293" s="488"/>
      <c r="E293" s="489">
        <f t="shared" ref="E293:T293" ca="1" si="282">E289-E292</f>
        <v>5.3832488746666662</v>
      </c>
      <c r="F293" s="489">
        <f t="shared" ca="1" si="282"/>
        <v>5.3246244787777774</v>
      </c>
      <c r="G293" s="489">
        <f t="shared" ca="1" si="282"/>
        <v>5.2660000828888887</v>
      </c>
      <c r="H293" s="489">
        <f t="shared" ca="1" si="282"/>
        <v>5.2073756869999999</v>
      </c>
      <c r="I293" s="489">
        <f t="shared" ca="1" si="282"/>
        <v>5.1487512911111111</v>
      </c>
      <c r="J293" s="489">
        <f t="shared" ca="1" si="282"/>
        <v>5.0901268952222223</v>
      </c>
      <c r="K293" s="489">
        <f t="shared" ca="1" si="282"/>
        <v>5.0315024993333335</v>
      </c>
      <c r="L293" s="489">
        <f t="shared" ca="1" si="282"/>
        <v>4.9812530171428575</v>
      </c>
      <c r="M293" s="489">
        <f t="shared" ca="1" si="282"/>
        <v>4.9310035349523806</v>
      </c>
      <c r="N293" s="489">
        <f t="shared" ca="1" si="282"/>
        <v>4.8807540527619047</v>
      </c>
      <c r="O293" s="489">
        <f t="shared" ca="1" si="282"/>
        <v>4.8305045705714287</v>
      </c>
      <c r="P293" s="489">
        <f t="shared" ca="1" si="282"/>
        <v>4.7802550883809518</v>
      </c>
      <c r="Q293" s="489">
        <f t="shared" ca="1" si="282"/>
        <v>4.7300056061904758</v>
      </c>
      <c r="R293" s="489">
        <f t="shared" ca="1" si="282"/>
        <v>4.6797561239999999</v>
      </c>
      <c r="S293" s="489">
        <f t="shared" ca="1" si="282"/>
        <v>4.5478512332500003</v>
      </c>
      <c r="T293" s="490">
        <f t="shared" ca="1" si="282"/>
        <v>4.4159463424999998</v>
      </c>
      <c r="U293" s="557"/>
      <c r="V293" s="296"/>
      <c r="W293" s="295"/>
      <c r="X293" s="295"/>
      <c r="Y293" s="295"/>
    </row>
    <row r="294" spans="1:25" s="295" customFormat="1">
      <c r="A294">
        <f>IF(B294="","",IFERROR(MATCH(B294,'Data Processing'!$C:$C,0),""))</f>
        <v>44</v>
      </c>
      <c r="B294" s="294" t="s">
        <v>1316</v>
      </c>
      <c r="C294" s="456" t="str">
        <f>INDEX('Data Processing'!$G:$G,A294)</f>
        <v>Due to Non-Bank Large FI - GIFS Capital</v>
      </c>
      <c r="D294" s="302">
        <f>INDEX('Data Processing'!O:O,$A294)</f>
        <v>1201.8187905699999</v>
      </c>
      <c r="E294" s="457">
        <f ca="1">INDEX('Data Processing'!P:P,$A294)</f>
        <v>1021.3331636200542</v>
      </c>
      <c r="F294" s="457">
        <f ca="1">INDEX('Data Processing'!Q:Q,$A294)</f>
        <v>991.25222579506317</v>
      </c>
      <c r="G294" s="457">
        <f ca="1">INDEX('Data Processing'!R:R,$A294)</f>
        <v>961.17128797007217</v>
      </c>
      <c r="H294" s="457">
        <f ca="1">INDEX('Data Processing'!S:S,$A294)</f>
        <v>931.09035014508129</v>
      </c>
      <c r="I294" s="457">
        <f ca="1">INDEX('Data Processing'!T:T,$A294)</f>
        <v>901.00941232009041</v>
      </c>
      <c r="J294" s="457">
        <f ca="1">INDEX('Data Processing'!U:U,$A294)</f>
        <v>870.92847449509941</v>
      </c>
      <c r="K294" s="457">
        <f ca="1">INDEX('Data Processing'!V:V,$A294)</f>
        <v>840.84753667010841</v>
      </c>
      <c r="L294" s="457">
        <f ca="1">INDEX('Data Processing'!W:W,$A294)</f>
        <v>815.06387567725915</v>
      </c>
      <c r="M294" s="457">
        <f ca="1">INDEX('Data Processing'!X:X,$A294)</f>
        <v>789.28021468440966</v>
      </c>
      <c r="N294" s="457">
        <f ca="1">INDEX('Data Processing'!Y:Y,$A294)</f>
        <v>763.49655369156039</v>
      </c>
      <c r="O294" s="457">
        <f ca="1">INDEX('Data Processing'!Z:Z,$A294)</f>
        <v>737.7128926987109</v>
      </c>
      <c r="P294" s="457">
        <f ca="1">INDEX('Data Processing'!AA:AA,$A294)</f>
        <v>711.92923170586164</v>
      </c>
      <c r="Q294" s="457">
        <f ca="1">INDEX('Data Processing'!AB:AB,$A294)</f>
        <v>686.14557071301215</v>
      </c>
      <c r="R294" s="457">
        <f ca="1">INDEX('Data Processing'!AC:AC,$A294)</f>
        <v>660.36190972016277</v>
      </c>
      <c r="S294" s="457">
        <f ca="1">INDEX('Data Processing'!AD:AD,$A294)</f>
        <v>644.96196684247138</v>
      </c>
      <c r="T294" s="458">
        <f ca="1">INDEX('Data Processing'!AE:AE,$A294)</f>
        <v>629.56202396478</v>
      </c>
      <c r="U294" s="218"/>
      <c r="V294" s="296" t="s">
        <v>1031</v>
      </c>
    </row>
    <row r="295" spans="1:25" s="562" customFormat="1">
      <c r="A295" s="440" t="str">
        <f>IF(B295="","",IFERROR(MATCH(B295,'Data Processing'!$C:$C,0),""))</f>
        <v/>
      </c>
      <c r="B295" s="522"/>
      <c r="C295" s="565" t="s">
        <v>1005</v>
      </c>
      <c r="D295" s="488"/>
      <c r="E295" s="454">
        <f>D294</f>
        <v>1201.8187905699999</v>
      </c>
      <c r="F295" s="454">
        <f t="shared" ref="F295" ca="1" si="283">E294</f>
        <v>1021.3331636200542</v>
      </c>
      <c r="G295" s="454">
        <f t="shared" ref="G295" ca="1" si="284">F294</f>
        <v>991.25222579506317</v>
      </c>
      <c r="H295" s="454">
        <f t="shared" ref="H295" ca="1" si="285">G294</f>
        <v>961.17128797007217</v>
      </c>
      <c r="I295" s="454">
        <f t="shared" ref="I295" ca="1" si="286">H294</f>
        <v>931.09035014508129</v>
      </c>
      <c r="J295" s="454">
        <f t="shared" ref="J295" ca="1" si="287">I294</f>
        <v>901.00941232009041</v>
      </c>
      <c r="K295" s="454">
        <f t="shared" ref="K295" ca="1" si="288">J294</f>
        <v>870.92847449509941</v>
      </c>
      <c r="L295" s="454">
        <f t="shared" ref="L295" ca="1" si="289">K294</f>
        <v>840.84753667010841</v>
      </c>
      <c r="M295" s="454">
        <f t="shared" ref="M295" ca="1" si="290">L294</f>
        <v>815.06387567725915</v>
      </c>
      <c r="N295" s="454">
        <f t="shared" ref="N295" ca="1" si="291">M294</f>
        <v>789.28021468440966</v>
      </c>
      <c r="O295" s="454">
        <f t="shared" ref="O295" ca="1" si="292">N294</f>
        <v>763.49655369156039</v>
      </c>
      <c r="P295" s="454">
        <f t="shared" ref="P295" ca="1" si="293">O294</f>
        <v>737.7128926987109</v>
      </c>
      <c r="Q295" s="454">
        <f t="shared" ref="Q295" ca="1" si="294">P294</f>
        <v>711.92923170586164</v>
      </c>
      <c r="R295" s="454">
        <f t="shared" ref="R295" ca="1" si="295">Q294</f>
        <v>686.14557071301215</v>
      </c>
      <c r="S295" s="454">
        <f t="shared" ref="S295" ca="1" si="296">R294</f>
        <v>660.36190972016277</v>
      </c>
      <c r="T295" s="455">
        <f t="shared" ref="T295" ca="1" si="297">S294</f>
        <v>644.96196684247138</v>
      </c>
      <c r="U295" s="557"/>
      <c r="V295" s="296"/>
      <c r="W295" s="295"/>
      <c r="X295" s="295"/>
      <c r="Y295" s="295"/>
    </row>
    <row r="296" spans="1:25" s="561" customFormat="1">
      <c r="A296" s="440" t="str">
        <f>IF(B296="","",IFERROR(MATCH(B296,'Data Processing'!$C:$C,0),""))</f>
        <v/>
      </c>
      <c r="B296" s="583"/>
      <c r="C296" s="565" t="s">
        <v>51</v>
      </c>
      <c r="D296" s="488"/>
      <c r="E296" s="454">
        <f t="shared" ref="E296:T296" si="298">E295</f>
        <v>1201.8187905699999</v>
      </c>
      <c r="F296" s="454">
        <f t="shared" ca="1" si="298"/>
        <v>1021.3331636200542</v>
      </c>
      <c r="G296" s="454">
        <f t="shared" ca="1" si="298"/>
        <v>991.25222579506317</v>
      </c>
      <c r="H296" s="454">
        <f t="shared" ca="1" si="298"/>
        <v>961.17128797007217</v>
      </c>
      <c r="I296" s="454">
        <f t="shared" ca="1" si="298"/>
        <v>931.09035014508129</v>
      </c>
      <c r="J296" s="454">
        <f t="shared" ca="1" si="298"/>
        <v>901.00941232009041</v>
      </c>
      <c r="K296" s="454">
        <f t="shared" ca="1" si="298"/>
        <v>870.92847449509941</v>
      </c>
      <c r="L296" s="454">
        <f t="shared" ca="1" si="298"/>
        <v>840.84753667010841</v>
      </c>
      <c r="M296" s="454">
        <f t="shared" ca="1" si="298"/>
        <v>815.06387567725915</v>
      </c>
      <c r="N296" s="454">
        <f t="shared" ca="1" si="298"/>
        <v>789.28021468440966</v>
      </c>
      <c r="O296" s="454">
        <f t="shared" ca="1" si="298"/>
        <v>763.49655369156039</v>
      </c>
      <c r="P296" s="454">
        <f t="shared" ca="1" si="298"/>
        <v>737.7128926987109</v>
      </c>
      <c r="Q296" s="454">
        <f t="shared" ca="1" si="298"/>
        <v>711.92923170586164</v>
      </c>
      <c r="R296" s="454">
        <f t="shared" ca="1" si="298"/>
        <v>686.14557071301215</v>
      </c>
      <c r="S296" s="454">
        <f t="shared" ca="1" si="298"/>
        <v>660.36190972016277</v>
      </c>
      <c r="T296" s="455">
        <f t="shared" ca="1" si="298"/>
        <v>644.96196684247138</v>
      </c>
      <c r="U296" s="551"/>
      <c r="V296" s="298"/>
      <c r="W296" s="299"/>
      <c r="X296" s="299"/>
      <c r="Y296" s="299"/>
    </row>
    <row r="297" spans="1:25" s="562" customFormat="1">
      <c r="A297" s="440" t="str">
        <f>IF(B297="","",IFERROR(MATCH(B297,'Data Processing'!$C:$C,0),""))</f>
        <v/>
      </c>
      <c r="B297" s="522"/>
      <c r="C297" s="567" t="s">
        <v>50</v>
      </c>
      <c r="D297" s="488"/>
      <c r="E297" s="553">
        <f ca="1">INDEX('Data Processing'!BU:BU,$A294)</f>
        <v>0.15017707192308488</v>
      </c>
      <c r="F297" s="553">
        <f ca="1">INDEX('Data Processing'!BV:BV,$A294)</f>
        <v>2.5029511987180814E-2</v>
      </c>
      <c r="G297" s="553">
        <f ca="1">INDEX('Data Processing'!BW:BW,$A294)</f>
        <v>2.5029511987180814E-2</v>
      </c>
      <c r="H297" s="553">
        <f ca="1">INDEX('Data Processing'!BX:BX,$A294)</f>
        <v>2.5029511987180814E-2</v>
      </c>
      <c r="I297" s="553">
        <f ca="1">INDEX('Data Processing'!BY:BY,$A294)</f>
        <v>2.5029511987180814E-2</v>
      </c>
      <c r="J297" s="553">
        <f ca="1">INDEX('Data Processing'!BZ:BZ,$A294)</f>
        <v>2.5029511987180814E-2</v>
      </c>
      <c r="K297" s="553">
        <f ca="1">INDEX('Data Processing'!CA:CA,$A294)</f>
        <v>2.5029511987180814E-2</v>
      </c>
      <c r="L297" s="553">
        <f ca="1">INDEX('Data Processing'!CB:CB,$A294)</f>
        <v>2.1453867417583559E-2</v>
      </c>
      <c r="M297" s="553">
        <f ca="1">INDEX('Data Processing'!CC:CC,$A294)</f>
        <v>2.1453867417583559E-2</v>
      </c>
      <c r="N297" s="553">
        <f ca="1">INDEX('Data Processing'!CD:CD,$A294)</f>
        <v>2.1453867417583559E-2</v>
      </c>
      <c r="O297" s="553">
        <f ca="1">INDEX('Data Processing'!CE:CE,$A294)</f>
        <v>2.1453867417583559E-2</v>
      </c>
      <c r="P297" s="553">
        <f ca="1">INDEX('Data Processing'!CF:CF,$A294)</f>
        <v>2.1453867417583559E-2</v>
      </c>
      <c r="Q297" s="553">
        <f ca="1">INDEX('Data Processing'!CG:CG,$A294)</f>
        <v>2.1453867417583559E-2</v>
      </c>
      <c r="R297" s="553">
        <f ca="1">INDEX('Data Processing'!CH:CH,$A294)</f>
        <v>2.1453867417583559E-2</v>
      </c>
      <c r="S297" s="553">
        <f ca="1">INDEX('Data Processing'!CI:CI,$A294)</f>
        <v>1.281386428513695E-2</v>
      </c>
      <c r="T297" s="554">
        <f ca="1">INDEX('Data Processing'!CJ:CJ,$A294)</f>
        <v>1.281386428513695E-2</v>
      </c>
      <c r="U297" s="557"/>
      <c r="V297" s="296"/>
      <c r="W297" s="295"/>
      <c r="X297" s="295"/>
      <c r="Y297" s="295"/>
    </row>
    <row r="298" spans="1:25" s="562" customFormat="1">
      <c r="A298" s="440" t="str">
        <f>IF(B298="","",IFERROR(MATCH(B298,'Data Processing'!$C:$C,0),""))</f>
        <v/>
      </c>
      <c r="B298" s="522"/>
      <c r="C298" s="523" t="s">
        <v>998</v>
      </c>
      <c r="D298" s="488"/>
      <c r="E298" s="489">
        <f ca="1">INDEX('Data Processing'!AS:AS,$A294)</f>
        <v>180.48562694994575</v>
      </c>
      <c r="F298" s="556">
        <f ca="1">INDEX('Data Processing'!AT:AT,$A294)</f>
        <v>30.080937824990961</v>
      </c>
      <c r="G298" s="556">
        <f ca="1">INDEX('Data Processing'!AU:AU,$A294)</f>
        <v>30.080937824990961</v>
      </c>
      <c r="H298" s="556">
        <f ca="1">INDEX('Data Processing'!AV:AV,$A294)</f>
        <v>30.080937824990961</v>
      </c>
      <c r="I298" s="556">
        <f ca="1">INDEX('Data Processing'!AW:AW,$A294)</f>
        <v>30.080937824990961</v>
      </c>
      <c r="J298" s="556">
        <f ca="1">INDEX('Data Processing'!AX:AX,$A294)</f>
        <v>30.080937824990961</v>
      </c>
      <c r="K298" s="556">
        <f ca="1">INDEX('Data Processing'!AY:AY,$A294)</f>
        <v>30.080937824990961</v>
      </c>
      <c r="L298" s="556">
        <f ca="1">INDEX('Data Processing'!AZ:AZ,$A294)</f>
        <v>25.783660992849402</v>
      </c>
      <c r="M298" s="556">
        <f ca="1">INDEX('Data Processing'!BA:BA,$A294)</f>
        <v>25.783660992849402</v>
      </c>
      <c r="N298" s="556">
        <f ca="1">INDEX('Data Processing'!BB:BB,$A294)</f>
        <v>25.783660992849402</v>
      </c>
      <c r="O298" s="556">
        <f ca="1">INDEX('Data Processing'!BC:BC,$A294)</f>
        <v>25.783660992849402</v>
      </c>
      <c r="P298" s="556">
        <f ca="1">INDEX('Data Processing'!BD:BD,$A294)</f>
        <v>25.783660992849402</v>
      </c>
      <c r="Q298" s="556">
        <f ca="1">INDEX('Data Processing'!BE:BE,$A294)</f>
        <v>25.783660992849402</v>
      </c>
      <c r="R298" s="556">
        <f ca="1">INDEX('Data Processing'!BF:BF,$A294)</f>
        <v>25.783660992849402</v>
      </c>
      <c r="S298" s="556">
        <f ca="1">INDEX('Data Processing'!BG:BG,$A294)</f>
        <v>15.399942877691405</v>
      </c>
      <c r="T298" s="584">
        <f ca="1">INDEX('Data Processing'!BH:BH,$A294)</f>
        <v>15.399942877691405</v>
      </c>
      <c r="U298" s="557"/>
      <c r="V298" s="296"/>
      <c r="W298" s="295"/>
      <c r="X298" s="295"/>
      <c r="Y298" s="295"/>
    </row>
    <row r="299" spans="1:25" s="562" customFormat="1">
      <c r="A299" s="440" t="str">
        <f>IF(B299="","",IFERROR(MATCH(B299,'Data Processing'!$C:$C,0),""))</f>
        <v/>
      </c>
      <c r="B299" s="522"/>
      <c r="C299" s="523" t="s">
        <v>1012</v>
      </c>
      <c r="D299" s="488"/>
      <c r="E299" s="489">
        <f t="shared" ref="E299:T299" ca="1" si="299">E295-E298</f>
        <v>1021.3331636200542</v>
      </c>
      <c r="F299" s="489">
        <f t="shared" ca="1" si="299"/>
        <v>991.25222579506317</v>
      </c>
      <c r="G299" s="489">
        <f t="shared" ca="1" si="299"/>
        <v>961.17128797007217</v>
      </c>
      <c r="H299" s="489">
        <f t="shared" ca="1" si="299"/>
        <v>931.09035014508117</v>
      </c>
      <c r="I299" s="489">
        <f t="shared" ca="1" si="299"/>
        <v>901.00941232009029</v>
      </c>
      <c r="J299" s="489">
        <f t="shared" ca="1" si="299"/>
        <v>870.92847449509941</v>
      </c>
      <c r="K299" s="489">
        <f t="shared" ca="1" si="299"/>
        <v>840.84753667010841</v>
      </c>
      <c r="L299" s="489">
        <f t="shared" ca="1" si="299"/>
        <v>815.06387567725903</v>
      </c>
      <c r="M299" s="489">
        <f t="shared" ca="1" si="299"/>
        <v>789.28021468440977</v>
      </c>
      <c r="N299" s="489">
        <f t="shared" ca="1" si="299"/>
        <v>763.49655369156028</v>
      </c>
      <c r="O299" s="489">
        <f t="shared" ca="1" si="299"/>
        <v>737.71289269871102</v>
      </c>
      <c r="P299" s="489">
        <f t="shared" ca="1" si="299"/>
        <v>711.92923170586153</v>
      </c>
      <c r="Q299" s="489">
        <f t="shared" ca="1" si="299"/>
        <v>686.14557071301226</v>
      </c>
      <c r="R299" s="489">
        <f t="shared" ca="1" si="299"/>
        <v>660.36190972016277</v>
      </c>
      <c r="S299" s="489">
        <f t="shared" ca="1" si="299"/>
        <v>644.96196684247138</v>
      </c>
      <c r="T299" s="490">
        <f t="shared" ca="1" si="299"/>
        <v>629.56202396478</v>
      </c>
      <c r="U299" s="557"/>
      <c r="V299" s="296"/>
      <c r="W299" s="295"/>
      <c r="X299" s="295"/>
      <c r="Y299" s="295"/>
    </row>
    <row r="300" spans="1:25" s="295" customFormat="1">
      <c r="A300">
        <f>IF(B300="","",IFERROR(MATCH(B300,'Data Processing'!$C:$C,0),""))</f>
        <v>46</v>
      </c>
      <c r="B300" s="294" t="s">
        <v>1168</v>
      </c>
      <c r="C300" s="130" t="str">
        <f>INDEX('Data Processing'!$G:$G,A300)</f>
        <v>Due to Banks - Investment - CME</v>
      </c>
      <c r="D300" s="249">
        <f>INDEX('Data Processing'!O:O,$A300)</f>
        <v>500.91083754000005</v>
      </c>
      <c r="E300" s="128">
        <f ca="1">INDEX('Data Processing'!P:P,$A300)</f>
        <v>434.12272586800003</v>
      </c>
      <c r="F300" s="128">
        <f ca="1">INDEX('Data Processing'!Q:Q,$A300)</f>
        <v>422.9913739226667</v>
      </c>
      <c r="G300" s="128">
        <f ca="1">INDEX('Data Processing'!R:R,$A300)</f>
        <v>411.86002197733336</v>
      </c>
      <c r="H300" s="128">
        <f ca="1">INDEX('Data Processing'!S:S,$A300)</f>
        <v>400.72867003200003</v>
      </c>
      <c r="I300" s="128">
        <f ca="1">INDEX('Data Processing'!T:T,$A300)</f>
        <v>389.59731808666669</v>
      </c>
      <c r="J300" s="128">
        <f ca="1">INDEX('Data Processing'!U:U,$A300)</f>
        <v>378.46596614133335</v>
      </c>
      <c r="K300" s="128">
        <f ca="1">INDEX('Data Processing'!V:V,$A300)</f>
        <v>367.33461419600002</v>
      </c>
      <c r="L300" s="128">
        <f ca="1">INDEX('Data Processing'!W:W,$A300)</f>
        <v>357.79345538571431</v>
      </c>
      <c r="M300" s="128">
        <f ca="1">INDEX('Data Processing'!X:X,$A300)</f>
        <v>348.2522965754286</v>
      </c>
      <c r="N300" s="128">
        <f ca="1">INDEX('Data Processing'!Y:Y,$A300)</f>
        <v>338.71113776514289</v>
      </c>
      <c r="O300" s="128">
        <f ca="1">INDEX('Data Processing'!Z:Z,$A300)</f>
        <v>329.16997895485719</v>
      </c>
      <c r="P300" s="128">
        <f ca="1">INDEX('Data Processing'!AA:AA,$A300)</f>
        <v>319.62882014457148</v>
      </c>
      <c r="Q300" s="128">
        <f ca="1">INDEX('Data Processing'!AB:AB,$A300)</f>
        <v>310.08766133428577</v>
      </c>
      <c r="R300" s="128">
        <f ca="1">INDEX('Data Processing'!AC:AC,$A300)</f>
        <v>300.54650252400006</v>
      </c>
      <c r="S300" s="128">
        <f ca="1">INDEX('Data Processing'!AD:AD,$A300)</f>
        <v>300.54650252400006</v>
      </c>
      <c r="T300" s="129">
        <f ca="1">INDEX('Data Processing'!AE:AE,$A300)</f>
        <v>300.54650252400006</v>
      </c>
      <c r="U300" s="218"/>
      <c r="V300" s="296" t="s">
        <v>1034</v>
      </c>
    </row>
    <row r="301" spans="1:25" s="562" customFormat="1">
      <c r="A301" s="440" t="str">
        <f>IF(B301="","",IFERROR(MATCH(B301,'Data Processing'!$C:$C,0),""))</f>
        <v/>
      </c>
      <c r="B301" s="522"/>
      <c r="C301" s="565" t="s">
        <v>1005</v>
      </c>
      <c r="D301" s="488"/>
      <c r="E301" s="454">
        <f>D300</f>
        <v>500.91083754000005</v>
      </c>
      <c r="F301" s="454">
        <f t="shared" ref="F301:T301" ca="1" si="300">E300</f>
        <v>434.12272586800003</v>
      </c>
      <c r="G301" s="454">
        <f t="shared" ca="1" si="300"/>
        <v>422.9913739226667</v>
      </c>
      <c r="H301" s="454">
        <f t="shared" ca="1" si="300"/>
        <v>411.86002197733336</v>
      </c>
      <c r="I301" s="454">
        <f t="shared" ca="1" si="300"/>
        <v>400.72867003200003</v>
      </c>
      <c r="J301" s="454">
        <f t="shared" ca="1" si="300"/>
        <v>389.59731808666669</v>
      </c>
      <c r="K301" s="454">
        <f t="shared" ca="1" si="300"/>
        <v>378.46596614133335</v>
      </c>
      <c r="L301" s="454">
        <f t="shared" ca="1" si="300"/>
        <v>367.33461419600002</v>
      </c>
      <c r="M301" s="454">
        <f t="shared" ca="1" si="300"/>
        <v>357.79345538571431</v>
      </c>
      <c r="N301" s="454">
        <f t="shared" ca="1" si="300"/>
        <v>348.2522965754286</v>
      </c>
      <c r="O301" s="454">
        <f t="shared" ca="1" si="300"/>
        <v>338.71113776514289</v>
      </c>
      <c r="P301" s="454">
        <f t="shared" ca="1" si="300"/>
        <v>329.16997895485719</v>
      </c>
      <c r="Q301" s="454">
        <f t="shared" ca="1" si="300"/>
        <v>319.62882014457148</v>
      </c>
      <c r="R301" s="454">
        <f t="shared" ca="1" si="300"/>
        <v>310.08766133428577</v>
      </c>
      <c r="S301" s="454">
        <f t="shared" ca="1" si="300"/>
        <v>300.54650252400006</v>
      </c>
      <c r="T301" s="455">
        <f t="shared" ca="1" si="300"/>
        <v>300.54650252400006</v>
      </c>
      <c r="U301" s="557"/>
      <c r="V301" s="296"/>
      <c r="W301" s="295"/>
      <c r="X301" s="295"/>
      <c r="Y301" s="295"/>
    </row>
    <row r="302" spans="1:25" s="561" customFormat="1">
      <c r="A302" s="440" t="str">
        <f>IF(B302="","",IFERROR(MATCH(B302,'Data Processing'!$C:$C,0),""))</f>
        <v/>
      </c>
      <c r="B302" s="583"/>
      <c r="C302" s="565" t="s">
        <v>51</v>
      </c>
      <c r="D302" s="488"/>
      <c r="E302" s="454">
        <f t="shared" ref="E302:T302" si="301">E301</f>
        <v>500.91083754000005</v>
      </c>
      <c r="F302" s="454">
        <f t="shared" ca="1" si="301"/>
        <v>434.12272586800003</v>
      </c>
      <c r="G302" s="454">
        <f t="shared" ca="1" si="301"/>
        <v>422.9913739226667</v>
      </c>
      <c r="H302" s="454">
        <f t="shared" ca="1" si="301"/>
        <v>411.86002197733336</v>
      </c>
      <c r="I302" s="454">
        <f t="shared" ca="1" si="301"/>
        <v>400.72867003200003</v>
      </c>
      <c r="J302" s="454">
        <f t="shared" ca="1" si="301"/>
        <v>389.59731808666669</v>
      </c>
      <c r="K302" s="454">
        <f t="shared" ca="1" si="301"/>
        <v>378.46596614133335</v>
      </c>
      <c r="L302" s="454">
        <f t="shared" ca="1" si="301"/>
        <v>367.33461419600002</v>
      </c>
      <c r="M302" s="454">
        <f t="shared" ca="1" si="301"/>
        <v>357.79345538571431</v>
      </c>
      <c r="N302" s="454">
        <f t="shared" ca="1" si="301"/>
        <v>348.2522965754286</v>
      </c>
      <c r="O302" s="454">
        <f t="shared" ca="1" si="301"/>
        <v>338.71113776514289</v>
      </c>
      <c r="P302" s="454">
        <f t="shared" ca="1" si="301"/>
        <v>329.16997895485719</v>
      </c>
      <c r="Q302" s="454">
        <f t="shared" ca="1" si="301"/>
        <v>319.62882014457148</v>
      </c>
      <c r="R302" s="454">
        <f t="shared" ca="1" si="301"/>
        <v>310.08766133428577</v>
      </c>
      <c r="S302" s="454">
        <f t="shared" ca="1" si="301"/>
        <v>300.54650252400006</v>
      </c>
      <c r="T302" s="455">
        <f t="shared" ca="1" si="301"/>
        <v>300.54650252400006</v>
      </c>
      <c r="U302" s="551"/>
      <c r="V302" s="298"/>
      <c r="W302" s="299"/>
      <c r="X302" s="299"/>
      <c r="Y302" s="299"/>
    </row>
    <row r="303" spans="1:25" s="562" customFormat="1">
      <c r="A303" s="440" t="str">
        <f>IF(B303="","",IFERROR(MATCH(B303,'Data Processing'!$C:$C,0),""))</f>
        <v/>
      </c>
      <c r="B303" s="522"/>
      <c r="C303" s="567" t="s">
        <v>50</v>
      </c>
      <c r="D303" s="488"/>
      <c r="E303" s="553">
        <f ca="1">INDEX('Data Processing'!BU:BU,$A300)</f>
        <v>0.13333333333333333</v>
      </c>
      <c r="F303" s="553">
        <f ca="1">INDEX('Data Processing'!BV:BV,$A300)</f>
        <v>2.2222222222222223E-2</v>
      </c>
      <c r="G303" s="553">
        <f ca="1">INDEX('Data Processing'!BW:BW,$A300)</f>
        <v>2.2222222222222223E-2</v>
      </c>
      <c r="H303" s="553">
        <f ca="1">INDEX('Data Processing'!BX:BX,$A300)</f>
        <v>2.2222222222222223E-2</v>
      </c>
      <c r="I303" s="553">
        <f ca="1">INDEX('Data Processing'!BY:BY,$A300)</f>
        <v>2.2222222222222223E-2</v>
      </c>
      <c r="J303" s="553">
        <f ca="1">INDEX('Data Processing'!BZ:BZ,$A300)</f>
        <v>2.2222222222222223E-2</v>
      </c>
      <c r="K303" s="553">
        <f ca="1">INDEX('Data Processing'!CA:CA,$A300)</f>
        <v>2.2222222222222223E-2</v>
      </c>
      <c r="L303" s="553">
        <f ca="1">INDEX('Data Processing'!CB:CB,$A300)</f>
        <v>1.9047619047619049E-2</v>
      </c>
      <c r="M303" s="553">
        <f ca="1">INDEX('Data Processing'!CC:CC,$A300)</f>
        <v>1.9047619047619049E-2</v>
      </c>
      <c r="N303" s="553">
        <f ca="1">INDEX('Data Processing'!CD:CD,$A300)</f>
        <v>1.9047619047619049E-2</v>
      </c>
      <c r="O303" s="553">
        <f ca="1">INDEX('Data Processing'!CE:CE,$A300)</f>
        <v>1.9047619047619049E-2</v>
      </c>
      <c r="P303" s="553">
        <f ca="1">INDEX('Data Processing'!CF:CF,$A300)</f>
        <v>1.9047619047619049E-2</v>
      </c>
      <c r="Q303" s="553">
        <f ca="1">INDEX('Data Processing'!CG:CG,$A300)</f>
        <v>1.9047619047619049E-2</v>
      </c>
      <c r="R303" s="553">
        <f ca="1">INDEX('Data Processing'!CH:CH,$A300)</f>
        <v>1.9047619047619049E-2</v>
      </c>
      <c r="S303" s="553">
        <f ca="1">INDEX('Data Processing'!CI:CI,$A300)</f>
        <v>0</v>
      </c>
      <c r="T303" s="554">
        <f ca="1">INDEX('Data Processing'!CJ:CJ,$A300)</f>
        <v>0</v>
      </c>
      <c r="U303" s="557"/>
      <c r="V303" s="296"/>
      <c r="W303" s="295"/>
      <c r="X303" s="295"/>
      <c r="Y303" s="295"/>
    </row>
    <row r="304" spans="1:25" s="562" customFormat="1">
      <c r="A304" s="440" t="str">
        <f>IF(B304="","",IFERROR(MATCH(B304,'Data Processing'!$C:$C,0),""))</f>
        <v/>
      </c>
      <c r="B304" s="522"/>
      <c r="C304" s="523" t="s">
        <v>998</v>
      </c>
      <c r="D304" s="488"/>
      <c r="E304" s="489">
        <f ca="1">INDEX('Data Processing'!AS:AS,$A300)</f>
        <v>66.788111671999999</v>
      </c>
      <c r="F304" s="556">
        <f ca="1">INDEX('Data Processing'!AT:AT,$A300)</f>
        <v>11.131351945333336</v>
      </c>
      <c r="G304" s="556">
        <f ca="1">INDEX('Data Processing'!AU:AU,$A300)</f>
        <v>11.131351945333336</v>
      </c>
      <c r="H304" s="556">
        <f ca="1">INDEX('Data Processing'!AV:AV,$A300)</f>
        <v>11.131351945333336</v>
      </c>
      <c r="I304" s="556">
        <f ca="1">INDEX('Data Processing'!AW:AW,$A300)</f>
        <v>11.131351945333336</v>
      </c>
      <c r="J304" s="556">
        <f ca="1">INDEX('Data Processing'!AX:AX,$A300)</f>
        <v>11.131351945333336</v>
      </c>
      <c r="K304" s="556">
        <f ca="1">INDEX('Data Processing'!AY:AY,$A300)</f>
        <v>11.131351945333336</v>
      </c>
      <c r="L304" s="556">
        <f ca="1">INDEX('Data Processing'!AZ:AZ,$A300)</f>
        <v>9.5411588102857152</v>
      </c>
      <c r="M304" s="556">
        <f ca="1">INDEX('Data Processing'!BA:BA,$A300)</f>
        <v>9.5411588102857152</v>
      </c>
      <c r="N304" s="556">
        <f ca="1">INDEX('Data Processing'!BB:BB,$A300)</f>
        <v>9.5411588102857152</v>
      </c>
      <c r="O304" s="556">
        <f ca="1">INDEX('Data Processing'!BC:BC,$A300)</f>
        <v>9.5411588102857152</v>
      </c>
      <c r="P304" s="556">
        <f ca="1">INDEX('Data Processing'!BD:BD,$A300)</f>
        <v>9.5411588102857152</v>
      </c>
      <c r="Q304" s="556">
        <f ca="1">INDEX('Data Processing'!BE:BE,$A300)</f>
        <v>9.5411588102857152</v>
      </c>
      <c r="R304" s="556">
        <f ca="1">INDEX('Data Processing'!BF:BF,$A300)</f>
        <v>9.5411588102857152</v>
      </c>
      <c r="S304" s="556">
        <f ca="1">INDEX('Data Processing'!BG:BG,$A300)</f>
        <v>0</v>
      </c>
      <c r="T304" s="584">
        <f ca="1">INDEX('Data Processing'!BH:BH,$A300)</f>
        <v>0</v>
      </c>
      <c r="U304" s="557"/>
      <c r="V304" s="296"/>
      <c r="W304" s="295"/>
      <c r="X304" s="295"/>
      <c r="Y304" s="295"/>
    </row>
    <row r="305" spans="1:25" s="562" customFormat="1">
      <c r="A305" s="440" t="str">
        <f>IF(B305="","",IFERROR(MATCH(B305,'Data Processing'!$C:$C,0),""))</f>
        <v/>
      </c>
      <c r="B305" s="522"/>
      <c r="C305" s="558" t="s">
        <v>1012</v>
      </c>
      <c r="D305" s="506"/>
      <c r="E305" s="559">
        <f t="shared" ref="E305:T305" ca="1" si="302">E301-E304</f>
        <v>434.12272586800003</v>
      </c>
      <c r="F305" s="559">
        <f t="shared" ca="1" si="302"/>
        <v>422.9913739226667</v>
      </c>
      <c r="G305" s="559">
        <f t="shared" ca="1" si="302"/>
        <v>411.86002197733336</v>
      </c>
      <c r="H305" s="559">
        <f t="shared" ca="1" si="302"/>
        <v>400.72867003200003</v>
      </c>
      <c r="I305" s="559">
        <f t="shared" ca="1" si="302"/>
        <v>389.59731808666669</v>
      </c>
      <c r="J305" s="559">
        <f t="shared" ca="1" si="302"/>
        <v>378.46596614133335</v>
      </c>
      <c r="K305" s="559">
        <f t="shared" ca="1" si="302"/>
        <v>367.33461419600002</v>
      </c>
      <c r="L305" s="559">
        <f t="shared" ca="1" si="302"/>
        <v>357.79345538571431</v>
      </c>
      <c r="M305" s="559">
        <f t="shared" ca="1" si="302"/>
        <v>348.2522965754286</v>
      </c>
      <c r="N305" s="559">
        <f t="shared" ca="1" si="302"/>
        <v>338.71113776514289</v>
      </c>
      <c r="O305" s="559">
        <f t="shared" ca="1" si="302"/>
        <v>329.16997895485719</v>
      </c>
      <c r="P305" s="559">
        <f t="shared" ca="1" si="302"/>
        <v>319.62882014457148</v>
      </c>
      <c r="Q305" s="559">
        <f t="shared" ca="1" si="302"/>
        <v>310.08766133428577</v>
      </c>
      <c r="R305" s="559">
        <f t="shared" ca="1" si="302"/>
        <v>300.54650252400006</v>
      </c>
      <c r="S305" s="559">
        <f t="shared" ca="1" si="302"/>
        <v>300.54650252400006</v>
      </c>
      <c r="T305" s="560">
        <f t="shared" ca="1" si="302"/>
        <v>300.54650252400006</v>
      </c>
      <c r="U305" s="557"/>
      <c r="V305" s="296"/>
      <c r="W305" s="295"/>
      <c r="X305" s="295"/>
      <c r="Y305" s="295"/>
    </row>
    <row r="306" spans="1:25" s="279" customFormat="1">
      <c r="A306">
        <f>IF(B306="","",IFERROR(MATCH(B306,'Data Processing'!$C:$C,0),""))</f>
        <v>47</v>
      </c>
      <c r="B306" s="215" t="s">
        <v>1169</v>
      </c>
      <c r="C306" s="223" t="str">
        <f>INDEX('Data Processing'!$G:$G,A306)</f>
        <v>Due to Banks - Investment - Non-US (Exclude Large FI)</v>
      </c>
      <c r="D306" s="249">
        <f>INDEX('Data Processing'!O:O,$A306)</f>
        <v>1633.1261072200041</v>
      </c>
      <c r="E306" s="128">
        <f ca="1">INDEX('Data Processing'!P:P,$A306)</f>
        <v>1532.9610393105104</v>
      </c>
      <c r="F306" s="128">
        <f ca="1">INDEX('Data Processing'!Q:Q,$A306)</f>
        <v>1516.2668613255948</v>
      </c>
      <c r="G306" s="128">
        <f ca="1">INDEX('Data Processing'!R:R,$A306)</f>
        <v>1499.5726833406793</v>
      </c>
      <c r="H306" s="128">
        <f ca="1">INDEX('Data Processing'!S:S,$A306)</f>
        <v>1482.8785053557638</v>
      </c>
      <c r="I306" s="128">
        <f ca="1">INDEX('Data Processing'!T:T,$A306)</f>
        <v>1466.184327370848</v>
      </c>
      <c r="J306" s="128">
        <f ca="1">INDEX('Data Processing'!U:U,$A306)</f>
        <v>1449.4901493859325</v>
      </c>
      <c r="K306" s="128">
        <f ca="1">INDEX('Data Processing'!V:V,$A306)</f>
        <v>1432.7959714010169</v>
      </c>
      <c r="L306" s="128">
        <f ca="1">INDEX('Data Processing'!W:W,$A306)</f>
        <v>1418.4866759853749</v>
      </c>
      <c r="M306" s="128">
        <f ca="1">INDEX('Data Processing'!X:X,$A306)</f>
        <v>1404.177380569733</v>
      </c>
      <c r="N306" s="128">
        <f ca="1">INDEX('Data Processing'!Y:Y,$A306)</f>
        <v>1389.868085154091</v>
      </c>
      <c r="O306" s="128">
        <f ca="1">INDEX('Data Processing'!Z:Z,$A306)</f>
        <v>1375.5587897384491</v>
      </c>
      <c r="P306" s="128">
        <f ca="1">INDEX('Data Processing'!AA:AA,$A306)</f>
        <v>1361.2494943228071</v>
      </c>
      <c r="Q306" s="128">
        <f ca="1">INDEX('Data Processing'!AB:AB,$A306)</f>
        <v>1346.9401989071653</v>
      </c>
      <c r="R306" s="128">
        <f ca="1">INDEX('Data Processing'!AC:AC,$A306)</f>
        <v>1332.6309034915232</v>
      </c>
      <c r="S306" s="287">
        <f ca="1">INDEX('Data Processing'!AD:AD,$A306)</f>
        <v>1295.0690030254632</v>
      </c>
      <c r="T306" s="220">
        <f ca="1">INDEX('Data Processing'!AE:AE,$A306)</f>
        <v>1257.5071025594032</v>
      </c>
      <c r="U306" s="278"/>
      <c r="V306" s="120"/>
    </row>
    <row r="307" spans="1:25" s="586" customFormat="1">
      <c r="A307" s="440" t="str">
        <f>IF(B307="","",IFERROR(MATCH(B307,'Data Processing'!$C:$C,0),""))</f>
        <v/>
      </c>
      <c r="B307" s="522"/>
      <c r="C307" s="565" t="s">
        <v>1005</v>
      </c>
      <c r="D307" s="488"/>
      <c r="E307" s="454">
        <f>D306</f>
        <v>1633.1261072200041</v>
      </c>
      <c r="F307" s="454">
        <f t="shared" ref="F307" ca="1" si="303">E306</f>
        <v>1532.9610393105104</v>
      </c>
      <c r="G307" s="454">
        <f t="shared" ref="G307" ca="1" si="304">F306</f>
        <v>1516.2668613255948</v>
      </c>
      <c r="H307" s="454">
        <f t="shared" ref="H307" ca="1" si="305">G306</f>
        <v>1499.5726833406793</v>
      </c>
      <c r="I307" s="454">
        <f t="shared" ref="I307" ca="1" si="306">H306</f>
        <v>1482.8785053557638</v>
      </c>
      <c r="J307" s="454">
        <f t="shared" ref="J307" ca="1" si="307">I306</f>
        <v>1466.184327370848</v>
      </c>
      <c r="K307" s="454">
        <f t="shared" ref="K307" ca="1" si="308">J306</f>
        <v>1449.4901493859325</v>
      </c>
      <c r="L307" s="454">
        <f t="shared" ref="L307" ca="1" si="309">K306</f>
        <v>1432.7959714010169</v>
      </c>
      <c r="M307" s="454">
        <f t="shared" ref="M307" ca="1" si="310">L306</f>
        <v>1418.4866759853749</v>
      </c>
      <c r="N307" s="454">
        <f t="shared" ref="N307" ca="1" si="311">M306</f>
        <v>1404.177380569733</v>
      </c>
      <c r="O307" s="454">
        <f t="shared" ref="O307" ca="1" si="312">N306</f>
        <v>1389.868085154091</v>
      </c>
      <c r="P307" s="454">
        <f t="shared" ref="P307" ca="1" si="313">O306</f>
        <v>1375.5587897384491</v>
      </c>
      <c r="Q307" s="454">
        <f t="shared" ref="Q307" ca="1" si="314">P306</f>
        <v>1361.2494943228071</v>
      </c>
      <c r="R307" s="454">
        <f t="shared" ref="R307" ca="1" si="315">Q306</f>
        <v>1346.9401989071653</v>
      </c>
      <c r="S307" s="454">
        <f t="shared" ref="S307" ca="1" si="316">R306</f>
        <v>1332.6309034915232</v>
      </c>
      <c r="T307" s="455">
        <f t="shared" ref="T307" ca="1" si="317">S306</f>
        <v>1295.0690030254632</v>
      </c>
      <c r="U307" s="582"/>
      <c r="V307" s="233" t="s">
        <v>1045</v>
      </c>
      <c r="W307" s="268"/>
      <c r="X307" s="268"/>
      <c r="Y307" s="268"/>
    </row>
    <row r="308" spans="1:25" s="521" customFormat="1">
      <c r="A308" s="440" t="str">
        <f>IF(B308="","",IFERROR(MATCH(B308,'Data Processing'!$C:$C,0),""))</f>
        <v/>
      </c>
      <c r="B308" s="522"/>
      <c r="C308" s="565" t="s">
        <v>51</v>
      </c>
      <c r="D308" s="454"/>
      <c r="E308" s="454">
        <f t="shared" ref="E308:T308" si="318">E307</f>
        <v>1633.1261072200041</v>
      </c>
      <c r="F308" s="454">
        <f t="shared" ca="1" si="318"/>
        <v>1532.9610393105104</v>
      </c>
      <c r="G308" s="454">
        <f t="shared" ca="1" si="318"/>
        <v>1516.2668613255948</v>
      </c>
      <c r="H308" s="454">
        <f t="shared" ca="1" si="318"/>
        <v>1499.5726833406793</v>
      </c>
      <c r="I308" s="454">
        <f t="shared" ca="1" si="318"/>
        <v>1482.8785053557638</v>
      </c>
      <c r="J308" s="454">
        <f t="shared" ca="1" si="318"/>
        <v>1466.184327370848</v>
      </c>
      <c r="K308" s="454">
        <f t="shared" ca="1" si="318"/>
        <v>1449.4901493859325</v>
      </c>
      <c r="L308" s="454">
        <f t="shared" ca="1" si="318"/>
        <v>1432.7959714010169</v>
      </c>
      <c r="M308" s="454">
        <f t="shared" ca="1" si="318"/>
        <v>1418.4866759853749</v>
      </c>
      <c r="N308" s="454">
        <f t="shared" ca="1" si="318"/>
        <v>1404.177380569733</v>
      </c>
      <c r="O308" s="454">
        <f t="shared" ca="1" si="318"/>
        <v>1389.868085154091</v>
      </c>
      <c r="P308" s="454">
        <f t="shared" ca="1" si="318"/>
        <v>1375.5587897384491</v>
      </c>
      <c r="Q308" s="454">
        <f t="shared" ca="1" si="318"/>
        <v>1361.2494943228071</v>
      </c>
      <c r="R308" s="454">
        <f t="shared" ca="1" si="318"/>
        <v>1346.9401989071653</v>
      </c>
      <c r="S308" s="454">
        <f t="shared" ca="1" si="318"/>
        <v>1332.6309034915232</v>
      </c>
      <c r="T308" s="455">
        <f t="shared" ca="1" si="318"/>
        <v>1295.0690030254632</v>
      </c>
      <c r="U308" s="524"/>
      <c r="V308" s="120"/>
      <c r="W308" s="126"/>
      <c r="X308" s="126"/>
      <c r="Y308" s="126"/>
    </row>
    <row r="309" spans="1:25" s="561" customFormat="1">
      <c r="A309" s="440" t="str">
        <f>IF(B309="","",IFERROR(MATCH(B309,'Data Processing'!$C:$C,0),""))</f>
        <v/>
      </c>
      <c r="B309" s="583"/>
      <c r="C309" s="567" t="s">
        <v>50</v>
      </c>
      <c r="D309" s="488"/>
      <c r="E309" s="553">
        <f ca="1">INDEX('Data Processing'!BU:BU,$A306)</f>
        <v>6.1333333333333351E-2</v>
      </c>
      <c r="F309" s="553">
        <f ca="1">INDEX('Data Processing'!BV:BV,$A306)</f>
        <v>1.0222222222222225E-2</v>
      </c>
      <c r="G309" s="553">
        <f ca="1">INDEX('Data Processing'!BW:BW,$A306)</f>
        <v>1.0222222222222225E-2</v>
      </c>
      <c r="H309" s="553">
        <f ca="1">INDEX('Data Processing'!BX:BX,$A306)</f>
        <v>1.0222222222222225E-2</v>
      </c>
      <c r="I309" s="553">
        <f ca="1">INDEX('Data Processing'!BY:BY,$A306)</f>
        <v>1.0222222222222225E-2</v>
      </c>
      <c r="J309" s="553">
        <f ca="1">INDEX('Data Processing'!BZ:BZ,$A306)</f>
        <v>1.0222222222222225E-2</v>
      </c>
      <c r="K309" s="553">
        <f ca="1">INDEX('Data Processing'!CA:CA,$A306)</f>
        <v>1.0222222222222225E-2</v>
      </c>
      <c r="L309" s="553">
        <f ca="1">INDEX('Data Processing'!CB:CB,$A306)</f>
        <v>8.7619047619047659E-3</v>
      </c>
      <c r="M309" s="553">
        <f ca="1">INDEX('Data Processing'!CC:CC,$A306)</f>
        <v>8.7619047619047659E-3</v>
      </c>
      <c r="N309" s="553">
        <f ca="1">INDEX('Data Processing'!CD:CD,$A306)</f>
        <v>8.7619047619047659E-3</v>
      </c>
      <c r="O309" s="553">
        <f ca="1">INDEX('Data Processing'!CE:CE,$A306)</f>
        <v>8.7619047619047659E-3</v>
      </c>
      <c r="P309" s="553">
        <f ca="1">INDEX('Data Processing'!CF:CF,$A306)</f>
        <v>8.7619047619047659E-3</v>
      </c>
      <c r="Q309" s="553">
        <f ca="1">INDEX('Data Processing'!CG:CG,$A306)</f>
        <v>8.7619047619047659E-3</v>
      </c>
      <c r="R309" s="553">
        <f ca="1">INDEX('Data Processing'!CH:CH,$A306)</f>
        <v>8.7619047619047659E-3</v>
      </c>
      <c r="S309" s="553">
        <f ca="1">INDEX('Data Processing'!CI:CI,$A306)</f>
        <v>2.2999999999999993E-2</v>
      </c>
      <c r="T309" s="554">
        <f ca="1">INDEX('Data Processing'!CJ:CJ,$A306)</f>
        <v>2.2999999999999993E-2</v>
      </c>
      <c r="U309" s="551"/>
      <c r="V309" s="271"/>
      <c r="W309" s="272"/>
      <c r="X309" s="272"/>
      <c r="Y309" s="272"/>
    </row>
    <row r="310" spans="1:25" s="587" customFormat="1">
      <c r="A310" s="440" t="str">
        <f>IF(B310="","",IFERROR(MATCH(B310,'Data Processing'!$C:$C,0),""))</f>
        <v/>
      </c>
      <c r="B310" s="522"/>
      <c r="C310" s="523" t="s">
        <v>998</v>
      </c>
      <c r="D310" s="504"/>
      <c r="E310" s="489">
        <f ca="1">INDEX('Data Processing'!AS:AS,$A306)</f>
        <v>100.16506790949362</v>
      </c>
      <c r="F310" s="489">
        <f ca="1">INDEX('Data Processing'!AT:AT,$A306)</f>
        <v>16.694177984915601</v>
      </c>
      <c r="G310" s="489">
        <f ca="1">INDEX('Data Processing'!AU:AU,$A306)</f>
        <v>16.694177984915601</v>
      </c>
      <c r="H310" s="489">
        <f ca="1">INDEX('Data Processing'!AV:AV,$A306)</f>
        <v>16.694177984915601</v>
      </c>
      <c r="I310" s="489">
        <f ca="1">INDEX('Data Processing'!AW:AW,$A306)</f>
        <v>16.694177984915601</v>
      </c>
      <c r="J310" s="489">
        <f ca="1">INDEX('Data Processing'!AX:AX,$A306)</f>
        <v>16.694177984915601</v>
      </c>
      <c r="K310" s="489">
        <f ca="1">INDEX('Data Processing'!AY:AY,$A306)</f>
        <v>16.694177984915601</v>
      </c>
      <c r="L310" s="489">
        <f ca="1">INDEX('Data Processing'!AZ:AZ,$A306)</f>
        <v>14.309295415641946</v>
      </c>
      <c r="M310" s="489">
        <f ca="1">INDEX('Data Processing'!BA:BA,$A306)</f>
        <v>14.309295415641946</v>
      </c>
      <c r="N310" s="489">
        <f ca="1">INDEX('Data Processing'!BB:BB,$A306)</f>
        <v>14.309295415641946</v>
      </c>
      <c r="O310" s="489">
        <f ca="1">INDEX('Data Processing'!BC:BC,$A306)</f>
        <v>14.309295415641946</v>
      </c>
      <c r="P310" s="489">
        <f ca="1">INDEX('Data Processing'!BD:BD,$A306)</f>
        <v>14.309295415641946</v>
      </c>
      <c r="Q310" s="489">
        <f ca="1">INDEX('Data Processing'!BE:BE,$A306)</f>
        <v>14.309295415641946</v>
      </c>
      <c r="R310" s="489">
        <f ca="1">INDEX('Data Processing'!BF:BF,$A306)</f>
        <v>14.309295415641946</v>
      </c>
      <c r="S310" s="489">
        <f ca="1">INDEX('Data Processing'!BG:BG,$A306)</f>
        <v>37.561900466060081</v>
      </c>
      <c r="T310" s="490">
        <f ca="1">INDEX('Data Processing'!BH:BH,$A306)</f>
        <v>37.561900466060081</v>
      </c>
      <c r="U310" s="585"/>
      <c r="V310" s="276"/>
      <c r="W310" s="277"/>
      <c r="X310" s="277"/>
      <c r="Y310" s="277"/>
    </row>
    <row r="311" spans="1:25" s="587" customFormat="1">
      <c r="A311" s="440" t="str">
        <f>IF(B311="","",IFERROR(MATCH(B311,'Data Processing'!$C:$C,0),""))</f>
        <v/>
      </c>
      <c r="B311" s="522"/>
      <c r="C311" s="523" t="s">
        <v>1012</v>
      </c>
      <c r="D311" s="488"/>
      <c r="E311" s="489">
        <f t="shared" ref="E311:T311" ca="1" si="319">E307-E310</f>
        <v>1532.9610393105104</v>
      </c>
      <c r="F311" s="489">
        <f t="shared" ca="1" si="319"/>
        <v>1516.2668613255948</v>
      </c>
      <c r="G311" s="489">
        <f t="shared" ca="1" si="319"/>
        <v>1499.5726833406793</v>
      </c>
      <c r="H311" s="489">
        <f t="shared" ca="1" si="319"/>
        <v>1482.8785053557638</v>
      </c>
      <c r="I311" s="489">
        <f t="shared" ca="1" si="319"/>
        <v>1466.1843273708482</v>
      </c>
      <c r="J311" s="489">
        <f t="shared" ca="1" si="319"/>
        <v>1449.4901493859325</v>
      </c>
      <c r="K311" s="489">
        <f t="shared" ca="1" si="319"/>
        <v>1432.7959714010169</v>
      </c>
      <c r="L311" s="489">
        <f t="shared" ca="1" si="319"/>
        <v>1418.4866759853749</v>
      </c>
      <c r="M311" s="489">
        <f t="shared" ca="1" si="319"/>
        <v>1404.1773805697328</v>
      </c>
      <c r="N311" s="489">
        <f t="shared" ca="1" si="319"/>
        <v>1389.868085154091</v>
      </c>
      <c r="O311" s="489">
        <f t="shared" ca="1" si="319"/>
        <v>1375.5587897384489</v>
      </c>
      <c r="P311" s="489">
        <f t="shared" ca="1" si="319"/>
        <v>1361.2494943228071</v>
      </c>
      <c r="Q311" s="489">
        <f t="shared" ca="1" si="319"/>
        <v>1346.940198907165</v>
      </c>
      <c r="R311" s="489">
        <f t="shared" ca="1" si="319"/>
        <v>1332.6309034915232</v>
      </c>
      <c r="S311" s="489">
        <f t="shared" ca="1" si="319"/>
        <v>1295.0690030254632</v>
      </c>
      <c r="T311" s="490">
        <f t="shared" ca="1" si="319"/>
        <v>1257.5071025594032</v>
      </c>
      <c r="U311" s="585"/>
      <c r="V311" s="276"/>
      <c r="W311" s="277"/>
      <c r="X311" s="277"/>
      <c r="Y311" s="277"/>
    </row>
    <row r="312" spans="1:25" s="295" customFormat="1">
      <c r="A312">
        <f>IF(B312="","",IFERROR(MATCH(B312,'Data Processing'!$C:$C,0),""))</f>
        <v>48</v>
      </c>
      <c r="B312" s="294" t="s">
        <v>1317</v>
      </c>
      <c r="C312" s="456" t="str">
        <f>INDEX('Data Processing'!$G:$G,A312)</f>
        <v>Due to Banks - Investment - PBOC</v>
      </c>
      <c r="D312" s="302">
        <f>INDEX('Data Processing'!O:O,$A312)</f>
        <v>5144.4813025600006</v>
      </c>
      <c r="E312" s="457">
        <f ca="1">INDEX('Data Processing'!P:P,$A312)</f>
        <v>4513.4249294459732</v>
      </c>
      <c r="F312" s="457">
        <f ca="1">INDEX('Data Processing'!Q:Q,$A312)</f>
        <v>4408.2488672603022</v>
      </c>
      <c r="G312" s="457">
        <f ca="1">INDEX('Data Processing'!R:R,$A312)</f>
        <v>4303.0728050746311</v>
      </c>
      <c r="H312" s="457">
        <f ca="1">INDEX('Data Processing'!S:S,$A312)</f>
        <v>4197.89674288896</v>
      </c>
      <c r="I312" s="457">
        <f ca="1">INDEX('Data Processing'!T:T,$A312)</f>
        <v>4092.720680703289</v>
      </c>
      <c r="J312" s="457">
        <f ca="1">INDEX('Data Processing'!U:U,$A312)</f>
        <v>3987.5446185176179</v>
      </c>
      <c r="K312" s="457">
        <f ca="1">INDEX('Data Processing'!V:V,$A312)</f>
        <v>3882.3685563319468</v>
      </c>
      <c r="L312" s="457">
        <f ca="1">INDEX('Data Processing'!W:W,$A312)</f>
        <v>3792.2176458870858</v>
      </c>
      <c r="M312" s="457">
        <f ca="1">INDEX('Data Processing'!X:X,$A312)</f>
        <v>3702.0667354422249</v>
      </c>
      <c r="N312" s="457">
        <f ca="1">INDEX('Data Processing'!Y:Y,$A312)</f>
        <v>3611.9158249973639</v>
      </c>
      <c r="O312" s="457">
        <f ca="1">INDEX('Data Processing'!Z:Z,$A312)</f>
        <v>3521.7649145525029</v>
      </c>
      <c r="P312" s="457">
        <f ca="1">INDEX('Data Processing'!AA:AA,$A312)</f>
        <v>3431.6140041076419</v>
      </c>
      <c r="Q312" s="457">
        <f ca="1">INDEX('Data Processing'!AB:AB,$A312)</f>
        <v>3341.4630936627809</v>
      </c>
      <c r="R312" s="457">
        <f ca="1">INDEX('Data Processing'!AC:AC,$A312)</f>
        <v>3251.3121832179199</v>
      </c>
      <c r="S312" s="457">
        <f ca="1">INDEX('Data Processing'!AD:AD,$A312)</f>
        <v>3014.6660433001598</v>
      </c>
      <c r="T312" s="458">
        <f ca="1">INDEX('Data Processing'!AE:AE,$A312)</f>
        <v>2778.0199033823997</v>
      </c>
      <c r="U312" s="218"/>
      <c r="V312" s="296" t="s">
        <v>1031</v>
      </c>
    </row>
    <row r="313" spans="1:25" s="562" customFormat="1">
      <c r="A313" s="440" t="str">
        <f>IF(B313="","",IFERROR(MATCH(B313,'Data Processing'!$C:$C,0),""))</f>
        <v/>
      </c>
      <c r="B313" s="522"/>
      <c r="C313" s="565" t="s">
        <v>1005</v>
      </c>
      <c r="D313" s="488"/>
      <c r="E313" s="454">
        <f>D312</f>
        <v>5144.4813025600006</v>
      </c>
      <c r="F313" s="454">
        <f t="shared" ref="F313" ca="1" si="320">E312</f>
        <v>4513.4249294459732</v>
      </c>
      <c r="G313" s="454">
        <f t="shared" ref="G313" ca="1" si="321">F312</f>
        <v>4408.2488672603022</v>
      </c>
      <c r="H313" s="454">
        <f t="shared" ref="H313" ca="1" si="322">G312</f>
        <v>4303.0728050746311</v>
      </c>
      <c r="I313" s="454">
        <f t="shared" ref="I313" ca="1" si="323">H312</f>
        <v>4197.89674288896</v>
      </c>
      <c r="J313" s="454">
        <f t="shared" ref="J313" ca="1" si="324">I312</f>
        <v>4092.720680703289</v>
      </c>
      <c r="K313" s="454">
        <f t="shared" ref="K313" ca="1" si="325">J312</f>
        <v>3987.5446185176179</v>
      </c>
      <c r="L313" s="454">
        <f t="shared" ref="L313" ca="1" si="326">K312</f>
        <v>3882.3685563319468</v>
      </c>
      <c r="M313" s="454">
        <f t="shared" ref="M313" ca="1" si="327">L312</f>
        <v>3792.2176458870858</v>
      </c>
      <c r="N313" s="454">
        <f t="shared" ref="N313" ca="1" si="328">M312</f>
        <v>3702.0667354422249</v>
      </c>
      <c r="O313" s="454">
        <f t="shared" ref="O313" ca="1" si="329">N312</f>
        <v>3611.9158249973639</v>
      </c>
      <c r="P313" s="454">
        <f t="shared" ref="P313" ca="1" si="330">O312</f>
        <v>3521.7649145525029</v>
      </c>
      <c r="Q313" s="454">
        <f t="shared" ref="Q313" ca="1" si="331">P312</f>
        <v>3431.6140041076419</v>
      </c>
      <c r="R313" s="454">
        <f t="shared" ref="R313" ca="1" si="332">Q312</f>
        <v>3341.4630936627809</v>
      </c>
      <c r="S313" s="454">
        <f t="shared" ref="S313" ca="1" si="333">R312</f>
        <v>3251.3121832179199</v>
      </c>
      <c r="T313" s="455">
        <f t="shared" ref="T313" ca="1" si="334">S312</f>
        <v>3014.6660433001598</v>
      </c>
      <c r="U313" s="557"/>
      <c r="V313" s="296"/>
      <c r="W313" s="295"/>
      <c r="X313" s="295"/>
      <c r="Y313" s="295"/>
    </row>
    <row r="314" spans="1:25" s="561" customFormat="1">
      <c r="A314" s="440" t="str">
        <f>IF(B314="","",IFERROR(MATCH(B314,'Data Processing'!$C:$C,0),""))</f>
        <v/>
      </c>
      <c r="B314" s="583"/>
      <c r="C314" s="565" t="s">
        <v>51</v>
      </c>
      <c r="D314" s="488"/>
      <c r="E314" s="454">
        <f t="shared" ref="E314:T314" si="335">E313</f>
        <v>5144.4813025600006</v>
      </c>
      <c r="F314" s="454">
        <f t="shared" ca="1" si="335"/>
        <v>4513.4249294459732</v>
      </c>
      <c r="G314" s="454">
        <f t="shared" ca="1" si="335"/>
        <v>4408.2488672603022</v>
      </c>
      <c r="H314" s="454">
        <f t="shared" ca="1" si="335"/>
        <v>4303.0728050746311</v>
      </c>
      <c r="I314" s="454">
        <f t="shared" ca="1" si="335"/>
        <v>4197.89674288896</v>
      </c>
      <c r="J314" s="454">
        <f t="shared" ca="1" si="335"/>
        <v>4092.720680703289</v>
      </c>
      <c r="K314" s="454">
        <f t="shared" ca="1" si="335"/>
        <v>3987.5446185176179</v>
      </c>
      <c r="L314" s="454">
        <f t="shared" ca="1" si="335"/>
        <v>3882.3685563319468</v>
      </c>
      <c r="M314" s="454">
        <f t="shared" ca="1" si="335"/>
        <v>3792.2176458870858</v>
      </c>
      <c r="N314" s="454">
        <f t="shared" ca="1" si="335"/>
        <v>3702.0667354422249</v>
      </c>
      <c r="O314" s="454">
        <f t="shared" ca="1" si="335"/>
        <v>3611.9158249973639</v>
      </c>
      <c r="P314" s="454">
        <f t="shared" ca="1" si="335"/>
        <v>3521.7649145525029</v>
      </c>
      <c r="Q314" s="454">
        <f t="shared" ca="1" si="335"/>
        <v>3431.6140041076419</v>
      </c>
      <c r="R314" s="454">
        <f t="shared" ca="1" si="335"/>
        <v>3341.4630936627809</v>
      </c>
      <c r="S314" s="454">
        <f t="shared" ca="1" si="335"/>
        <v>3251.3121832179199</v>
      </c>
      <c r="T314" s="455">
        <f t="shared" ca="1" si="335"/>
        <v>3014.6660433001598</v>
      </c>
      <c r="U314" s="551"/>
      <c r="V314" s="298"/>
      <c r="W314" s="299"/>
      <c r="X314" s="299"/>
      <c r="Y314" s="299"/>
    </row>
    <row r="315" spans="1:25" s="562" customFormat="1">
      <c r="A315" s="440" t="str">
        <f>IF(B315="","",IFERROR(MATCH(B315,'Data Processing'!$C:$C,0),""))</f>
        <v/>
      </c>
      <c r="B315" s="522"/>
      <c r="C315" s="567" t="s">
        <v>50</v>
      </c>
      <c r="D315" s="488"/>
      <c r="E315" s="553">
        <f ca="1">INDEX('Data Processing'!BU:BU,$A312)</f>
        <v>0.1226666666666667</v>
      </c>
      <c r="F315" s="553">
        <f ca="1">INDEX('Data Processing'!BV:BV,$A312)</f>
        <v>2.0444444444444449E-2</v>
      </c>
      <c r="G315" s="553">
        <f ca="1">INDEX('Data Processing'!BW:BW,$A312)</f>
        <v>2.0444444444444449E-2</v>
      </c>
      <c r="H315" s="553">
        <f ca="1">INDEX('Data Processing'!BX:BX,$A312)</f>
        <v>2.0444444444444449E-2</v>
      </c>
      <c r="I315" s="553">
        <f ca="1">INDEX('Data Processing'!BY:BY,$A312)</f>
        <v>2.0444444444444449E-2</v>
      </c>
      <c r="J315" s="553">
        <f ca="1">INDEX('Data Processing'!BZ:BZ,$A312)</f>
        <v>2.0444444444444449E-2</v>
      </c>
      <c r="K315" s="553">
        <f ca="1">INDEX('Data Processing'!CA:CA,$A312)</f>
        <v>2.0444444444444449E-2</v>
      </c>
      <c r="L315" s="553">
        <f ca="1">INDEX('Data Processing'!CB:CB,$A312)</f>
        <v>1.7523809523809532E-2</v>
      </c>
      <c r="M315" s="553">
        <f ca="1">INDEX('Data Processing'!CC:CC,$A312)</f>
        <v>1.7523809523809532E-2</v>
      </c>
      <c r="N315" s="553">
        <f ca="1">INDEX('Data Processing'!CD:CD,$A312)</f>
        <v>1.7523809523809532E-2</v>
      </c>
      <c r="O315" s="553">
        <f ca="1">INDEX('Data Processing'!CE:CE,$A312)</f>
        <v>1.7523809523809532E-2</v>
      </c>
      <c r="P315" s="553">
        <f ca="1">INDEX('Data Processing'!CF:CF,$A312)</f>
        <v>1.7523809523809532E-2</v>
      </c>
      <c r="Q315" s="553">
        <f ca="1">INDEX('Data Processing'!CG:CG,$A312)</f>
        <v>1.7523809523809532E-2</v>
      </c>
      <c r="R315" s="553">
        <f ca="1">INDEX('Data Processing'!CH:CH,$A312)</f>
        <v>1.7523809523809532E-2</v>
      </c>
      <c r="S315" s="553">
        <f ca="1">INDEX('Data Processing'!CI:CI,$A312)</f>
        <v>4.5999999999999985E-2</v>
      </c>
      <c r="T315" s="554">
        <f ca="1">INDEX('Data Processing'!CJ:CJ,$A312)</f>
        <v>4.5999999999999985E-2</v>
      </c>
      <c r="U315" s="557"/>
      <c r="V315" s="296"/>
      <c r="W315" s="295"/>
      <c r="X315" s="295"/>
      <c r="Y315" s="295"/>
    </row>
    <row r="316" spans="1:25" s="562" customFormat="1">
      <c r="A316" s="440" t="str">
        <f>IF(B316="","",IFERROR(MATCH(B316,'Data Processing'!$C:$C,0),""))</f>
        <v/>
      </c>
      <c r="B316" s="522"/>
      <c r="C316" s="523" t="s">
        <v>998</v>
      </c>
      <c r="D316" s="488"/>
      <c r="E316" s="489">
        <f ca="1">INDEX('Data Processing'!AS:AS,$A312)</f>
        <v>631.05637311402688</v>
      </c>
      <c r="F316" s="556">
        <f ca="1">INDEX('Data Processing'!AT:AT,$A312)</f>
        <v>105.17606218567114</v>
      </c>
      <c r="G316" s="556">
        <f ca="1">INDEX('Data Processing'!AU:AU,$A312)</f>
        <v>105.17606218567114</v>
      </c>
      <c r="H316" s="556">
        <f ca="1">INDEX('Data Processing'!AV:AV,$A312)</f>
        <v>105.17606218567114</v>
      </c>
      <c r="I316" s="556">
        <f ca="1">INDEX('Data Processing'!AW:AW,$A312)</f>
        <v>105.17606218567114</v>
      </c>
      <c r="J316" s="556">
        <f ca="1">INDEX('Data Processing'!AX:AX,$A312)</f>
        <v>105.17606218567114</v>
      </c>
      <c r="K316" s="556">
        <f ca="1">INDEX('Data Processing'!AY:AY,$A312)</f>
        <v>105.17606218567114</v>
      </c>
      <c r="L316" s="556">
        <f ca="1">INDEX('Data Processing'!AZ:AZ,$A312)</f>
        <v>90.150910444860997</v>
      </c>
      <c r="M316" s="556">
        <f ca="1">INDEX('Data Processing'!BA:BA,$A312)</f>
        <v>90.150910444860997</v>
      </c>
      <c r="N316" s="556">
        <f ca="1">INDEX('Data Processing'!BB:BB,$A312)</f>
        <v>90.150910444860997</v>
      </c>
      <c r="O316" s="556">
        <f ca="1">INDEX('Data Processing'!BC:BC,$A312)</f>
        <v>90.150910444860997</v>
      </c>
      <c r="P316" s="556">
        <f ca="1">INDEX('Data Processing'!BD:BD,$A312)</f>
        <v>90.150910444860997</v>
      </c>
      <c r="Q316" s="556">
        <f ca="1">INDEX('Data Processing'!BE:BE,$A312)</f>
        <v>90.150910444860997</v>
      </c>
      <c r="R316" s="556">
        <f ca="1">INDEX('Data Processing'!BF:BF,$A312)</f>
        <v>90.150910444860997</v>
      </c>
      <c r="S316" s="556">
        <f ca="1">INDEX('Data Processing'!BG:BG,$A312)</f>
        <v>236.64613991775994</v>
      </c>
      <c r="T316" s="584">
        <f ca="1">INDEX('Data Processing'!BH:BH,$A312)</f>
        <v>236.64613991775994</v>
      </c>
      <c r="U316" s="557"/>
      <c r="V316" s="296"/>
      <c r="W316" s="295"/>
      <c r="X316" s="295"/>
      <c r="Y316" s="295"/>
    </row>
    <row r="317" spans="1:25" s="562" customFormat="1">
      <c r="A317" s="440" t="str">
        <f>IF(B317="","",IFERROR(MATCH(B317,'Data Processing'!$C:$C,0),""))</f>
        <v/>
      </c>
      <c r="B317" s="522"/>
      <c r="C317" s="523" t="s">
        <v>1012</v>
      </c>
      <c r="D317" s="488"/>
      <c r="E317" s="489">
        <f t="shared" ref="E317:T317" ca="1" si="336">E313-E316</f>
        <v>4513.4249294459732</v>
      </c>
      <c r="F317" s="489">
        <f t="shared" ca="1" si="336"/>
        <v>4408.2488672603022</v>
      </c>
      <c r="G317" s="489">
        <f t="shared" ca="1" si="336"/>
        <v>4303.0728050746311</v>
      </c>
      <c r="H317" s="489">
        <f t="shared" ca="1" si="336"/>
        <v>4197.89674288896</v>
      </c>
      <c r="I317" s="489">
        <f t="shared" ca="1" si="336"/>
        <v>4092.720680703289</v>
      </c>
      <c r="J317" s="489">
        <f t="shared" ca="1" si="336"/>
        <v>3987.5446185176179</v>
      </c>
      <c r="K317" s="489">
        <f t="shared" ca="1" si="336"/>
        <v>3882.3685563319468</v>
      </c>
      <c r="L317" s="489">
        <f t="shared" ca="1" si="336"/>
        <v>3792.2176458870858</v>
      </c>
      <c r="M317" s="489">
        <f t="shared" ca="1" si="336"/>
        <v>3702.0667354422249</v>
      </c>
      <c r="N317" s="489">
        <f t="shared" ca="1" si="336"/>
        <v>3611.9158249973639</v>
      </c>
      <c r="O317" s="489">
        <f t="shared" ca="1" si="336"/>
        <v>3521.7649145525029</v>
      </c>
      <c r="P317" s="489">
        <f t="shared" ca="1" si="336"/>
        <v>3431.6140041076419</v>
      </c>
      <c r="Q317" s="489">
        <f t="shared" ca="1" si="336"/>
        <v>3341.4630936627809</v>
      </c>
      <c r="R317" s="489">
        <f t="shared" ca="1" si="336"/>
        <v>3251.3121832179199</v>
      </c>
      <c r="S317" s="489">
        <f t="shared" ca="1" si="336"/>
        <v>3014.6660433001598</v>
      </c>
      <c r="T317" s="490">
        <f t="shared" ca="1" si="336"/>
        <v>2778.0199033823997</v>
      </c>
      <c r="U317" s="557"/>
      <c r="V317" s="296"/>
      <c r="W317" s="295"/>
      <c r="X317" s="295"/>
      <c r="Y317" s="295"/>
    </row>
    <row r="318" spans="1:25" s="295" customFormat="1">
      <c r="A318">
        <f>IF(B318="","",IFERROR(MATCH(B318,'Data Processing'!$C:$C,0),""))</f>
        <v>49</v>
      </c>
      <c r="B318" s="294" t="s">
        <v>1318</v>
      </c>
      <c r="C318" s="456" t="str">
        <f>INDEX('Data Processing'!$G:$G,A318)</f>
        <v>Due to Banks - Investment - CDB &amp; CDB S</v>
      </c>
      <c r="D318" s="302">
        <f>INDEX('Data Processing'!O:O,$A318)</f>
        <v>4707.2802759200003</v>
      </c>
      <c r="E318" s="457">
        <f ca="1">INDEX('Data Processing'!P:P,$A318)</f>
        <v>4129.8538954071464</v>
      </c>
      <c r="F318" s="457">
        <f ca="1">INDEX('Data Processing'!Q:Q,$A318)</f>
        <v>4033.6161653216714</v>
      </c>
      <c r="G318" s="457">
        <f ca="1">INDEX('Data Processing'!R:R,$A318)</f>
        <v>3937.3784352361954</v>
      </c>
      <c r="H318" s="457">
        <f ca="1">INDEX('Data Processing'!S:S,$A318)</f>
        <v>3841.1407051507199</v>
      </c>
      <c r="I318" s="457">
        <f ca="1">INDEX('Data Processing'!T:T,$A318)</f>
        <v>3744.9029750652444</v>
      </c>
      <c r="J318" s="457">
        <f ca="1">INDEX('Data Processing'!U:U,$A318)</f>
        <v>3648.6652449797689</v>
      </c>
      <c r="K318" s="457">
        <f ca="1">INDEX('Data Processing'!V:V,$A318)</f>
        <v>3552.4275148942934</v>
      </c>
      <c r="L318" s="457">
        <f ca="1">INDEX('Data Processing'!W:W,$A318)</f>
        <v>3469.9380319638858</v>
      </c>
      <c r="M318" s="457">
        <f ca="1">INDEX('Data Processing'!X:X,$A318)</f>
        <v>3387.4485490334782</v>
      </c>
      <c r="N318" s="457">
        <f ca="1">INDEX('Data Processing'!Y:Y,$A318)</f>
        <v>3304.9590661030707</v>
      </c>
      <c r="O318" s="457">
        <f ca="1">INDEX('Data Processing'!Z:Z,$A318)</f>
        <v>3222.4695831726631</v>
      </c>
      <c r="P318" s="457">
        <f ca="1">INDEX('Data Processing'!AA:AA,$A318)</f>
        <v>3139.9801002422555</v>
      </c>
      <c r="Q318" s="457">
        <f ca="1">INDEX('Data Processing'!AB:AB,$A318)</f>
        <v>3057.4906173118479</v>
      </c>
      <c r="R318" s="457">
        <f ca="1">INDEX('Data Processing'!AC:AC,$A318)</f>
        <v>2975.0011343814404</v>
      </c>
      <c r="S318" s="457">
        <f ca="1">INDEX('Data Processing'!AD:AD,$A318)</f>
        <v>2758.4662416891206</v>
      </c>
      <c r="T318" s="458">
        <f ca="1">INDEX('Data Processing'!AE:AE,$A318)</f>
        <v>2541.9313489968004</v>
      </c>
      <c r="U318" s="218"/>
      <c r="V318" s="296" t="s">
        <v>1031</v>
      </c>
    </row>
    <row r="319" spans="1:25" s="562" customFormat="1">
      <c r="A319" s="440" t="str">
        <f>IF(B319="","",IFERROR(MATCH(B319,'Data Processing'!$C:$C,0),""))</f>
        <v/>
      </c>
      <c r="B319" s="522"/>
      <c r="C319" s="565" t="s">
        <v>1005</v>
      </c>
      <c r="D319" s="488"/>
      <c r="E319" s="454">
        <f>D318</f>
        <v>4707.2802759200003</v>
      </c>
      <c r="F319" s="454">
        <f t="shared" ref="F319" ca="1" si="337">E318</f>
        <v>4129.8538954071464</v>
      </c>
      <c r="G319" s="454">
        <f t="shared" ref="G319" ca="1" si="338">F318</f>
        <v>4033.6161653216714</v>
      </c>
      <c r="H319" s="454">
        <f t="shared" ref="H319" ca="1" si="339">G318</f>
        <v>3937.3784352361954</v>
      </c>
      <c r="I319" s="454">
        <f t="shared" ref="I319" ca="1" si="340">H318</f>
        <v>3841.1407051507199</v>
      </c>
      <c r="J319" s="454">
        <f t="shared" ref="J319" ca="1" si="341">I318</f>
        <v>3744.9029750652444</v>
      </c>
      <c r="K319" s="454">
        <f t="shared" ref="K319" ca="1" si="342">J318</f>
        <v>3648.6652449797689</v>
      </c>
      <c r="L319" s="454">
        <f t="shared" ref="L319" ca="1" si="343">K318</f>
        <v>3552.4275148942934</v>
      </c>
      <c r="M319" s="454">
        <f t="shared" ref="M319" ca="1" si="344">L318</f>
        <v>3469.9380319638858</v>
      </c>
      <c r="N319" s="454">
        <f t="shared" ref="N319" ca="1" si="345">M318</f>
        <v>3387.4485490334782</v>
      </c>
      <c r="O319" s="454">
        <f t="shared" ref="O319" ca="1" si="346">N318</f>
        <v>3304.9590661030707</v>
      </c>
      <c r="P319" s="454">
        <f t="shared" ref="P319" ca="1" si="347">O318</f>
        <v>3222.4695831726631</v>
      </c>
      <c r="Q319" s="454">
        <f t="shared" ref="Q319" ca="1" si="348">P318</f>
        <v>3139.9801002422555</v>
      </c>
      <c r="R319" s="454">
        <f t="shared" ref="R319" ca="1" si="349">Q318</f>
        <v>3057.4906173118479</v>
      </c>
      <c r="S319" s="454">
        <f t="shared" ref="S319" ca="1" si="350">R318</f>
        <v>2975.0011343814404</v>
      </c>
      <c r="T319" s="455">
        <f t="shared" ref="T319" ca="1" si="351">S318</f>
        <v>2758.4662416891206</v>
      </c>
      <c r="U319" s="557"/>
      <c r="V319" s="296"/>
      <c r="W319" s="295"/>
      <c r="X319" s="295"/>
      <c r="Y319" s="295"/>
    </row>
    <row r="320" spans="1:25" s="561" customFormat="1">
      <c r="A320" s="440" t="str">
        <f>IF(B320="","",IFERROR(MATCH(B320,'Data Processing'!$C:$C,0),""))</f>
        <v/>
      </c>
      <c r="B320" s="583"/>
      <c r="C320" s="565" t="s">
        <v>51</v>
      </c>
      <c r="D320" s="488"/>
      <c r="E320" s="454">
        <f t="shared" ref="E320:T320" si="352">E319</f>
        <v>4707.2802759200003</v>
      </c>
      <c r="F320" s="454">
        <f t="shared" ca="1" si="352"/>
        <v>4129.8538954071464</v>
      </c>
      <c r="G320" s="454">
        <f t="shared" ca="1" si="352"/>
        <v>4033.6161653216714</v>
      </c>
      <c r="H320" s="454">
        <f t="shared" ca="1" si="352"/>
        <v>3937.3784352361954</v>
      </c>
      <c r="I320" s="454">
        <f t="shared" ca="1" si="352"/>
        <v>3841.1407051507199</v>
      </c>
      <c r="J320" s="454">
        <f t="shared" ca="1" si="352"/>
        <v>3744.9029750652444</v>
      </c>
      <c r="K320" s="454">
        <f t="shared" ca="1" si="352"/>
        <v>3648.6652449797689</v>
      </c>
      <c r="L320" s="454">
        <f t="shared" ca="1" si="352"/>
        <v>3552.4275148942934</v>
      </c>
      <c r="M320" s="454">
        <f t="shared" ca="1" si="352"/>
        <v>3469.9380319638858</v>
      </c>
      <c r="N320" s="454">
        <f t="shared" ca="1" si="352"/>
        <v>3387.4485490334782</v>
      </c>
      <c r="O320" s="454">
        <f t="shared" ca="1" si="352"/>
        <v>3304.9590661030707</v>
      </c>
      <c r="P320" s="454">
        <f t="shared" ca="1" si="352"/>
        <v>3222.4695831726631</v>
      </c>
      <c r="Q320" s="454">
        <f t="shared" ca="1" si="352"/>
        <v>3139.9801002422555</v>
      </c>
      <c r="R320" s="454">
        <f t="shared" ca="1" si="352"/>
        <v>3057.4906173118479</v>
      </c>
      <c r="S320" s="454">
        <f t="shared" ca="1" si="352"/>
        <v>2975.0011343814404</v>
      </c>
      <c r="T320" s="455">
        <f t="shared" ca="1" si="352"/>
        <v>2758.4662416891206</v>
      </c>
      <c r="U320" s="551"/>
      <c r="V320" s="298"/>
      <c r="W320" s="299"/>
      <c r="X320" s="299"/>
      <c r="Y320" s="299"/>
    </row>
    <row r="321" spans="1:25" s="562" customFormat="1">
      <c r="A321" s="440" t="str">
        <f>IF(B321="","",IFERROR(MATCH(B321,'Data Processing'!$C:$C,0),""))</f>
        <v/>
      </c>
      <c r="B321" s="522"/>
      <c r="C321" s="567" t="s">
        <v>50</v>
      </c>
      <c r="D321" s="488"/>
      <c r="E321" s="553">
        <f ca="1">INDEX('Data Processing'!BU:BU,$A318)</f>
        <v>0.1226666666666667</v>
      </c>
      <c r="F321" s="553">
        <f ca="1">INDEX('Data Processing'!BV:BV,$A318)</f>
        <v>2.0444444444444449E-2</v>
      </c>
      <c r="G321" s="553">
        <f ca="1">INDEX('Data Processing'!BW:BW,$A318)</f>
        <v>2.0444444444444449E-2</v>
      </c>
      <c r="H321" s="553">
        <f ca="1">INDEX('Data Processing'!BX:BX,$A318)</f>
        <v>2.0444444444444449E-2</v>
      </c>
      <c r="I321" s="553">
        <f ca="1">INDEX('Data Processing'!BY:BY,$A318)</f>
        <v>2.0444444444444449E-2</v>
      </c>
      <c r="J321" s="553">
        <f ca="1">INDEX('Data Processing'!BZ:BZ,$A318)</f>
        <v>2.0444444444444449E-2</v>
      </c>
      <c r="K321" s="553">
        <f ca="1">INDEX('Data Processing'!CA:CA,$A318)</f>
        <v>2.0444444444444449E-2</v>
      </c>
      <c r="L321" s="553">
        <f ca="1">INDEX('Data Processing'!CB:CB,$A318)</f>
        <v>1.7523809523809532E-2</v>
      </c>
      <c r="M321" s="553">
        <f ca="1">INDEX('Data Processing'!CC:CC,$A318)</f>
        <v>1.7523809523809532E-2</v>
      </c>
      <c r="N321" s="553">
        <f ca="1">INDEX('Data Processing'!CD:CD,$A318)</f>
        <v>1.7523809523809532E-2</v>
      </c>
      <c r="O321" s="553">
        <f ca="1">INDEX('Data Processing'!CE:CE,$A318)</f>
        <v>1.7523809523809532E-2</v>
      </c>
      <c r="P321" s="553">
        <f ca="1">INDEX('Data Processing'!CF:CF,$A318)</f>
        <v>1.7523809523809532E-2</v>
      </c>
      <c r="Q321" s="553">
        <f ca="1">INDEX('Data Processing'!CG:CG,$A318)</f>
        <v>1.7523809523809532E-2</v>
      </c>
      <c r="R321" s="553">
        <f ca="1">INDEX('Data Processing'!CH:CH,$A318)</f>
        <v>1.7523809523809532E-2</v>
      </c>
      <c r="S321" s="553">
        <f ca="1">INDEX('Data Processing'!CI:CI,$A318)</f>
        <v>4.5999999999999985E-2</v>
      </c>
      <c r="T321" s="554">
        <f ca="1">INDEX('Data Processing'!CJ:CJ,$A318)</f>
        <v>4.5999999999999985E-2</v>
      </c>
      <c r="U321" s="557"/>
      <c r="V321" s="296"/>
      <c r="W321" s="295"/>
      <c r="X321" s="295"/>
      <c r="Y321" s="295"/>
    </row>
    <row r="322" spans="1:25" s="562" customFormat="1">
      <c r="A322" s="440" t="str">
        <f>IF(B322="","",IFERROR(MATCH(B322,'Data Processing'!$C:$C,0),""))</f>
        <v/>
      </c>
      <c r="B322" s="522"/>
      <c r="C322" s="523" t="s">
        <v>998</v>
      </c>
      <c r="D322" s="488"/>
      <c r="E322" s="489">
        <f ca="1">INDEX('Data Processing'!AS:AS,$A318)</f>
        <v>577.42638051285348</v>
      </c>
      <c r="F322" s="556">
        <f ca="1">INDEX('Data Processing'!AT:AT,$A318)</f>
        <v>96.23773008547559</v>
      </c>
      <c r="G322" s="556">
        <f ca="1">INDEX('Data Processing'!AU:AU,$A318)</f>
        <v>96.23773008547559</v>
      </c>
      <c r="H322" s="556">
        <f ca="1">INDEX('Data Processing'!AV:AV,$A318)</f>
        <v>96.23773008547559</v>
      </c>
      <c r="I322" s="556">
        <f ca="1">INDEX('Data Processing'!AW:AW,$A318)</f>
        <v>96.23773008547559</v>
      </c>
      <c r="J322" s="556">
        <f ca="1">INDEX('Data Processing'!AX:AX,$A318)</f>
        <v>96.23773008547559</v>
      </c>
      <c r="K322" s="556">
        <f ca="1">INDEX('Data Processing'!AY:AY,$A318)</f>
        <v>96.23773008547559</v>
      </c>
      <c r="L322" s="556">
        <f ca="1">INDEX('Data Processing'!AZ:AZ,$A318)</f>
        <v>82.489482930407661</v>
      </c>
      <c r="M322" s="556">
        <f ca="1">INDEX('Data Processing'!BA:BA,$A318)</f>
        <v>82.489482930407661</v>
      </c>
      <c r="N322" s="556">
        <f ca="1">INDEX('Data Processing'!BB:BB,$A318)</f>
        <v>82.489482930407661</v>
      </c>
      <c r="O322" s="556">
        <f ca="1">INDEX('Data Processing'!BC:BC,$A318)</f>
        <v>82.489482930407661</v>
      </c>
      <c r="P322" s="556">
        <f ca="1">INDEX('Data Processing'!BD:BD,$A318)</f>
        <v>82.489482930407661</v>
      </c>
      <c r="Q322" s="556">
        <f ca="1">INDEX('Data Processing'!BE:BE,$A318)</f>
        <v>82.489482930407661</v>
      </c>
      <c r="R322" s="556">
        <f ca="1">INDEX('Data Processing'!BF:BF,$A318)</f>
        <v>82.489482930407661</v>
      </c>
      <c r="S322" s="556">
        <f ca="1">INDEX('Data Processing'!BG:BG,$A318)</f>
        <v>216.53489269231994</v>
      </c>
      <c r="T322" s="584">
        <f ca="1">INDEX('Data Processing'!BH:BH,$A318)</f>
        <v>216.53489269231994</v>
      </c>
      <c r="U322" s="557"/>
      <c r="V322" s="296"/>
      <c r="W322" s="295"/>
      <c r="X322" s="295"/>
      <c r="Y322" s="295"/>
    </row>
    <row r="323" spans="1:25" s="562" customFormat="1">
      <c r="A323" s="440" t="str">
        <f>IF(B323="","",IFERROR(MATCH(B323,'Data Processing'!$C:$C,0),""))</f>
        <v/>
      </c>
      <c r="B323" s="522"/>
      <c r="C323" s="523" t="s">
        <v>1012</v>
      </c>
      <c r="D323" s="488"/>
      <c r="E323" s="489">
        <f t="shared" ref="E323:T323" ca="1" si="353">E319-E322</f>
        <v>4129.8538954071464</v>
      </c>
      <c r="F323" s="489">
        <f t="shared" ca="1" si="353"/>
        <v>4033.6161653216709</v>
      </c>
      <c r="G323" s="489">
        <f t="shared" ca="1" si="353"/>
        <v>3937.3784352361959</v>
      </c>
      <c r="H323" s="489">
        <f t="shared" ca="1" si="353"/>
        <v>3841.1407051507199</v>
      </c>
      <c r="I323" s="489">
        <f t="shared" ca="1" si="353"/>
        <v>3744.9029750652444</v>
      </c>
      <c r="J323" s="489">
        <f t="shared" ca="1" si="353"/>
        <v>3648.6652449797689</v>
      </c>
      <c r="K323" s="489">
        <f t="shared" ca="1" si="353"/>
        <v>3552.4275148942934</v>
      </c>
      <c r="L323" s="489">
        <f t="shared" ca="1" si="353"/>
        <v>3469.9380319638858</v>
      </c>
      <c r="M323" s="489">
        <f t="shared" ca="1" si="353"/>
        <v>3387.4485490334782</v>
      </c>
      <c r="N323" s="489">
        <f t="shared" ca="1" si="353"/>
        <v>3304.9590661030707</v>
      </c>
      <c r="O323" s="489">
        <f t="shared" ca="1" si="353"/>
        <v>3222.4695831726631</v>
      </c>
      <c r="P323" s="489">
        <f t="shared" ca="1" si="353"/>
        <v>3139.9801002422555</v>
      </c>
      <c r="Q323" s="489">
        <f t="shared" ca="1" si="353"/>
        <v>3057.4906173118479</v>
      </c>
      <c r="R323" s="489">
        <f t="shared" ca="1" si="353"/>
        <v>2975.0011343814404</v>
      </c>
      <c r="S323" s="489">
        <f t="shared" ca="1" si="353"/>
        <v>2758.4662416891206</v>
      </c>
      <c r="T323" s="490">
        <f t="shared" ca="1" si="353"/>
        <v>2541.9313489968008</v>
      </c>
      <c r="U323" s="557"/>
      <c r="V323" s="296"/>
      <c r="W323" s="295"/>
      <c r="X323" s="295"/>
      <c r="Y323" s="295"/>
    </row>
    <row r="324" spans="1:25" s="295" customFormat="1">
      <c r="A324">
        <f>IF(B324="","",IFERROR(MATCH(B324,'Data Processing'!$C:$C,0),""))</f>
        <v>50</v>
      </c>
      <c r="B324" s="294" t="s">
        <v>1319</v>
      </c>
      <c r="C324" s="456" t="str">
        <f>INDEX('Data Processing'!$G:$G,A324)</f>
        <v>Due to Banks - Investment - CDB HK</v>
      </c>
      <c r="D324" s="302">
        <f>INDEX('Data Processing'!O:O,$A324)</f>
        <v>93.106070770000002</v>
      </c>
      <c r="E324" s="457">
        <f ca="1">INDEX('Data Processing'!P:P,$A324)</f>
        <v>87.395565096106665</v>
      </c>
      <c r="F324" s="457">
        <f ca="1">INDEX('Data Processing'!Q:Q,$A324)</f>
        <v>86.443814150457783</v>
      </c>
      <c r="G324" s="457">
        <f ca="1">INDEX('Data Processing'!R:R,$A324)</f>
        <v>85.492063204808886</v>
      </c>
      <c r="H324" s="457">
        <f ca="1">INDEX('Data Processing'!S:S,$A324)</f>
        <v>84.540312259160004</v>
      </c>
      <c r="I324" s="457">
        <f ca="1">INDEX('Data Processing'!T:T,$A324)</f>
        <v>83.588561313511107</v>
      </c>
      <c r="J324" s="457">
        <f ca="1">INDEX('Data Processing'!U:U,$A324)</f>
        <v>82.636810367862225</v>
      </c>
      <c r="K324" s="457">
        <f ca="1">INDEX('Data Processing'!V:V,$A324)</f>
        <v>81.685059422213328</v>
      </c>
      <c r="L324" s="457">
        <f ca="1">INDEX('Data Processing'!W:W,$A324)</f>
        <v>80.869272897371417</v>
      </c>
      <c r="M324" s="457">
        <f ca="1">INDEX('Data Processing'!X:X,$A324)</f>
        <v>80.05348637252952</v>
      </c>
      <c r="N324" s="457">
        <f ca="1">INDEX('Data Processing'!Y:Y,$A324)</f>
        <v>79.237699847687622</v>
      </c>
      <c r="O324" s="457">
        <f ca="1">INDEX('Data Processing'!Z:Z,$A324)</f>
        <v>78.421913322845711</v>
      </c>
      <c r="P324" s="457">
        <f ca="1">INDEX('Data Processing'!AA:AA,$A324)</f>
        <v>77.6061267980038</v>
      </c>
      <c r="Q324" s="457">
        <f ca="1">INDEX('Data Processing'!AB:AB,$A324)</f>
        <v>76.790340273161902</v>
      </c>
      <c r="R324" s="457">
        <f ca="1">INDEX('Data Processing'!AC:AC,$A324)</f>
        <v>75.974553748320005</v>
      </c>
      <c r="S324" s="457">
        <f ca="1">INDEX('Data Processing'!AD:AD,$A324)</f>
        <v>73.833114120609991</v>
      </c>
      <c r="T324" s="458">
        <f ca="1">INDEX('Data Processing'!AE:AE,$A324)</f>
        <v>71.691674492900006</v>
      </c>
      <c r="U324" s="218"/>
      <c r="V324" s="296" t="s">
        <v>1031</v>
      </c>
    </row>
    <row r="325" spans="1:25" s="562" customFormat="1">
      <c r="A325" s="440" t="str">
        <f>IF(B325="","",IFERROR(MATCH(B325,'Data Processing'!$C:$C,0),""))</f>
        <v/>
      </c>
      <c r="B325" s="522"/>
      <c r="C325" s="565" t="s">
        <v>1005</v>
      </c>
      <c r="D325" s="488"/>
      <c r="E325" s="454">
        <f>D324</f>
        <v>93.106070770000002</v>
      </c>
      <c r="F325" s="454">
        <f t="shared" ref="F325" ca="1" si="354">E324</f>
        <v>87.395565096106665</v>
      </c>
      <c r="G325" s="454">
        <f t="shared" ref="G325" ca="1" si="355">F324</f>
        <v>86.443814150457783</v>
      </c>
      <c r="H325" s="454">
        <f t="shared" ref="H325" ca="1" si="356">G324</f>
        <v>85.492063204808886</v>
      </c>
      <c r="I325" s="454">
        <f t="shared" ref="I325" ca="1" si="357">H324</f>
        <v>84.540312259160004</v>
      </c>
      <c r="J325" s="454">
        <f t="shared" ref="J325" ca="1" si="358">I324</f>
        <v>83.588561313511107</v>
      </c>
      <c r="K325" s="454">
        <f t="shared" ref="K325" ca="1" si="359">J324</f>
        <v>82.636810367862225</v>
      </c>
      <c r="L325" s="454">
        <f t="shared" ref="L325" ca="1" si="360">K324</f>
        <v>81.685059422213328</v>
      </c>
      <c r="M325" s="454">
        <f t="shared" ref="M325" ca="1" si="361">L324</f>
        <v>80.869272897371417</v>
      </c>
      <c r="N325" s="454">
        <f t="shared" ref="N325" ca="1" si="362">M324</f>
        <v>80.05348637252952</v>
      </c>
      <c r="O325" s="454">
        <f t="shared" ref="O325" ca="1" si="363">N324</f>
        <v>79.237699847687622</v>
      </c>
      <c r="P325" s="454">
        <f t="shared" ref="P325" ca="1" si="364">O324</f>
        <v>78.421913322845711</v>
      </c>
      <c r="Q325" s="454">
        <f t="shared" ref="Q325" ca="1" si="365">P324</f>
        <v>77.6061267980038</v>
      </c>
      <c r="R325" s="454">
        <f t="shared" ref="R325" ca="1" si="366">Q324</f>
        <v>76.790340273161902</v>
      </c>
      <c r="S325" s="454">
        <f t="shared" ref="S325" ca="1" si="367">R324</f>
        <v>75.974553748320005</v>
      </c>
      <c r="T325" s="455">
        <f t="shared" ref="T325" ca="1" si="368">S324</f>
        <v>73.833114120609991</v>
      </c>
      <c r="U325" s="557"/>
      <c r="V325" s="296"/>
      <c r="W325" s="295"/>
      <c r="X325" s="295"/>
      <c r="Y325" s="295"/>
    </row>
    <row r="326" spans="1:25" s="561" customFormat="1">
      <c r="A326" s="440" t="str">
        <f>IF(B326="","",IFERROR(MATCH(B326,'Data Processing'!$C:$C,0),""))</f>
        <v/>
      </c>
      <c r="B326" s="583"/>
      <c r="C326" s="565" t="s">
        <v>51</v>
      </c>
      <c r="D326" s="488"/>
      <c r="E326" s="454">
        <f t="shared" ref="E326:T326" si="369">E325</f>
        <v>93.106070770000002</v>
      </c>
      <c r="F326" s="454">
        <f t="shared" ca="1" si="369"/>
        <v>87.395565096106665</v>
      </c>
      <c r="G326" s="454">
        <f t="shared" ca="1" si="369"/>
        <v>86.443814150457783</v>
      </c>
      <c r="H326" s="454">
        <f t="shared" ca="1" si="369"/>
        <v>85.492063204808886</v>
      </c>
      <c r="I326" s="454">
        <f t="shared" ca="1" si="369"/>
        <v>84.540312259160004</v>
      </c>
      <c r="J326" s="454">
        <f t="shared" ca="1" si="369"/>
        <v>83.588561313511107</v>
      </c>
      <c r="K326" s="454">
        <f t="shared" ca="1" si="369"/>
        <v>82.636810367862225</v>
      </c>
      <c r="L326" s="454">
        <f t="shared" ca="1" si="369"/>
        <v>81.685059422213328</v>
      </c>
      <c r="M326" s="454">
        <f t="shared" ca="1" si="369"/>
        <v>80.869272897371417</v>
      </c>
      <c r="N326" s="454">
        <f t="shared" ca="1" si="369"/>
        <v>80.05348637252952</v>
      </c>
      <c r="O326" s="454">
        <f t="shared" ca="1" si="369"/>
        <v>79.237699847687622</v>
      </c>
      <c r="P326" s="454">
        <f t="shared" ca="1" si="369"/>
        <v>78.421913322845711</v>
      </c>
      <c r="Q326" s="454">
        <f t="shared" ca="1" si="369"/>
        <v>77.6061267980038</v>
      </c>
      <c r="R326" s="454">
        <f t="shared" ca="1" si="369"/>
        <v>76.790340273161902</v>
      </c>
      <c r="S326" s="454">
        <f t="shared" ca="1" si="369"/>
        <v>75.974553748320005</v>
      </c>
      <c r="T326" s="455">
        <f t="shared" ca="1" si="369"/>
        <v>73.833114120609991</v>
      </c>
      <c r="U326" s="551"/>
      <c r="V326" s="298"/>
      <c r="W326" s="299"/>
      <c r="X326" s="299"/>
      <c r="Y326" s="299"/>
    </row>
    <row r="327" spans="1:25" s="562" customFormat="1">
      <c r="A327" s="440" t="str">
        <f>IF(B327="","",IFERROR(MATCH(B327,'Data Processing'!$C:$C,0),""))</f>
        <v/>
      </c>
      <c r="B327" s="522"/>
      <c r="C327" s="567" t="s">
        <v>50</v>
      </c>
      <c r="D327" s="488"/>
      <c r="E327" s="553">
        <f ca="1">INDEX('Data Processing'!BU:BU,$A324)</f>
        <v>6.1333333333333351E-2</v>
      </c>
      <c r="F327" s="553">
        <f ca="1">INDEX('Data Processing'!BV:BV,$A324)</f>
        <v>1.0222222222222225E-2</v>
      </c>
      <c r="G327" s="553">
        <f ca="1">INDEX('Data Processing'!BW:BW,$A324)</f>
        <v>1.0222222222222225E-2</v>
      </c>
      <c r="H327" s="553">
        <f ca="1">INDEX('Data Processing'!BX:BX,$A324)</f>
        <v>1.0222222222222225E-2</v>
      </c>
      <c r="I327" s="553">
        <f ca="1">INDEX('Data Processing'!BY:BY,$A324)</f>
        <v>1.0222222222222225E-2</v>
      </c>
      <c r="J327" s="553">
        <f ca="1">INDEX('Data Processing'!BZ:BZ,$A324)</f>
        <v>1.0222222222222225E-2</v>
      </c>
      <c r="K327" s="553">
        <f ca="1">INDEX('Data Processing'!CA:CA,$A324)</f>
        <v>1.0222222222222225E-2</v>
      </c>
      <c r="L327" s="553">
        <f ca="1">INDEX('Data Processing'!CB:CB,$A324)</f>
        <v>8.7619047619047659E-3</v>
      </c>
      <c r="M327" s="553">
        <f ca="1">INDEX('Data Processing'!CC:CC,$A324)</f>
        <v>8.7619047619047659E-3</v>
      </c>
      <c r="N327" s="553">
        <f ca="1">INDEX('Data Processing'!CD:CD,$A324)</f>
        <v>8.7619047619047659E-3</v>
      </c>
      <c r="O327" s="553">
        <f ca="1">INDEX('Data Processing'!CE:CE,$A324)</f>
        <v>8.7619047619047659E-3</v>
      </c>
      <c r="P327" s="553">
        <f ca="1">INDEX('Data Processing'!CF:CF,$A324)</f>
        <v>8.7619047619047659E-3</v>
      </c>
      <c r="Q327" s="553">
        <f ca="1">INDEX('Data Processing'!CG:CG,$A324)</f>
        <v>8.7619047619047659E-3</v>
      </c>
      <c r="R327" s="553">
        <f ca="1">INDEX('Data Processing'!CH:CH,$A324)</f>
        <v>8.7619047619047659E-3</v>
      </c>
      <c r="S327" s="553">
        <f ca="1">INDEX('Data Processing'!CI:CI,$A324)</f>
        <v>2.2999999999999993E-2</v>
      </c>
      <c r="T327" s="554">
        <f ca="1">INDEX('Data Processing'!CJ:CJ,$A324)</f>
        <v>2.2999999999999993E-2</v>
      </c>
      <c r="U327" s="557"/>
      <c r="V327" s="296"/>
      <c r="W327" s="295"/>
      <c r="X327" s="295"/>
      <c r="Y327" s="295"/>
    </row>
    <row r="328" spans="1:25" s="562" customFormat="1">
      <c r="A328" s="440" t="str">
        <f>IF(B328="","",IFERROR(MATCH(B328,'Data Processing'!$C:$C,0),""))</f>
        <v/>
      </c>
      <c r="B328" s="522"/>
      <c r="C328" s="523" t="s">
        <v>998</v>
      </c>
      <c r="D328" s="488"/>
      <c r="E328" s="489">
        <f ca="1">INDEX('Data Processing'!AS:AS,$A324)</f>
        <v>5.7105056738933353</v>
      </c>
      <c r="F328" s="556">
        <f ca="1">INDEX('Data Processing'!AT:AT,$A324)</f>
        <v>0.95175094564888918</v>
      </c>
      <c r="G328" s="556">
        <f ca="1">INDEX('Data Processing'!AU:AU,$A324)</f>
        <v>0.95175094564888918</v>
      </c>
      <c r="H328" s="556">
        <f ca="1">INDEX('Data Processing'!AV:AV,$A324)</f>
        <v>0.95175094564888918</v>
      </c>
      <c r="I328" s="556">
        <f ca="1">INDEX('Data Processing'!AW:AW,$A324)</f>
        <v>0.95175094564888918</v>
      </c>
      <c r="J328" s="556">
        <f ca="1">INDEX('Data Processing'!AX:AX,$A324)</f>
        <v>0.95175094564888918</v>
      </c>
      <c r="K328" s="556">
        <f ca="1">INDEX('Data Processing'!AY:AY,$A324)</f>
        <v>0.95175094564888918</v>
      </c>
      <c r="L328" s="556">
        <f ca="1">INDEX('Data Processing'!AZ:AZ,$A324)</f>
        <v>0.81578652484190517</v>
      </c>
      <c r="M328" s="556">
        <f ca="1">INDEX('Data Processing'!BA:BA,$A324)</f>
        <v>0.81578652484190517</v>
      </c>
      <c r="N328" s="556">
        <f ca="1">INDEX('Data Processing'!BB:BB,$A324)</f>
        <v>0.81578652484190517</v>
      </c>
      <c r="O328" s="556">
        <f ca="1">INDEX('Data Processing'!BC:BC,$A324)</f>
        <v>0.81578652484190517</v>
      </c>
      <c r="P328" s="556">
        <f ca="1">INDEX('Data Processing'!BD:BD,$A324)</f>
        <v>0.81578652484190517</v>
      </c>
      <c r="Q328" s="556">
        <f ca="1">INDEX('Data Processing'!BE:BE,$A324)</f>
        <v>0.81578652484190517</v>
      </c>
      <c r="R328" s="556">
        <f ca="1">INDEX('Data Processing'!BF:BF,$A324)</f>
        <v>0.81578652484190517</v>
      </c>
      <c r="S328" s="556">
        <f ca="1">INDEX('Data Processing'!BG:BG,$A324)</f>
        <v>2.1414396277099992</v>
      </c>
      <c r="T328" s="584">
        <f ca="1">INDEX('Data Processing'!BH:BH,$A324)</f>
        <v>2.1414396277099992</v>
      </c>
      <c r="U328" s="557"/>
      <c r="V328" s="296"/>
      <c r="W328" s="295"/>
      <c r="X328" s="295"/>
      <c r="Y328" s="295"/>
    </row>
    <row r="329" spans="1:25" s="562" customFormat="1">
      <c r="A329" s="440" t="str">
        <f>IF(B329="","",IFERROR(MATCH(B329,'Data Processing'!$C:$C,0),""))</f>
        <v/>
      </c>
      <c r="B329" s="522"/>
      <c r="C329" s="523" t="s">
        <v>1012</v>
      </c>
      <c r="D329" s="488"/>
      <c r="E329" s="489">
        <f t="shared" ref="E329:T329" ca="1" si="370">E325-E328</f>
        <v>87.395565096106665</v>
      </c>
      <c r="F329" s="489">
        <f t="shared" ca="1" si="370"/>
        <v>86.443814150457783</v>
      </c>
      <c r="G329" s="489">
        <f t="shared" ca="1" si="370"/>
        <v>85.4920632048089</v>
      </c>
      <c r="H329" s="489">
        <f t="shared" ca="1" si="370"/>
        <v>84.540312259160004</v>
      </c>
      <c r="I329" s="489">
        <f t="shared" ca="1" si="370"/>
        <v>83.588561313511121</v>
      </c>
      <c r="J329" s="489">
        <f t="shared" ca="1" si="370"/>
        <v>82.636810367862225</v>
      </c>
      <c r="K329" s="489">
        <f t="shared" ca="1" si="370"/>
        <v>81.685059422213342</v>
      </c>
      <c r="L329" s="489">
        <f t="shared" ca="1" si="370"/>
        <v>80.869272897371417</v>
      </c>
      <c r="M329" s="489">
        <f t="shared" ca="1" si="370"/>
        <v>80.053486372529505</v>
      </c>
      <c r="N329" s="489">
        <f t="shared" ca="1" si="370"/>
        <v>79.237699847687608</v>
      </c>
      <c r="O329" s="489">
        <f t="shared" ca="1" si="370"/>
        <v>78.421913322845711</v>
      </c>
      <c r="P329" s="489">
        <f t="shared" ca="1" si="370"/>
        <v>77.6061267980038</v>
      </c>
      <c r="Q329" s="489">
        <f t="shared" ca="1" si="370"/>
        <v>76.790340273161888</v>
      </c>
      <c r="R329" s="489">
        <f t="shared" ca="1" si="370"/>
        <v>75.974553748319991</v>
      </c>
      <c r="S329" s="489">
        <f t="shared" ca="1" si="370"/>
        <v>73.833114120610006</v>
      </c>
      <c r="T329" s="490">
        <f t="shared" ca="1" si="370"/>
        <v>71.691674492899992</v>
      </c>
      <c r="U329" s="557"/>
      <c r="V329" s="296"/>
      <c r="W329" s="295"/>
      <c r="X329" s="295"/>
      <c r="Y329" s="295"/>
    </row>
    <row r="330" spans="1:25" s="295" customFormat="1">
      <c r="A330">
        <f>IF(B330="","",IFERROR(MATCH(B330,'Data Processing'!$C:$C,0),""))</f>
        <v>53</v>
      </c>
      <c r="B330" s="294" t="s">
        <v>1232</v>
      </c>
      <c r="C330" s="456" t="str">
        <f>INDEX('Data Processing'!$G:$G,A330)</f>
        <v>Due to Banks - Time Deposit</v>
      </c>
      <c r="D330" s="302">
        <f>INDEX('Data Processing'!O:O,$A330)</f>
        <v>0</v>
      </c>
      <c r="E330" s="457">
        <f ca="1">INDEX('Data Processing'!P:P,$A330)</f>
        <v>0</v>
      </c>
      <c r="F330" s="457">
        <f ca="1">INDEX('Data Processing'!Q:Q,$A330)</f>
        <v>0</v>
      </c>
      <c r="G330" s="457">
        <f ca="1">INDEX('Data Processing'!R:R,$A330)</f>
        <v>0</v>
      </c>
      <c r="H330" s="457">
        <f ca="1">INDEX('Data Processing'!S:S,$A330)</f>
        <v>0</v>
      </c>
      <c r="I330" s="457">
        <f ca="1">INDEX('Data Processing'!T:T,$A330)</f>
        <v>0</v>
      </c>
      <c r="J330" s="457">
        <f ca="1">INDEX('Data Processing'!U:U,$A330)</f>
        <v>0</v>
      </c>
      <c r="K330" s="457">
        <f ca="1">INDEX('Data Processing'!V:V,$A330)</f>
        <v>0</v>
      </c>
      <c r="L330" s="457">
        <f ca="1">INDEX('Data Processing'!W:W,$A330)</f>
        <v>0</v>
      </c>
      <c r="M330" s="457">
        <f ca="1">INDEX('Data Processing'!X:X,$A330)</f>
        <v>0</v>
      </c>
      <c r="N330" s="457">
        <f ca="1">INDEX('Data Processing'!Y:Y,$A330)</f>
        <v>0</v>
      </c>
      <c r="O330" s="457">
        <f ca="1">INDEX('Data Processing'!Z:Z,$A330)</f>
        <v>0</v>
      </c>
      <c r="P330" s="457">
        <f ca="1">INDEX('Data Processing'!AA:AA,$A330)</f>
        <v>0</v>
      </c>
      <c r="Q330" s="457">
        <f ca="1">INDEX('Data Processing'!AB:AB,$A330)</f>
        <v>0</v>
      </c>
      <c r="R330" s="457">
        <f ca="1">INDEX('Data Processing'!AC:AC,$A330)</f>
        <v>0</v>
      </c>
      <c r="S330" s="457">
        <f ca="1">INDEX('Data Processing'!AD:AD,$A330)</f>
        <v>0</v>
      </c>
      <c r="T330" s="458">
        <f ca="1">INDEX('Data Processing'!AE:AE,$A330)</f>
        <v>0</v>
      </c>
      <c r="U330" s="218"/>
      <c r="V330" s="296" t="s">
        <v>1031</v>
      </c>
    </row>
    <row r="331" spans="1:25" s="562" customFormat="1">
      <c r="A331" s="440" t="str">
        <f>IF(B331="","",IFERROR(MATCH(B331,'Data Processing'!$C:$C,0),""))</f>
        <v/>
      </c>
      <c r="B331" s="522"/>
      <c r="C331" s="565" t="s">
        <v>1005</v>
      </c>
      <c r="D331" s="488"/>
      <c r="E331" s="454">
        <f>D330</f>
        <v>0</v>
      </c>
      <c r="F331" s="454">
        <f t="shared" ref="F331" ca="1" si="371">E330</f>
        <v>0</v>
      </c>
      <c r="G331" s="454">
        <f t="shared" ref="G331" ca="1" si="372">F330</f>
        <v>0</v>
      </c>
      <c r="H331" s="454">
        <f t="shared" ref="H331" ca="1" si="373">G330</f>
        <v>0</v>
      </c>
      <c r="I331" s="454">
        <f t="shared" ref="I331" ca="1" si="374">H330</f>
        <v>0</v>
      </c>
      <c r="J331" s="454">
        <f t="shared" ref="J331" ca="1" si="375">I330</f>
        <v>0</v>
      </c>
      <c r="K331" s="454">
        <f t="shared" ref="K331" ca="1" si="376">J330</f>
        <v>0</v>
      </c>
      <c r="L331" s="454">
        <f t="shared" ref="L331" ca="1" si="377">K330</f>
        <v>0</v>
      </c>
      <c r="M331" s="454">
        <f t="shared" ref="M331" ca="1" si="378">L330</f>
        <v>0</v>
      </c>
      <c r="N331" s="454">
        <f t="shared" ref="N331" ca="1" si="379">M330</f>
        <v>0</v>
      </c>
      <c r="O331" s="454">
        <f t="shared" ref="O331" ca="1" si="380">N330</f>
        <v>0</v>
      </c>
      <c r="P331" s="454">
        <f t="shared" ref="P331" ca="1" si="381">O330</f>
        <v>0</v>
      </c>
      <c r="Q331" s="454">
        <f t="shared" ref="Q331" ca="1" si="382">P330</f>
        <v>0</v>
      </c>
      <c r="R331" s="454">
        <f t="shared" ref="R331" ca="1" si="383">Q330</f>
        <v>0</v>
      </c>
      <c r="S331" s="454">
        <f t="shared" ref="S331" ca="1" si="384">R330</f>
        <v>0</v>
      </c>
      <c r="T331" s="455">
        <f t="shared" ref="T331" ca="1" si="385">S330</f>
        <v>0</v>
      </c>
      <c r="U331" s="557"/>
      <c r="V331" s="296"/>
      <c r="W331" s="295"/>
      <c r="X331" s="295"/>
      <c r="Y331" s="295"/>
    </row>
    <row r="332" spans="1:25" s="561" customFormat="1">
      <c r="A332" s="440" t="str">
        <f>IF(B332="","",IFERROR(MATCH(B332,'Data Processing'!$C:$C,0),""))</f>
        <v/>
      </c>
      <c r="B332" s="583"/>
      <c r="C332" s="565" t="s">
        <v>51</v>
      </c>
      <c r="D332" s="488"/>
      <c r="E332" s="454">
        <f t="shared" ref="E332:T332" si="386">E331</f>
        <v>0</v>
      </c>
      <c r="F332" s="454">
        <f t="shared" ca="1" si="386"/>
        <v>0</v>
      </c>
      <c r="G332" s="454">
        <f t="shared" ca="1" si="386"/>
        <v>0</v>
      </c>
      <c r="H332" s="454">
        <f t="shared" ca="1" si="386"/>
        <v>0</v>
      </c>
      <c r="I332" s="454">
        <f t="shared" ca="1" si="386"/>
        <v>0</v>
      </c>
      <c r="J332" s="454">
        <f t="shared" ca="1" si="386"/>
        <v>0</v>
      </c>
      <c r="K332" s="454">
        <f t="shared" ca="1" si="386"/>
        <v>0</v>
      </c>
      <c r="L332" s="454">
        <f t="shared" ca="1" si="386"/>
        <v>0</v>
      </c>
      <c r="M332" s="454">
        <f t="shared" ca="1" si="386"/>
        <v>0</v>
      </c>
      <c r="N332" s="454">
        <f t="shared" ca="1" si="386"/>
        <v>0</v>
      </c>
      <c r="O332" s="454">
        <f t="shared" ca="1" si="386"/>
        <v>0</v>
      </c>
      <c r="P332" s="454">
        <f t="shared" ca="1" si="386"/>
        <v>0</v>
      </c>
      <c r="Q332" s="454">
        <f t="shared" ca="1" si="386"/>
        <v>0</v>
      </c>
      <c r="R332" s="454">
        <f t="shared" ca="1" si="386"/>
        <v>0</v>
      </c>
      <c r="S332" s="454">
        <f t="shared" ca="1" si="386"/>
        <v>0</v>
      </c>
      <c r="T332" s="455">
        <f t="shared" ca="1" si="386"/>
        <v>0</v>
      </c>
      <c r="U332" s="551"/>
      <c r="V332" s="298"/>
      <c r="W332" s="299"/>
      <c r="X332" s="299"/>
      <c r="Y332" s="299"/>
    </row>
    <row r="333" spans="1:25" s="562" customFormat="1">
      <c r="A333" s="440" t="str">
        <f>IF(B333="","",IFERROR(MATCH(B333,'Data Processing'!$C:$C,0),""))</f>
        <v/>
      </c>
      <c r="B333" s="522"/>
      <c r="C333" s="567" t="s">
        <v>50</v>
      </c>
      <c r="D333" s="488"/>
      <c r="E333" s="553">
        <f ca="1">INDEX('Data Processing'!BU:BU,$A330)</f>
        <v>1</v>
      </c>
      <c r="F333" s="553">
        <f ca="1">INDEX('Data Processing'!BV:BV,$A330)</f>
        <v>1</v>
      </c>
      <c r="G333" s="553">
        <f ca="1">INDEX('Data Processing'!BW:BW,$A330)</f>
        <v>1</v>
      </c>
      <c r="H333" s="553">
        <f ca="1">INDEX('Data Processing'!BX:BX,$A330)</f>
        <v>1</v>
      </c>
      <c r="I333" s="553">
        <f ca="1">INDEX('Data Processing'!BY:BY,$A330)</f>
        <v>1</v>
      </c>
      <c r="J333" s="553">
        <f ca="1">INDEX('Data Processing'!BZ:BZ,$A330)</f>
        <v>1</v>
      </c>
      <c r="K333" s="553">
        <f ca="1">INDEX('Data Processing'!CA:CA,$A330)</f>
        <v>1</v>
      </c>
      <c r="L333" s="553">
        <f ca="1">INDEX('Data Processing'!CB:CB,$A330)</f>
        <v>1</v>
      </c>
      <c r="M333" s="553">
        <f ca="1">INDEX('Data Processing'!CC:CC,$A330)</f>
        <v>1</v>
      </c>
      <c r="N333" s="553">
        <f ca="1">INDEX('Data Processing'!CD:CD,$A330)</f>
        <v>1</v>
      </c>
      <c r="O333" s="553">
        <f ca="1">INDEX('Data Processing'!CE:CE,$A330)</f>
        <v>1</v>
      </c>
      <c r="P333" s="553">
        <f ca="1">INDEX('Data Processing'!CF:CF,$A330)</f>
        <v>1</v>
      </c>
      <c r="Q333" s="553">
        <f ca="1">INDEX('Data Processing'!CG:CG,$A330)</f>
        <v>1</v>
      </c>
      <c r="R333" s="553">
        <f ca="1">INDEX('Data Processing'!CH:CH,$A330)</f>
        <v>1</v>
      </c>
      <c r="S333" s="553">
        <f ca="1">INDEX('Data Processing'!CI:CI,$A330)</f>
        <v>1</v>
      </c>
      <c r="T333" s="554">
        <f ca="1">INDEX('Data Processing'!CJ:CJ,$A330)</f>
        <v>1</v>
      </c>
      <c r="U333" s="557"/>
      <c r="V333" s="296"/>
      <c r="W333" s="295"/>
      <c r="X333" s="295"/>
      <c r="Y333" s="295"/>
    </row>
    <row r="334" spans="1:25" s="562" customFormat="1">
      <c r="A334" s="440" t="str">
        <f>IF(B334="","",IFERROR(MATCH(B334,'Data Processing'!$C:$C,0),""))</f>
        <v/>
      </c>
      <c r="B334" s="522"/>
      <c r="C334" s="523" t="s">
        <v>998</v>
      </c>
      <c r="D334" s="488"/>
      <c r="E334" s="489">
        <f ca="1">INDEX('Data Processing'!AS:AS,$A330)</f>
        <v>0</v>
      </c>
      <c r="F334" s="556">
        <f ca="1">INDEX('Data Processing'!AT:AT,$A330)</f>
        <v>0</v>
      </c>
      <c r="G334" s="556">
        <f ca="1">INDEX('Data Processing'!AU:AU,$A330)</f>
        <v>0</v>
      </c>
      <c r="H334" s="556">
        <f ca="1">INDEX('Data Processing'!AV:AV,$A330)</f>
        <v>0</v>
      </c>
      <c r="I334" s="556">
        <f ca="1">INDEX('Data Processing'!AW:AW,$A330)</f>
        <v>0</v>
      </c>
      <c r="J334" s="556">
        <f ca="1">INDEX('Data Processing'!AX:AX,$A330)</f>
        <v>0</v>
      </c>
      <c r="K334" s="556">
        <f ca="1">INDEX('Data Processing'!AY:AY,$A330)</f>
        <v>0</v>
      </c>
      <c r="L334" s="556">
        <f ca="1">INDEX('Data Processing'!AZ:AZ,$A330)</f>
        <v>0</v>
      </c>
      <c r="M334" s="556">
        <f ca="1">INDEX('Data Processing'!BA:BA,$A330)</f>
        <v>0</v>
      </c>
      <c r="N334" s="556">
        <f ca="1">INDEX('Data Processing'!BB:BB,$A330)</f>
        <v>0</v>
      </c>
      <c r="O334" s="556">
        <f ca="1">INDEX('Data Processing'!BC:BC,$A330)</f>
        <v>0</v>
      </c>
      <c r="P334" s="556">
        <f ca="1">INDEX('Data Processing'!BD:BD,$A330)</f>
        <v>0</v>
      </c>
      <c r="Q334" s="556">
        <f ca="1">INDEX('Data Processing'!BE:BE,$A330)</f>
        <v>0</v>
      </c>
      <c r="R334" s="556">
        <f ca="1">INDEX('Data Processing'!BF:BF,$A330)</f>
        <v>0</v>
      </c>
      <c r="S334" s="556">
        <f ca="1">INDEX('Data Processing'!BG:BG,$A330)</f>
        <v>0</v>
      </c>
      <c r="T334" s="584">
        <f ca="1">INDEX('Data Processing'!BH:BH,$A330)</f>
        <v>0</v>
      </c>
      <c r="U334" s="557"/>
      <c r="V334" s="296"/>
      <c r="W334" s="295"/>
      <c r="X334" s="295"/>
      <c r="Y334" s="295"/>
    </row>
    <row r="335" spans="1:25" s="562" customFormat="1">
      <c r="A335" s="440" t="str">
        <f>IF(B335="","",IFERROR(MATCH(B335,'Data Processing'!$C:$C,0),""))</f>
        <v/>
      </c>
      <c r="B335" s="522"/>
      <c r="C335" s="523" t="s">
        <v>1012</v>
      </c>
      <c r="D335" s="488"/>
      <c r="E335" s="489">
        <f t="shared" ref="E335:T335" ca="1" si="387">E331-E334</f>
        <v>0</v>
      </c>
      <c r="F335" s="489">
        <f t="shared" ca="1" si="387"/>
        <v>0</v>
      </c>
      <c r="G335" s="489">
        <f t="shared" ca="1" si="387"/>
        <v>0</v>
      </c>
      <c r="H335" s="489">
        <f t="shared" ca="1" si="387"/>
        <v>0</v>
      </c>
      <c r="I335" s="489">
        <f t="shared" ca="1" si="387"/>
        <v>0</v>
      </c>
      <c r="J335" s="489">
        <f t="shared" ca="1" si="387"/>
        <v>0</v>
      </c>
      <c r="K335" s="489">
        <f t="shared" ca="1" si="387"/>
        <v>0</v>
      </c>
      <c r="L335" s="489">
        <f t="shared" ca="1" si="387"/>
        <v>0</v>
      </c>
      <c r="M335" s="489">
        <f t="shared" ca="1" si="387"/>
        <v>0</v>
      </c>
      <c r="N335" s="489">
        <f t="shared" ca="1" si="387"/>
        <v>0</v>
      </c>
      <c r="O335" s="489">
        <f t="shared" ca="1" si="387"/>
        <v>0</v>
      </c>
      <c r="P335" s="489">
        <f t="shared" ca="1" si="387"/>
        <v>0</v>
      </c>
      <c r="Q335" s="489">
        <f t="shared" ca="1" si="387"/>
        <v>0</v>
      </c>
      <c r="R335" s="489">
        <f t="shared" ca="1" si="387"/>
        <v>0</v>
      </c>
      <c r="S335" s="489">
        <f t="shared" ca="1" si="387"/>
        <v>0</v>
      </c>
      <c r="T335" s="490">
        <f t="shared" ca="1" si="387"/>
        <v>0</v>
      </c>
      <c r="U335" s="557"/>
      <c r="V335" s="296"/>
      <c r="W335" s="295"/>
      <c r="X335" s="295"/>
      <c r="Y335" s="295"/>
    </row>
    <row r="336" spans="1:25" s="260" customFormat="1">
      <c r="A336" t="str">
        <f>IF(B336="","",IFERROR(MATCH(B336,'Data Processing'!$C:$C,0),""))</f>
        <v/>
      </c>
      <c r="B336" s="307">
        <v>9</v>
      </c>
      <c r="C336" s="206" t="s">
        <v>24</v>
      </c>
      <c r="D336" s="308">
        <f>SUMIFS(D337:D372,$B337:$B372,"&lt;&gt;")</f>
        <v>5670.9901909100026</v>
      </c>
      <c r="E336" s="309">
        <f t="shared" ref="E336:T336" ca="1" si="388">SUMIFS(E337:E372,$B337:$B372,"&lt;&gt;")</f>
        <v>5559.2511715788496</v>
      </c>
      <c r="F336" s="309">
        <f t="shared" ca="1" si="388"/>
        <v>5521.9988842609873</v>
      </c>
      <c r="G336" s="309">
        <f t="shared" ca="1" si="388"/>
        <v>5476.9363368302929</v>
      </c>
      <c r="H336" s="309">
        <f t="shared" ca="1" si="388"/>
        <v>5433.2786704786176</v>
      </c>
      <c r="I336" s="309">
        <f t="shared" ca="1" si="388"/>
        <v>5396.1393579960195</v>
      </c>
      <c r="J336" s="309">
        <f t="shared" ca="1" si="388"/>
        <v>5359.0000455134214</v>
      </c>
      <c r="K336" s="309">
        <f t="shared" ca="1" si="388"/>
        <v>5273.0653530996424</v>
      </c>
      <c r="L336" s="309">
        <f t="shared" ca="1" si="388"/>
        <v>5238.1056446452894</v>
      </c>
      <c r="M336" s="309">
        <f t="shared" ca="1" si="388"/>
        <v>5138.3991274972323</v>
      </c>
      <c r="N336" s="309">
        <f t="shared" ca="1" si="388"/>
        <v>5085.0910680558154</v>
      </c>
      <c r="O336" s="309">
        <f t="shared" ca="1" si="388"/>
        <v>5054.0531618462664</v>
      </c>
      <c r="P336" s="309">
        <f t="shared" ca="1" si="388"/>
        <v>5023.1709936536927</v>
      </c>
      <c r="Q336" s="309">
        <f t="shared" ca="1" si="388"/>
        <v>4992.288825461118</v>
      </c>
      <c r="R336" s="309">
        <f t="shared" ca="1" si="388"/>
        <v>4925.727624198933</v>
      </c>
      <c r="S336" s="309">
        <f t="shared" ca="1" si="388"/>
        <v>4697.9099878754478</v>
      </c>
      <c r="T336" s="310">
        <f t="shared" ca="1" si="388"/>
        <v>4433.0222936671507</v>
      </c>
      <c r="U336" s="258"/>
      <c r="V336" s="210"/>
    </row>
    <row r="337" spans="1:25" s="295" customFormat="1">
      <c r="A337">
        <f>IF(B337="","",IFERROR(MATCH(B337,'Data Processing'!$C:$C,0),""))</f>
        <v>55</v>
      </c>
      <c r="B337" s="294">
        <v>9.1</v>
      </c>
      <c r="C337" s="130" t="str">
        <f>INDEX('Data Processing'!$G:$G,A337)</f>
        <v>Demand,MM &amp; Savings - Retail</v>
      </c>
      <c r="D337" s="249">
        <f>INDEX('Data Processing'!O:O,$A337)</f>
        <v>116.28780820000011</v>
      </c>
      <c r="E337" s="128">
        <f ca="1">INDEX('Data Processing'!P:P,$A337)</f>
        <v>114.89235450160011</v>
      </c>
      <c r="F337" s="128">
        <f ca="1">INDEX('Data Processing'!Q:Q,$A337)</f>
        <v>114.42720326880011</v>
      </c>
      <c r="G337" s="128">
        <f ca="1">INDEX('Data Processing'!R:R,$A337)</f>
        <v>113.96205203600012</v>
      </c>
      <c r="H337" s="128">
        <f ca="1">INDEX('Data Processing'!S:S,$A337)</f>
        <v>113.49690080320011</v>
      </c>
      <c r="I337" s="128">
        <f ca="1">INDEX('Data Processing'!T:T,$A337)</f>
        <v>113.03174957040011</v>
      </c>
      <c r="J337" s="128">
        <f ca="1">INDEX('Data Processing'!U:U,$A337)</f>
        <v>112.56659833760011</v>
      </c>
      <c r="K337" s="128">
        <f ca="1">INDEX('Data Processing'!V:V,$A337)</f>
        <v>112.10144710480012</v>
      </c>
      <c r="L337" s="128">
        <f ca="1">INDEX('Data Processing'!W:W,$A337)</f>
        <v>111.70274604811439</v>
      </c>
      <c r="M337" s="128">
        <f ca="1">INDEX('Data Processing'!X:X,$A337)</f>
        <v>111.30404499142868</v>
      </c>
      <c r="N337" s="128">
        <f ca="1">INDEX('Data Processing'!Y:Y,$A337)</f>
        <v>110.90534393474297</v>
      </c>
      <c r="O337" s="128">
        <f ca="1">INDEX('Data Processing'!Z:Z,$A337)</f>
        <v>110.50664287805725</v>
      </c>
      <c r="P337" s="128">
        <f ca="1">INDEX('Data Processing'!AA:AA,$A337)</f>
        <v>110.10794182137154</v>
      </c>
      <c r="Q337" s="128">
        <f ca="1">INDEX('Data Processing'!AB:AB,$A337)</f>
        <v>109.70924076468582</v>
      </c>
      <c r="R337" s="128">
        <f ca="1">INDEX('Data Processing'!AC:AC,$A337)</f>
        <v>109.31053970800011</v>
      </c>
      <c r="S337" s="128">
        <f ca="1">INDEX('Data Processing'!AD:AD,$A337)</f>
        <v>106.98478354400011</v>
      </c>
      <c r="T337" s="129">
        <f ca="1">INDEX('Data Processing'!AE:AE,$A337)</f>
        <v>104.65902738000011</v>
      </c>
      <c r="U337" s="218"/>
      <c r="V337" s="296" t="s">
        <v>1034</v>
      </c>
    </row>
    <row r="338" spans="1:25" s="562" customFormat="1">
      <c r="A338" s="440" t="str">
        <f>IF(B338="","",IFERROR(MATCH(B338,'Data Processing'!$C:$C,0),""))</f>
        <v/>
      </c>
      <c r="B338" s="522"/>
      <c r="C338" s="565" t="s">
        <v>1005</v>
      </c>
      <c r="D338" s="488"/>
      <c r="E338" s="454">
        <f>D337</f>
        <v>116.28780820000011</v>
      </c>
      <c r="F338" s="454">
        <f t="shared" ref="F338" ca="1" si="389">E337</f>
        <v>114.89235450160011</v>
      </c>
      <c r="G338" s="454">
        <f t="shared" ref="G338" ca="1" si="390">F337</f>
        <v>114.42720326880011</v>
      </c>
      <c r="H338" s="454">
        <f t="shared" ref="H338" ca="1" si="391">G337</f>
        <v>113.96205203600012</v>
      </c>
      <c r="I338" s="454">
        <f t="shared" ref="I338" ca="1" si="392">H337</f>
        <v>113.49690080320011</v>
      </c>
      <c r="J338" s="454">
        <f t="shared" ref="J338" ca="1" si="393">I337</f>
        <v>113.03174957040011</v>
      </c>
      <c r="K338" s="454">
        <f t="shared" ref="K338" ca="1" si="394">J337</f>
        <v>112.56659833760011</v>
      </c>
      <c r="L338" s="454">
        <f t="shared" ref="L338" ca="1" si="395">K337</f>
        <v>112.10144710480012</v>
      </c>
      <c r="M338" s="454">
        <f t="shared" ref="M338" ca="1" si="396">L337</f>
        <v>111.70274604811439</v>
      </c>
      <c r="N338" s="454">
        <f t="shared" ref="N338" ca="1" si="397">M337</f>
        <v>111.30404499142868</v>
      </c>
      <c r="O338" s="454">
        <f t="shared" ref="O338" ca="1" si="398">N337</f>
        <v>110.90534393474297</v>
      </c>
      <c r="P338" s="454">
        <f t="shared" ref="P338" ca="1" si="399">O337</f>
        <v>110.50664287805725</v>
      </c>
      <c r="Q338" s="454">
        <f t="shared" ref="Q338" ca="1" si="400">P337</f>
        <v>110.10794182137154</v>
      </c>
      <c r="R338" s="454">
        <f t="shared" ref="R338" ca="1" si="401">Q337</f>
        <v>109.70924076468582</v>
      </c>
      <c r="S338" s="454">
        <f t="shared" ref="S338" ca="1" si="402">R337</f>
        <v>109.31053970800011</v>
      </c>
      <c r="T338" s="455">
        <f t="shared" ref="T338" ca="1" si="403">S337</f>
        <v>106.98478354400011</v>
      </c>
      <c r="U338" s="557"/>
      <c r="V338" s="296"/>
      <c r="W338" s="295"/>
      <c r="X338" s="295"/>
      <c r="Y338" s="295"/>
    </row>
    <row r="339" spans="1:25" s="561" customFormat="1">
      <c r="A339" s="440" t="str">
        <f>IF(B339="","",IFERROR(MATCH(B339,'Data Processing'!$C:$C,0),""))</f>
        <v/>
      </c>
      <c r="B339" s="583"/>
      <c r="C339" s="565" t="s">
        <v>51</v>
      </c>
      <c r="D339" s="488"/>
      <c r="E339" s="454">
        <f t="shared" ref="E339:T339" si="404">E338</f>
        <v>116.28780820000011</v>
      </c>
      <c r="F339" s="454">
        <f t="shared" ca="1" si="404"/>
        <v>114.89235450160011</v>
      </c>
      <c r="G339" s="454">
        <f t="shared" ca="1" si="404"/>
        <v>114.42720326880011</v>
      </c>
      <c r="H339" s="454">
        <f t="shared" ca="1" si="404"/>
        <v>113.96205203600012</v>
      </c>
      <c r="I339" s="454">
        <f t="shared" ca="1" si="404"/>
        <v>113.49690080320011</v>
      </c>
      <c r="J339" s="454">
        <f t="shared" ca="1" si="404"/>
        <v>113.03174957040011</v>
      </c>
      <c r="K339" s="454">
        <f t="shared" ca="1" si="404"/>
        <v>112.56659833760011</v>
      </c>
      <c r="L339" s="454">
        <f t="shared" ca="1" si="404"/>
        <v>112.10144710480012</v>
      </c>
      <c r="M339" s="454">
        <f t="shared" ca="1" si="404"/>
        <v>111.70274604811439</v>
      </c>
      <c r="N339" s="454">
        <f t="shared" ca="1" si="404"/>
        <v>111.30404499142868</v>
      </c>
      <c r="O339" s="454">
        <f t="shared" ca="1" si="404"/>
        <v>110.90534393474297</v>
      </c>
      <c r="P339" s="454">
        <f t="shared" ca="1" si="404"/>
        <v>110.50664287805725</v>
      </c>
      <c r="Q339" s="454">
        <f t="shared" ca="1" si="404"/>
        <v>110.10794182137154</v>
      </c>
      <c r="R339" s="454">
        <f t="shared" ca="1" si="404"/>
        <v>109.70924076468582</v>
      </c>
      <c r="S339" s="454">
        <f t="shared" ca="1" si="404"/>
        <v>109.31053970800011</v>
      </c>
      <c r="T339" s="455">
        <f t="shared" ca="1" si="404"/>
        <v>106.98478354400011</v>
      </c>
      <c r="U339" s="551"/>
      <c r="V339" s="298"/>
      <c r="W339" s="299"/>
      <c r="X339" s="299"/>
      <c r="Y339" s="299"/>
    </row>
    <row r="340" spans="1:25" s="562" customFormat="1">
      <c r="A340" s="440" t="str">
        <f>IF(B340="","",IFERROR(MATCH(B340,'Data Processing'!$C:$C,0),""))</f>
        <v/>
      </c>
      <c r="B340" s="522"/>
      <c r="C340" s="567" t="s">
        <v>50</v>
      </c>
      <c r="D340" s="488"/>
      <c r="E340" s="553">
        <f ca="1">INDEX('Data Processing'!BU:BU,$A337)</f>
        <v>1.2E-2</v>
      </c>
      <c r="F340" s="553">
        <f ca="1">INDEX('Data Processing'!BV:BV,$A337)</f>
        <v>4.0000000000000001E-3</v>
      </c>
      <c r="G340" s="553">
        <f ca="1">INDEX('Data Processing'!BW:BW,$A337)</f>
        <v>4.0000000000000001E-3</v>
      </c>
      <c r="H340" s="553">
        <f ca="1">INDEX('Data Processing'!BX:BX,$A337)</f>
        <v>4.0000000000000001E-3</v>
      </c>
      <c r="I340" s="553">
        <f ca="1">INDEX('Data Processing'!BY:BY,$A337)</f>
        <v>4.0000000000000001E-3</v>
      </c>
      <c r="J340" s="553">
        <f ca="1">INDEX('Data Processing'!BZ:BZ,$A337)</f>
        <v>4.0000000000000001E-3</v>
      </c>
      <c r="K340" s="553">
        <f ca="1">INDEX('Data Processing'!CA:CA,$A337)</f>
        <v>4.0000000000000001E-3</v>
      </c>
      <c r="L340" s="553">
        <f ca="1">INDEX('Data Processing'!CB:CB,$A337)</f>
        <v>3.4285714285714288E-3</v>
      </c>
      <c r="M340" s="553">
        <f ca="1">INDEX('Data Processing'!CC:CC,$A337)</f>
        <v>3.4285714285714288E-3</v>
      </c>
      <c r="N340" s="553">
        <f ca="1">INDEX('Data Processing'!CD:CD,$A337)</f>
        <v>3.4285714285714288E-3</v>
      </c>
      <c r="O340" s="553">
        <f ca="1">INDEX('Data Processing'!CE:CE,$A337)</f>
        <v>3.4285714285714288E-3</v>
      </c>
      <c r="P340" s="553">
        <f ca="1">INDEX('Data Processing'!CF:CF,$A337)</f>
        <v>3.4285714285714288E-3</v>
      </c>
      <c r="Q340" s="553">
        <f ca="1">INDEX('Data Processing'!CG:CG,$A337)</f>
        <v>3.4285714285714288E-3</v>
      </c>
      <c r="R340" s="553">
        <f ca="1">INDEX('Data Processing'!CH:CH,$A337)</f>
        <v>3.4285714285714288E-3</v>
      </c>
      <c r="S340" s="553">
        <f ca="1">INDEX('Data Processing'!CI:CI,$A337)</f>
        <v>0.02</v>
      </c>
      <c r="T340" s="554">
        <f ca="1">INDEX('Data Processing'!CJ:CJ,$A337)</f>
        <v>0.02</v>
      </c>
      <c r="U340" s="557"/>
      <c r="V340" s="296"/>
      <c r="W340" s="295"/>
      <c r="X340" s="295"/>
      <c r="Y340" s="295"/>
    </row>
    <row r="341" spans="1:25" s="562" customFormat="1">
      <c r="A341" s="440" t="str">
        <f>IF(B341="","",IFERROR(MATCH(B341,'Data Processing'!$C:$C,0),""))</f>
        <v/>
      </c>
      <c r="B341" s="522"/>
      <c r="C341" s="523" t="s">
        <v>998</v>
      </c>
      <c r="D341" s="488"/>
      <c r="E341" s="489">
        <f ca="1">INDEX('Data Processing'!AS:AS,$A337)</f>
        <v>1.3954536984000014</v>
      </c>
      <c r="F341" s="556">
        <f ca="1">INDEX('Data Processing'!AT:AT,$A337)</f>
        <v>0.46515123280000048</v>
      </c>
      <c r="G341" s="556">
        <f ca="1">INDEX('Data Processing'!AU:AU,$A337)</f>
        <v>0.46515123280000048</v>
      </c>
      <c r="H341" s="556">
        <f ca="1">INDEX('Data Processing'!AV:AV,$A337)</f>
        <v>0.46515123280000048</v>
      </c>
      <c r="I341" s="556">
        <f ca="1">INDEX('Data Processing'!AW:AW,$A337)</f>
        <v>0.46515123280000048</v>
      </c>
      <c r="J341" s="556">
        <f ca="1">INDEX('Data Processing'!AX:AX,$A337)</f>
        <v>0.46515123280000048</v>
      </c>
      <c r="K341" s="556">
        <f ca="1">INDEX('Data Processing'!AY:AY,$A337)</f>
        <v>0.46515123280000048</v>
      </c>
      <c r="L341" s="556">
        <f ca="1">INDEX('Data Processing'!AZ:AZ,$A337)</f>
        <v>0.39870105668571471</v>
      </c>
      <c r="M341" s="556">
        <f ca="1">INDEX('Data Processing'!BA:BA,$A337)</f>
        <v>0.39870105668571471</v>
      </c>
      <c r="N341" s="556">
        <f ca="1">INDEX('Data Processing'!BB:BB,$A337)</f>
        <v>0.39870105668571471</v>
      </c>
      <c r="O341" s="556">
        <f ca="1">INDEX('Data Processing'!BC:BC,$A337)</f>
        <v>0.39870105668571471</v>
      </c>
      <c r="P341" s="556">
        <f ca="1">INDEX('Data Processing'!BD:BD,$A337)</f>
        <v>0.39870105668571471</v>
      </c>
      <c r="Q341" s="556">
        <f ca="1">INDEX('Data Processing'!BE:BE,$A337)</f>
        <v>0.39870105668571471</v>
      </c>
      <c r="R341" s="556">
        <f ca="1">INDEX('Data Processing'!BF:BF,$A337)</f>
        <v>0.39870105668571471</v>
      </c>
      <c r="S341" s="556">
        <f ca="1">INDEX('Data Processing'!BG:BG,$A337)</f>
        <v>2.3257561640000022</v>
      </c>
      <c r="T341" s="584">
        <f ca="1">INDEX('Data Processing'!BH:BH,$A337)</f>
        <v>2.3257561640000022</v>
      </c>
      <c r="U341" s="557"/>
      <c r="V341" s="296"/>
      <c r="W341" s="295"/>
      <c r="X341" s="295"/>
      <c r="Y341" s="295"/>
    </row>
    <row r="342" spans="1:25" s="562" customFormat="1">
      <c r="A342" s="440" t="str">
        <f>IF(B342="","",IFERROR(MATCH(B342,'Data Processing'!$C:$C,0),""))</f>
        <v/>
      </c>
      <c r="B342" s="522"/>
      <c r="C342" s="558" t="s">
        <v>1012</v>
      </c>
      <c r="D342" s="506"/>
      <c r="E342" s="559">
        <f t="shared" ref="E342:T342" ca="1" si="405">E338-E341</f>
        <v>114.89235450160011</v>
      </c>
      <c r="F342" s="559">
        <f t="shared" ca="1" si="405"/>
        <v>114.42720326880011</v>
      </c>
      <c r="G342" s="559">
        <f t="shared" ca="1" si="405"/>
        <v>113.96205203600012</v>
      </c>
      <c r="H342" s="559">
        <f t="shared" ca="1" si="405"/>
        <v>113.49690080320012</v>
      </c>
      <c r="I342" s="559">
        <f t="shared" ca="1" si="405"/>
        <v>113.03174957040011</v>
      </c>
      <c r="J342" s="559">
        <f t="shared" ca="1" si="405"/>
        <v>112.56659833760011</v>
      </c>
      <c r="K342" s="559">
        <f t="shared" ca="1" si="405"/>
        <v>112.10144710480012</v>
      </c>
      <c r="L342" s="559">
        <f t="shared" ca="1" si="405"/>
        <v>111.70274604811441</v>
      </c>
      <c r="M342" s="559">
        <f t="shared" ca="1" si="405"/>
        <v>111.30404499142868</v>
      </c>
      <c r="N342" s="559">
        <f t="shared" ca="1" si="405"/>
        <v>110.90534393474297</v>
      </c>
      <c r="O342" s="559">
        <f t="shared" ca="1" si="405"/>
        <v>110.50664287805726</v>
      </c>
      <c r="P342" s="559">
        <f t="shared" ca="1" si="405"/>
        <v>110.10794182137154</v>
      </c>
      <c r="Q342" s="559">
        <f t="shared" ca="1" si="405"/>
        <v>109.70924076468583</v>
      </c>
      <c r="R342" s="559">
        <f t="shared" ca="1" si="405"/>
        <v>109.31053970800011</v>
      </c>
      <c r="S342" s="559">
        <f t="shared" ca="1" si="405"/>
        <v>106.98478354400011</v>
      </c>
      <c r="T342" s="560">
        <f t="shared" ca="1" si="405"/>
        <v>104.65902738000011</v>
      </c>
      <c r="U342" s="557"/>
      <c r="V342" s="296"/>
      <c r="W342" s="295"/>
      <c r="X342" s="295"/>
      <c r="Y342" s="295"/>
    </row>
    <row r="343" spans="1:25" s="295" customFormat="1">
      <c r="A343">
        <f>IF(B343="","",IFERROR(MATCH(B343,'Data Processing'!$C:$C,0),""))</f>
        <v>60</v>
      </c>
      <c r="B343" s="294" t="s">
        <v>1325</v>
      </c>
      <c r="C343" s="456" t="str">
        <f>INDEX('Data Processing'!$G:$G,A343)</f>
        <v>Demand,MM &amp; Savings - Large Corporates - Uber Tech.</v>
      </c>
      <c r="D343" s="302">
        <f>INDEX('Data Processing'!O:O,$A343)</f>
        <v>0</v>
      </c>
      <c r="E343" s="457">
        <f ca="1">INDEX('Data Processing'!P:P,$A343)</f>
        <v>0</v>
      </c>
      <c r="F343" s="457">
        <f ca="1">INDEX('Data Processing'!Q:Q,$A343)</f>
        <v>0</v>
      </c>
      <c r="G343" s="457">
        <f ca="1">INDEX('Data Processing'!R:R,$A343)</f>
        <v>0</v>
      </c>
      <c r="H343" s="457">
        <f ca="1">INDEX('Data Processing'!S:S,$A343)</f>
        <v>0</v>
      </c>
      <c r="I343" s="457">
        <f ca="1">INDEX('Data Processing'!T:T,$A343)</f>
        <v>0</v>
      </c>
      <c r="J343" s="457">
        <f ca="1">INDEX('Data Processing'!U:U,$A343)</f>
        <v>0</v>
      </c>
      <c r="K343" s="457">
        <f ca="1">INDEX('Data Processing'!V:V,$A343)</f>
        <v>0</v>
      </c>
      <c r="L343" s="457">
        <f ca="1">INDEX('Data Processing'!W:W,$A343)</f>
        <v>0</v>
      </c>
      <c r="M343" s="457">
        <f ca="1">INDEX('Data Processing'!X:X,$A343)</f>
        <v>0</v>
      </c>
      <c r="N343" s="457">
        <f ca="1">INDEX('Data Processing'!Y:Y,$A343)</f>
        <v>0</v>
      </c>
      <c r="O343" s="457">
        <f ca="1">INDEX('Data Processing'!Z:Z,$A343)</f>
        <v>0</v>
      </c>
      <c r="P343" s="457">
        <f ca="1">INDEX('Data Processing'!AA:AA,$A343)</f>
        <v>0</v>
      </c>
      <c r="Q343" s="457">
        <f ca="1">INDEX('Data Processing'!AB:AB,$A343)</f>
        <v>0</v>
      </c>
      <c r="R343" s="457">
        <f ca="1">INDEX('Data Processing'!AC:AC,$A343)</f>
        <v>0</v>
      </c>
      <c r="S343" s="457">
        <f ca="1">INDEX('Data Processing'!AD:AD,$A343)</f>
        <v>0</v>
      </c>
      <c r="T343" s="458">
        <f ca="1">INDEX('Data Processing'!AE:AE,$A343)</f>
        <v>0</v>
      </c>
      <c r="U343" s="218"/>
      <c r="V343" s="296" t="s">
        <v>1031</v>
      </c>
    </row>
    <row r="344" spans="1:25" s="562" customFormat="1">
      <c r="A344" s="440" t="str">
        <f>IF(B344="","",IFERROR(MATCH(B344,'Data Processing'!$C:$C,0),""))</f>
        <v/>
      </c>
      <c r="B344" s="522"/>
      <c r="C344" s="565" t="s">
        <v>1005</v>
      </c>
      <c r="D344" s="488"/>
      <c r="E344" s="454">
        <f>D343</f>
        <v>0</v>
      </c>
      <c r="F344" s="454">
        <f t="shared" ref="F344" ca="1" si="406">E343</f>
        <v>0</v>
      </c>
      <c r="G344" s="454">
        <f t="shared" ref="G344" ca="1" si="407">F343</f>
        <v>0</v>
      </c>
      <c r="H344" s="454">
        <f t="shared" ref="H344" ca="1" si="408">G343</f>
        <v>0</v>
      </c>
      <c r="I344" s="454">
        <f t="shared" ref="I344" ca="1" si="409">H343</f>
        <v>0</v>
      </c>
      <c r="J344" s="454">
        <f t="shared" ref="J344" ca="1" si="410">I343</f>
        <v>0</v>
      </c>
      <c r="K344" s="454">
        <f t="shared" ref="K344" ca="1" si="411">J343</f>
        <v>0</v>
      </c>
      <c r="L344" s="454">
        <f t="shared" ref="L344" ca="1" si="412">K343</f>
        <v>0</v>
      </c>
      <c r="M344" s="454">
        <f t="shared" ref="M344" ca="1" si="413">L343</f>
        <v>0</v>
      </c>
      <c r="N344" s="454">
        <f t="shared" ref="N344" ca="1" si="414">M343</f>
        <v>0</v>
      </c>
      <c r="O344" s="454">
        <f t="shared" ref="O344" ca="1" si="415">N343</f>
        <v>0</v>
      </c>
      <c r="P344" s="454">
        <f t="shared" ref="P344" ca="1" si="416">O343</f>
        <v>0</v>
      </c>
      <c r="Q344" s="454">
        <f t="shared" ref="Q344" ca="1" si="417">P343</f>
        <v>0</v>
      </c>
      <c r="R344" s="454">
        <f t="shared" ref="R344" ca="1" si="418">Q343</f>
        <v>0</v>
      </c>
      <c r="S344" s="454">
        <f t="shared" ref="S344" ca="1" si="419">R343</f>
        <v>0</v>
      </c>
      <c r="T344" s="455">
        <f t="shared" ref="T344" ca="1" si="420">S343</f>
        <v>0</v>
      </c>
      <c r="U344" s="557"/>
      <c r="V344" s="296"/>
      <c r="W344" s="295"/>
      <c r="X344" s="295"/>
      <c r="Y344" s="295"/>
    </row>
    <row r="345" spans="1:25" s="561" customFormat="1">
      <c r="A345" s="440" t="str">
        <f>IF(B345="","",IFERROR(MATCH(B345,'Data Processing'!$C:$C,0),""))</f>
        <v/>
      </c>
      <c r="B345" s="583"/>
      <c r="C345" s="565" t="s">
        <v>51</v>
      </c>
      <c r="D345" s="488"/>
      <c r="E345" s="454">
        <f t="shared" ref="E345:T345" si="421">E344</f>
        <v>0</v>
      </c>
      <c r="F345" s="454">
        <f t="shared" ca="1" si="421"/>
        <v>0</v>
      </c>
      <c r="G345" s="454">
        <f t="shared" ca="1" si="421"/>
        <v>0</v>
      </c>
      <c r="H345" s="454">
        <f t="shared" ca="1" si="421"/>
        <v>0</v>
      </c>
      <c r="I345" s="454">
        <f t="shared" ca="1" si="421"/>
        <v>0</v>
      </c>
      <c r="J345" s="454">
        <f t="shared" ca="1" si="421"/>
        <v>0</v>
      </c>
      <c r="K345" s="454">
        <f t="shared" ca="1" si="421"/>
        <v>0</v>
      </c>
      <c r="L345" s="454">
        <f t="shared" ca="1" si="421"/>
        <v>0</v>
      </c>
      <c r="M345" s="454">
        <f t="shared" ca="1" si="421"/>
        <v>0</v>
      </c>
      <c r="N345" s="454">
        <f t="shared" ca="1" si="421"/>
        <v>0</v>
      </c>
      <c r="O345" s="454">
        <f t="shared" ca="1" si="421"/>
        <v>0</v>
      </c>
      <c r="P345" s="454">
        <f t="shared" ca="1" si="421"/>
        <v>0</v>
      </c>
      <c r="Q345" s="454">
        <f t="shared" ca="1" si="421"/>
        <v>0</v>
      </c>
      <c r="R345" s="454">
        <f t="shared" ca="1" si="421"/>
        <v>0</v>
      </c>
      <c r="S345" s="454">
        <f t="shared" ca="1" si="421"/>
        <v>0</v>
      </c>
      <c r="T345" s="455">
        <f t="shared" ca="1" si="421"/>
        <v>0</v>
      </c>
      <c r="U345" s="551"/>
      <c r="V345" s="298"/>
      <c r="W345" s="299"/>
      <c r="X345" s="299"/>
      <c r="Y345" s="299"/>
    </row>
    <row r="346" spans="1:25" s="562" customFormat="1">
      <c r="A346" s="440" t="str">
        <f>IF(B346="","",IFERROR(MATCH(B346,'Data Processing'!$C:$C,0),""))</f>
        <v/>
      </c>
      <c r="B346" s="522"/>
      <c r="C346" s="567" t="s">
        <v>50</v>
      </c>
      <c r="D346" s="488"/>
      <c r="E346" s="553">
        <f ca="1">INDEX('Data Processing'!BU:BU,$A343)</f>
        <v>1.9200000000000002E-2</v>
      </c>
      <c r="F346" s="553">
        <f ca="1">INDEX('Data Processing'!BV:BV,$A343)</f>
        <v>6.4000000000000003E-3</v>
      </c>
      <c r="G346" s="553">
        <f ca="1">INDEX('Data Processing'!BW:BW,$A343)</f>
        <v>6.4000000000000003E-3</v>
      </c>
      <c r="H346" s="553">
        <f ca="1">INDEX('Data Processing'!BX:BX,$A343)</f>
        <v>6.4000000000000003E-3</v>
      </c>
      <c r="I346" s="553">
        <f ca="1">INDEX('Data Processing'!BY:BY,$A343)</f>
        <v>6.4000000000000003E-3</v>
      </c>
      <c r="J346" s="553">
        <f ca="1">INDEX('Data Processing'!BZ:BZ,$A343)</f>
        <v>6.4000000000000003E-3</v>
      </c>
      <c r="K346" s="553">
        <f ca="1">INDEX('Data Processing'!CA:CA,$A343)</f>
        <v>6.4000000000000003E-3</v>
      </c>
      <c r="L346" s="553">
        <f ca="1">INDEX('Data Processing'!CB:CB,$A343)</f>
        <v>5.4857142857142865E-3</v>
      </c>
      <c r="M346" s="553">
        <f ca="1">INDEX('Data Processing'!CC:CC,$A343)</f>
        <v>5.4857142857142865E-3</v>
      </c>
      <c r="N346" s="553">
        <f ca="1">INDEX('Data Processing'!CD:CD,$A343)</f>
        <v>5.4857142857142865E-3</v>
      </c>
      <c r="O346" s="553">
        <f ca="1">INDEX('Data Processing'!CE:CE,$A343)</f>
        <v>5.4857142857142865E-3</v>
      </c>
      <c r="P346" s="553">
        <f ca="1">INDEX('Data Processing'!CF:CF,$A343)</f>
        <v>5.4857142857142865E-3</v>
      </c>
      <c r="Q346" s="553">
        <f ca="1">INDEX('Data Processing'!CG:CG,$A343)</f>
        <v>5.4857142857142865E-3</v>
      </c>
      <c r="R346" s="553">
        <f ca="1">INDEX('Data Processing'!CH:CH,$A343)</f>
        <v>5.4857142857142865E-3</v>
      </c>
      <c r="S346" s="553">
        <f ca="1">INDEX('Data Processing'!CI:CI,$A343)</f>
        <v>3.2000000000000001E-2</v>
      </c>
      <c r="T346" s="554">
        <f ca="1">INDEX('Data Processing'!CJ:CJ,$A343)</f>
        <v>3.2000000000000001E-2</v>
      </c>
      <c r="U346" s="557"/>
      <c r="V346" s="296"/>
      <c r="W346" s="295"/>
      <c r="X346" s="295"/>
      <c r="Y346" s="295"/>
    </row>
    <row r="347" spans="1:25" s="562" customFormat="1">
      <c r="A347" s="440" t="str">
        <f>IF(B347="","",IFERROR(MATCH(B347,'Data Processing'!$C:$C,0),""))</f>
        <v/>
      </c>
      <c r="B347" s="522"/>
      <c r="C347" s="523" t="s">
        <v>998</v>
      </c>
      <c r="D347" s="488"/>
      <c r="E347" s="489">
        <f ca="1">INDEX('Data Processing'!AS:AS,$A343)</f>
        <v>0</v>
      </c>
      <c r="F347" s="556">
        <f ca="1">INDEX('Data Processing'!AT:AT,$A343)</f>
        <v>0</v>
      </c>
      <c r="G347" s="556">
        <f ca="1">INDEX('Data Processing'!AU:AU,$A343)</f>
        <v>0</v>
      </c>
      <c r="H347" s="556">
        <f ca="1">INDEX('Data Processing'!AV:AV,$A343)</f>
        <v>0</v>
      </c>
      <c r="I347" s="556">
        <f ca="1">INDEX('Data Processing'!AW:AW,$A343)</f>
        <v>0</v>
      </c>
      <c r="J347" s="556">
        <f ca="1">INDEX('Data Processing'!AX:AX,$A343)</f>
        <v>0</v>
      </c>
      <c r="K347" s="556">
        <f ca="1">INDEX('Data Processing'!AY:AY,$A343)</f>
        <v>0</v>
      </c>
      <c r="L347" s="556">
        <f ca="1">INDEX('Data Processing'!AZ:AZ,$A343)</f>
        <v>0</v>
      </c>
      <c r="M347" s="556">
        <f ca="1">INDEX('Data Processing'!BA:BA,$A343)</f>
        <v>0</v>
      </c>
      <c r="N347" s="556">
        <f ca="1">INDEX('Data Processing'!BB:BB,$A343)</f>
        <v>0</v>
      </c>
      <c r="O347" s="556">
        <f ca="1">INDEX('Data Processing'!BC:BC,$A343)</f>
        <v>0</v>
      </c>
      <c r="P347" s="556">
        <f ca="1">INDEX('Data Processing'!BD:BD,$A343)</f>
        <v>0</v>
      </c>
      <c r="Q347" s="556">
        <f ca="1">INDEX('Data Processing'!BE:BE,$A343)</f>
        <v>0</v>
      </c>
      <c r="R347" s="556">
        <f ca="1">INDEX('Data Processing'!BF:BF,$A343)</f>
        <v>0</v>
      </c>
      <c r="S347" s="556">
        <f ca="1">INDEX('Data Processing'!BG:BG,$A343)</f>
        <v>0</v>
      </c>
      <c r="T347" s="584">
        <f ca="1">INDEX('Data Processing'!BH:BH,$A343)</f>
        <v>0</v>
      </c>
      <c r="U347" s="557"/>
      <c r="V347" s="296"/>
      <c r="W347" s="295"/>
      <c r="X347" s="295"/>
      <c r="Y347" s="295"/>
    </row>
    <row r="348" spans="1:25" s="562" customFormat="1">
      <c r="A348" s="440" t="str">
        <f>IF(B348="","",IFERROR(MATCH(B348,'Data Processing'!$C:$C,0),""))</f>
        <v/>
      </c>
      <c r="B348" s="522"/>
      <c r="C348" s="523" t="s">
        <v>1012</v>
      </c>
      <c r="D348" s="488"/>
      <c r="E348" s="489">
        <f t="shared" ref="E348:T348" ca="1" si="422">E344-E347</f>
        <v>0</v>
      </c>
      <c r="F348" s="489">
        <f t="shared" ca="1" si="422"/>
        <v>0</v>
      </c>
      <c r="G348" s="489">
        <f t="shared" ca="1" si="422"/>
        <v>0</v>
      </c>
      <c r="H348" s="489">
        <f t="shared" ca="1" si="422"/>
        <v>0</v>
      </c>
      <c r="I348" s="489">
        <f t="shared" ca="1" si="422"/>
        <v>0</v>
      </c>
      <c r="J348" s="489">
        <f t="shared" ca="1" si="422"/>
        <v>0</v>
      </c>
      <c r="K348" s="489">
        <f t="shared" ca="1" si="422"/>
        <v>0</v>
      </c>
      <c r="L348" s="489">
        <f t="shared" ca="1" si="422"/>
        <v>0</v>
      </c>
      <c r="M348" s="489">
        <f t="shared" ca="1" si="422"/>
        <v>0</v>
      </c>
      <c r="N348" s="489">
        <f t="shared" ca="1" si="422"/>
        <v>0</v>
      </c>
      <c r="O348" s="489">
        <f t="shared" ca="1" si="422"/>
        <v>0</v>
      </c>
      <c r="P348" s="489">
        <f t="shared" ca="1" si="422"/>
        <v>0</v>
      </c>
      <c r="Q348" s="489">
        <f t="shared" ca="1" si="422"/>
        <v>0</v>
      </c>
      <c r="R348" s="489">
        <f t="shared" ca="1" si="422"/>
        <v>0</v>
      </c>
      <c r="S348" s="489">
        <f t="shared" ca="1" si="422"/>
        <v>0</v>
      </c>
      <c r="T348" s="490">
        <f t="shared" ca="1" si="422"/>
        <v>0</v>
      </c>
      <c r="U348" s="557"/>
      <c r="V348" s="296"/>
      <c r="W348" s="295"/>
      <c r="X348" s="295"/>
      <c r="Y348" s="295"/>
    </row>
    <row r="349" spans="1:25" s="279" customFormat="1" ht="30">
      <c r="A349">
        <f>IF(B349="","",IFERROR(MATCH(B349,'Data Processing'!$C:$C,0),""))</f>
        <v>56</v>
      </c>
      <c r="B349" s="215" t="s">
        <v>1171</v>
      </c>
      <c r="C349" s="223" t="str">
        <f>INDEX('Data Processing'!$G:$G,A349)</f>
        <v>Demand,MM &amp; Savings - Corporates (Exclude Large Corporates)</v>
      </c>
      <c r="D349" s="249">
        <f>INDEX('Data Processing'!O:O,$A349)</f>
        <v>2583.6036079000005</v>
      </c>
      <c r="E349" s="128">
        <f ca="1">INDEX('Data Processing'!P:P,$A349)</f>
        <v>2533.9984186283205</v>
      </c>
      <c r="F349" s="128">
        <f ca="1">INDEX('Data Processing'!Q:Q,$A349)</f>
        <v>2517.4633555377604</v>
      </c>
      <c r="G349" s="128">
        <f ca="1">INDEX('Data Processing'!R:R,$A349)</f>
        <v>2500.9282924472004</v>
      </c>
      <c r="H349" s="128">
        <f ca="1">INDEX('Data Processing'!S:S,$A349)</f>
        <v>2484.3932293566404</v>
      </c>
      <c r="I349" s="128">
        <f ca="1">INDEX('Data Processing'!T:T,$A349)</f>
        <v>2467.8581662660804</v>
      </c>
      <c r="J349" s="128">
        <f ca="1">INDEX('Data Processing'!U:U,$A349)</f>
        <v>2451.3231031755204</v>
      </c>
      <c r="K349" s="128">
        <f ca="1">INDEX('Data Processing'!V:V,$A349)</f>
        <v>2434.7880400849604</v>
      </c>
      <c r="L349" s="128">
        <f ca="1">INDEX('Data Processing'!W:W,$A349)</f>
        <v>2420.6151288644805</v>
      </c>
      <c r="M349" s="128">
        <f ca="1">INDEX('Data Processing'!X:X,$A349)</f>
        <v>2406.4422176440003</v>
      </c>
      <c r="N349" s="128">
        <f ca="1">INDEX('Data Processing'!Y:Y,$A349)</f>
        <v>2392.2693064235204</v>
      </c>
      <c r="O349" s="128">
        <f ca="1">INDEX('Data Processing'!Z:Z,$A349)</f>
        <v>2378.0963952030402</v>
      </c>
      <c r="P349" s="128">
        <f ca="1">INDEX('Data Processing'!AA:AA,$A349)</f>
        <v>2363.9234839825604</v>
      </c>
      <c r="Q349" s="128">
        <f ca="1">INDEX('Data Processing'!AB:AB,$A349)</f>
        <v>2349.7505727620805</v>
      </c>
      <c r="R349" s="128">
        <f ca="1">INDEX('Data Processing'!AC:AC,$A349)</f>
        <v>2335.5776615416003</v>
      </c>
      <c r="S349" s="287">
        <f ca="1">INDEX('Data Processing'!AD:AD,$A349)</f>
        <v>2252.9023460888002</v>
      </c>
      <c r="T349" s="220">
        <f ca="1">INDEX('Data Processing'!AE:AE,$A349)</f>
        <v>2170.2270306360001</v>
      </c>
      <c r="U349" s="278"/>
      <c r="V349" s="120"/>
    </row>
    <row r="350" spans="1:25" s="586" customFormat="1">
      <c r="A350" s="440" t="str">
        <f>IF(B350="","",IFERROR(MATCH(B350,'Data Processing'!$C:$C,0),""))</f>
        <v/>
      </c>
      <c r="B350" s="522"/>
      <c r="C350" s="565" t="s">
        <v>1005</v>
      </c>
      <c r="D350" s="488"/>
      <c r="E350" s="454">
        <f>D349</f>
        <v>2583.6036079000005</v>
      </c>
      <c r="F350" s="454">
        <f t="shared" ref="F350" ca="1" si="423">E349</f>
        <v>2533.9984186283205</v>
      </c>
      <c r="G350" s="454">
        <f t="shared" ref="G350" ca="1" si="424">F349</f>
        <v>2517.4633555377604</v>
      </c>
      <c r="H350" s="454">
        <f t="shared" ref="H350" ca="1" si="425">G349</f>
        <v>2500.9282924472004</v>
      </c>
      <c r="I350" s="454">
        <f t="shared" ref="I350" ca="1" si="426">H349</f>
        <v>2484.3932293566404</v>
      </c>
      <c r="J350" s="454">
        <f t="shared" ref="J350" ca="1" si="427">I349</f>
        <v>2467.8581662660804</v>
      </c>
      <c r="K350" s="454">
        <f t="shared" ref="K350" ca="1" si="428">J349</f>
        <v>2451.3231031755204</v>
      </c>
      <c r="L350" s="454">
        <f t="shared" ref="L350" ca="1" si="429">K349</f>
        <v>2434.7880400849604</v>
      </c>
      <c r="M350" s="454">
        <f t="shared" ref="M350" ca="1" si="430">L349</f>
        <v>2420.6151288644805</v>
      </c>
      <c r="N350" s="454">
        <f t="shared" ref="N350" ca="1" si="431">M349</f>
        <v>2406.4422176440003</v>
      </c>
      <c r="O350" s="454">
        <f t="shared" ref="O350" ca="1" si="432">N349</f>
        <v>2392.2693064235204</v>
      </c>
      <c r="P350" s="454">
        <f t="shared" ref="P350" ca="1" si="433">O349</f>
        <v>2378.0963952030402</v>
      </c>
      <c r="Q350" s="454">
        <f t="shared" ref="Q350" ca="1" si="434">P349</f>
        <v>2363.9234839825604</v>
      </c>
      <c r="R350" s="454">
        <f t="shared" ref="R350" ca="1" si="435">Q349</f>
        <v>2349.7505727620805</v>
      </c>
      <c r="S350" s="454">
        <f t="shared" ref="S350" ca="1" si="436">R349</f>
        <v>2335.5776615416003</v>
      </c>
      <c r="T350" s="455">
        <f t="shared" ref="T350" ca="1" si="437">S349</f>
        <v>2252.9023460888002</v>
      </c>
      <c r="U350" s="582"/>
      <c r="V350" s="233" t="s">
        <v>1045</v>
      </c>
      <c r="W350" s="268"/>
      <c r="X350" s="268"/>
      <c r="Y350" s="268"/>
    </row>
    <row r="351" spans="1:25" s="521" customFormat="1">
      <c r="A351" s="440" t="str">
        <f>IF(B351="","",IFERROR(MATCH(B351,'Data Processing'!$C:$C,0),""))</f>
        <v/>
      </c>
      <c r="B351" s="522"/>
      <c r="C351" s="565" t="s">
        <v>51</v>
      </c>
      <c r="D351" s="454"/>
      <c r="E351" s="454">
        <f t="shared" ref="E351:T351" si="438">E350</f>
        <v>2583.6036079000005</v>
      </c>
      <c r="F351" s="454">
        <f t="shared" ca="1" si="438"/>
        <v>2533.9984186283205</v>
      </c>
      <c r="G351" s="454">
        <f t="shared" ca="1" si="438"/>
        <v>2517.4633555377604</v>
      </c>
      <c r="H351" s="454">
        <f t="shared" ca="1" si="438"/>
        <v>2500.9282924472004</v>
      </c>
      <c r="I351" s="454">
        <f t="shared" ca="1" si="438"/>
        <v>2484.3932293566404</v>
      </c>
      <c r="J351" s="454">
        <f t="shared" ca="1" si="438"/>
        <v>2467.8581662660804</v>
      </c>
      <c r="K351" s="454">
        <f t="shared" ca="1" si="438"/>
        <v>2451.3231031755204</v>
      </c>
      <c r="L351" s="454">
        <f t="shared" ca="1" si="438"/>
        <v>2434.7880400849604</v>
      </c>
      <c r="M351" s="454">
        <f t="shared" ca="1" si="438"/>
        <v>2420.6151288644805</v>
      </c>
      <c r="N351" s="454">
        <f t="shared" ca="1" si="438"/>
        <v>2406.4422176440003</v>
      </c>
      <c r="O351" s="454">
        <f t="shared" ca="1" si="438"/>
        <v>2392.2693064235204</v>
      </c>
      <c r="P351" s="454">
        <f t="shared" ca="1" si="438"/>
        <v>2378.0963952030402</v>
      </c>
      <c r="Q351" s="454">
        <f t="shared" ca="1" si="438"/>
        <v>2363.9234839825604</v>
      </c>
      <c r="R351" s="454">
        <f t="shared" ca="1" si="438"/>
        <v>2349.7505727620805</v>
      </c>
      <c r="S351" s="454">
        <f t="shared" ca="1" si="438"/>
        <v>2335.5776615416003</v>
      </c>
      <c r="T351" s="455">
        <f t="shared" ca="1" si="438"/>
        <v>2252.9023460888002</v>
      </c>
      <c r="U351" s="524"/>
      <c r="V351" s="120"/>
      <c r="W351" s="126"/>
      <c r="X351" s="126"/>
      <c r="Y351" s="126"/>
    </row>
    <row r="352" spans="1:25" s="561" customFormat="1">
      <c r="A352" s="440" t="str">
        <f>IF(B352="","",IFERROR(MATCH(B352,'Data Processing'!$C:$C,0),""))</f>
        <v/>
      </c>
      <c r="B352" s="583"/>
      <c r="C352" s="567" t="s">
        <v>50</v>
      </c>
      <c r="D352" s="488"/>
      <c r="E352" s="553">
        <f ca="1">INDEX('Data Processing'!BU:BU,$A349)</f>
        <v>1.9200000000000002E-2</v>
      </c>
      <c r="F352" s="553">
        <f ca="1">INDEX('Data Processing'!BV:BV,$A349)</f>
        <v>6.4000000000000003E-3</v>
      </c>
      <c r="G352" s="553">
        <f ca="1">INDEX('Data Processing'!BW:BW,$A349)</f>
        <v>6.4000000000000003E-3</v>
      </c>
      <c r="H352" s="553">
        <f ca="1">INDEX('Data Processing'!BX:BX,$A349)</f>
        <v>6.4000000000000003E-3</v>
      </c>
      <c r="I352" s="553">
        <f ca="1">INDEX('Data Processing'!BY:BY,$A349)</f>
        <v>6.4000000000000003E-3</v>
      </c>
      <c r="J352" s="553">
        <f ca="1">INDEX('Data Processing'!BZ:BZ,$A349)</f>
        <v>6.4000000000000003E-3</v>
      </c>
      <c r="K352" s="553">
        <f ca="1">INDEX('Data Processing'!CA:CA,$A349)</f>
        <v>6.4000000000000003E-3</v>
      </c>
      <c r="L352" s="553">
        <f ca="1">INDEX('Data Processing'!CB:CB,$A349)</f>
        <v>5.4857142857142865E-3</v>
      </c>
      <c r="M352" s="553">
        <f ca="1">INDEX('Data Processing'!CC:CC,$A349)</f>
        <v>5.4857142857142865E-3</v>
      </c>
      <c r="N352" s="553">
        <f ca="1">INDEX('Data Processing'!CD:CD,$A349)</f>
        <v>5.4857142857142865E-3</v>
      </c>
      <c r="O352" s="553">
        <f ca="1">INDEX('Data Processing'!CE:CE,$A349)</f>
        <v>5.4857142857142865E-3</v>
      </c>
      <c r="P352" s="553">
        <f ca="1">INDEX('Data Processing'!CF:CF,$A349)</f>
        <v>5.4857142857142865E-3</v>
      </c>
      <c r="Q352" s="553">
        <f ca="1">INDEX('Data Processing'!CG:CG,$A349)</f>
        <v>5.4857142857142865E-3</v>
      </c>
      <c r="R352" s="553">
        <f ca="1">INDEX('Data Processing'!CH:CH,$A349)</f>
        <v>5.4857142857142865E-3</v>
      </c>
      <c r="S352" s="553">
        <f ca="1">INDEX('Data Processing'!CI:CI,$A349)</f>
        <v>3.2000000000000001E-2</v>
      </c>
      <c r="T352" s="554">
        <f ca="1">INDEX('Data Processing'!CJ:CJ,$A349)</f>
        <v>3.2000000000000001E-2</v>
      </c>
      <c r="U352" s="551"/>
      <c r="V352" s="271"/>
      <c r="W352" s="272"/>
      <c r="X352" s="272"/>
      <c r="Y352" s="272"/>
    </row>
    <row r="353" spans="1:25" s="587" customFormat="1">
      <c r="A353" s="440" t="str">
        <f>IF(B353="","",IFERROR(MATCH(B353,'Data Processing'!$C:$C,0),""))</f>
        <v/>
      </c>
      <c r="B353" s="522"/>
      <c r="C353" s="523" t="s">
        <v>998</v>
      </c>
      <c r="D353" s="504"/>
      <c r="E353" s="489">
        <f ca="1">INDEX('Data Processing'!AS:AS,$A349)</f>
        <v>49.605189271680011</v>
      </c>
      <c r="F353" s="489">
        <f ca="1">INDEX('Data Processing'!AT:AT,$A349)</f>
        <v>16.535063090560005</v>
      </c>
      <c r="G353" s="489">
        <f ca="1">INDEX('Data Processing'!AU:AU,$A349)</f>
        <v>16.535063090560005</v>
      </c>
      <c r="H353" s="489">
        <f ca="1">INDEX('Data Processing'!AV:AV,$A349)</f>
        <v>16.535063090560005</v>
      </c>
      <c r="I353" s="489">
        <f ca="1">INDEX('Data Processing'!AW:AW,$A349)</f>
        <v>16.535063090560005</v>
      </c>
      <c r="J353" s="489">
        <f ca="1">INDEX('Data Processing'!AX:AX,$A349)</f>
        <v>16.535063090560005</v>
      </c>
      <c r="K353" s="489">
        <f ca="1">INDEX('Data Processing'!AY:AY,$A349)</f>
        <v>16.535063090560005</v>
      </c>
      <c r="L353" s="489">
        <f ca="1">INDEX('Data Processing'!AZ:AZ,$A349)</f>
        <v>14.172911220480005</v>
      </c>
      <c r="M353" s="489">
        <f ca="1">INDEX('Data Processing'!BA:BA,$A349)</f>
        <v>14.172911220480005</v>
      </c>
      <c r="N353" s="489">
        <f ca="1">INDEX('Data Processing'!BB:BB,$A349)</f>
        <v>14.172911220480005</v>
      </c>
      <c r="O353" s="489">
        <f ca="1">INDEX('Data Processing'!BC:BC,$A349)</f>
        <v>14.172911220480005</v>
      </c>
      <c r="P353" s="489">
        <f ca="1">INDEX('Data Processing'!BD:BD,$A349)</f>
        <v>14.172911220480005</v>
      </c>
      <c r="Q353" s="489">
        <f ca="1">INDEX('Data Processing'!BE:BE,$A349)</f>
        <v>14.172911220480005</v>
      </c>
      <c r="R353" s="489">
        <f ca="1">INDEX('Data Processing'!BF:BF,$A349)</f>
        <v>14.172911220480005</v>
      </c>
      <c r="S353" s="489">
        <f ca="1">INDEX('Data Processing'!BG:BG,$A349)</f>
        <v>82.675315452800021</v>
      </c>
      <c r="T353" s="490">
        <f ca="1">INDEX('Data Processing'!BH:BH,$A349)</f>
        <v>82.675315452800021</v>
      </c>
      <c r="U353" s="585"/>
      <c r="V353" s="276"/>
      <c r="W353" s="277"/>
      <c r="X353" s="277"/>
      <c r="Y353" s="277"/>
    </row>
    <row r="354" spans="1:25" s="587" customFormat="1">
      <c r="A354" s="440" t="str">
        <f>IF(B354="","",IFERROR(MATCH(B354,'Data Processing'!$C:$C,0),""))</f>
        <v/>
      </c>
      <c r="B354" s="522"/>
      <c r="C354" s="523" t="s">
        <v>1012</v>
      </c>
      <c r="D354" s="488"/>
      <c r="E354" s="489">
        <f t="shared" ref="E354:T354" ca="1" si="439">E350-E353</f>
        <v>2533.9984186283205</v>
      </c>
      <c r="F354" s="489">
        <f t="shared" ca="1" si="439"/>
        <v>2517.4633555377604</v>
      </c>
      <c r="G354" s="489">
        <f t="shared" ca="1" si="439"/>
        <v>2500.9282924472004</v>
      </c>
      <c r="H354" s="489">
        <f t="shared" ca="1" si="439"/>
        <v>2484.3932293566404</v>
      </c>
      <c r="I354" s="489">
        <f t="shared" ca="1" si="439"/>
        <v>2467.8581662660804</v>
      </c>
      <c r="J354" s="489">
        <f t="shared" ca="1" si="439"/>
        <v>2451.3231031755204</v>
      </c>
      <c r="K354" s="489">
        <f t="shared" ca="1" si="439"/>
        <v>2434.7880400849604</v>
      </c>
      <c r="L354" s="489">
        <f t="shared" ca="1" si="439"/>
        <v>2420.6151288644805</v>
      </c>
      <c r="M354" s="489">
        <f t="shared" ca="1" si="439"/>
        <v>2406.4422176440007</v>
      </c>
      <c r="N354" s="489">
        <f t="shared" ca="1" si="439"/>
        <v>2392.2693064235204</v>
      </c>
      <c r="O354" s="489">
        <f t="shared" ca="1" si="439"/>
        <v>2378.0963952030406</v>
      </c>
      <c r="P354" s="489">
        <f t="shared" ca="1" si="439"/>
        <v>2363.9234839825604</v>
      </c>
      <c r="Q354" s="489">
        <f t="shared" ca="1" si="439"/>
        <v>2349.7505727620805</v>
      </c>
      <c r="R354" s="489">
        <f t="shared" ca="1" si="439"/>
        <v>2335.5776615416007</v>
      </c>
      <c r="S354" s="489">
        <f t="shared" ca="1" si="439"/>
        <v>2252.9023460888002</v>
      </c>
      <c r="T354" s="490">
        <f t="shared" ca="1" si="439"/>
        <v>2170.2270306360001</v>
      </c>
      <c r="U354" s="585"/>
      <c r="V354" s="276"/>
      <c r="W354" s="277"/>
      <c r="X354" s="277"/>
      <c r="Y354" s="277"/>
    </row>
    <row r="355" spans="1:25" s="279" customFormat="1">
      <c r="A355">
        <f>IF(B355="","",IFERROR(MATCH(B355,'Data Processing'!$C:$C,0),""))</f>
        <v>59</v>
      </c>
      <c r="B355" s="215" t="s">
        <v>1337</v>
      </c>
      <c r="C355" s="223" t="str">
        <f>INDEX('Data Processing'!$G:$G,A355)</f>
        <v>ESCROW Deposits</v>
      </c>
      <c r="D355" s="249">
        <f>INDEX('Data Processing'!O:O,$A355)</f>
        <v>147.44580615999999</v>
      </c>
      <c r="E355" s="128">
        <f ca="1">INDEX('Data Processing'!P:P,$A355)</f>
        <v>145.08667326143998</v>
      </c>
      <c r="F355" s="128">
        <f ca="1">INDEX('Data Processing'!Q:Q,$A355)</f>
        <v>144.30029562858667</v>
      </c>
      <c r="G355" s="128">
        <f ca="1">INDEX('Data Processing'!R:R,$A355)</f>
        <v>143.51391799573332</v>
      </c>
      <c r="H355" s="128">
        <f ca="1">INDEX('Data Processing'!S:S,$A355)</f>
        <v>142.72754036287998</v>
      </c>
      <c r="I355" s="128">
        <f ca="1">INDEX('Data Processing'!T:T,$A355)</f>
        <v>141.94116273002666</v>
      </c>
      <c r="J355" s="128">
        <f ca="1">INDEX('Data Processing'!U:U,$A355)</f>
        <v>141.15478509717332</v>
      </c>
      <c r="K355" s="128">
        <f ca="1">INDEX('Data Processing'!V:V,$A355)</f>
        <v>140.36840746432</v>
      </c>
      <c r="L355" s="128">
        <f ca="1">INDEX('Data Processing'!W:W,$A355)</f>
        <v>139.69436949330284</v>
      </c>
      <c r="M355" s="128">
        <f ca="1">INDEX('Data Processing'!X:X,$A355)</f>
        <v>139.02033152228572</v>
      </c>
      <c r="N355" s="128">
        <f ca="1">INDEX('Data Processing'!Y:Y,$A355)</f>
        <v>138.34629355126856</v>
      </c>
      <c r="O355" s="128">
        <f ca="1">INDEX('Data Processing'!Z:Z,$A355)</f>
        <v>137.67225558025143</v>
      </c>
      <c r="P355" s="128">
        <f ca="1">INDEX('Data Processing'!AA:AA,$A355)</f>
        <v>136.99821760923427</v>
      </c>
      <c r="Q355" s="128">
        <f ca="1">INDEX('Data Processing'!AB:AB,$A355)</f>
        <v>136.32417963821715</v>
      </c>
      <c r="R355" s="128">
        <f ca="1">INDEX('Data Processing'!AC:AC,$A355)</f>
        <v>135.65014166719999</v>
      </c>
      <c r="S355" s="287">
        <f ca="1">INDEX('Data Processing'!AD:AD,$A355)</f>
        <v>129.7523094208</v>
      </c>
      <c r="T355" s="220">
        <f ca="1">INDEX('Data Processing'!AE:AE,$A355)</f>
        <v>123.85447717439999</v>
      </c>
      <c r="U355" s="278"/>
      <c r="V355" s="120"/>
    </row>
    <row r="356" spans="1:25" s="586" customFormat="1">
      <c r="A356" s="440" t="str">
        <f>IF(B356="","",IFERROR(MATCH(B356,'Data Processing'!$C:$C,0),""))</f>
        <v/>
      </c>
      <c r="B356" s="522"/>
      <c r="C356" s="565" t="s">
        <v>1005</v>
      </c>
      <c r="D356" s="488"/>
      <c r="E356" s="454">
        <f>D355</f>
        <v>147.44580615999999</v>
      </c>
      <c r="F356" s="454">
        <f t="shared" ref="F356" ca="1" si="440">E355</f>
        <v>145.08667326143998</v>
      </c>
      <c r="G356" s="454">
        <f t="shared" ref="G356" ca="1" si="441">F355</f>
        <v>144.30029562858667</v>
      </c>
      <c r="H356" s="454">
        <f t="shared" ref="H356" ca="1" si="442">G355</f>
        <v>143.51391799573332</v>
      </c>
      <c r="I356" s="454">
        <f t="shared" ref="I356" ca="1" si="443">H355</f>
        <v>142.72754036287998</v>
      </c>
      <c r="J356" s="454">
        <f t="shared" ref="J356" ca="1" si="444">I355</f>
        <v>141.94116273002666</v>
      </c>
      <c r="K356" s="454">
        <f t="shared" ref="K356" ca="1" si="445">J355</f>
        <v>141.15478509717332</v>
      </c>
      <c r="L356" s="454">
        <f t="shared" ref="L356" ca="1" si="446">K355</f>
        <v>140.36840746432</v>
      </c>
      <c r="M356" s="454">
        <f t="shared" ref="M356" ca="1" si="447">L355</f>
        <v>139.69436949330284</v>
      </c>
      <c r="N356" s="454">
        <f t="shared" ref="N356" ca="1" si="448">M355</f>
        <v>139.02033152228572</v>
      </c>
      <c r="O356" s="454">
        <f t="shared" ref="O356" ca="1" si="449">N355</f>
        <v>138.34629355126856</v>
      </c>
      <c r="P356" s="454">
        <f t="shared" ref="P356" ca="1" si="450">O355</f>
        <v>137.67225558025143</v>
      </c>
      <c r="Q356" s="454">
        <f t="shared" ref="Q356" ca="1" si="451">P355</f>
        <v>136.99821760923427</v>
      </c>
      <c r="R356" s="454">
        <f t="shared" ref="R356" ca="1" si="452">Q355</f>
        <v>136.32417963821715</v>
      </c>
      <c r="S356" s="454">
        <f t="shared" ref="S356" ca="1" si="453">R355</f>
        <v>135.65014166719999</v>
      </c>
      <c r="T356" s="455">
        <f t="shared" ref="T356" ca="1" si="454">S355</f>
        <v>129.7523094208</v>
      </c>
      <c r="U356" s="582"/>
      <c r="V356" s="233" t="s">
        <v>1045</v>
      </c>
      <c r="W356" s="268"/>
      <c r="X356" s="268"/>
      <c r="Y356" s="268"/>
    </row>
    <row r="357" spans="1:25" s="521" customFormat="1">
      <c r="A357" s="440" t="str">
        <f>IF(B357="","",IFERROR(MATCH(B357,'Data Processing'!$C:$C,0),""))</f>
        <v/>
      </c>
      <c r="B357" s="522"/>
      <c r="C357" s="565" t="s">
        <v>51</v>
      </c>
      <c r="D357" s="454"/>
      <c r="E357" s="454">
        <f t="shared" ref="E357:T357" si="455">E356</f>
        <v>147.44580615999999</v>
      </c>
      <c r="F357" s="454">
        <f t="shared" ca="1" si="455"/>
        <v>145.08667326143998</v>
      </c>
      <c r="G357" s="454">
        <f t="shared" ca="1" si="455"/>
        <v>144.30029562858667</v>
      </c>
      <c r="H357" s="454">
        <f t="shared" ca="1" si="455"/>
        <v>143.51391799573332</v>
      </c>
      <c r="I357" s="454">
        <f t="shared" ca="1" si="455"/>
        <v>142.72754036287998</v>
      </c>
      <c r="J357" s="454">
        <f t="shared" ca="1" si="455"/>
        <v>141.94116273002666</v>
      </c>
      <c r="K357" s="454">
        <f t="shared" ca="1" si="455"/>
        <v>141.15478509717332</v>
      </c>
      <c r="L357" s="454">
        <f t="shared" ca="1" si="455"/>
        <v>140.36840746432</v>
      </c>
      <c r="M357" s="454">
        <f t="shared" ca="1" si="455"/>
        <v>139.69436949330284</v>
      </c>
      <c r="N357" s="454">
        <f t="shared" ca="1" si="455"/>
        <v>139.02033152228572</v>
      </c>
      <c r="O357" s="454">
        <f t="shared" ca="1" si="455"/>
        <v>138.34629355126856</v>
      </c>
      <c r="P357" s="454">
        <f t="shared" ca="1" si="455"/>
        <v>137.67225558025143</v>
      </c>
      <c r="Q357" s="454">
        <f t="shared" ca="1" si="455"/>
        <v>136.99821760923427</v>
      </c>
      <c r="R357" s="454">
        <f t="shared" ca="1" si="455"/>
        <v>136.32417963821715</v>
      </c>
      <c r="S357" s="454">
        <f t="shared" ca="1" si="455"/>
        <v>135.65014166719999</v>
      </c>
      <c r="T357" s="455">
        <f t="shared" ca="1" si="455"/>
        <v>129.7523094208</v>
      </c>
      <c r="U357" s="524"/>
      <c r="V357" s="120"/>
      <c r="W357" s="126"/>
      <c r="X357" s="126"/>
      <c r="Y357" s="126"/>
    </row>
    <row r="358" spans="1:25" s="561" customFormat="1">
      <c r="A358" s="440" t="str">
        <f>IF(B358="","",IFERROR(MATCH(B358,'Data Processing'!$C:$C,0),""))</f>
        <v/>
      </c>
      <c r="B358" s="583"/>
      <c r="C358" s="567" t="s">
        <v>50</v>
      </c>
      <c r="D358" s="488"/>
      <c r="E358" s="553">
        <f ca="1">INDEX('Data Processing'!BU:BU,$A355)</f>
        <v>1.6E-2</v>
      </c>
      <c r="F358" s="553">
        <f ca="1">INDEX('Data Processing'!BV:BV,$A355)</f>
        <v>5.3333333333333332E-3</v>
      </c>
      <c r="G358" s="553">
        <f ca="1">INDEX('Data Processing'!BW:BW,$A355)</f>
        <v>5.3333333333333332E-3</v>
      </c>
      <c r="H358" s="553">
        <f ca="1">INDEX('Data Processing'!BX:BX,$A355)</f>
        <v>5.3333333333333332E-3</v>
      </c>
      <c r="I358" s="553">
        <f ca="1">INDEX('Data Processing'!BY:BY,$A355)</f>
        <v>5.3333333333333332E-3</v>
      </c>
      <c r="J358" s="553">
        <f ca="1">INDEX('Data Processing'!BZ:BZ,$A355)</f>
        <v>5.3333333333333332E-3</v>
      </c>
      <c r="K358" s="553">
        <f ca="1">INDEX('Data Processing'!CA:CA,$A355)</f>
        <v>5.3333333333333332E-3</v>
      </c>
      <c r="L358" s="553">
        <f ca="1">INDEX('Data Processing'!CB:CB,$A355)</f>
        <v>4.5714285714285718E-3</v>
      </c>
      <c r="M358" s="553">
        <f ca="1">INDEX('Data Processing'!CC:CC,$A355)</f>
        <v>4.5714285714285718E-3</v>
      </c>
      <c r="N358" s="553">
        <f ca="1">INDEX('Data Processing'!CD:CD,$A355)</f>
        <v>4.5714285714285718E-3</v>
      </c>
      <c r="O358" s="553">
        <f ca="1">INDEX('Data Processing'!CE:CE,$A355)</f>
        <v>4.5714285714285718E-3</v>
      </c>
      <c r="P358" s="553">
        <f ca="1">INDEX('Data Processing'!CF:CF,$A355)</f>
        <v>4.5714285714285718E-3</v>
      </c>
      <c r="Q358" s="553">
        <f ca="1">INDEX('Data Processing'!CG:CG,$A355)</f>
        <v>4.5714285714285718E-3</v>
      </c>
      <c r="R358" s="553">
        <f ca="1">INDEX('Data Processing'!CH:CH,$A355)</f>
        <v>4.5714285714285718E-3</v>
      </c>
      <c r="S358" s="553">
        <f ca="1">INDEX('Data Processing'!CI:CI,$A355)</f>
        <v>0.04</v>
      </c>
      <c r="T358" s="554">
        <f ca="1">INDEX('Data Processing'!CJ:CJ,$A355)</f>
        <v>0.04</v>
      </c>
      <c r="U358" s="551"/>
      <c r="V358" s="271"/>
      <c r="W358" s="272"/>
      <c r="X358" s="272"/>
      <c r="Y358" s="272"/>
    </row>
    <row r="359" spans="1:25" s="587" customFormat="1">
      <c r="A359" s="440" t="str">
        <f>IF(B359="","",IFERROR(MATCH(B359,'Data Processing'!$C:$C,0),""))</f>
        <v/>
      </c>
      <c r="B359" s="522"/>
      <c r="C359" s="523" t="s">
        <v>998</v>
      </c>
      <c r="D359" s="504"/>
      <c r="E359" s="489">
        <f ca="1">INDEX('Data Processing'!AS:AS,$A355)</f>
        <v>2.35913289856</v>
      </c>
      <c r="F359" s="489">
        <f ca="1">INDEX('Data Processing'!AT:AT,$A355)</f>
        <v>0.78637763285333329</v>
      </c>
      <c r="G359" s="489">
        <f ca="1">INDEX('Data Processing'!AU:AU,$A355)</f>
        <v>0.78637763285333329</v>
      </c>
      <c r="H359" s="489">
        <f ca="1">INDEX('Data Processing'!AV:AV,$A355)</f>
        <v>0.78637763285333329</v>
      </c>
      <c r="I359" s="489">
        <f ca="1">INDEX('Data Processing'!AW:AW,$A355)</f>
        <v>0.78637763285333329</v>
      </c>
      <c r="J359" s="489">
        <f ca="1">INDEX('Data Processing'!AX:AX,$A355)</f>
        <v>0.78637763285333329</v>
      </c>
      <c r="K359" s="489">
        <f ca="1">INDEX('Data Processing'!AY:AY,$A355)</f>
        <v>0.78637763285333329</v>
      </c>
      <c r="L359" s="489">
        <f ca="1">INDEX('Data Processing'!AZ:AZ,$A355)</f>
        <v>0.67403797101714291</v>
      </c>
      <c r="M359" s="489">
        <f ca="1">INDEX('Data Processing'!BA:BA,$A355)</f>
        <v>0.67403797101714291</v>
      </c>
      <c r="N359" s="489">
        <f ca="1">INDEX('Data Processing'!BB:BB,$A355)</f>
        <v>0.67403797101714291</v>
      </c>
      <c r="O359" s="489">
        <f ca="1">INDEX('Data Processing'!BC:BC,$A355)</f>
        <v>0.67403797101714291</v>
      </c>
      <c r="P359" s="489">
        <f ca="1">INDEX('Data Processing'!BD:BD,$A355)</f>
        <v>0.67403797101714291</v>
      </c>
      <c r="Q359" s="489">
        <f ca="1">INDEX('Data Processing'!BE:BE,$A355)</f>
        <v>0.67403797101714291</v>
      </c>
      <c r="R359" s="489">
        <f ca="1">INDEX('Data Processing'!BF:BF,$A355)</f>
        <v>0.67403797101714291</v>
      </c>
      <c r="S359" s="489">
        <f ca="1">INDEX('Data Processing'!BG:BG,$A355)</f>
        <v>5.8978322463999993</v>
      </c>
      <c r="T359" s="490">
        <f ca="1">INDEX('Data Processing'!BH:BH,$A355)</f>
        <v>5.8978322463999993</v>
      </c>
      <c r="U359" s="585"/>
      <c r="V359" s="276"/>
      <c r="W359" s="277"/>
      <c r="X359" s="277"/>
      <c r="Y359" s="277"/>
    </row>
    <row r="360" spans="1:25" s="587" customFormat="1">
      <c r="A360" s="440" t="str">
        <f>IF(B360="","",IFERROR(MATCH(B360,'Data Processing'!$C:$C,0),""))</f>
        <v/>
      </c>
      <c r="B360" s="522"/>
      <c r="C360" s="523" t="s">
        <v>1012</v>
      </c>
      <c r="D360" s="488"/>
      <c r="E360" s="489">
        <f t="shared" ref="E360:T360" ca="1" si="456">E356-E359</f>
        <v>145.08667326143998</v>
      </c>
      <c r="F360" s="489">
        <f t="shared" ca="1" si="456"/>
        <v>144.30029562858664</v>
      </c>
      <c r="G360" s="489">
        <f t="shared" ca="1" si="456"/>
        <v>143.51391799573332</v>
      </c>
      <c r="H360" s="489">
        <f t="shared" ca="1" si="456"/>
        <v>142.72754036287998</v>
      </c>
      <c r="I360" s="489">
        <f t="shared" ca="1" si="456"/>
        <v>141.94116273002663</v>
      </c>
      <c r="J360" s="489">
        <f t="shared" ca="1" si="456"/>
        <v>141.15478509717332</v>
      </c>
      <c r="K360" s="489">
        <f t="shared" ca="1" si="456"/>
        <v>140.36840746431997</v>
      </c>
      <c r="L360" s="489">
        <f t="shared" ca="1" si="456"/>
        <v>139.69436949330284</v>
      </c>
      <c r="M360" s="489">
        <f t="shared" ca="1" si="456"/>
        <v>139.02033152228569</v>
      </c>
      <c r="N360" s="489">
        <f t="shared" ca="1" si="456"/>
        <v>138.34629355126856</v>
      </c>
      <c r="O360" s="489">
        <f t="shared" ca="1" si="456"/>
        <v>137.6722555802514</v>
      </c>
      <c r="P360" s="489">
        <f t="shared" ca="1" si="456"/>
        <v>136.99821760923427</v>
      </c>
      <c r="Q360" s="489">
        <f t="shared" ca="1" si="456"/>
        <v>136.32417963821712</v>
      </c>
      <c r="R360" s="489">
        <f t="shared" ca="1" si="456"/>
        <v>135.65014166719999</v>
      </c>
      <c r="S360" s="489">
        <f t="shared" ca="1" si="456"/>
        <v>129.7523094208</v>
      </c>
      <c r="T360" s="490">
        <f t="shared" ca="1" si="456"/>
        <v>123.8544771744</v>
      </c>
      <c r="U360" s="585"/>
      <c r="V360" s="276"/>
      <c r="W360" s="277"/>
      <c r="X360" s="277"/>
      <c r="Y360" s="277"/>
    </row>
    <row r="361" spans="1:25" s="279" customFormat="1">
      <c r="A361">
        <f>IF(B361="","",IFERROR(MATCH(B361,'Data Processing'!$C:$C,0),""))</f>
        <v>61</v>
      </c>
      <c r="B361" s="215">
        <v>9.3000000000000007</v>
      </c>
      <c r="C361" s="223" t="str">
        <f>INDEX('Data Processing'!$G:$G,A361)</f>
        <v>Time Deposits - Retail</v>
      </c>
      <c r="D361" s="249">
        <f>INDEX('Data Processing'!O:O,$A361)</f>
        <v>174.09592567000021</v>
      </c>
      <c r="E361" s="128">
        <f ca="1">INDEX('Data Processing'!P:P,$A361)</f>
        <v>172.92307371935848</v>
      </c>
      <c r="F361" s="128">
        <f ca="1">INDEX('Data Processing'!Q:Q,$A361)</f>
        <v>172.5261755283336</v>
      </c>
      <c r="G361" s="128">
        <f ca="1">INDEX('Data Processing'!R:R,$A361)</f>
        <v>172.13523835466694</v>
      </c>
      <c r="H361" s="128">
        <f ca="1">INDEX('Data Processing'!S:S,$A361)</f>
        <v>171.74377387318427</v>
      </c>
      <c r="I361" s="128">
        <f ca="1">INDEX('Data Processing'!T:T,$A361)</f>
        <v>171.35283789981497</v>
      </c>
      <c r="J361" s="128">
        <f ca="1">INDEX('Data Processing'!U:U,$A361)</f>
        <v>170.96190192644565</v>
      </c>
      <c r="K361" s="128">
        <f ca="1">INDEX('Data Processing'!V:V,$A361)</f>
        <v>170.56845139881912</v>
      </c>
      <c r="L361" s="128">
        <f ca="1">INDEX('Data Processing'!W:W,$A361)</f>
        <v>170.23201716735343</v>
      </c>
      <c r="M361" s="128">
        <f ca="1">INDEX('Data Processing'!X:X,$A361)</f>
        <v>169.88769137933281</v>
      </c>
      <c r="N361" s="128">
        <f ca="1">INDEX('Data Processing'!Y:Y,$A361)</f>
        <v>169.54994500941609</v>
      </c>
      <c r="O361" s="128">
        <f ca="1">INDEX('Data Processing'!Z:Z,$A361)</f>
        <v>169.19905293728971</v>
      </c>
      <c r="P361" s="128">
        <f ca="1">INDEX('Data Processing'!AA:AA,$A361)</f>
        <v>168.86402745322692</v>
      </c>
      <c r="Q361" s="128">
        <f ca="1">INDEX('Data Processing'!AB:AB,$A361)</f>
        <v>168.52900196916411</v>
      </c>
      <c r="R361" s="128">
        <f ca="1">INDEX('Data Processing'!AC:AC,$A361)</f>
        <v>168.1857003990923</v>
      </c>
      <c r="S361" s="287">
        <f ca="1">INDEX('Data Processing'!AD:AD,$A361)</f>
        <v>166.01354822412247</v>
      </c>
      <c r="T361" s="220">
        <f ca="1">INDEX('Data Processing'!AE:AE,$A361)</f>
        <v>163.68120499515226</v>
      </c>
      <c r="U361" s="278"/>
      <c r="V361" s="120"/>
    </row>
    <row r="362" spans="1:25" s="586" customFormat="1">
      <c r="A362" s="440" t="str">
        <f>IF(B362="","",IFERROR(MATCH(B362,'Data Processing'!$C:$C,0),""))</f>
        <v/>
      </c>
      <c r="B362" s="522"/>
      <c r="C362" s="565" t="s">
        <v>1005</v>
      </c>
      <c r="D362" s="488"/>
      <c r="E362" s="454">
        <f>D361</f>
        <v>174.09592567000021</v>
      </c>
      <c r="F362" s="454">
        <f t="shared" ref="F362" ca="1" si="457">E361</f>
        <v>172.92307371935848</v>
      </c>
      <c r="G362" s="454">
        <f t="shared" ref="G362" ca="1" si="458">F361</f>
        <v>172.5261755283336</v>
      </c>
      <c r="H362" s="454">
        <f t="shared" ref="H362" ca="1" si="459">G361</f>
        <v>172.13523835466694</v>
      </c>
      <c r="I362" s="454">
        <f t="shared" ref="I362" ca="1" si="460">H361</f>
        <v>171.74377387318427</v>
      </c>
      <c r="J362" s="454">
        <f t="shared" ref="J362" ca="1" si="461">I361</f>
        <v>171.35283789981497</v>
      </c>
      <c r="K362" s="454">
        <f t="shared" ref="K362" ca="1" si="462">J361</f>
        <v>170.96190192644565</v>
      </c>
      <c r="L362" s="454">
        <f t="shared" ref="L362" ca="1" si="463">K361</f>
        <v>170.56845139881912</v>
      </c>
      <c r="M362" s="454">
        <f t="shared" ref="M362" ca="1" si="464">L361</f>
        <v>170.23201716735343</v>
      </c>
      <c r="N362" s="454">
        <f t="shared" ref="N362" ca="1" si="465">M361</f>
        <v>169.88769137933281</v>
      </c>
      <c r="O362" s="454">
        <f t="shared" ref="O362" ca="1" si="466">N361</f>
        <v>169.54994500941609</v>
      </c>
      <c r="P362" s="454">
        <f t="shared" ref="P362" ca="1" si="467">O361</f>
        <v>169.19905293728971</v>
      </c>
      <c r="Q362" s="454">
        <f t="shared" ref="Q362" ca="1" si="468">P361</f>
        <v>168.86402745322692</v>
      </c>
      <c r="R362" s="454">
        <f t="shared" ref="R362" ca="1" si="469">Q361</f>
        <v>168.52900196916411</v>
      </c>
      <c r="S362" s="454">
        <f t="shared" ref="S362" ca="1" si="470">R361</f>
        <v>168.1857003990923</v>
      </c>
      <c r="T362" s="455">
        <f t="shared" ref="T362" ca="1" si="471">S361</f>
        <v>166.01354822412247</v>
      </c>
      <c r="U362" s="582"/>
      <c r="V362" s="233" t="s">
        <v>1045</v>
      </c>
      <c r="W362" s="268"/>
      <c r="X362" s="268"/>
      <c r="Y362" s="268"/>
    </row>
    <row r="363" spans="1:25" s="521" customFormat="1">
      <c r="A363" s="440" t="str">
        <f>IF(B363="","",IFERROR(MATCH(B363,'Data Processing'!$C:$C,0),""))</f>
        <v/>
      </c>
      <c r="B363" s="522"/>
      <c r="C363" s="565" t="s">
        <v>51</v>
      </c>
      <c r="D363" s="454"/>
      <c r="E363" s="454">
        <f t="shared" ref="E363:T363" si="472">E362</f>
        <v>174.09592567000021</v>
      </c>
      <c r="F363" s="454">
        <f t="shared" ca="1" si="472"/>
        <v>172.92307371935848</v>
      </c>
      <c r="G363" s="454">
        <f t="shared" ca="1" si="472"/>
        <v>172.5261755283336</v>
      </c>
      <c r="H363" s="454">
        <f t="shared" ca="1" si="472"/>
        <v>172.13523835466694</v>
      </c>
      <c r="I363" s="454">
        <f t="shared" ca="1" si="472"/>
        <v>171.74377387318427</v>
      </c>
      <c r="J363" s="454">
        <f t="shared" ca="1" si="472"/>
        <v>171.35283789981497</v>
      </c>
      <c r="K363" s="454">
        <f t="shared" ca="1" si="472"/>
        <v>170.96190192644565</v>
      </c>
      <c r="L363" s="454">
        <f t="shared" ca="1" si="472"/>
        <v>170.56845139881912</v>
      </c>
      <c r="M363" s="454">
        <f t="shared" ca="1" si="472"/>
        <v>170.23201716735343</v>
      </c>
      <c r="N363" s="454">
        <f t="shared" ca="1" si="472"/>
        <v>169.88769137933281</v>
      </c>
      <c r="O363" s="454">
        <f t="shared" ca="1" si="472"/>
        <v>169.54994500941609</v>
      </c>
      <c r="P363" s="454">
        <f t="shared" ca="1" si="472"/>
        <v>169.19905293728971</v>
      </c>
      <c r="Q363" s="454">
        <f t="shared" ca="1" si="472"/>
        <v>168.86402745322692</v>
      </c>
      <c r="R363" s="454">
        <f t="shared" ca="1" si="472"/>
        <v>168.52900196916411</v>
      </c>
      <c r="S363" s="454">
        <f t="shared" ca="1" si="472"/>
        <v>168.1857003990923</v>
      </c>
      <c r="T363" s="455">
        <f t="shared" ca="1" si="472"/>
        <v>166.01354822412247</v>
      </c>
      <c r="U363" s="524"/>
      <c r="V363" s="120"/>
      <c r="W363" s="126"/>
      <c r="X363" s="126"/>
      <c r="Y363" s="126"/>
    </row>
    <row r="364" spans="1:25" s="561" customFormat="1">
      <c r="A364" s="440" t="str">
        <f>IF(B364="","",IFERROR(MATCH(B364,'Data Processing'!$C:$C,0),""))</f>
        <v/>
      </c>
      <c r="B364" s="583"/>
      <c r="C364" s="567" t="s">
        <v>50</v>
      </c>
      <c r="D364" s="488"/>
      <c r="E364" s="553">
        <f ca="1">INDEX('Data Processing'!BU:BU,$A361)</f>
        <v>0.02</v>
      </c>
      <c r="F364" s="553">
        <f ca="1">INDEX('Data Processing'!BV:BV,$A361)</f>
        <v>0.04</v>
      </c>
      <c r="G364" s="553">
        <f ca="1">INDEX('Data Processing'!BW:BW,$A361)</f>
        <v>0.04</v>
      </c>
      <c r="H364" s="553">
        <f ca="1">INDEX('Data Processing'!BX:BX,$A361)</f>
        <v>0.04</v>
      </c>
      <c r="I364" s="553">
        <f ca="1">INDEX('Data Processing'!BY:BY,$A361)</f>
        <v>0.04</v>
      </c>
      <c r="J364" s="553">
        <f ca="1">INDEX('Data Processing'!BZ:BZ,$A361)</f>
        <v>0.04</v>
      </c>
      <c r="K364" s="553">
        <f ca="1">INDEX('Data Processing'!CA:CA,$A361)</f>
        <v>0.04</v>
      </c>
      <c r="L364" s="553">
        <f ca="1">INDEX('Data Processing'!CB:CB,$A361)</f>
        <v>0.06</v>
      </c>
      <c r="M364" s="553">
        <f ca="1">INDEX('Data Processing'!CC:CC,$A361)</f>
        <v>0.06</v>
      </c>
      <c r="N364" s="553">
        <f ca="1">INDEX('Data Processing'!CD:CD,$A361)</f>
        <v>0.06</v>
      </c>
      <c r="O364" s="553">
        <f ca="1">INDEX('Data Processing'!CE:CE,$A361)</f>
        <v>0.06</v>
      </c>
      <c r="P364" s="553">
        <f ca="1">INDEX('Data Processing'!CF:CF,$A361)</f>
        <v>0.06</v>
      </c>
      <c r="Q364" s="553">
        <f ca="1">INDEX('Data Processing'!CG:CG,$A361)</f>
        <v>0.06</v>
      </c>
      <c r="R364" s="553">
        <f ca="1">INDEX('Data Processing'!CH:CH,$A361)</f>
        <v>0.06</v>
      </c>
      <c r="S364" s="553">
        <f ca="1">INDEX('Data Processing'!CI:CI,$A361)</f>
        <v>0.08</v>
      </c>
      <c r="T364" s="554">
        <f ca="1">INDEX('Data Processing'!CJ:CJ,$A361)</f>
        <v>0.1</v>
      </c>
      <c r="U364" s="551"/>
      <c r="V364" s="271"/>
      <c r="W364" s="272"/>
      <c r="X364" s="272"/>
      <c r="Y364" s="272"/>
    </row>
    <row r="365" spans="1:25" s="587" customFormat="1">
      <c r="A365" s="440" t="str">
        <f>IF(B365="","",IFERROR(MATCH(B365,'Data Processing'!$C:$C,0),""))</f>
        <v/>
      </c>
      <c r="B365" s="522"/>
      <c r="C365" s="523" t="s">
        <v>998</v>
      </c>
      <c r="D365" s="504"/>
      <c r="E365" s="489">
        <f ca="1">INDEX('Data Processing'!AS:AS,$A361)</f>
        <v>1.1728519506417285</v>
      </c>
      <c r="F365" s="489">
        <f ca="1">INDEX('Data Processing'!AT:AT,$A361)</f>
        <v>0.39689819102488855</v>
      </c>
      <c r="G365" s="489">
        <f ca="1">INDEX('Data Processing'!AU:AU,$A361)</f>
        <v>0.39093717366665715</v>
      </c>
      <c r="H365" s="489">
        <f ca="1">INDEX('Data Processing'!AV:AV,$A361)</f>
        <v>0.39146448148267154</v>
      </c>
      <c r="I365" s="489">
        <f ca="1">INDEX('Data Processing'!AW:AW,$A361)</f>
        <v>0.3909359733692952</v>
      </c>
      <c r="J365" s="489">
        <f ca="1">INDEX('Data Processing'!AX:AX,$A361)</f>
        <v>0.39093597336932362</v>
      </c>
      <c r="K365" s="489">
        <f ca="1">INDEX('Data Processing'!AY:AY,$A361)</f>
        <v>0.39345052762652699</v>
      </c>
      <c r="L365" s="489">
        <f ca="1">INDEX('Data Processing'!AZ:AZ,$A361)</f>
        <v>0.33643423146568807</v>
      </c>
      <c r="M365" s="489">
        <f ca="1">INDEX('Data Processing'!BA:BA,$A361)</f>
        <v>0.34432578802062608</v>
      </c>
      <c r="N365" s="489">
        <f ca="1">INDEX('Data Processing'!BB:BB,$A361)</f>
        <v>0.33774636991671514</v>
      </c>
      <c r="O365" s="489">
        <f ca="1">INDEX('Data Processing'!BC:BC,$A361)</f>
        <v>0.35089207212638485</v>
      </c>
      <c r="P365" s="489">
        <f ca="1">INDEX('Data Processing'!BD:BD,$A361)</f>
        <v>0.33502548406278265</v>
      </c>
      <c r="Q365" s="489">
        <f ca="1">INDEX('Data Processing'!BE:BE,$A361)</f>
        <v>0.33502548406281107</v>
      </c>
      <c r="R365" s="489">
        <f ca="1">INDEX('Data Processing'!BF:BF,$A361)</f>
        <v>0.34330157007181583</v>
      </c>
      <c r="S365" s="489">
        <f ca="1">INDEX('Data Processing'!BG:BG,$A361)</f>
        <v>2.172152174969824</v>
      </c>
      <c r="T365" s="490">
        <f ca="1">INDEX('Data Processing'!BH:BH,$A361)</f>
        <v>2.3323432289702168</v>
      </c>
      <c r="U365" s="585"/>
      <c r="V365" s="276"/>
      <c r="W365" s="277"/>
      <c r="X365" s="277"/>
      <c r="Y365" s="277"/>
    </row>
    <row r="366" spans="1:25" s="587" customFormat="1">
      <c r="A366" s="440" t="str">
        <f>IF(B366="","",IFERROR(MATCH(B366,'Data Processing'!$C:$C,0),""))</f>
        <v/>
      </c>
      <c r="B366" s="522"/>
      <c r="C366" s="523" t="s">
        <v>1012</v>
      </c>
      <c r="D366" s="488"/>
      <c r="E366" s="489">
        <f t="shared" ref="E366:T366" ca="1" si="473">E362-E365</f>
        <v>172.92307371935848</v>
      </c>
      <c r="F366" s="489">
        <f t="shared" ca="1" si="473"/>
        <v>172.5261755283336</v>
      </c>
      <c r="G366" s="489">
        <f t="shared" ca="1" si="473"/>
        <v>172.13523835466694</v>
      </c>
      <c r="H366" s="489">
        <f t="shared" ca="1" si="473"/>
        <v>171.74377387318427</v>
      </c>
      <c r="I366" s="489">
        <f t="shared" ca="1" si="473"/>
        <v>171.35283789981497</v>
      </c>
      <c r="J366" s="489">
        <f t="shared" ca="1" si="473"/>
        <v>170.96190192644565</v>
      </c>
      <c r="K366" s="489">
        <f t="shared" ca="1" si="473"/>
        <v>170.56845139881912</v>
      </c>
      <c r="L366" s="489">
        <f t="shared" ca="1" si="473"/>
        <v>170.23201716735343</v>
      </c>
      <c r="M366" s="489">
        <f t="shared" ca="1" si="473"/>
        <v>169.88769137933281</v>
      </c>
      <c r="N366" s="489">
        <f t="shared" ca="1" si="473"/>
        <v>169.54994500941609</v>
      </c>
      <c r="O366" s="489">
        <f t="shared" ca="1" si="473"/>
        <v>169.19905293728971</v>
      </c>
      <c r="P366" s="489">
        <f t="shared" ca="1" si="473"/>
        <v>168.86402745322692</v>
      </c>
      <c r="Q366" s="489">
        <f t="shared" ca="1" si="473"/>
        <v>168.52900196916411</v>
      </c>
      <c r="R366" s="489">
        <f t="shared" ca="1" si="473"/>
        <v>168.1857003990923</v>
      </c>
      <c r="S366" s="489">
        <f t="shared" ca="1" si="473"/>
        <v>166.01354822412247</v>
      </c>
      <c r="T366" s="490">
        <f t="shared" ca="1" si="473"/>
        <v>163.68120499515226</v>
      </c>
      <c r="U366" s="585"/>
      <c r="V366" s="276"/>
      <c r="W366" s="277"/>
      <c r="X366" s="277"/>
      <c r="Y366" s="277"/>
    </row>
    <row r="367" spans="1:25" s="279" customFormat="1">
      <c r="A367">
        <f>IF(B367="","",IFERROR(MATCH(B367,'Data Processing'!$C:$C,0),""))</f>
        <v>62</v>
      </c>
      <c r="B367" s="215">
        <v>9.4</v>
      </c>
      <c r="C367" s="223" t="str">
        <f>INDEX('Data Processing'!$G:$G,A367)</f>
        <v>Time Deposits - Corporates</v>
      </c>
      <c r="D367" s="249">
        <f>INDEX('Data Processing'!O:O,$A367)</f>
        <v>2649.5570429800018</v>
      </c>
      <c r="E367" s="128">
        <f ca="1">INDEX('Data Processing'!P:P,$A367)</f>
        <v>2592.3506514681303</v>
      </c>
      <c r="F367" s="128">
        <f ca="1">INDEX('Data Processing'!Q:Q,$A367)</f>
        <v>2573.2818542975065</v>
      </c>
      <c r="G367" s="128">
        <f ca="1">INDEX('Data Processing'!R:R,$A367)</f>
        <v>2546.396835996693</v>
      </c>
      <c r="H367" s="128">
        <f ca="1">INDEX('Data Processing'!S:S,$A367)</f>
        <v>2520.9172260827127</v>
      </c>
      <c r="I367" s="128">
        <f ca="1">INDEX('Data Processing'!T:T,$A367)</f>
        <v>2501.9554415296975</v>
      </c>
      <c r="J367" s="128">
        <f ca="1">INDEX('Data Processing'!U:U,$A367)</f>
        <v>2482.9936569766824</v>
      </c>
      <c r="K367" s="128">
        <f ca="1">INDEX('Data Processing'!V:V,$A367)</f>
        <v>2415.2390070467432</v>
      </c>
      <c r="L367" s="128">
        <f ca="1">INDEX('Data Processing'!W:W,$A367)</f>
        <v>2395.8613830720378</v>
      </c>
      <c r="M367" s="128">
        <f ca="1">INDEX('Data Processing'!X:X,$A367)</f>
        <v>2311.7448419601847</v>
      </c>
      <c r="N367" s="128">
        <f ca="1">INDEX('Data Processing'!Y:Y,$A367)</f>
        <v>2274.0201791368672</v>
      </c>
      <c r="O367" s="128">
        <f ca="1">INDEX('Data Processing'!Z:Z,$A367)</f>
        <v>2258.5788152476284</v>
      </c>
      <c r="P367" s="128">
        <f ca="1">INDEX('Data Processing'!AA:AA,$A367)</f>
        <v>2243.2773227872995</v>
      </c>
      <c r="Q367" s="128">
        <f ca="1">INDEX('Data Processing'!AB:AB,$A367)</f>
        <v>2227.97583032697</v>
      </c>
      <c r="R367" s="128">
        <f ca="1">INDEX('Data Processing'!AC:AC,$A367)</f>
        <v>2177.0035808830398</v>
      </c>
      <c r="S367" s="287">
        <f ca="1">INDEX('Data Processing'!AD:AD,$A367)</f>
        <v>2042.257000597725</v>
      </c>
      <c r="T367" s="220">
        <f ca="1">INDEX('Data Processing'!AE:AE,$A367)</f>
        <v>1870.6005534815981</v>
      </c>
      <c r="U367" s="278"/>
      <c r="V367" s="120"/>
    </row>
    <row r="368" spans="1:25" s="586" customFormat="1">
      <c r="A368" s="440" t="str">
        <f>IF(B368="","",IFERROR(MATCH(B368,'Data Processing'!$C:$C,0),""))</f>
        <v/>
      </c>
      <c r="B368" s="522"/>
      <c r="C368" s="565" t="s">
        <v>1005</v>
      </c>
      <c r="D368" s="488"/>
      <c r="E368" s="454">
        <f>D367</f>
        <v>2649.5570429800018</v>
      </c>
      <c r="F368" s="454">
        <f t="shared" ref="F368" ca="1" si="474">E367</f>
        <v>2592.3506514681303</v>
      </c>
      <c r="G368" s="454">
        <f t="shared" ref="G368" ca="1" si="475">F367</f>
        <v>2573.2818542975065</v>
      </c>
      <c r="H368" s="454">
        <f t="shared" ref="H368" ca="1" si="476">G367</f>
        <v>2546.396835996693</v>
      </c>
      <c r="I368" s="454">
        <f t="shared" ref="I368" ca="1" si="477">H367</f>
        <v>2520.9172260827127</v>
      </c>
      <c r="J368" s="454">
        <f t="shared" ref="J368" ca="1" si="478">I367</f>
        <v>2501.9554415296975</v>
      </c>
      <c r="K368" s="454">
        <f t="shared" ref="K368" ca="1" si="479">J367</f>
        <v>2482.9936569766824</v>
      </c>
      <c r="L368" s="454">
        <f t="shared" ref="L368" ca="1" si="480">K367</f>
        <v>2415.2390070467432</v>
      </c>
      <c r="M368" s="454">
        <f t="shared" ref="M368" ca="1" si="481">L367</f>
        <v>2395.8613830720378</v>
      </c>
      <c r="N368" s="454">
        <f t="shared" ref="N368" ca="1" si="482">M367</f>
        <v>2311.7448419601847</v>
      </c>
      <c r="O368" s="454">
        <f t="shared" ref="O368" ca="1" si="483">N367</f>
        <v>2274.0201791368672</v>
      </c>
      <c r="P368" s="454">
        <f t="shared" ref="P368" ca="1" si="484">O367</f>
        <v>2258.5788152476284</v>
      </c>
      <c r="Q368" s="454">
        <f t="shared" ref="Q368" ca="1" si="485">P367</f>
        <v>2243.2773227872995</v>
      </c>
      <c r="R368" s="454">
        <f t="shared" ref="R368" ca="1" si="486">Q367</f>
        <v>2227.97583032697</v>
      </c>
      <c r="S368" s="454">
        <f t="shared" ref="S368" ca="1" si="487">R367</f>
        <v>2177.0035808830398</v>
      </c>
      <c r="T368" s="455">
        <f t="shared" ref="T368" ca="1" si="488">S367</f>
        <v>2042.257000597725</v>
      </c>
      <c r="U368" s="582"/>
      <c r="V368" s="233" t="s">
        <v>1045</v>
      </c>
      <c r="W368" s="268"/>
      <c r="X368" s="268"/>
      <c r="Y368" s="268"/>
    </row>
    <row r="369" spans="1:25" s="521" customFormat="1">
      <c r="A369" s="440" t="str">
        <f>IF(B369="","",IFERROR(MATCH(B369,'Data Processing'!$C:$C,0),""))</f>
        <v/>
      </c>
      <c r="B369" s="522"/>
      <c r="C369" s="565" t="s">
        <v>51</v>
      </c>
      <c r="D369" s="454"/>
      <c r="E369" s="454">
        <f t="shared" ref="E369:T369" si="489">E368</f>
        <v>2649.5570429800018</v>
      </c>
      <c r="F369" s="454">
        <f t="shared" ca="1" si="489"/>
        <v>2592.3506514681303</v>
      </c>
      <c r="G369" s="454">
        <f t="shared" ca="1" si="489"/>
        <v>2573.2818542975065</v>
      </c>
      <c r="H369" s="454">
        <f t="shared" ca="1" si="489"/>
        <v>2546.396835996693</v>
      </c>
      <c r="I369" s="454">
        <f t="shared" ca="1" si="489"/>
        <v>2520.9172260827127</v>
      </c>
      <c r="J369" s="454">
        <f t="shared" ca="1" si="489"/>
        <v>2501.9554415296975</v>
      </c>
      <c r="K369" s="454">
        <f t="shared" ca="1" si="489"/>
        <v>2482.9936569766824</v>
      </c>
      <c r="L369" s="454">
        <f t="shared" ca="1" si="489"/>
        <v>2415.2390070467432</v>
      </c>
      <c r="M369" s="454">
        <f t="shared" ca="1" si="489"/>
        <v>2395.8613830720378</v>
      </c>
      <c r="N369" s="454">
        <f t="shared" ca="1" si="489"/>
        <v>2311.7448419601847</v>
      </c>
      <c r="O369" s="454">
        <f t="shared" ca="1" si="489"/>
        <v>2274.0201791368672</v>
      </c>
      <c r="P369" s="454">
        <f t="shared" ca="1" si="489"/>
        <v>2258.5788152476284</v>
      </c>
      <c r="Q369" s="454">
        <f t="shared" ca="1" si="489"/>
        <v>2243.2773227872995</v>
      </c>
      <c r="R369" s="454">
        <f t="shared" ca="1" si="489"/>
        <v>2227.97583032697</v>
      </c>
      <c r="S369" s="454">
        <f t="shared" ca="1" si="489"/>
        <v>2177.0035808830398</v>
      </c>
      <c r="T369" s="455">
        <f t="shared" ca="1" si="489"/>
        <v>2042.257000597725</v>
      </c>
      <c r="U369" s="524"/>
      <c r="V369" s="120"/>
      <c r="W369" s="126"/>
      <c r="X369" s="126"/>
      <c r="Y369" s="126"/>
    </row>
    <row r="370" spans="1:25" s="561" customFormat="1">
      <c r="A370" s="440" t="str">
        <f>IF(B370="","",IFERROR(MATCH(B370,'Data Processing'!$C:$C,0),""))</f>
        <v/>
      </c>
      <c r="B370" s="583"/>
      <c r="C370" s="567" t="s">
        <v>50</v>
      </c>
      <c r="D370" s="488"/>
      <c r="E370" s="553">
        <f ca="1">INDEX('Data Processing'!BU:BU,$A367)</f>
        <v>0.08</v>
      </c>
      <c r="F370" s="553">
        <f ca="1">INDEX('Data Processing'!BV:BV,$A367)</f>
        <v>0.16</v>
      </c>
      <c r="G370" s="553">
        <f ca="1">INDEX('Data Processing'!BW:BW,$A367)</f>
        <v>0.16</v>
      </c>
      <c r="H370" s="553">
        <f ca="1">INDEX('Data Processing'!BX:BX,$A367)</f>
        <v>0.16</v>
      </c>
      <c r="I370" s="553">
        <f ca="1">INDEX('Data Processing'!BY:BY,$A367)</f>
        <v>0.16</v>
      </c>
      <c r="J370" s="553">
        <f ca="1">INDEX('Data Processing'!BZ:BZ,$A367)</f>
        <v>0.16</v>
      </c>
      <c r="K370" s="553">
        <f ca="1">INDEX('Data Processing'!CA:CA,$A367)</f>
        <v>0.16</v>
      </c>
      <c r="L370" s="553">
        <f ca="1">INDEX('Data Processing'!CB:CB,$A367)</f>
        <v>0.24</v>
      </c>
      <c r="M370" s="553">
        <f ca="1">INDEX('Data Processing'!CC:CC,$A367)</f>
        <v>0.24</v>
      </c>
      <c r="N370" s="553">
        <f ca="1">INDEX('Data Processing'!CD:CD,$A367)</f>
        <v>0.24</v>
      </c>
      <c r="O370" s="553">
        <f ca="1">INDEX('Data Processing'!CE:CE,$A367)</f>
        <v>0.24</v>
      </c>
      <c r="P370" s="553">
        <f ca="1">INDEX('Data Processing'!CF:CF,$A367)</f>
        <v>0.24</v>
      </c>
      <c r="Q370" s="553">
        <f ca="1">INDEX('Data Processing'!CG:CG,$A367)</f>
        <v>0.24</v>
      </c>
      <c r="R370" s="553">
        <f ca="1">INDEX('Data Processing'!CH:CH,$A367)</f>
        <v>0.24</v>
      </c>
      <c r="S370" s="553">
        <f ca="1">INDEX('Data Processing'!CI:CI,$A367)</f>
        <v>0.32</v>
      </c>
      <c r="T370" s="554">
        <f ca="1">INDEX('Data Processing'!CJ:CJ,$A367)</f>
        <v>0.4</v>
      </c>
      <c r="U370" s="551"/>
      <c r="V370" s="271"/>
      <c r="W370" s="272"/>
      <c r="X370" s="272"/>
      <c r="Y370" s="272"/>
    </row>
    <row r="371" spans="1:25" s="587" customFormat="1">
      <c r="A371" s="440" t="str">
        <f>IF(B371="","",IFERROR(MATCH(B371,'Data Processing'!$C:$C,0),""))</f>
        <v/>
      </c>
      <c r="B371" s="522"/>
      <c r="C371" s="523" t="s">
        <v>998</v>
      </c>
      <c r="D371" s="504"/>
      <c r="E371" s="489">
        <f ca="1">INDEX('Data Processing'!AS:AS,$A367)</f>
        <v>57.206391511871516</v>
      </c>
      <c r="F371" s="489">
        <f ca="1">INDEX('Data Processing'!AT:AT,$A367)</f>
        <v>19.068797170623839</v>
      </c>
      <c r="G371" s="489">
        <f ca="1">INDEX('Data Processing'!AU:AU,$A367)</f>
        <v>26.885018300813499</v>
      </c>
      <c r="H371" s="489">
        <f ca="1">INDEX('Data Processing'!AV:AV,$A367)</f>
        <v>25.479609913980312</v>
      </c>
      <c r="I371" s="489">
        <f ca="1">INDEX('Data Processing'!AW:AW,$A367)</f>
        <v>18.96178455301515</v>
      </c>
      <c r="J371" s="489">
        <f ca="1">INDEX('Data Processing'!AX:AX,$A367)</f>
        <v>18.96178455301515</v>
      </c>
      <c r="K371" s="489">
        <f ca="1">INDEX('Data Processing'!AY:AY,$A367)</f>
        <v>67.754649929939205</v>
      </c>
      <c r="L371" s="489">
        <f ca="1">INDEX('Data Processing'!AZ:AZ,$A367)</f>
        <v>19.37762397470533</v>
      </c>
      <c r="M371" s="489">
        <f ca="1">INDEX('Data Processing'!BA:BA,$A367)</f>
        <v>84.116541111853167</v>
      </c>
      <c r="N371" s="489">
        <f ca="1">INDEX('Data Processing'!BB:BB,$A367)</f>
        <v>37.724662823317431</v>
      </c>
      <c r="O371" s="489">
        <f ca="1">INDEX('Data Processing'!BC:BC,$A367)</f>
        <v>15.441363889238801</v>
      </c>
      <c r="P371" s="489">
        <f ca="1">INDEX('Data Processing'!BD:BD,$A367)</f>
        <v>15.301492460328973</v>
      </c>
      <c r="Q371" s="489">
        <f ca="1">INDEX('Data Processing'!BE:BE,$A367)</f>
        <v>15.301492460329428</v>
      </c>
      <c r="R371" s="489">
        <f ca="1">INDEX('Data Processing'!BF:BF,$A367)</f>
        <v>50.972249443930195</v>
      </c>
      <c r="S371" s="489">
        <f ca="1">INDEX('Data Processing'!BG:BG,$A367)</f>
        <v>134.74658028531485</v>
      </c>
      <c r="T371" s="490">
        <f ca="1">INDEX('Data Processing'!BH:BH,$A367)</f>
        <v>171.65644711612686</v>
      </c>
      <c r="U371" s="585"/>
      <c r="V371" s="276"/>
      <c r="W371" s="277"/>
      <c r="X371" s="277"/>
      <c r="Y371" s="277"/>
    </row>
    <row r="372" spans="1:25" s="587" customFormat="1">
      <c r="A372" s="440" t="str">
        <f>IF(B372="","",IFERROR(MATCH(B372,'Data Processing'!$C:$C,0),""))</f>
        <v/>
      </c>
      <c r="B372" s="522"/>
      <c r="C372" s="523" t="s">
        <v>1012</v>
      </c>
      <c r="D372" s="488"/>
      <c r="E372" s="489">
        <f t="shared" ref="E372:T372" ca="1" si="490">E368-E371</f>
        <v>2592.3506514681303</v>
      </c>
      <c r="F372" s="489">
        <f t="shared" ca="1" si="490"/>
        <v>2573.2818542975065</v>
      </c>
      <c r="G372" s="489">
        <f t="shared" ca="1" si="490"/>
        <v>2546.396835996693</v>
      </c>
      <c r="H372" s="489">
        <f t="shared" ca="1" si="490"/>
        <v>2520.9172260827127</v>
      </c>
      <c r="I372" s="489">
        <f t="shared" ca="1" si="490"/>
        <v>2501.9554415296975</v>
      </c>
      <c r="J372" s="489">
        <f t="shared" ca="1" si="490"/>
        <v>2482.9936569766824</v>
      </c>
      <c r="K372" s="489">
        <f t="shared" ca="1" si="490"/>
        <v>2415.2390070467432</v>
      </c>
      <c r="L372" s="489">
        <f t="shared" ca="1" si="490"/>
        <v>2395.8613830720378</v>
      </c>
      <c r="M372" s="489">
        <f t="shared" ca="1" si="490"/>
        <v>2311.7448419601847</v>
      </c>
      <c r="N372" s="489">
        <f t="shared" ca="1" si="490"/>
        <v>2274.0201791368672</v>
      </c>
      <c r="O372" s="489">
        <f t="shared" ca="1" si="490"/>
        <v>2258.5788152476284</v>
      </c>
      <c r="P372" s="489">
        <f t="shared" ca="1" si="490"/>
        <v>2243.2773227872995</v>
      </c>
      <c r="Q372" s="489">
        <f t="shared" ca="1" si="490"/>
        <v>2227.97583032697</v>
      </c>
      <c r="R372" s="489">
        <f t="shared" ca="1" si="490"/>
        <v>2177.0035808830398</v>
      </c>
      <c r="S372" s="489">
        <f t="shared" ca="1" si="490"/>
        <v>2042.257000597725</v>
      </c>
      <c r="T372" s="490">
        <f t="shared" ca="1" si="490"/>
        <v>1870.6005534815981</v>
      </c>
      <c r="U372" s="585"/>
      <c r="V372" s="276"/>
      <c r="W372" s="277"/>
      <c r="X372" s="277"/>
      <c r="Y372" s="277"/>
    </row>
    <row r="373" spans="1:25" s="260" customFormat="1">
      <c r="A373" t="str">
        <f>IF(B373="","",IFERROR(MATCH(B373,'Data Processing'!$C:$C,0),""))</f>
        <v/>
      </c>
      <c r="B373" s="307">
        <v>10</v>
      </c>
      <c r="C373" s="206" t="s">
        <v>1173</v>
      </c>
      <c r="D373" s="326">
        <f>SUMIFS(D374:D409,$B374:$B409,"&lt;&gt;")</f>
        <v>13991.841290229999</v>
      </c>
      <c r="E373" s="309">
        <f t="shared" ref="E373:T373" ca="1" si="491">SUMIFS(E374:E409,$B374:$B409,"&lt;&gt;")</f>
        <v>13919.98765474724</v>
      </c>
      <c r="F373" s="309">
        <f t="shared" ca="1" si="491"/>
        <v>13896.036442919652</v>
      </c>
      <c r="G373" s="309">
        <f t="shared" ca="1" si="491"/>
        <v>13872.085231092067</v>
      </c>
      <c r="H373" s="309">
        <f t="shared" ca="1" si="491"/>
        <v>13848.134019264478</v>
      </c>
      <c r="I373" s="309">
        <f t="shared" ca="1" si="491"/>
        <v>13824.182807436893</v>
      </c>
      <c r="J373" s="309">
        <f t="shared" ca="1" si="491"/>
        <v>13800.231595609306</v>
      </c>
      <c r="K373" s="309">
        <f t="shared" ca="1" si="491"/>
        <v>13776.280383781719</v>
      </c>
      <c r="L373" s="309">
        <f t="shared" ca="1" si="491"/>
        <v>13755.750773643787</v>
      </c>
      <c r="M373" s="309">
        <f t="shared" ca="1" si="491"/>
        <v>13735.221163505857</v>
      </c>
      <c r="N373" s="309">
        <f t="shared" ca="1" si="491"/>
        <v>13714.691553367928</v>
      </c>
      <c r="O373" s="309">
        <f t="shared" ca="1" si="491"/>
        <v>13694.161943229992</v>
      </c>
      <c r="P373" s="309">
        <f t="shared" ca="1" si="491"/>
        <v>13673.63233309206</v>
      </c>
      <c r="Q373" s="309">
        <f t="shared" ca="1" si="491"/>
        <v>13653.102722954131</v>
      </c>
      <c r="R373" s="309">
        <f t="shared" ca="1" si="491"/>
        <v>13632.573112816201</v>
      </c>
      <c r="S373" s="309">
        <f t="shared" ca="1" si="491"/>
        <v>11672.554117011599</v>
      </c>
      <c r="T373" s="310">
        <f t="shared" ca="1" si="491"/>
        <v>11058.245091206998</v>
      </c>
      <c r="U373" s="258"/>
      <c r="V373" s="210"/>
    </row>
    <row r="374" spans="1:25" s="219" customFormat="1">
      <c r="A374">
        <f>IF(B374="","",IFERROR(MATCH(B374,'Data Processing'!$C:$C,0),""))</f>
        <v>63</v>
      </c>
      <c r="B374" s="127" t="s">
        <v>1227</v>
      </c>
      <c r="C374" s="327" t="str">
        <f>INDEX('Data Processing'!$G:$G,A374)</f>
        <v>FDIC Sweep Deposits - Retail - Custodial IND</v>
      </c>
      <c r="D374" s="323">
        <f>INDEX('Data Processing'!O:O,$A374)</f>
        <v>2989.0659873999998</v>
      </c>
      <c r="E374" s="174">
        <f ca="1">INDEX('Data Processing'!P:P,$A374)</f>
        <v>2953.1971955511999</v>
      </c>
      <c r="F374" s="174">
        <f ca="1">INDEX('Data Processing'!Q:Q,$A374)</f>
        <v>2941.2409316015996</v>
      </c>
      <c r="G374" s="174">
        <f ca="1">INDEX('Data Processing'!R:R,$A374)</f>
        <v>2929.2846676519998</v>
      </c>
      <c r="H374" s="174">
        <f ca="1">INDEX('Data Processing'!S:S,$A374)</f>
        <v>2917.3284037024</v>
      </c>
      <c r="I374" s="174">
        <f ca="1">INDEX('Data Processing'!T:T,$A374)</f>
        <v>2905.3721397527997</v>
      </c>
      <c r="J374" s="174">
        <f ca="1">INDEX('Data Processing'!U:U,$A374)</f>
        <v>2893.4158758031999</v>
      </c>
      <c r="K374" s="174">
        <f ca="1">INDEX('Data Processing'!V:V,$A374)</f>
        <v>2881.4596118535997</v>
      </c>
      <c r="L374" s="174">
        <f ca="1">INDEX('Data Processing'!W:W,$A374)</f>
        <v>2871.2113856110855</v>
      </c>
      <c r="M374" s="174">
        <f ca="1">INDEX('Data Processing'!X:X,$A374)</f>
        <v>2860.9631593685713</v>
      </c>
      <c r="N374" s="174">
        <f ca="1">INDEX('Data Processing'!Y:Y,$A374)</f>
        <v>2850.7149331260571</v>
      </c>
      <c r="O374" s="174">
        <f ca="1">INDEX('Data Processing'!Z:Z,$A374)</f>
        <v>2840.4667068835429</v>
      </c>
      <c r="P374" s="174">
        <f ca="1">INDEX('Data Processing'!AA:AA,$A374)</f>
        <v>2830.2184806410282</v>
      </c>
      <c r="Q374" s="174">
        <f ca="1">INDEX('Data Processing'!AB:AB,$A374)</f>
        <v>2819.970254398514</v>
      </c>
      <c r="R374" s="174">
        <f ca="1">INDEX('Data Processing'!AC:AC,$A374)</f>
        <v>2809.7220281559999</v>
      </c>
      <c r="S374" s="174">
        <f ca="1">INDEX('Data Processing'!AD:AD,$A374)</f>
        <v>2749.9407084079999</v>
      </c>
      <c r="T374" s="175">
        <f ca="1">INDEX('Data Processing'!AE:AE,$A374)</f>
        <v>2690.1593886599999</v>
      </c>
      <c r="U374" s="218"/>
      <c r="V374" s="233" t="s">
        <v>1050</v>
      </c>
    </row>
    <row r="375" spans="1:25" s="587" customFormat="1" ht="30">
      <c r="A375" s="440" t="str">
        <f>IF(B375="","",IFERROR(MATCH(B375,'Data Processing'!$C:$C,0),""))</f>
        <v/>
      </c>
      <c r="B375" s="581"/>
      <c r="C375" s="565" t="s">
        <v>1005</v>
      </c>
      <c r="D375" s="488"/>
      <c r="E375" s="454">
        <f>D374</f>
        <v>2989.0659873999998</v>
      </c>
      <c r="F375" s="454">
        <f t="shared" ref="F375:T375" ca="1" si="492">E374</f>
        <v>2953.1971955511999</v>
      </c>
      <c r="G375" s="454">
        <f t="shared" ca="1" si="492"/>
        <v>2941.2409316015996</v>
      </c>
      <c r="H375" s="454">
        <f t="shared" ca="1" si="492"/>
        <v>2929.2846676519998</v>
      </c>
      <c r="I375" s="454">
        <f t="shared" ca="1" si="492"/>
        <v>2917.3284037024</v>
      </c>
      <c r="J375" s="454">
        <f t="shared" ca="1" si="492"/>
        <v>2905.3721397527997</v>
      </c>
      <c r="K375" s="454">
        <f t="shared" ca="1" si="492"/>
        <v>2893.4158758031999</v>
      </c>
      <c r="L375" s="454">
        <f t="shared" ca="1" si="492"/>
        <v>2881.4596118535997</v>
      </c>
      <c r="M375" s="454">
        <f t="shared" ca="1" si="492"/>
        <v>2871.2113856110855</v>
      </c>
      <c r="N375" s="454">
        <f t="shared" ca="1" si="492"/>
        <v>2860.9631593685713</v>
      </c>
      <c r="O375" s="454">
        <f t="shared" ca="1" si="492"/>
        <v>2850.7149331260571</v>
      </c>
      <c r="P375" s="454">
        <f t="shared" ca="1" si="492"/>
        <v>2840.4667068835429</v>
      </c>
      <c r="Q375" s="454">
        <f t="shared" ca="1" si="492"/>
        <v>2830.2184806410282</v>
      </c>
      <c r="R375" s="454">
        <f t="shared" ca="1" si="492"/>
        <v>2819.970254398514</v>
      </c>
      <c r="S375" s="454">
        <f t="shared" ca="1" si="492"/>
        <v>2809.7220281559999</v>
      </c>
      <c r="T375" s="455">
        <f t="shared" ca="1" si="492"/>
        <v>2749.9407084079999</v>
      </c>
      <c r="U375" s="585"/>
      <c r="V375" s="461" t="s">
        <v>1040</v>
      </c>
      <c r="W375" s="462"/>
      <c r="X375" s="462"/>
      <c r="Y375" s="462"/>
    </row>
    <row r="376" spans="1:25" s="561" customFormat="1">
      <c r="A376" s="440" t="str">
        <f>IF(B376="","",IFERROR(MATCH(B376,'Data Processing'!$C:$C,0),""))</f>
        <v/>
      </c>
      <c r="B376" s="583"/>
      <c r="C376" s="567" t="s">
        <v>51</v>
      </c>
      <c r="D376" s="488"/>
      <c r="E376" s="488">
        <f t="shared" ref="E376:T376" si="493">E375</f>
        <v>2989.0659873999998</v>
      </c>
      <c r="F376" s="589">
        <f t="shared" ca="1" si="493"/>
        <v>2953.1971955511999</v>
      </c>
      <c r="G376" s="589">
        <f t="shared" ca="1" si="493"/>
        <v>2941.2409316015996</v>
      </c>
      <c r="H376" s="589">
        <f t="shared" ca="1" si="493"/>
        <v>2929.2846676519998</v>
      </c>
      <c r="I376" s="589">
        <f t="shared" ca="1" si="493"/>
        <v>2917.3284037024</v>
      </c>
      <c r="J376" s="589">
        <f t="shared" ca="1" si="493"/>
        <v>2905.3721397527997</v>
      </c>
      <c r="K376" s="589">
        <f t="shared" ca="1" si="493"/>
        <v>2893.4158758031999</v>
      </c>
      <c r="L376" s="589">
        <f t="shared" ca="1" si="493"/>
        <v>2881.4596118535997</v>
      </c>
      <c r="M376" s="589">
        <f t="shared" ca="1" si="493"/>
        <v>2871.2113856110855</v>
      </c>
      <c r="N376" s="589">
        <f t="shared" ca="1" si="493"/>
        <v>2860.9631593685713</v>
      </c>
      <c r="O376" s="589">
        <f t="shared" ca="1" si="493"/>
        <v>2850.7149331260571</v>
      </c>
      <c r="P376" s="589">
        <f t="shared" ca="1" si="493"/>
        <v>2840.4667068835429</v>
      </c>
      <c r="Q376" s="589">
        <f t="shared" ca="1" si="493"/>
        <v>2830.2184806410282</v>
      </c>
      <c r="R376" s="589">
        <f t="shared" ca="1" si="493"/>
        <v>2819.970254398514</v>
      </c>
      <c r="S376" s="589">
        <f t="shared" ca="1" si="493"/>
        <v>2809.7220281559999</v>
      </c>
      <c r="T376" s="590">
        <f t="shared" ca="1" si="493"/>
        <v>2749.9407084079999</v>
      </c>
      <c r="U376" s="551"/>
      <c r="V376" s="298"/>
      <c r="W376" s="299"/>
      <c r="X376" s="299"/>
      <c r="Y376" s="299"/>
    </row>
    <row r="377" spans="1:25" s="561" customFormat="1">
      <c r="A377" s="440" t="str">
        <f>IF(B377="","",IFERROR(MATCH(B377,'Data Processing'!$C:$C,0),""))</f>
        <v/>
      </c>
      <c r="B377" s="583"/>
      <c r="C377" s="567" t="s">
        <v>50</v>
      </c>
      <c r="D377" s="488"/>
      <c r="E377" s="553">
        <f ca="1">INDEX('Data Processing'!BU:BU,$A374)</f>
        <v>1.2E-2</v>
      </c>
      <c r="F377" s="553">
        <f ca="1">INDEX('Data Processing'!BV:BV,$A374)</f>
        <v>4.0000000000000001E-3</v>
      </c>
      <c r="G377" s="553">
        <f ca="1">INDEX('Data Processing'!BW:BW,$A374)</f>
        <v>4.0000000000000001E-3</v>
      </c>
      <c r="H377" s="553">
        <f ca="1">INDEX('Data Processing'!BX:BX,$A374)</f>
        <v>4.0000000000000001E-3</v>
      </c>
      <c r="I377" s="553">
        <f ca="1">INDEX('Data Processing'!BY:BY,$A374)</f>
        <v>4.0000000000000001E-3</v>
      </c>
      <c r="J377" s="553">
        <f ca="1">INDEX('Data Processing'!BZ:BZ,$A374)</f>
        <v>4.0000000000000001E-3</v>
      </c>
      <c r="K377" s="553">
        <f ca="1">INDEX('Data Processing'!CA:CA,$A374)</f>
        <v>4.0000000000000001E-3</v>
      </c>
      <c r="L377" s="553">
        <f ca="1">INDEX('Data Processing'!CB:CB,$A374)</f>
        <v>3.4285714285714288E-3</v>
      </c>
      <c r="M377" s="553">
        <f ca="1">INDEX('Data Processing'!CC:CC,$A374)</f>
        <v>3.4285714285714288E-3</v>
      </c>
      <c r="N377" s="553">
        <f ca="1">INDEX('Data Processing'!CD:CD,$A374)</f>
        <v>3.4285714285714288E-3</v>
      </c>
      <c r="O377" s="553">
        <f ca="1">INDEX('Data Processing'!CE:CE,$A374)</f>
        <v>3.4285714285714288E-3</v>
      </c>
      <c r="P377" s="553">
        <f ca="1">INDEX('Data Processing'!CF:CF,$A374)</f>
        <v>3.4285714285714288E-3</v>
      </c>
      <c r="Q377" s="553">
        <f ca="1">INDEX('Data Processing'!CG:CG,$A374)</f>
        <v>3.4285714285714288E-3</v>
      </c>
      <c r="R377" s="553">
        <f ca="1">INDEX('Data Processing'!CH:CH,$A374)</f>
        <v>3.4285714285714288E-3</v>
      </c>
      <c r="S377" s="553">
        <f ca="1">INDEX('Data Processing'!CI:CI,$A374)</f>
        <v>0.02</v>
      </c>
      <c r="T377" s="554">
        <f ca="1">INDEX('Data Processing'!CJ:CJ,$A374)</f>
        <v>0.02</v>
      </c>
      <c r="U377" s="551"/>
      <c r="V377" s="298"/>
      <c r="W377" s="299"/>
      <c r="X377" s="299"/>
      <c r="Y377" s="299"/>
    </row>
    <row r="378" spans="1:25" s="587" customFormat="1">
      <c r="A378" s="440" t="str">
        <f>IF(B378="","",IFERROR(MATCH(B378,'Data Processing'!$C:$C,0),""))</f>
        <v/>
      </c>
      <c r="B378" s="581"/>
      <c r="C378" s="523" t="s">
        <v>998</v>
      </c>
      <c r="D378" s="488"/>
      <c r="E378" s="489">
        <f ca="1">INDEX('Data Processing'!AS:AS,$A374)</f>
        <v>35.868791848800001</v>
      </c>
      <c r="F378" s="556">
        <f ca="1">INDEX('Data Processing'!AT:AT,$A374)</f>
        <v>11.9562639496</v>
      </c>
      <c r="G378" s="556">
        <f ca="1">INDEX('Data Processing'!AU:AU,$A374)</f>
        <v>11.9562639496</v>
      </c>
      <c r="H378" s="556">
        <f ca="1">INDEX('Data Processing'!AV:AV,$A374)</f>
        <v>11.9562639496</v>
      </c>
      <c r="I378" s="556">
        <f ca="1">INDEX('Data Processing'!AW:AW,$A374)</f>
        <v>11.9562639496</v>
      </c>
      <c r="J378" s="556">
        <f ca="1">INDEX('Data Processing'!AX:AX,$A374)</f>
        <v>11.9562639496</v>
      </c>
      <c r="K378" s="556">
        <f ca="1">INDEX('Data Processing'!AY:AY,$A374)</f>
        <v>11.9562639496</v>
      </c>
      <c r="L378" s="556">
        <f ca="1">INDEX('Data Processing'!AZ:AZ,$A374)</f>
        <v>10.248226242514287</v>
      </c>
      <c r="M378" s="556">
        <f ca="1">INDEX('Data Processing'!BA:BA,$A374)</f>
        <v>10.248226242514287</v>
      </c>
      <c r="N378" s="556">
        <f ca="1">INDEX('Data Processing'!BB:BB,$A374)</f>
        <v>10.248226242514287</v>
      </c>
      <c r="O378" s="556">
        <f ca="1">INDEX('Data Processing'!BC:BC,$A374)</f>
        <v>10.248226242514287</v>
      </c>
      <c r="P378" s="556">
        <f ca="1">INDEX('Data Processing'!BD:BD,$A374)</f>
        <v>10.248226242514287</v>
      </c>
      <c r="Q378" s="556">
        <f ca="1">INDEX('Data Processing'!BE:BE,$A374)</f>
        <v>10.248226242514287</v>
      </c>
      <c r="R378" s="556">
        <f ca="1">INDEX('Data Processing'!BF:BF,$A374)</f>
        <v>10.248226242514287</v>
      </c>
      <c r="S378" s="556">
        <f ca="1">INDEX('Data Processing'!BG:BG,$A374)</f>
        <v>59.781319747999994</v>
      </c>
      <c r="T378" s="584">
        <f ca="1">INDEX('Data Processing'!BH:BH,$A374)</f>
        <v>59.781319747999994</v>
      </c>
      <c r="U378" s="556"/>
      <c r="V378" s="451">
        <v>0</v>
      </c>
      <c r="W378" s="451">
        <v>0</v>
      </c>
      <c r="X378" s="451">
        <v>0</v>
      </c>
      <c r="Y378" s="451">
        <v>0</v>
      </c>
    </row>
    <row r="379" spans="1:25" s="587" customFormat="1">
      <c r="A379" s="440" t="str">
        <f>IF(B379="","",IFERROR(MATCH(B379,'Data Processing'!$C:$C,0),""))</f>
        <v/>
      </c>
      <c r="B379" s="581"/>
      <c r="C379" s="558" t="s">
        <v>1012</v>
      </c>
      <c r="D379" s="503"/>
      <c r="E379" s="559">
        <f t="shared" ref="E379:T379" ca="1" si="494">E375-E378</f>
        <v>2953.1971955511999</v>
      </c>
      <c r="F379" s="559">
        <f t="shared" ca="1" si="494"/>
        <v>2941.2409316016001</v>
      </c>
      <c r="G379" s="559">
        <f t="shared" ca="1" si="494"/>
        <v>2929.2846676519998</v>
      </c>
      <c r="H379" s="559">
        <f t="shared" ca="1" si="494"/>
        <v>2917.3284037024</v>
      </c>
      <c r="I379" s="559">
        <f t="shared" ca="1" si="494"/>
        <v>2905.3721397528002</v>
      </c>
      <c r="J379" s="559">
        <f t="shared" ca="1" si="494"/>
        <v>2893.4158758031999</v>
      </c>
      <c r="K379" s="559">
        <f t="shared" ca="1" si="494"/>
        <v>2881.4596118536001</v>
      </c>
      <c r="L379" s="559">
        <f t="shared" ca="1" si="494"/>
        <v>2871.2113856110855</v>
      </c>
      <c r="M379" s="559">
        <f t="shared" ca="1" si="494"/>
        <v>2860.9631593685713</v>
      </c>
      <c r="N379" s="559">
        <f t="shared" ca="1" si="494"/>
        <v>2850.7149331260571</v>
      </c>
      <c r="O379" s="559">
        <f t="shared" ca="1" si="494"/>
        <v>2840.4667068835429</v>
      </c>
      <c r="P379" s="559">
        <f t="shared" ca="1" si="494"/>
        <v>2830.2184806410287</v>
      </c>
      <c r="Q379" s="559">
        <f t="shared" ca="1" si="494"/>
        <v>2819.970254398514</v>
      </c>
      <c r="R379" s="559">
        <f t="shared" ca="1" si="494"/>
        <v>2809.7220281559999</v>
      </c>
      <c r="S379" s="559">
        <f t="shared" ca="1" si="494"/>
        <v>2749.9407084079999</v>
      </c>
      <c r="T379" s="560">
        <f t="shared" ca="1" si="494"/>
        <v>2690.1593886599999</v>
      </c>
      <c r="U379" s="585"/>
      <c r="V379" s="276"/>
      <c r="W379" s="277"/>
      <c r="X379" s="277"/>
      <c r="Y379" s="277"/>
    </row>
    <row r="380" spans="1:25" s="219" customFormat="1">
      <c r="A380">
        <f>IF(B380="","",IFERROR(MATCH(B380,'Data Processing'!$C:$C,0),""))</f>
        <v>64</v>
      </c>
      <c r="B380" s="127" t="s">
        <v>1228</v>
      </c>
      <c r="C380" s="327" t="str">
        <f>INDEX('Data Processing'!$G:$G,A380)</f>
        <v>FDIC Sweep Deposits - Retail - ICS/CEDARS</v>
      </c>
      <c r="D380" s="323">
        <f>INDEX('Data Processing'!O:O,$A380)</f>
        <v>1327.2317001799997</v>
      </c>
      <c r="E380" s="174">
        <f ca="1">INDEX('Data Processing'!P:P,$A380)</f>
        <v>1311.3049197778398</v>
      </c>
      <c r="F380" s="174">
        <f ca="1">INDEX('Data Processing'!Q:Q,$A380)</f>
        <v>1305.9959929771198</v>
      </c>
      <c r="G380" s="174">
        <f ca="1">INDEX('Data Processing'!R:R,$A380)</f>
        <v>1300.6870661763996</v>
      </c>
      <c r="H380" s="174">
        <f ca="1">INDEX('Data Processing'!S:S,$A380)</f>
        <v>1295.3781393756797</v>
      </c>
      <c r="I380" s="174">
        <f ca="1">INDEX('Data Processing'!T:T,$A380)</f>
        <v>1290.0692125749597</v>
      </c>
      <c r="J380" s="174">
        <f ca="1">INDEX('Data Processing'!U:U,$A380)</f>
        <v>1284.7602857742397</v>
      </c>
      <c r="K380" s="174">
        <f ca="1">INDEX('Data Processing'!V:V,$A380)</f>
        <v>1279.4513589735197</v>
      </c>
      <c r="L380" s="174">
        <f ca="1">INDEX('Data Processing'!W:W,$A380)</f>
        <v>1274.9008502871884</v>
      </c>
      <c r="M380" s="174">
        <f ca="1">INDEX('Data Processing'!X:X,$A380)</f>
        <v>1270.3503416008568</v>
      </c>
      <c r="N380" s="174">
        <f ca="1">INDEX('Data Processing'!Y:Y,$A380)</f>
        <v>1265.7998329145255</v>
      </c>
      <c r="O380" s="174">
        <f ca="1">INDEX('Data Processing'!Z:Z,$A380)</f>
        <v>1261.2493242281939</v>
      </c>
      <c r="P380" s="174">
        <f ca="1">INDEX('Data Processing'!AA:AA,$A380)</f>
        <v>1256.6988155418626</v>
      </c>
      <c r="Q380" s="174">
        <f ca="1">INDEX('Data Processing'!AB:AB,$A380)</f>
        <v>1252.1483068555312</v>
      </c>
      <c r="R380" s="174">
        <f ca="1">INDEX('Data Processing'!AC:AC,$A380)</f>
        <v>1247.5977981691997</v>
      </c>
      <c r="S380" s="174">
        <f ca="1">INDEX('Data Processing'!AD:AD,$A380)</f>
        <v>1221.0531641655998</v>
      </c>
      <c r="T380" s="175">
        <f ca="1">INDEX('Data Processing'!AE:AE,$A380)</f>
        <v>1194.5085301619997</v>
      </c>
      <c r="U380" s="218"/>
      <c r="V380" s="233" t="s">
        <v>1050</v>
      </c>
    </row>
    <row r="381" spans="1:25" s="587" customFormat="1" ht="30">
      <c r="A381" s="440" t="str">
        <f>IF(B381="","",IFERROR(MATCH(B381,'Data Processing'!$C:$C,0),""))</f>
        <v/>
      </c>
      <c r="B381" s="581"/>
      <c r="C381" s="565" t="s">
        <v>1005</v>
      </c>
      <c r="D381" s="488"/>
      <c r="E381" s="454">
        <f>D380</f>
        <v>1327.2317001799997</v>
      </c>
      <c r="F381" s="454">
        <f t="shared" ref="F381:T381" ca="1" si="495">E380</f>
        <v>1311.3049197778398</v>
      </c>
      <c r="G381" s="454">
        <f t="shared" ca="1" si="495"/>
        <v>1305.9959929771198</v>
      </c>
      <c r="H381" s="454">
        <f t="shared" ca="1" si="495"/>
        <v>1300.6870661763996</v>
      </c>
      <c r="I381" s="454">
        <f t="shared" ca="1" si="495"/>
        <v>1295.3781393756797</v>
      </c>
      <c r="J381" s="454">
        <f t="shared" ca="1" si="495"/>
        <v>1290.0692125749597</v>
      </c>
      <c r="K381" s="454">
        <f t="shared" ca="1" si="495"/>
        <v>1284.7602857742397</v>
      </c>
      <c r="L381" s="454">
        <f t="shared" ca="1" si="495"/>
        <v>1279.4513589735197</v>
      </c>
      <c r="M381" s="454">
        <f t="shared" ca="1" si="495"/>
        <v>1274.9008502871884</v>
      </c>
      <c r="N381" s="454">
        <f t="shared" ca="1" si="495"/>
        <v>1270.3503416008568</v>
      </c>
      <c r="O381" s="454">
        <f t="shared" ca="1" si="495"/>
        <v>1265.7998329145255</v>
      </c>
      <c r="P381" s="454">
        <f t="shared" ca="1" si="495"/>
        <v>1261.2493242281939</v>
      </c>
      <c r="Q381" s="454">
        <f t="shared" ca="1" si="495"/>
        <v>1256.6988155418626</v>
      </c>
      <c r="R381" s="454">
        <f t="shared" ca="1" si="495"/>
        <v>1252.1483068555312</v>
      </c>
      <c r="S381" s="454">
        <f t="shared" ca="1" si="495"/>
        <v>1247.5977981691997</v>
      </c>
      <c r="T381" s="455">
        <f t="shared" ca="1" si="495"/>
        <v>1221.0531641655998</v>
      </c>
      <c r="U381" s="585"/>
      <c r="V381" s="461" t="s">
        <v>1040</v>
      </c>
      <c r="W381" s="462"/>
      <c r="X381" s="462"/>
      <c r="Y381" s="462"/>
    </row>
    <row r="382" spans="1:25" s="561" customFormat="1">
      <c r="A382" s="440" t="str">
        <f>IF(B382="","",IFERROR(MATCH(B382,'Data Processing'!$C:$C,0),""))</f>
        <v/>
      </c>
      <c r="B382" s="583"/>
      <c r="C382" s="567" t="s">
        <v>51</v>
      </c>
      <c r="D382" s="488"/>
      <c r="E382" s="488">
        <f t="shared" ref="E382:T382" si="496">E381</f>
        <v>1327.2317001799997</v>
      </c>
      <c r="F382" s="589">
        <f t="shared" ca="1" si="496"/>
        <v>1311.3049197778398</v>
      </c>
      <c r="G382" s="589">
        <f t="shared" ca="1" si="496"/>
        <v>1305.9959929771198</v>
      </c>
      <c r="H382" s="589">
        <f t="shared" ca="1" si="496"/>
        <v>1300.6870661763996</v>
      </c>
      <c r="I382" s="589">
        <f t="shared" ca="1" si="496"/>
        <v>1295.3781393756797</v>
      </c>
      <c r="J382" s="589">
        <f t="shared" ca="1" si="496"/>
        <v>1290.0692125749597</v>
      </c>
      <c r="K382" s="589">
        <f t="shared" ca="1" si="496"/>
        <v>1284.7602857742397</v>
      </c>
      <c r="L382" s="589">
        <f t="shared" ca="1" si="496"/>
        <v>1279.4513589735197</v>
      </c>
      <c r="M382" s="589">
        <f t="shared" ca="1" si="496"/>
        <v>1274.9008502871884</v>
      </c>
      <c r="N382" s="589">
        <f t="shared" ca="1" si="496"/>
        <v>1270.3503416008568</v>
      </c>
      <c r="O382" s="589">
        <f t="shared" ca="1" si="496"/>
        <v>1265.7998329145255</v>
      </c>
      <c r="P382" s="589">
        <f t="shared" ca="1" si="496"/>
        <v>1261.2493242281939</v>
      </c>
      <c r="Q382" s="589">
        <f t="shared" ca="1" si="496"/>
        <v>1256.6988155418626</v>
      </c>
      <c r="R382" s="589">
        <f t="shared" ca="1" si="496"/>
        <v>1252.1483068555312</v>
      </c>
      <c r="S382" s="589">
        <f t="shared" ca="1" si="496"/>
        <v>1247.5977981691997</v>
      </c>
      <c r="T382" s="590">
        <f t="shared" ca="1" si="496"/>
        <v>1221.0531641655998</v>
      </c>
      <c r="U382" s="551"/>
      <c r="V382" s="298"/>
      <c r="W382" s="299"/>
      <c r="X382" s="299"/>
      <c r="Y382" s="299"/>
    </row>
    <row r="383" spans="1:25" s="561" customFormat="1">
      <c r="A383" s="440" t="str">
        <f>IF(B383="","",IFERROR(MATCH(B383,'Data Processing'!$C:$C,0),""))</f>
        <v/>
      </c>
      <c r="B383" s="583"/>
      <c r="C383" s="567" t="s">
        <v>50</v>
      </c>
      <c r="D383" s="488"/>
      <c r="E383" s="591">
        <f ca="1">INDEX('Data Processing'!BU:BU,$A380)</f>
        <v>1.2E-2</v>
      </c>
      <c r="F383" s="553">
        <f ca="1">INDEX('Data Processing'!BV:BV,$A380)</f>
        <v>4.0000000000000001E-3</v>
      </c>
      <c r="G383" s="553">
        <f ca="1">INDEX('Data Processing'!BW:BW,$A380)</f>
        <v>4.0000000000000001E-3</v>
      </c>
      <c r="H383" s="553">
        <f ca="1">INDEX('Data Processing'!BX:BX,$A380)</f>
        <v>4.0000000000000001E-3</v>
      </c>
      <c r="I383" s="553">
        <f ca="1">INDEX('Data Processing'!BY:BY,$A380)</f>
        <v>4.0000000000000001E-3</v>
      </c>
      <c r="J383" s="553">
        <f ca="1">INDEX('Data Processing'!BZ:BZ,$A380)</f>
        <v>4.0000000000000001E-3</v>
      </c>
      <c r="K383" s="553">
        <f ca="1">INDEX('Data Processing'!CA:CA,$A380)</f>
        <v>4.0000000000000001E-3</v>
      </c>
      <c r="L383" s="553">
        <f ca="1">INDEX('Data Processing'!CB:CB,$A380)</f>
        <v>3.4285714285714288E-3</v>
      </c>
      <c r="M383" s="553">
        <f ca="1">INDEX('Data Processing'!CC:CC,$A380)</f>
        <v>3.4285714285714288E-3</v>
      </c>
      <c r="N383" s="553">
        <f ca="1">INDEX('Data Processing'!CD:CD,$A380)</f>
        <v>3.4285714285714288E-3</v>
      </c>
      <c r="O383" s="553">
        <f ca="1">INDEX('Data Processing'!CE:CE,$A380)</f>
        <v>3.4285714285714288E-3</v>
      </c>
      <c r="P383" s="553">
        <f ca="1">INDEX('Data Processing'!CF:CF,$A380)</f>
        <v>3.4285714285714288E-3</v>
      </c>
      <c r="Q383" s="553">
        <f ca="1">INDEX('Data Processing'!CG:CG,$A380)</f>
        <v>3.4285714285714288E-3</v>
      </c>
      <c r="R383" s="553">
        <f ca="1">INDEX('Data Processing'!CH:CH,$A380)</f>
        <v>3.4285714285714288E-3</v>
      </c>
      <c r="S383" s="553">
        <f ca="1">INDEX('Data Processing'!CI:CI,$A380)</f>
        <v>0.02</v>
      </c>
      <c r="T383" s="554">
        <f ca="1">INDEX('Data Processing'!CJ:CJ,$A380)</f>
        <v>0.02</v>
      </c>
      <c r="U383" s="551"/>
      <c r="V383" s="298"/>
      <c r="W383" s="299"/>
      <c r="X383" s="299"/>
      <c r="Y383" s="299"/>
    </row>
    <row r="384" spans="1:25" s="587" customFormat="1">
      <c r="A384" s="440" t="str">
        <f>IF(B384="","",IFERROR(MATCH(B384,'Data Processing'!$C:$C,0),""))</f>
        <v/>
      </c>
      <c r="B384" s="581"/>
      <c r="C384" s="523" t="s">
        <v>998</v>
      </c>
      <c r="D384" s="488"/>
      <c r="E384" s="489">
        <f ca="1">INDEX('Data Processing'!AS:AS,$A380)</f>
        <v>15.926780402159997</v>
      </c>
      <c r="F384" s="556">
        <f ca="1">INDEX('Data Processing'!AT:AT,$A380)</f>
        <v>5.3089268007199992</v>
      </c>
      <c r="G384" s="556">
        <f ca="1">INDEX('Data Processing'!AU:AU,$A380)</f>
        <v>5.3089268007199992</v>
      </c>
      <c r="H384" s="556">
        <f ca="1">INDEX('Data Processing'!AV:AV,$A380)</f>
        <v>5.3089268007199992</v>
      </c>
      <c r="I384" s="556">
        <f ca="1">INDEX('Data Processing'!AW:AW,$A380)</f>
        <v>5.3089268007199992</v>
      </c>
      <c r="J384" s="556">
        <f ca="1">INDEX('Data Processing'!AX:AX,$A380)</f>
        <v>5.3089268007199992</v>
      </c>
      <c r="K384" s="556">
        <f ca="1">INDEX('Data Processing'!AY:AY,$A380)</f>
        <v>5.3089268007199992</v>
      </c>
      <c r="L384" s="556">
        <f ca="1">INDEX('Data Processing'!AZ:AZ,$A380)</f>
        <v>4.5505086863314279</v>
      </c>
      <c r="M384" s="556">
        <f ca="1">INDEX('Data Processing'!BA:BA,$A380)</f>
        <v>4.5505086863314279</v>
      </c>
      <c r="N384" s="556">
        <f ca="1">INDEX('Data Processing'!BB:BB,$A380)</f>
        <v>4.5505086863314279</v>
      </c>
      <c r="O384" s="556">
        <f ca="1">INDEX('Data Processing'!BC:BC,$A380)</f>
        <v>4.5505086863314279</v>
      </c>
      <c r="P384" s="556">
        <f ca="1">INDEX('Data Processing'!BD:BD,$A380)</f>
        <v>4.5505086863314279</v>
      </c>
      <c r="Q384" s="556">
        <f ca="1">INDEX('Data Processing'!BE:BE,$A380)</f>
        <v>4.5505086863314279</v>
      </c>
      <c r="R384" s="556">
        <f ca="1">INDEX('Data Processing'!BF:BF,$A380)</f>
        <v>4.5505086863314279</v>
      </c>
      <c r="S384" s="556">
        <f ca="1">INDEX('Data Processing'!BG:BG,$A380)</f>
        <v>26.544634003599995</v>
      </c>
      <c r="T384" s="584">
        <f ca="1">INDEX('Data Processing'!BH:BH,$A380)</f>
        <v>26.544634003599995</v>
      </c>
      <c r="U384" s="556"/>
      <c r="V384" s="451">
        <v>0</v>
      </c>
      <c r="W384" s="451">
        <v>0</v>
      </c>
      <c r="X384" s="451">
        <v>0</v>
      </c>
      <c r="Y384" s="451">
        <v>0</v>
      </c>
    </row>
    <row r="385" spans="1:25" s="587" customFormat="1">
      <c r="A385" s="440" t="str">
        <f>IF(B385="","",IFERROR(MATCH(B385,'Data Processing'!$C:$C,0),""))</f>
        <v/>
      </c>
      <c r="B385" s="581"/>
      <c r="C385" s="558" t="s">
        <v>1012</v>
      </c>
      <c r="D385" s="503"/>
      <c r="E385" s="559">
        <f t="shared" ref="E385:T385" ca="1" si="497">E381-E384</f>
        <v>1311.3049197778398</v>
      </c>
      <c r="F385" s="559">
        <f t="shared" ca="1" si="497"/>
        <v>1305.9959929771198</v>
      </c>
      <c r="G385" s="559">
        <f t="shared" ca="1" si="497"/>
        <v>1300.6870661763999</v>
      </c>
      <c r="H385" s="559">
        <f t="shared" ca="1" si="497"/>
        <v>1295.3781393756797</v>
      </c>
      <c r="I385" s="559">
        <f t="shared" ca="1" si="497"/>
        <v>1290.0692125749597</v>
      </c>
      <c r="J385" s="559">
        <f t="shared" ca="1" si="497"/>
        <v>1284.7602857742397</v>
      </c>
      <c r="K385" s="559">
        <f t="shared" ca="1" si="497"/>
        <v>1279.4513589735197</v>
      </c>
      <c r="L385" s="559">
        <f t="shared" ca="1" si="497"/>
        <v>1274.9008502871884</v>
      </c>
      <c r="M385" s="559">
        <f t="shared" ca="1" si="497"/>
        <v>1270.3503416008571</v>
      </c>
      <c r="N385" s="559">
        <f t="shared" ca="1" si="497"/>
        <v>1265.7998329145255</v>
      </c>
      <c r="O385" s="559">
        <f t="shared" ca="1" si="497"/>
        <v>1261.2493242281942</v>
      </c>
      <c r="P385" s="559">
        <f t="shared" ca="1" si="497"/>
        <v>1256.6988155418626</v>
      </c>
      <c r="Q385" s="559">
        <f t="shared" ca="1" si="497"/>
        <v>1252.1483068555312</v>
      </c>
      <c r="R385" s="559">
        <f t="shared" ca="1" si="497"/>
        <v>1247.5977981691999</v>
      </c>
      <c r="S385" s="559">
        <f t="shared" ca="1" si="497"/>
        <v>1221.0531641655996</v>
      </c>
      <c r="T385" s="560">
        <f t="shared" ca="1" si="497"/>
        <v>1194.5085301619997</v>
      </c>
      <c r="U385" s="585"/>
      <c r="V385" s="276"/>
      <c r="W385" s="277"/>
      <c r="X385" s="277"/>
      <c r="Y385" s="277"/>
    </row>
    <row r="386" spans="1:25" s="219" customFormat="1">
      <c r="A386">
        <f>IF(B386="","",IFERROR(MATCH(B386,'Data Processing'!$C:$C,0),""))</f>
        <v>65</v>
      </c>
      <c r="B386" s="127" t="s">
        <v>1286</v>
      </c>
      <c r="C386" s="327" t="str">
        <f>INDEX('Data Processing'!$G:$G,A386)</f>
        <v>FDIC Sweep Deposits - Retail - MMDA</v>
      </c>
      <c r="D386" s="323">
        <f>INDEX('Data Processing'!O:O,$A386)</f>
        <v>70.697602650000007</v>
      </c>
      <c r="E386" s="174">
        <f ca="1">INDEX('Data Processing'!P:P,$A386)</f>
        <v>69.849231418200006</v>
      </c>
      <c r="F386" s="174">
        <f ca="1">INDEX('Data Processing'!Q:Q,$A386)</f>
        <v>69.566441007600005</v>
      </c>
      <c r="G386" s="174">
        <f ca="1">INDEX('Data Processing'!R:R,$A386)</f>
        <v>69.283650597000005</v>
      </c>
      <c r="H386" s="174">
        <f ca="1">INDEX('Data Processing'!S:S,$A386)</f>
        <v>69.000860186400004</v>
      </c>
      <c r="I386" s="174">
        <f ca="1">INDEX('Data Processing'!T:T,$A386)</f>
        <v>68.718069775800004</v>
      </c>
      <c r="J386" s="174">
        <f ca="1">INDEX('Data Processing'!U:U,$A386)</f>
        <v>68.435279365200003</v>
      </c>
      <c r="K386" s="174">
        <f ca="1">INDEX('Data Processing'!V:V,$A386)</f>
        <v>68.152488954600003</v>
      </c>
      <c r="L386" s="174">
        <f ca="1">INDEX('Data Processing'!W:W,$A386)</f>
        <v>67.91009717408572</v>
      </c>
      <c r="M386" s="174">
        <f ca="1">INDEX('Data Processing'!X:X,$A386)</f>
        <v>67.667705393571438</v>
      </c>
      <c r="N386" s="174">
        <f ca="1">INDEX('Data Processing'!Y:Y,$A386)</f>
        <v>67.425313613057156</v>
      </c>
      <c r="O386" s="174">
        <f ca="1">INDEX('Data Processing'!Z:Z,$A386)</f>
        <v>67.18292183254286</v>
      </c>
      <c r="P386" s="174">
        <f ca="1">INDEX('Data Processing'!AA:AA,$A386)</f>
        <v>66.940530052028578</v>
      </c>
      <c r="Q386" s="174">
        <f ca="1">INDEX('Data Processing'!AB:AB,$A386)</f>
        <v>66.698138271514296</v>
      </c>
      <c r="R386" s="174">
        <f ca="1">INDEX('Data Processing'!AC:AC,$A386)</f>
        <v>66.455746491000014</v>
      </c>
      <c r="S386" s="174">
        <f ca="1">INDEX('Data Processing'!AD:AD,$A386)</f>
        <v>65.041794438000011</v>
      </c>
      <c r="T386" s="175">
        <f ca="1">INDEX('Data Processing'!AE:AE,$A386)</f>
        <v>63.627842385000008</v>
      </c>
      <c r="U386" s="218"/>
      <c r="V386" s="233" t="s">
        <v>1050</v>
      </c>
    </row>
    <row r="387" spans="1:25" s="587" customFormat="1" ht="30">
      <c r="A387" s="440" t="str">
        <f>IF(B387="","",IFERROR(MATCH(B387,'Data Processing'!$C:$C,0),""))</f>
        <v/>
      </c>
      <c r="B387" s="581"/>
      <c r="C387" s="565" t="s">
        <v>1005</v>
      </c>
      <c r="D387" s="488"/>
      <c r="E387" s="454">
        <f>D386</f>
        <v>70.697602650000007</v>
      </c>
      <c r="F387" s="454">
        <f t="shared" ref="F387" ca="1" si="498">E386</f>
        <v>69.849231418200006</v>
      </c>
      <c r="G387" s="454">
        <f t="shared" ref="G387" ca="1" si="499">F386</f>
        <v>69.566441007600005</v>
      </c>
      <c r="H387" s="454">
        <f t="shared" ref="H387" ca="1" si="500">G386</f>
        <v>69.283650597000005</v>
      </c>
      <c r="I387" s="454">
        <f t="shared" ref="I387" ca="1" si="501">H386</f>
        <v>69.000860186400004</v>
      </c>
      <c r="J387" s="454">
        <f t="shared" ref="J387" ca="1" si="502">I386</f>
        <v>68.718069775800004</v>
      </c>
      <c r="K387" s="454">
        <f t="shared" ref="K387" ca="1" si="503">J386</f>
        <v>68.435279365200003</v>
      </c>
      <c r="L387" s="454">
        <f t="shared" ref="L387" ca="1" si="504">K386</f>
        <v>68.152488954600003</v>
      </c>
      <c r="M387" s="454">
        <f t="shared" ref="M387" ca="1" si="505">L386</f>
        <v>67.91009717408572</v>
      </c>
      <c r="N387" s="454">
        <f t="shared" ref="N387" ca="1" si="506">M386</f>
        <v>67.667705393571438</v>
      </c>
      <c r="O387" s="454">
        <f t="shared" ref="O387" ca="1" si="507">N386</f>
        <v>67.425313613057156</v>
      </c>
      <c r="P387" s="454">
        <f t="shared" ref="P387" ca="1" si="508">O386</f>
        <v>67.18292183254286</v>
      </c>
      <c r="Q387" s="454">
        <f t="shared" ref="Q387" ca="1" si="509">P386</f>
        <v>66.940530052028578</v>
      </c>
      <c r="R387" s="454">
        <f t="shared" ref="R387" ca="1" si="510">Q386</f>
        <v>66.698138271514296</v>
      </c>
      <c r="S387" s="454">
        <f t="shared" ref="S387" ca="1" si="511">R386</f>
        <v>66.455746491000014</v>
      </c>
      <c r="T387" s="455">
        <f t="shared" ref="T387" ca="1" si="512">S386</f>
        <v>65.041794438000011</v>
      </c>
      <c r="U387" s="585"/>
      <c r="V387" s="461" t="s">
        <v>1040</v>
      </c>
      <c r="W387" s="462"/>
      <c r="X387" s="462"/>
      <c r="Y387" s="462"/>
    </row>
    <row r="388" spans="1:25" s="561" customFormat="1">
      <c r="A388" s="440" t="str">
        <f>IF(B388="","",IFERROR(MATCH(B388,'Data Processing'!$C:$C,0),""))</f>
        <v/>
      </c>
      <c r="B388" s="583"/>
      <c r="C388" s="567" t="s">
        <v>51</v>
      </c>
      <c r="D388" s="488"/>
      <c r="E388" s="488">
        <f t="shared" ref="E388:T388" si="513">E387</f>
        <v>70.697602650000007</v>
      </c>
      <c r="F388" s="589">
        <f t="shared" ca="1" si="513"/>
        <v>69.849231418200006</v>
      </c>
      <c r="G388" s="589">
        <f t="shared" ca="1" si="513"/>
        <v>69.566441007600005</v>
      </c>
      <c r="H388" s="589">
        <f t="shared" ca="1" si="513"/>
        <v>69.283650597000005</v>
      </c>
      <c r="I388" s="589">
        <f t="shared" ca="1" si="513"/>
        <v>69.000860186400004</v>
      </c>
      <c r="J388" s="589">
        <f t="shared" ca="1" si="513"/>
        <v>68.718069775800004</v>
      </c>
      <c r="K388" s="589">
        <f t="shared" ca="1" si="513"/>
        <v>68.435279365200003</v>
      </c>
      <c r="L388" s="589">
        <f t="shared" ca="1" si="513"/>
        <v>68.152488954600003</v>
      </c>
      <c r="M388" s="589">
        <f t="shared" ca="1" si="513"/>
        <v>67.91009717408572</v>
      </c>
      <c r="N388" s="589">
        <f t="shared" ca="1" si="513"/>
        <v>67.667705393571438</v>
      </c>
      <c r="O388" s="589">
        <f t="shared" ca="1" si="513"/>
        <v>67.425313613057156</v>
      </c>
      <c r="P388" s="589">
        <f t="shared" ca="1" si="513"/>
        <v>67.18292183254286</v>
      </c>
      <c r="Q388" s="589">
        <f t="shared" ca="1" si="513"/>
        <v>66.940530052028578</v>
      </c>
      <c r="R388" s="589">
        <f t="shared" ca="1" si="513"/>
        <v>66.698138271514296</v>
      </c>
      <c r="S388" s="589">
        <f t="shared" ca="1" si="513"/>
        <v>66.455746491000014</v>
      </c>
      <c r="T388" s="590">
        <f t="shared" ca="1" si="513"/>
        <v>65.041794438000011</v>
      </c>
      <c r="U388" s="551"/>
      <c r="V388" s="298"/>
      <c r="W388" s="299"/>
      <c r="X388" s="299"/>
      <c r="Y388" s="299"/>
    </row>
    <row r="389" spans="1:25" s="561" customFormat="1">
      <c r="A389" s="440" t="str">
        <f>IF(B389="","",IFERROR(MATCH(B389,'Data Processing'!$C:$C,0),""))</f>
        <v/>
      </c>
      <c r="B389" s="583"/>
      <c r="C389" s="567" t="s">
        <v>50</v>
      </c>
      <c r="D389" s="488"/>
      <c r="E389" s="591">
        <f ca="1">INDEX('Data Processing'!BU:BU,$A386)</f>
        <v>1.2E-2</v>
      </c>
      <c r="F389" s="553">
        <f ca="1">INDEX('Data Processing'!BV:BV,$A386)</f>
        <v>4.0000000000000001E-3</v>
      </c>
      <c r="G389" s="553">
        <f ca="1">INDEX('Data Processing'!BW:BW,$A386)</f>
        <v>4.0000000000000001E-3</v>
      </c>
      <c r="H389" s="553">
        <f ca="1">INDEX('Data Processing'!BX:BX,$A386)</f>
        <v>4.0000000000000001E-3</v>
      </c>
      <c r="I389" s="553">
        <f ca="1">INDEX('Data Processing'!BY:BY,$A386)</f>
        <v>4.0000000000000001E-3</v>
      </c>
      <c r="J389" s="553">
        <f ca="1">INDEX('Data Processing'!BZ:BZ,$A386)</f>
        <v>4.0000000000000001E-3</v>
      </c>
      <c r="K389" s="553">
        <f ca="1">INDEX('Data Processing'!CA:CA,$A386)</f>
        <v>4.0000000000000001E-3</v>
      </c>
      <c r="L389" s="553">
        <f ca="1">INDEX('Data Processing'!CB:CB,$A386)</f>
        <v>3.4285714285714288E-3</v>
      </c>
      <c r="M389" s="553">
        <f ca="1">INDEX('Data Processing'!CC:CC,$A386)</f>
        <v>3.4285714285714288E-3</v>
      </c>
      <c r="N389" s="553">
        <f ca="1">INDEX('Data Processing'!CD:CD,$A386)</f>
        <v>3.4285714285714288E-3</v>
      </c>
      <c r="O389" s="553">
        <f ca="1">INDEX('Data Processing'!CE:CE,$A386)</f>
        <v>3.4285714285714288E-3</v>
      </c>
      <c r="P389" s="553">
        <f ca="1">INDEX('Data Processing'!CF:CF,$A386)</f>
        <v>3.4285714285714288E-3</v>
      </c>
      <c r="Q389" s="553">
        <f ca="1">INDEX('Data Processing'!CG:CG,$A386)</f>
        <v>3.4285714285714288E-3</v>
      </c>
      <c r="R389" s="553">
        <f ca="1">INDEX('Data Processing'!CH:CH,$A386)</f>
        <v>3.4285714285714288E-3</v>
      </c>
      <c r="S389" s="553">
        <f ca="1">INDEX('Data Processing'!CI:CI,$A386)</f>
        <v>0.02</v>
      </c>
      <c r="T389" s="554">
        <f ca="1">INDEX('Data Processing'!CJ:CJ,$A386)</f>
        <v>0.02</v>
      </c>
      <c r="U389" s="551"/>
      <c r="V389" s="298"/>
      <c r="W389" s="299"/>
      <c r="X389" s="299"/>
      <c r="Y389" s="299"/>
    </row>
    <row r="390" spans="1:25" s="587" customFormat="1">
      <c r="A390" s="440" t="str">
        <f>IF(B390="","",IFERROR(MATCH(B390,'Data Processing'!$C:$C,0),""))</f>
        <v/>
      </c>
      <c r="B390" s="581"/>
      <c r="C390" s="523" t="s">
        <v>998</v>
      </c>
      <c r="D390" s="488"/>
      <c r="E390" s="489">
        <f ca="1">INDEX('Data Processing'!AS:AS,$A386)</f>
        <v>0.84837123180000007</v>
      </c>
      <c r="F390" s="556">
        <f ca="1">INDEX('Data Processing'!AT:AT,$A386)</f>
        <v>0.28279041060000004</v>
      </c>
      <c r="G390" s="556">
        <f ca="1">INDEX('Data Processing'!AU:AU,$A386)</f>
        <v>0.28279041060000004</v>
      </c>
      <c r="H390" s="556">
        <f ca="1">INDEX('Data Processing'!AV:AV,$A386)</f>
        <v>0.28279041060000004</v>
      </c>
      <c r="I390" s="556">
        <f ca="1">INDEX('Data Processing'!AW:AW,$A386)</f>
        <v>0.28279041060000004</v>
      </c>
      <c r="J390" s="556">
        <f ca="1">INDEX('Data Processing'!AX:AX,$A386)</f>
        <v>0.28279041060000004</v>
      </c>
      <c r="K390" s="556">
        <f ca="1">INDEX('Data Processing'!AY:AY,$A386)</f>
        <v>0.28279041060000004</v>
      </c>
      <c r="L390" s="556">
        <f ca="1">INDEX('Data Processing'!AZ:AZ,$A386)</f>
        <v>0.24239178051428575</v>
      </c>
      <c r="M390" s="556">
        <f ca="1">INDEX('Data Processing'!BA:BA,$A386)</f>
        <v>0.24239178051428575</v>
      </c>
      <c r="N390" s="556">
        <f ca="1">INDEX('Data Processing'!BB:BB,$A386)</f>
        <v>0.24239178051428575</v>
      </c>
      <c r="O390" s="556">
        <f ca="1">INDEX('Data Processing'!BC:BC,$A386)</f>
        <v>0.24239178051428575</v>
      </c>
      <c r="P390" s="556">
        <f ca="1">INDEX('Data Processing'!BD:BD,$A386)</f>
        <v>0.24239178051428575</v>
      </c>
      <c r="Q390" s="556">
        <f ca="1">INDEX('Data Processing'!BE:BE,$A386)</f>
        <v>0.24239178051428575</v>
      </c>
      <c r="R390" s="556">
        <f ca="1">INDEX('Data Processing'!BF:BF,$A386)</f>
        <v>0.24239178051428575</v>
      </c>
      <c r="S390" s="556">
        <f ca="1">INDEX('Data Processing'!BG:BG,$A386)</f>
        <v>1.4139520530000003</v>
      </c>
      <c r="T390" s="584">
        <f ca="1">INDEX('Data Processing'!BH:BH,$A386)</f>
        <v>1.4139520530000003</v>
      </c>
      <c r="U390" s="556"/>
      <c r="V390" s="451">
        <v>0</v>
      </c>
      <c r="W390" s="451">
        <v>0</v>
      </c>
      <c r="X390" s="451">
        <v>0</v>
      </c>
      <c r="Y390" s="451">
        <v>0</v>
      </c>
    </row>
    <row r="391" spans="1:25" s="587" customFormat="1">
      <c r="A391" s="440" t="str">
        <f>IF(B391="","",IFERROR(MATCH(B391,'Data Processing'!$C:$C,0),""))</f>
        <v/>
      </c>
      <c r="B391" s="581"/>
      <c r="C391" s="558" t="s">
        <v>1012</v>
      </c>
      <c r="D391" s="503"/>
      <c r="E391" s="559">
        <f t="shared" ref="E391:T391" ca="1" si="514">E387-E390</f>
        <v>69.849231418200006</v>
      </c>
      <c r="F391" s="559">
        <f t="shared" ca="1" si="514"/>
        <v>69.566441007600005</v>
      </c>
      <c r="G391" s="559">
        <f t="shared" ca="1" si="514"/>
        <v>69.283650597000005</v>
      </c>
      <c r="H391" s="559">
        <f t="shared" ca="1" si="514"/>
        <v>69.000860186400004</v>
      </c>
      <c r="I391" s="559">
        <f t="shared" ca="1" si="514"/>
        <v>68.718069775800004</v>
      </c>
      <c r="J391" s="559">
        <f t="shared" ca="1" si="514"/>
        <v>68.435279365200003</v>
      </c>
      <c r="K391" s="559">
        <f t="shared" ca="1" si="514"/>
        <v>68.152488954600003</v>
      </c>
      <c r="L391" s="559">
        <f t="shared" ca="1" si="514"/>
        <v>67.91009717408572</v>
      </c>
      <c r="M391" s="559">
        <f t="shared" ca="1" si="514"/>
        <v>67.667705393571438</v>
      </c>
      <c r="N391" s="559">
        <f t="shared" ca="1" si="514"/>
        <v>67.425313613057156</v>
      </c>
      <c r="O391" s="559">
        <f t="shared" ca="1" si="514"/>
        <v>67.182921832542874</v>
      </c>
      <c r="P391" s="559">
        <f t="shared" ca="1" si="514"/>
        <v>66.940530052028578</v>
      </c>
      <c r="Q391" s="559">
        <f t="shared" ca="1" si="514"/>
        <v>66.698138271514296</v>
      </c>
      <c r="R391" s="559">
        <f t="shared" ca="1" si="514"/>
        <v>66.455746491000014</v>
      </c>
      <c r="S391" s="559">
        <f t="shared" ca="1" si="514"/>
        <v>65.041794438000011</v>
      </c>
      <c r="T391" s="560">
        <f t="shared" ca="1" si="514"/>
        <v>63.627842385000008</v>
      </c>
      <c r="U391" s="585"/>
      <c r="V391" s="276"/>
      <c r="W391" s="277"/>
      <c r="X391" s="277"/>
      <c r="Y391" s="277"/>
    </row>
    <row r="392" spans="1:25" s="219" customFormat="1">
      <c r="A392">
        <f>IF(B392="","",IFERROR(MATCH(B392,'Data Processing'!$C:$C,0),""))</f>
        <v>66</v>
      </c>
      <c r="B392" s="127" t="s">
        <v>1285</v>
      </c>
      <c r="C392" s="327" t="str">
        <f>INDEX('Data Processing'!$G:$G,A392)</f>
        <v>FDIC Sweep Deposits - Non-Retail</v>
      </c>
      <c r="D392" s="323">
        <f>INDEX('Data Processing'!O:O,$A392)</f>
        <v>0</v>
      </c>
      <c r="E392" s="174">
        <f ca="1">INDEX('Data Processing'!P:P,$A392)</f>
        <v>0</v>
      </c>
      <c r="F392" s="174">
        <f ca="1">INDEX('Data Processing'!Q:Q,$A392)</f>
        <v>0</v>
      </c>
      <c r="G392" s="174">
        <f ca="1">INDEX('Data Processing'!R:R,$A392)</f>
        <v>0</v>
      </c>
      <c r="H392" s="174">
        <f ca="1">INDEX('Data Processing'!S:S,$A392)</f>
        <v>0</v>
      </c>
      <c r="I392" s="174">
        <f ca="1">INDEX('Data Processing'!T:T,$A392)</f>
        <v>0</v>
      </c>
      <c r="J392" s="174">
        <f ca="1">INDEX('Data Processing'!U:U,$A392)</f>
        <v>0</v>
      </c>
      <c r="K392" s="174">
        <f ca="1">INDEX('Data Processing'!V:V,$A392)</f>
        <v>0</v>
      </c>
      <c r="L392" s="174">
        <f ca="1">INDEX('Data Processing'!W:W,$A392)</f>
        <v>0</v>
      </c>
      <c r="M392" s="174">
        <f ca="1">INDEX('Data Processing'!X:X,$A392)</f>
        <v>0</v>
      </c>
      <c r="N392" s="174">
        <f ca="1">INDEX('Data Processing'!Y:Y,$A392)</f>
        <v>0</v>
      </c>
      <c r="O392" s="174">
        <f ca="1">INDEX('Data Processing'!Z:Z,$A392)</f>
        <v>0</v>
      </c>
      <c r="P392" s="174">
        <f ca="1">INDEX('Data Processing'!AA:AA,$A392)</f>
        <v>0</v>
      </c>
      <c r="Q392" s="174">
        <f ca="1">INDEX('Data Processing'!AB:AB,$A392)</f>
        <v>0</v>
      </c>
      <c r="R392" s="174">
        <f ca="1">INDEX('Data Processing'!AC:AC,$A392)</f>
        <v>0</v>
      </c>
      <c r="S392" s="174">
        <f ca="1">INDEX('Data Processing'!AD:AD,$A392)</f>
        <v>0</v>
      </c>
      <c r="T392" s="175">
        <f ca="1">INDEX('Data Processing'!AE:AE,$A392)</f>
        <v>0</v>
      </c>
      <c r="U392" s="218"/>
      <c r="V392" s="233" t="s">
        <v>1050</v>
      </c>
    </row>
    <row r="393" spans="1:25" s="587" customFormat="1" ht="30">
      <c r="A393" s="440" t="str">
        <f>IF(B393="","",IFERROR(MATCH(B393,'Data Processing'!$C:$C,0),""))</f>
        <v/>
      </c>
      <c r="B393" s="581"/>
      <c r="C393" s="565" t="s">
        <v>1005</v>
      </c>
      <c r="D393" s="488"/>
      <c r="E393" s="454">
        <f>D392</f>
        <v>0</v>
      </c>
      <c r="F393" s="454">
        <f t="shared" ref="F393" ca="1" si="515">E392</f>
        <v>0</v>
      </c>
      <c r="G393" s="454">
        <f t="shared" ref="G393" ca="1" si="516">F392</f>
        <v>0</v>
      </c>
      <c r="H393" s="454">
        <f t="shared" ref="H393" ca="1" si="517">G392</f>
        <v>0</v>
      </c>
      <c r="I393" s="454">
        <f t="shared" ref="I393" ca="1" si="518">H392</f>
        <v>0</v>
      </c>
      <c r="J393" s="454">
        <f t="shared" ref="J393" ca="1" si="519">I392</f>
        <v>0</v>
      </c>
      <c r="K393" s="454">
        <f t="shared" ref="K393" ca="1" si="520">J392</f>
        <v>0</v>
      </c>
      <c r="L393" s="454">
        <f t="shared" ref="L393" ca="1" si="521">K392</f>
        <v>0</v>
      </c>
      <c r="M393" s="454">
        <f t="shared" ref="M393" ca="1" si="522">L392</f>
        <v>0</v>
      </c>
      <c r="N393" s="454">
        <f t="shared" ref="N393" ca="1" si="523">M392</f>
        <v>0</v>
      </c>
      <c r="O393" s="454">
        <f t="shared" ref="O393" ca="1" si="524">N392</f>
        <v>0</v>
      </c>
      <c r="P393" s="454">
        <f t="shared" ref="P393" ca="1" si="525">O392</f>
        <v>0</v>
      </c>
      <c r="Q393" s="454">
        <f t="shared" ref="Q393" ca="1" si="526">P392</f>
        <v>0</v>
      </c>
      <c r="R393" s="454">
        <f t="shared" ref="R393" ca="1" si="527">Q392</f>
        <v>0</v>
      </c>
      <c r="S393" s="454">
        <f t="shared" ref="S393" ca="1" si="528">R392</f>
        <v>0</v>
      </c>
      <c r="T393" s="455">
        <f t="shared" ref="T393" ca="1" si="529">S392</f>
        <v>0</v>
      </c>
      <c r="U393" s="585"/>
      <c r="V393" s="461" t="s">
        <v>1040</v>
      </c>
      <c r="W393" s="462"/>
      <c r="X393" s="462"/>
      <c r="Y393" s="462"/>
    </row>
    <row r="394" spans="1:25" s="561" customFormat="1">
      <c r="A394" s="440" t="str">
        <f>IF(B394="","",IFERROR(MATCH(B394,'Data Processing'!$C:$C,0),""))</f>
        <v/>
      </c>
      <c r="B394" s="583"/>
      <c r="C394" s="567" t="s">
        <v>51</v>
      </c>
      <c r="D394" s="488"/>
      <c r="E394" s="488">
        <f t="shared" ref="E394:T394" si="530">E393</f>
        <v>0</v>
      </c>
      <c r="F394" s="589">
        <f t="shared" ca="1" si="530"/>
        <v>0</v>
      </c>
      <c r="G394" s="589">
        <f t="shared" ca="1" si="530"/>
        <v>0</v>
      </c>
      <c r="H394" s="589">
        <f t="shared" ca="1" si="530"/>
        <v>0</v>
      </c>
      <c r="I394" s="589">
        <f t="shared" ca="1" si="530"/>
        <v>0</v>
      </c>
      <c r="J394" s="589">
        <f t="shared" ca="1" si="530"/>
        <v>0</v>
      </c>
      <c r="K394" s="589">
        <f t="shared" ca="1" si="530"/>
        <v>0</v>
      </c>
      <c r="L394" s="589">
        <f t="shared" ca="1" si="530"/>
        <v>0</v>
      </c>
      <c r="M394" s="589">
        <f t="shared" ca="1" si="530"/>
        <v>0</v>
      </c>
      <c r="N394" s="589">
        <f t="shared" ca="1" si="530"/>
        <v>0</v>
      </c>
      <c r="O394" s="589">
        <f t="shared" ca="1" si="530"/>
        <v>0</v>
      </c>
      <c r="P394" s="589">
        <f t="shared" ca="1" si="530"/>
        <v>0</v>
      </c>
      <c r="Q394" s="589">
        <f t="shared" ca="1" si="530"/>
        <v>0</v>
      </c>
      <c r="R394" s="589">
        <f t="shared" ca="1" si="530"/>
        <v>0</v>
      </c>
      <c r="S394" s="589">
        <f t="shared" ca="1" si="530"/>
        <v>0</v>
      </c>
      <c r="T394" s="590">
        <f t="shared" ca="1" si="530"/>
        <v>0</v>
      </c>
      <c r="U394" s="551"/>
      <c r="V394" s="298"/>
      <c r="W394" s="299"/>
      <c r="X394" s="299"/>
      <c r="Y394" s="299"/>
    </row>
    <row r="395" spans="1:25" s="561" customFormat="1">
      <c r="A395" s="440" t="str">
        <f>IF(B395="","",IFERROR(MATCH(B395,'Data Processing'!$C:$C,0),""))</f>
        <v/>
      </c>
      <c r="B395" s="583"/>
      <c r="C395" s="567" t="s">
        <v>50</v>
      </c>
      <c r="D395" s="488"/>
      <c r="E395" s="591">
        <f ca="1">INDEX('Data Processing'!BU:BU,$A392)</f>
        <v>1.2E-2</v>
      </c>
      <c r="F395" s="553">
        <f ca="1">INDEX('Data Processing'!BV:BV,$A392)</f>
        <v>4.0000000000000001E-3</v>
      </c>
      <c r="G395" s="553">
        <f ca="1">INDEX('Data Processing'!BW:BW,$A392)</f>
        <v>4.0000000000000001E-3</v>
      </c>
      <c r="H395" s="553">
        <f ca="1">INDEX('Data Processing'!BX:BX,$A392)</f>
        <v>4.0000000000000001E-3</v>
      </c>
      <c r="I395" s="553">
        <f ca="1">INDEX('Data Processing'!BY:BY,$A392)</f>
        <v>4.0000000000000001E-3</v>
      </c>
      <c r="J395" s="553">
        <f ca="1">INDEX('Data Processing'!BZ:BZ,$A392)</f>
        <v>4.0000000000000001E-3</v>
      </c>
      <c r="K395" s="553">
        <f ca="1">INDEX('Data Processing'!CA:CA,$A392)</f>
        <v>4.0000000000000001E-3</v>
      </c>
      <c r="L395" s="553">
        <f ca="1">INDEX('Data Processing'!CB:CB,$A392)</f>
        <v>3.4285714285714288E-3</v>
      </c>
      <c r="M395" s="553">
        <f ca="1">INDEX('Data Processing'!CC:CC,$A392)</f>
        <v>3.4285714285714288E-3</v>
      </c>
      <c r="N395" s="553">
        <f ca="1">INDEX('Data Processing'!CD:CD,$A392)</f>
        <v>3.4285714285714288E-3</v>
      </c>
      <c r="O395" s="553">
        <f ca="1">INDEX('Data Processing'!CE:CE,$A392)</f>
        <v>3.4285714285714288E-3</v>
      </c>
      <c r="P395" s="553">
        <f ca="1">INDEX('Data Processing'!CF:CF,$A392)</f>
        <v>3.4285714285714288E-3</v>
      </c>
      <c r="Q395" s="553">
        <f ca="1">INDEX('Data Processing'!CG:CG,$A392)</f>
        <v>3.4285714285714288E-3</v>
      </c>
      <c r="R395" s="553">
        <f ca="1">INDEX('Data Processing'!CH:CH,$A392)</f>
        <v>3.4285714285714288E-3</v>
      </c>
      <c r="S395" s="553">
        <f ca="1">INDEX('Data Processing'!CI:CI,$A392)</f>
        <v>0.02</v>
      </c>
      <c r="T395" s="554">
        <f ca="1">INDEX('Data Processing'!CJ:CJ,$A392)</f>
        <v>0.02</v>
      </c>
      <c r="U395" s="551"/>
      <c r="V395" s="298"/>
      <c r="W395" s="299"/>
      <c r="X395" s="299"/>
      <c r="Y395" s="299"/>
    </row>
    <row r="396" spans="1:25" s="587" customFormat="1">
      <c r="A396" s="440" t="str">
        <f>IF(B396="","",IFERROR(MATCH(B396,'Data Processing'!$C:$C,0),""))</f>
        <v/>
      </c>
      <c r="B396" s="581"/>
      <c r="C396" s="523" t="s">
        <v>998</v>
      </c>
      <c r="D396" s="488"/>
      <c r="E396" s="489">
        <f ca="1">INDEX('Data Processing'!AS:AS,$A392)</f>
        <v>0</v>
      </c>
      <c r="F396" s="556">
        <f ca="1">INDEX('Data Processing'!AT:AT,$A392)</f>
        <v>0</v>
      </c>
      <c r="G396" s="556">
        <f ca="1">INDEX('Data Processing'!AU:AU,$A392)</f>
        <v>0</v>
      </c>
      <c r="H396" s="556">
        <f ca="1">INDEX('Data Processing'!AV:AV,$A392)</f>
        <v>0</v>
      </c>
      <c r="I396" s="556">
        <f ca="1">INDEX('Data Processing'!AW:AW,$A392)</f>
        <v>0</v>
      </c>
      <c r="J396" s="556">
        <f ca="1">INDEX('Data Processing'!AX:AX,$A392)</f>
        <v>0</v>
      </c>
      <c r="K396" s="556">
        <f ca="1">INDEX('Data Processing'!AY:AY,$A392)</f>
        <v>0</v>
      </c>
      <c r="L396" s="556">
        <f ca="1">INDEX('Data Processing'!AZ:AZ,$A392)</f>
        <v>0</v>
      </c>
      <c r="M396" s="556">
        <f ca="1">INDEX('Data Processing'!BA:BA,$A392)</f>
        <v>0</v>
      </c>
      <c r="N396" s="556">
        <f ca="1">INDEX('Data Processing'!BB:BB,$A392)</f>
        <v>0</v>
      </c>
      <c r="O396" s="556">
        <f ca="1">INDEX('Data Processing'!BC:BC,$A392)</f>
        <v>0</v>
      </c>
      <c r="P396" s="556">
        <f ca="1">INDEX('Data Processing'!BD:BD,$A392)</f>
        <v>0</v>
      </c>
      <c r="Q396" s="556">
        <f ca="1">INDEX('Data Processing'!BE:BE,$A392)</f>
        <v>0</v>
      </c>
      <c r="R396" s="556">
        <f ca="1">INDEX('Data Processing'!BF:BF,$A392)</f>
        <v>0</v>
      </c>
      <c r="S396" s="556">
        <f ca="1">INDEX('Data Processing'!BG:BG,$A392)</f>
        <v>0</v>
      </c>
      <c r="T396" s="584">
        <f ca="1">INDEX('Data Processing'!BH:BH,$A392)</f>
        <v>0</v>
      </c>
      <c r="U396" s="556"/>
      <c r="V396" s="451">
        <v>0</v>
      </c>
      <c r="W396" s="451">
        <v>0</v>
      </c>
      <c r="X396" s="451">
        <v>0</v>
      </c>
      <c r="Y396" s="451">
        <v>0</v>
      </c>
    </row>
    <row r="397" spans="1:25" s="587" customFormat="1">
      <c r="A397" s="440" t="str">
        <f>IF(B397="","",IFERROR(MATCH(B397,'Data Processing'!$C:$C,0),""))</f>
        <v/>
      </c>
      <c r="B397" s="581"/>
      <c r="C397" s="558" t="s">
        <v>1012</v>
      </c>
      <c r="D397" s="503"/>
      <c r="E397" s="559">
        <f t="shared" ref="E397:T397" ca="1" si="531">E393-E396</f>
        <v>0</v>
      </c>
      <c r="F397" s="559">
        <f t="shared" ca="1" si="531"/>
        <v>0</v>
      </c>
      <c r="G397" s="559">
        <f t="shared" ca="1" si="531"/>
        <v>0</v>
      </c>
      <c r="H397" s="559">
        <f t="shared" ca="1" si="531"/>
        <v>0</v>
      </c>
      <c r="I397" s="559">
        <f t="shared" ca="1" si="531"/>
        <v>0</v>
      </c>
      <c r="J397" s="559">
        <f t="shared" ca="1" si="531"/>
        <v>0</v>
      </c>
      <c r="K397" s="559">
        <f t="shared" ca="1" si="531"/>
        <v>0</v>
      </c>
      <c r="L397" s="559">
        <f t="shared" ca="1" si="531"/>
        <v>0</v>
      </c>
      <c r="M397" s="559">
        <f t="shared" ca="1" si="531"/>
        <v>0</v>
      </c>
      <c r="N397" s="559">
        <f t="shared" ca="1" si="531"/>
        <v>0</v>
      </c>
      <c r="O397" s="559">
        <f t="shared" ca="1" si="531"/>
        <v>0</v>
      </c>
      <c r="P397" s="559">
        <f t="shared" ca="1" si="531"/>
        <v>0</v>
      </c>
      <c r="Q397" s="559">
        <f t="shared" ca="1" si="531"/>
        <v>0</v>
      </c>
      <c r="R397" s="559">
        <f t="shared" ca="1" si="531"/>
        <v>0</v>
      </c>
      <c r="S397" s="559">
        <f t="shared" ca="1" si="531"/>
        <v>0</v>
      </c>
      <c r="T397" s="560">
        <f t="shared" ca="1" si="531"/>
        <v>0</v>
      </c>
      <c r="U397" s="585"/>
      <c r="V397" s="276"/>
      <c r="W397" s="277"/>
      <c r="X397" s="277"/>
      <c r="Y397" s="277"/>
    </row>
    <row r="398" spans="1:25" s="219" customFormat="1">
      <c r="A398">
        <f>IF(B398="","",IFERROR(MATCH(B398,'Data Processing'!$C:$C,0),""))</f>
        <v>67</v>
      </c>
      <c r="B398" s="127">
        <v>10.199999999999999</v>
      </c>
      <c r="C398" s="188" t="str">
        <f>INDEX('Data Processing'!$G:$G,A398)</f>
        <v>Brokered CDs</v>
      </c>
      <c r="D398" s="323">
        <f>INDEX('Data Processing'!O:O,$A398)</f>
        <v>9604.8459999999995</v>
      </c>
      <c r="E398" s="174">
        <f ca="1">INDEX('Data Processing'!P:P,$A398)</f>
        <v>9585.6363079999992</v>
      </c>
      <c r="F398" s="174">
        <f ca="1">INDEX('Data Processing'!Q:Q,$A398)</f>
        <v>9579.2330773333324</v>
      </c>
      <c r="G398" s="174">
        <f ca="1">INDEX('Data Processing'!R:R,$A398)</f>
        <v>9572.8298466666674</v>
      </c>
      <c r="H398" s="174">
        <f ca="1">INDEX('Data Processing'!S:S,$A398)</f>
        <v>9566.4266159999988</v>
      </c>
      <c r="I398" s="174">
        <f ca="1">INDEX('Data Processing'!T:T,$A398)</f>
        <v>9560.023385333332</v>
      </c>
      <c r="J398" s="174">
        <f ca="1">INDEX('Data Processing'!U:U,$A398)</f>
        <v>9553.6201546666671</v>
      </c>
      <c r="K398" s="174">
        <f ca="1">INDEX('Data Processing'!V:V,$A398)</f>
        <v>9547.2169240000003</v>
      </c>
      <c r="L398" s="174">
        <f ca="1">INDEX('Data Processing'!W:W,$A398)</f>
        <v>9541.728440571429</v>
      </c>
      <c r="M398" s="174">
        <f ca="1">INDEX('Data Processing'!X:X,$A398)</f>
        <v>9536.2399571428577</v>
      </c>
      <c r="N398" s="174">
        <f ca="1">INDEX('Data Processing'!Y:Y,$A398)</f>
        <v>9530.7514737142865</v>
      </c>
      <c r="O398" s="174">
        <f ca="1">INDEX('Data Processing'!Z:Z,$A398)</f>
        <v>9525.2629902857134</v>
      </c>
      <c r="P398" s="174">
        <f ca="1">INDEX('Data Processing'!AA:AA,$A398)</f>
        <v>9519.7745068571421</v>
      </c>
      <c r="Q398" s="174">
        <f ca="1">INDEX('Data Processing'!AB:AB,$A398)</f>
        <v>9514.2860234285708</v>
      </c>
      <c r="R398" s="174">
        <f ca="1">INDEX('Data Processing'!AC:AC,$A398)</f>
        <v>9508.7975399999996</v>
      </c>
      <c r="S398" s="174">
        <f ca="1">INDEX('Data Processing'!AD:AD,$A398)</f>
        <v>7636.5184499999996</v>
      </c>
      <c r="T398" s="227">
        <f ca="1">INDEX('Data Processing'!AE:AE,$A398)</f>
        <v>7109.9493299999995</v>
      </c>
      <c r="U398" s="218"/>
      <c r="V398" s="120"/>
    </row>
    <row r="399" spans="1:25" s="587" customFormat="1">
      <c r="A399" s="440" t="str">
        <f>IF(B399="","",IFERROR(MATCH(B399,'Data Processing'!$C:$C,0),""))</f>
        <v/>
      </c>
      <c r="B399" s="581"/>
      <c r="C399" s="565" t="s">
        <v>1005</v>
      </c>
      <c r="D399" s="488"/>
      <c r="E399" s="454">
        <f>D398</f>
        <v>9604.8459999999995</v>
      </c>
      <c r="F399" s="454">
        <f t="shared" ref="F399:T399" ca="1" si="532">E398</f>
        <v>9585.6363079999992</v>
      </c>
      <c r="G399" s="454">
        <f t="shared" ca="1" si="532"/>
        <v>9579.2330773333324</v>
      </c>
      <c r="H399" s="454">
        <f t="shared" ca="1" si="532"/>
        <v>9572.8298466666674</v>
      </c>
      <c r="I399" s="454">
        <f t="shared" ca="1" si="532"/>
        <v>9566.4266159999988</v>
      </c>
      <c r="J399" s="454">
        <f t="shared" ca="1" si="532"/>
        <v>9560.023385333332</v>
      </c>
      <c r="K399" s="454">
        <f t="shared" ca="1" si="532"/>
        <v>9553.6201546666671</v>
      </c>
      <c r="L399" s="454">
        <f t="shared" ca="1" si="532"/>
        <v>9547.2169240000003</v>
      </c>
      <c r="M399" s="454">
        <f t="shared" ca="1" si="532"/>
        <v>9541.728440571429</v>
      </c>
      <c r="N399" s="454">
        <f t="shared" ca="1" si="532"/>
        <v>9536.2399571428577</v>
      </c>
      <c r="O399" s="454">
        <f t="shared" ca="1" si="532"/>
        <v>9530.7514737142865</v>
      </c>
      <c r="P399" s="454">
        <f t="shared" ca="1" si="532"/>
        <v>9525.2629902857134</v>
      </c>
      <c r="Q399" s="454">
        <f t="shared" ca="1" si="532"/>
        <v>9519.7745068571421</v>
      </c>
      <c r="R399" s="454">
        <f t="shared" ca="1" si="532"/>
        <v>9514.2860234285708</v>
      </c>
      <c r="S399" s="454">
        <f t="shared" ca="1" si="532"/>
        <v>9508.7975399999996</v>
      </c>
      <c r="T399" s="455">
        <f t="shared" ca="1" si="532"/>
        <v>7636.5184499999996</v>
      </c>
      <c r="U399" s="585"/>
      <c r="V399" s="233"/>
      <c r="W399" s="462"/>
      <c r="X399" s="462"/>
      <c r="Y399" s="462"/>
    </row>
    <row r="400" spans="1:25" s="561" customFormat="1">
      <c r="A400" s="440" t="str">
        <f>IF(B400="","",IFERROR(MATCH(B400,'Data Processing'!$C:$C,0),""))</f>
        <v/>
      </c>
      <c r="B400" s="583"/>
      <c r="C400" s="567" t="s">
        <v>51</v>
      </c>
      <c r="D400" s="488"/>
      <c r="E400" s="488">
        <f>INDEX('Data Processing'!CX:CX,$A398)</f>
        <v>0</v>
      </c>
      <c r="F400" s="488">
        <f>INDEX('Data Processing'!CY:CY,$A398)</f>
        <v>0</v>
      </c>
      <c r="G400" s="488">
        <f>INDEX('Data Processing'!CZ:CZ,$A398)</f>
        <v>0</v>
      </c>
      <c r="H400" s="488">
        <f>INDEX('Data Processing'!DA:DA,$A398)</f>
        <v>0</v>
      </c>
      <c r="I400" s="488">
        <f>INDEX('Data Processing'!DB:DB,$A398)</f>
        <v>0</v>
      </c>
      <c r="J400" s="488">
        <f>INDEX('Data Processing'!DC:DC,$A398)</f>
        <v>0</v>
      </c>
      <c r="K400" s="488">
        <f>INDEX('Data Processing'!DD:DD,$A398)</f>
        <v>0</v>
      </c>
      <c r="L400" s="488">
        <f>INDEX('Data Processing'!DE:DE,$A398)</f>
        <v>0</v>
      </c>
      <c r="M400" s="488">
        <f>INDEX('Data Processing'!DF:DF,$A398)</f>
        <v>0</v>
      </c>
      <c r="N400" s="488">
        <f>INDEX('Data Processing'!DG:DG,$A398)</f>
        <v>0</v>
      </c>
      <c r="O400" s="488">
        <f>INDEX('Data Processing'!DH:DH,$A398)</f>
        <v>0</v>
      </c>
      <c r="P400" s="488">
        <f>INDEX('Data Processing'!DI:DI,$A398)</f>
        <v>0</v>
      </c>
      <c r="Q400" s="488">
        <f>INDEX('Data Processing'!DJ:DJ,$A398)</f>
        <v>0</v>
      </c>
      <c r="R400" s="488">
        <f>INDEX('Data Processing'!DK:DK,$A398)</f>
        <v>0</v>
      </c>
      <c r="S400" s="488">
        <f>INDEX('Data Processing'!DL:DL,$A398)</f>
        <v>1891.191</v>
      </c>
      <c r="T400" s="550">
        <f>INDEX('Data Processing'!DM:DM,$A398)</f>
        <v>531.88800000000003</v>
      </c>
      <c r="U400" s="551"/>
      <c r="V400" s="298"/>
      <c r="W400" s="299"/>
      <c r="X400" s="299"/>
      <c r="Y400" s="299"/>
    </row>
    <row r="401" spans="1:25" s="561" customFormat="1">
      <c r="A401" s="440" t="str">
        <f>IF(B401="","",IFERROR(MATCH(B401,'Data Processing'!$C:$C,0),""))</f>
        <v/>
      </c>
      <c r="B401" s="583"/>
      <c r="C401" s="567" t="s">
        <v>50</v>
      </c>
      <c r="D401" s="488"/>
      <c r="E401" s="553">
        <f ca="1">INDEX('Data Processing'!BU:BU,$A398)</f>
        <v>1</v>
      </c>
      <c r="F401" s="553">
        <f ca="1">INDEX('Data Processing'!BV:BV,$A398)</f>
        <v>1</v>
      </c>
      <c r="G401" s="553">
        <f ca="1">INDEX('Data Processing'!BW:BW,$A398)</f>
        <v>1</v>
      </c>
      <c r="H401" s="553">
        <f ca="1">INDEX('Data Processing'!BX:BX,$A398)</f>
        <v>1</v>
      </c>
      <c r="I401" s="553">
        <f ca="1">INDEX('Data Processing'!BY:BY,$A398)</f>
        <v>1</v>
      </c>
      <c r="J401" s="553">
        <f ca="1">INDEX('Data Processing'!BZ:BZ,$A398)</f>
        <v>1</v>
      </c>
      <c r="K401" s="553">
        <f ca="1">INDEX('Data Processing'!CA:CA,$A398)</f>
        <v>1</v>
      </c>
      <c r="L401" s="553">
        <f ca="1">INDEX('Data Processing'!CB:CB,$A398)</f>
        <v>1</v>
      </c>
      <c r="M401" s="553">
        <f ca="1">INDEX('Data Processing'!CC:CC,$A398)</f>
        <v>1</v>
      </c>
      <c r="N401" s="553">
        <f ca="1">INDEX('Data Processing'!CD:CD,$A398)</f>
        <v>1</v>
      </c>
      <c r="O401" s="553">
        <f ca="1">INDEX('Data Processing'!CE:CE,$A398)</f>
        <v>1</v>
      </c>
      <c r="P401" s="553">
        <f ca="1">INDEX('Data Processing'!CF:CF,$A398)</f>
        <v>1</v>
      </c>
      <c r="Q401" s="553">
        <f ca="1">INDEX('Data Processing'!CG:CG,$A398)</f>
        <v>1</v>
      </c>
      <c r="R401" s="553">
        <f ca="1">INDEX('Data Processing'!CH:CH,$A398)</f>
        <v>1</v>
      </c>
      <c r="S401" s="553">
        <f ca="1">INDEX('Data Processing'!CI:CI,$A398)</f>
        <v>1</v>
      </c>
      <c r="T401" s="554">
        <f ca="1">INDEX('Data Processing'!CJ:CJ,$A398)</f>
        <v>1</v>
      </c>
      <c r="U401" s="551"/>
      <c r="V401" s="233" t="s">
        <v>1050</v>
      </c>
      <c r="W401" s="299"/>
      <c r="X401" s="299"/>
      <c r="Y401" s="299"/>
    </row>
    <row r="402" spans="1:25" s="587" customFormat="1">
      <c r="A402" s="440" t="str">
        <f>IF(B402="","",IFERROR(MATCH(B402,'Data Processing'!$C:$C,0),""))</f>
        <v/>
      </c>
      <c r="B402" s="581"/>
      <c r="C402" s="523" t="s">
        <v>998</v>
      </c>
      <c r="D402" s="488"/>
      <c r="E402" s="489">
        <f ca="1">INDEX('Data Processing'!AS:AS,$A398)</f>
        <v>19.209692000000359</v>
      </c>
      <c r="F402" s="556">
        <f ca="1">INDEX('Data Processing'!AT:AT,$A398)</f>
        <v>6.4032306666667864</v>
      </c>
      <c r="G402" s="556">
        <f ca="1">INDEX('Data Processing'!AU:AU,$A398)</f>
        <v>6.4032306666649674</v>
      </c>
      <c r="H402" s="556">
        <f ca="1">INDEX('Data Processing'!AV:AV,$A398)</f>
        <v>6.4032306666686054</v>
      </c>
      <c r="I402" s="556">
        <f ca="1">INDEX('Data Processing'!AW:AW,$A398)</f>
        <v>6.4032306666667864</v>
      </c>
      <c r="J402" s="556">
        <f ca="1">INDEX('Data Processing'!AX:AX,$A398)</f>
        <v>6.4032306666649674</v>
      </c>
      <c r="K402" s="556">
        <f ca="1">INDEX('Data Processing'!AY:AY,$A398)</f>
        <v>6.4032306666667864</v>
      </c>
      <c r="L402" s="556">
        <f ca="1">INDEX('Data Processing'!AZ:AZ,$A398)</f>
        <v>5.4884834285712714</v>
      </c>
      <c r="M402" s="556">
        <f ca="1">INDEX('Data Processing'!BA:BA,$A398)</f>
        <v>5.4884834285712714</v>
      </c>
      <c r="N402" s="556">
        <f ca="1">INDEX('Data Processing'!BB:BB,$A398)</f>
        <v>5.4884834285712714</v>
      </c>
      <c r="O402" s="556">
        <f ca="1">INDEX('Data Processing'!BC:BC,$A398)</f>
        <v>5.4884834285730904</v>
      </c>
      <c r="P402" s="556">
        <f ca="1">INDEX('Data Processing'!BD:BD,$A398)</f>
        <v>5.4884834285712714</v>
      </c>
      <c r="Q402" s="556">
        <f ca="1">INDEX('Data Processing'!BE:BE,$A398)</f>
        <v>5.4884834285712714</v>
      </c>
      <c r="R402" s="556">
        <f ca="1">INDEX('Data Processing'!BF:BF,$A398)</f>
        <v>5.4884834285712714</v>
      </c>
      <c r="S402" s="556">
        <f ca="1">INDEX('Data Processing'!BG:BG,$A398)</f>
        <v>1872.27909</v>
      </c>
      <c r="T402" s="584">
        <f ca="1">INDEX('Data Processing'!BH:BH,$A398)</f>
        <v>526.56912000000011</v>
      </c>
      <c r="U402" s="585"/>
      <c r="V402" s="276"/>
      <c r="W402" s="277"/>
      <c r="X402" s="277"/>
      <c r="Y402" s="277"/>
    </row>
    <row r="403" spans="1:25" s="587" customFormat="1">
      <c r="A403" s="440" t="str">
        <f>IF(B403="","",IFERROR(MATCH(B403,'Data Processing'!$C:$C,0),""))</f>
        <v/>
      </c>
      <c r="B403" s="588"/>
      <c r="C403" s="564" t="s">
        <v>1012</v>
      </c>
      <c r="D403" s="507"/>
      <c r="E403" s="573">
        <f t="shared" ref="E403:T403" ca="1" si="533">E399-E402</f>
        <v>9585.6363079999992</v>
      </c>
      <c r="F403" s="573">
        <f t="shared" ca="1" si="533"/>
        <v>9579.2330773333324</v>
      </c>
      <c r="G403" s="573">
        <f t="shared" ca="1" si="533"/>
        <v>9572.8298466666674</v>
      </c>
      <c r="H403" s="573">
        <f t="shared" ca="1" si="533"/>
        <v>9566.4266159999988</v>
      </c>
      <c r="I403" s="573">
        <f t="shared" ca="1" si="533"/>
        <v>9560.023385333332</v>
      </c>
      <c r="J403" s="573">
        <f t="shared" ca="1" si="533"/>
        <v>9553.6201546666671</v>
      </c>
      <c r="K403" s="573">
        <f t="shared" ca="1" si="533"/>
        <v>9547.2169240000003</v>
      </c>
      <c r="L403" s="573">
        <f t="shared" ca="1" si="533"/>
        <v>9541.728440571429</v>
      </c>
      <c r="M403" s="573">
        <f t="shared" ca="1" si="533"/>
        <v>9536.2399571428577</v>
      </c>
      <c r="N403" s="573">
        <f t="shared" ca="1" si="533"/>
        <v>9530.7514737142865</v>
      </c>
      <c r="O403" s="573">
        <f t="shared" ca="1" si="533"/>
        <v>9525.2629902857134</v>
      </c>
      <c r="P403" s="573">
        <f t="shared" ca="1" si="533"/>
        <v>9519.7745068571421</v>
      </c>
      <c r="Q403" s="573">
        <f t="shared" ca="1" si="533"/>
        <v>9514.2860234285708</v>
      </c>
      <c r="R403" s="573">
        <f t="shared" ca="1" si="533"/>
        <v>9508.7975399999996</v>
      </c>
      <c r="S403" s="573">
        <f t="shared" ca="1" si="533"/>
        <v>7636.5184499999996</v>
      </c>
      <c r="T403" s="493">
        <f t="shared" ca="1" si="533"/>
        <v>7109.9493299999995</v>
      </c>
      <c r="U403" s="585"/>
      <c r="V403" s="276"/>
      <c r="W403" s="277"/>
      <c r="X403" s="277"/>
      <c r="Y403" s="277"/>
    </row>
    <row r="404" spans="1:25" s="277" customFormat="1">
      <c r="A404">
        <f>IF(B404="","",IFERROR(MATCH(B404,'Data Processing'!$C:$C,0),""))</f>
        <v>68</v>
      </c>
      <c r="B404" s="127">
        <v>10.3</v>
      </c>
      <c r="C404" s="188" t="str">
        <f>INDEX('Data Processing'!$G:$G,A404)</f>
        <v>Yankee CDs</v>
      </c>
      <c r="D404" s="323">
        <f>INDEX('Data Processing'!O:O,$A404)</f>
        <v>0</v>
      </c>
      <c r="E404" s="174">
        <f ca="1">INDEX('Data Processing'!P:P,$A404)</f>
        <v>0</v>
      </c>
      <c r="F404" s="174">
        <f ca="1">INDEX('Data Processing'!Q:Q,$A404)</f>
        <v>0</v>
      </c>
      <c r="G404" s="174">
        <f ca="1">INDEX('Data Processing'!R:R,$A404)</f>
        <v>0</v>
      </c>
      <c r="H404" s="174">
        <f ca="1">INDEX('Data Processing'!S:S,$A404)</f>
        <v>0</v>
      </c>
      <c r="I404" s="174">
        <f ca="1">INDEX('Data Processing'!T:T,$A404)</f>
        <v>0</v>
      </c>
      <c r="J404" s="174">
        <f ca="1">INDEX('Data Processing'!U:U,$A404)</f>
        <v>0</v>
      </c>
      <c r="K404" s="174">
        <f ca="1">INDEX('Data Processing'!V:V,$A404)</f>
        <v>0</v>
      </c>
      <c r="L404" s="174">
        <f ca="1">INDEX('Data Processing'!W:W,$A404)</f>
        <v>0</v>
      </c>
      <c r="M404" s="174">
        <f ca="1">INDEX('Data Processing'!X:X,$A404)</f>
        <v>0</v>
      </c>
      <c r="N404" s="174">
        <f ca="1">INDEX('Data Processing'!Y:Y,$A404)</f>
        <v>0</v>
      </c>
      <c r="O404" s="174">
        <f ca="1">INDEX('Data Processing'!Z:Z,$A404)</f>
        <v>0</v>
      </c>
      <c r="P404" s="174">
        <f ca="1">INDEX('Data Processing'!AA:AA,$A404)</f>
        <v>0</v>
      </c>
      <c r="Q404" s="174">
        <f ca="1">INDEX('Data Processing'!AB:AB,$A404)</f>
        <v>0</v>
      </c>
      <c r="R404" s="174">
        <f ca="1">INDEX('Data Processing'!AC:AC,$A404)</f>
        <v>0</v>
      </c>
      <c r="S404" s="174">
        <f ca="1">INDEX('Data Processing'!AD:AD,$A404)</f>
        <v>0</v>
      </c>
      <c r="T404" s="227">
        <f ca="1">INDEX('Data Processing'!AE:AE,$A404)</f>
        <v>0</v>
      </c>
      <c r="U404" s="275"/>
      <c r="V404" s="276"/>
    </row>
    <row r="405" spans="1:25" s="587" customFormat="1">
      <c r="A405" s="440" t="str">
        <f>IF(B405="","",IFERROR(MATCH(B405,'Data Processing'!$C:$C,0),""))</f>
        <v/>
      </c>
      <c r="B405" s="581"/>
      <c r="C405" s="565" t="s">
        <v>1005</v>
      </c>
      <c r="D405" s="488"/>
      <c r="E405" s="454">
        <f>D404</f>
        <v>0</v>
      </c>
      <c r="F405" s="454">
        <f t="shared" ref="F405:T405" ca="1" si="534">E404</f>
        <v>0</v>
      </c>
      <c r="G405" s="454">
        <f t="shared" ca="1" si="534"/>
        <v>0</v>
      </c>
      <c r="H405" s="454">
        <f t="shared" ca="1" si="534"/>
        <v>0</v>
      </c>
      <c r="I405" s="454">
        <f t="shared" ca="1" si="534"/>
        <v>0</v>
      </c>
      <c r="J405" s="454">
        <f t="shared" ca="1" si="534"/>
        <v>0</v>
      </c>
      <c r="K405" s="454">
        <f t="shared" ca="1" si="534"/>
        <v>0</v>
      </c>
      <c r="L405" s="454">
        <f t="shared" ca="1" si="534"/>
        <v>0</v>
      </c>
      <c r="M405" s="454">
        <f t="shared" ca="1" si="534"/>
        <v>0</v>
      </c>
      <c r="N405" s="454">
        <f t="shared" ca="1" si="534"/>
        <v>0</v>
      </c>
      <c r="O405" s="454">
        <f t="shared" ca="1" si="534"/>
        <v>0</v>
      </c>
      <c r="P405" s="454">
        <f t="shared" ca="1" si="534"/>
        <v>0</v>
      </c>
      <c r="Q405" s="454">
        <f t="shared" ca="1" si="534"/>
        <v>0</v>
      </c>
      <c r="R405" s="454">
        <f t="shared" ca="1" si="534"/>
        <v>0</v>
      </c>
      <c r="S405" s="454">
        <f t="shared" ca="1" si="534"/>
        <v>0</v>
      </c>
      <c r="T405" s="455">
        <f t="shared" ca="1" si="534"/>
        <v>0</v>
      </c>
      <c r="U405" s="585"/>
      <c r="V405" s="233"/>
      <c r="W405" s="462"/>
      <c r="X405" s="462"/>
      <c r="Y405" s="462"/>
    </row>
    <row r="406" spans="1:25" s="561" customFormat="1">
      <c r="A406" s="440" t="str">
        <f>IF(B406="","",IFERROR(MATCH(B406,'Data Processing'!$C:$C,0),""))</f>
        <v/>
      </c>
      <c r="B406" s="583"/>
      <c r="C406" s="567" t="s">
        <v>51</v>
      </c>
      <c r="D406" s="488"/>
      <c r="E406" s="488">
        <f>INDEX('Data Processing'!CX:CX,$A404)</f>
        <v>0</v>
      </c>
      <c r="F406" s="488">
        <f>INDEX('Data Processing'!CY:CY,$A404)</f>
        <v>0</v>
      </c>
      <c r="G406" s="488">
        <f>INDEX('Data Processing'!CZ:CZ,$A404)</f>
        <v>0</v>
      </c>
      <c r="H406" s="488">
        <f>INDEX('Data Processing'!DA:DA,$A404)</f>
        <v>0</v>
      </c>
      <c r="I406" s="488">
        <f>INDEX('Data Processing'!DB:DB,$A404)</f>
        <v>0</v>
      </c>
      <c r="J406" s="488">
        <f>INDEX('Data Processing'!DC:DC,$A404)</f>
        <v>0</v>
      </c>
      <c r="K406" s="488">
        <f>INDEX('Data Processing'!DD:DD,$A404)</f>
        <v>0</v>
      </c>
      <c r="L406" s="488">
        <f>INDEX('Data Processing'!DE:DE,$A404)</f>
        <v>0</v>
      </c>
      <c r="M406" s="488">
        <f>INDEX('Data Processing'!DF:DF,$A404)</f>
        <v>0</v>
      </c>
      <c r="N406" s="488">
        <f>INDEX('Data Processing'!DG:DG,$A404)</f>
        <v>0</v>
      </c>
      <c r="O406" s="488">
        <f>INDEX('Data Processing'!DH:DH,$A404)</f>
        <v>0</v>
      </c>
      <c r="P406" s="488">
        <f>INDEX('Data Processing'!DI:DI,$A404)</f>
        <v>0</v>
      </c>
      <c r="Q406" s="488">
        <f>INDEX('Data Processing'!DJ:DJ,$A404)</f>
        <v>0</v>
      </c>
      <c r="R406" s="488">
        <f>INDEX('Data Processing'!DK:DK,$A404)</f>
        <v>0</v>
      </c>
      <c r="S406" s="488">
        <f>INDEX('Data Processing'!DL:DL,$A404)</f>
        <v>0</v>
      </c>
      <c r="T406" s="550">
        <f>INDEX('Data Processing'!DM:DM,$A404)</f>
        <v>0</v>
      </c>
      <c r="U406" s="551"/>
      <c r="V406" s="298"/>
      <c r="W406" s="299"/>
      <c r="X406" s="299"/>
      <c r="Y406" s="299"/>
    </row>
    <row r="407" spans="1:25" s="561" customFormat="1">
      <c r="A407" s="440" t="str">
        <f>IF(B407="","",IFERROR(MATCH(B407,'Data Processing'!$C:$C,0),""))</f>
        <v/>
      </c>
      <c r="B407" s="583"/>
      <c r="C407" s="567" t="s">
        <v>50</v>
      </c>
      <c r="D407" s="488"/>
      <c r="E407" s="553">
        <f>INDEX('Data Processing'!BU:BU,$A404)</f>
        <v>1</v>
      </c>
      <c r="F407" s="553">
        <f>INDEX('Data Processing'!BV:BV,$A404)</f>
        <v>1</v>
      </c>
      <c r="G407" s="553">
        <f>INDEX('Data Processing'!BW:BW,$A404)</f>
        <v>1</v>
      </c>
      <c r="H407" s="553">
        <f>INDEX('Data Processing'!BX:BX,$A404)</f>
        <v>1</v>
      </c>
      <c r="I407" s="553">
        <f>INDEX('Data Processing'!BY:BY,$A404)</f>
        <v>1</v>
      </c>
      <c r="J407" s="553">
        <f>INDEX('Data Processing'!BZ:BZ,$A404)</f>
        <v>1</v>
      </c>
      <c r="K407" s="553">
        <f>INDEX('Data Processing'!CA:CA,$A404)</f>
        <v>1</v>
      </c>
      <c r="L407" s="553">
        <f>INDEX('Data Processing'!CB:CB,$A404)</f>
        <v>1</v>
      </c>
      <c r="M407" s="553">
        <f>INDEX('Data Processing'!CC:CC,$A404)</f>
        <v>1</v>
      </c>
      <c r="N407" s="553">
        <f>INDEX('Data Processing'!CD:CD,$A404)</f>
        <v>1</v>
      </c>
      <c r="O407" s="553">
        <f>INDEX('Data Processing'!CE:CE,$A404)</f>
        <v>1</v>
      </c>
      <c r="P407" s="553">
        <f>INDEX('Data Processing'!CF:CF,$A404)</f>
        <v>1</v>
      </c>
      <c r="Q407" s="553">
        <f>INDEX('Data Processing'!CG:CG,$A404)</f>
        <v>1</v>
      </c>
      <c r="R407" s="553">
        <f>INDEX('Data Processing'!CH:CH,$A404)</f>
        <v>1</v>
      </c>
      <c r="S407" s="553">
        <f>INDEX('Data Processing'!CI:CI,$A404)</f>
        <v>1</v>
      </c>
      <c r="T407" s="554">
        <f>INDEX('Data Processing'!CJ:CJ,$A404)</f>
        <v>1</v>
      </c>
      <c r="U407" s="551"/>
      <c r="V407" s="233" t="s">
        <v>1050</v>
      </c>
      <c r="W407" s="299"/>
      <c r="X407" s="299"/>
      <c r="Y407" s="299"/>
    </row>
    <row r="408" spans="1:25" s="587" customFormat="1">
      <c r="A408" s="440" t="str">
        <f>IF(B408="","",IFERROR(MATCH(B408,'Data Processing'!$C:$C,0),""))</f>
        <v/>
      </c>
      <c r="B408" s="581"/>
      <c r="C408" s="523" t="s">
        <v>998</v>
      </c>
      <c r="D408" s="488"/>
      <c r="E408" s="489">
        <f ca="1">INDEX('Data Processing'!AS:AS,$A404)</f>
        <v>0</v>
      </c>
      <c r="F408" s="489">
        <f ca="1">INDEX('Data Processing'!AT:AT,$A404)</f>
        <v>0</v>
      </c>
      <c r="G408" s="556">
        <f ca="1">INDEX('Data Processing'!AU:AU,$A404)</f>
        <v>0</v>
      </c>
      <c r="H408" s="556">
        <f ca="1">INDEX('Data Processing'!AV:AV,$A404)</f>
        <v>0</v>
      </c>
      <c r="I408" s="556">
        <f ca="1">INDEX('Data Processing'!AW:AW,$A404)</f>
        <v>0</v>
      </c>
      <c r="J408" s="556">
        <f ca="1">INDEX('Data Processing'!AX:AX,$A404)</f>
        <v>0</v>
      </c>
      <c r="K408" s="556">
        <f ca="1">INDEX('Data Processing'!AY:AY,$A404)</f>
        <v>0</v>
      </c>
      <c r="L408" s="556">
        <f ca="1">INDEX('Data Processing'!AZ:AZ,$A404)</f>
        <v>0</v>
      </c>
      <c r="M408" s="556">
        <f ca="1">INDEX('Data Processing'!BA:BA,$A404)</f>
        <v>0</v>
      </c>
      <c r="N408" s="556">
        <f ca="1">INDEX('Data Processing'!BB:BB,$A404)</f>
        <v>0</v>
      </c>
      <c r="O408" s="556">
        <f ca="1">INDEX('Data Processing'!BC:BC,$A404)</f>
        <v>0</v>
      </c>
      <c r="P408" s="556">
        <f ca="1">INDEX('Data Processing'!BD:BD,$A404)</f>
        <v>0</v>
      </c>
      <c r="Q408" s="556">
        <f ca="1">INDEX('Data Processing'!BE:BE,$A404)</f>
        <v>0</v>
      </c>
      <c r="R408" s="556">
        <f ca="1">INDEX('Data Processing'!BF:BF,$A404)</f>
        <v>0</v>
      </c>
      <c r="S408" s="556">
        <f ca="1">INDEX('Data Processing'!BG:BG,$A404)</f>
        <v>0</v>
      </c>
      <c r="T408" s="584">
        <f ca="1">INDEX('Data Processing'!BH:BH,$A404)</f>
        <v>0</v>
      </c>
      <c r="U408" s="585"/>
      <c r="V408" s="276"/>
      <c r="W408" s="277"/>
      <c r="X408" s="277"/>
      <c r="Y408" s="277"/>
    </row>
    <row r="409" spans="1:25" s="587" customFormat="1">
      <c r="A409" s="440" t="str">
        <f>IF(B409="","",IFERROR(MATCH(B409,'Data Processing'!$C:$C,0),""))</f>
        <v/>
      </c>
      <c r="B409" s="588"/>
      <c r="C409" s="564" t="s">
        <v>1012</v>
      </c>
      <c r="D409" s="507"/>
      <c r="E409" s="573">
        <f t="shared" ref="E409:T409" ca="1" si="535">E405-E408</f>
        <v>0</v>
      </c>
      <c r="F409" s="573">
        <f t="shared" ca="1" si="535"/>
        <v>0</v>
      </c>
      <c r="G409" s="573">
        <f t="shared" ca="1" si="535"/>
        <v>0</v>
      </c>
      <c r="H409" s="573">
        <f t="shared" ca="1" si="535"/>
        <v>0</v>
      </c>
      <c r="I409" s="573">
        <f t="shared" ca="1" si="535"/>
        <v>0</v>
      </c>
      <c r="J409" s="573">
        <f t="shared" ca="1" si="535"/>
        <v>0</v>
      </c>
      <c r="K409" s="573">
        <f t="shared" ca="1" si="535"/>
        <v>0</v>
      </c>
      <c r="L409" s="573">
        <f t="shared" ca="1" si="535"/>
        <v>0</v>
      </c>
      <c r="M409" s="573">
        <f t="shared" ca="1" si="535"/>
        <v>0</v>
      </c>
      <c r="N409" s="573">
        <f t="shared" ca="1" si="535"/>
        <v>0</v>
      </c>
      <c r="O409" s="573">
        <f t="shared" ca="1" si="535"/>
        <v>0</v>
      </c>
      <c r="P409" s="573">
        <f t="shared" ca="1" si="535"/>
        <v>0</v>
      </c>
      <c r="Q409" s="573">
        <f t="shared" ca="1" si="535"/>
        <v>0</v>
      </c>
      <c r="R409" s="573">
        <f t="shared" ca="1" si="535"/>
        <v>0</v>
      </c>
      <c r="S409" s="573">
        <f t="shared" ca="1" si="535"/>
        <v>0</v>
      </c>
      <c r="T409" s="493">
        <f t="shared" ca="1" si="535"/>
        <v>0</v>
      </c>
      <c r="U409" s="585"/>
      <c r="V409" s="276"/>
      <c r="W409" s="277"/>
      <c r="X409" s="277"/>
      <c r="Y409" s="277"/>
    </row>
    <row r="410" spans="1:25" s="277" customFormat="1">
      <c r="A410">
        <f>IF(B410="","",IFERROR(MATCH(B410,'Data Processing'!$C:$C,0),""))</f>
        <v>69</v>
      </c>
      <c r="B410" s="127">
        <v>11</v>
      </c>
      <c r="C410" s="188" t="str">
        <f>INDEX('Data Processing'!$G:$G,A410)</f>
        <v>Bond Issuance</v>
      </c>
      <c r="D410" s="323">
        <f>INDEX('Data Processing'!O:O,$A410)</f>
        <v>0</v>
      </c>
      <c r="E410" s="174">
        <f ca="1">INDEX('Data Processing'!P:P,$A410)</f>
        <v>0</v>
      </c>
      <c r="F410" s="174">
        <f ca="1">INDEX('Data Processing'!Q:Q,$A410)</f>
        <v>0</v>
      </c>
      <c r="G410" s="174">
        <f ca="1">INDEX('Data Processing'!R:R,$A410)</f>
        <v>0</v>
      </c>
      <c r="H410" s="174">
        <f ca="1">INDEX('Data Processing'!S:S,$A410)</f>
        <v>0</v>
      </c>
      <c r="I410" s="174">
        <f ca="1">INDEX('Data Processing'!T:T,$A410)</f>
        <v>0</v>
      </c>
      <c r="J410" s="174">
        <f ca="1">INDEX('Data Processing'!U:U,$A410)</f>
        <v>0</v>
      </c>
      <c r="K410" s="174">
        <f ca="1">INDEX('Data Processing'!V:V,$A410)</f>
        <v>0</v>
      </c>
      <c r="L410" s="174">
        <f ca="1">INDEX('Data Processing'!W:W,$A410)</f>
        <v>0</v>
      </c>
      <c r="M410" s="174">
        <f ca="1">INDEX('Data Processing'!X:X,$A410)</f>
        <v>0</v>
      </c>
      <c r="N410" s="174">
        <f ca="1">INDEX('Data Processing'!Y:Y,$A410)</f>
        <v>0</v>
      </c>
      <c r="O410" s="174">
        <f ca="1">INDEX('Data Processing'!Z:Z,$A410)</f>
        <v>0</v>
      </c>
      <c r="P410" s="174">
        <f ca="1">INDEX('Data Processing'!AA:AA,$A410)</f>
        <v>0</v>
      </c>
      <c r="Q410" s="174">
        <f ca="1">INDEX('Data Processing'!AB:AB,$A410)</f>
        <v>0</v>
      </c>
      <c r="R410" s="174">
        <f ca="1">INDEX('Data Processing'!AC:AC,$A410)</f>
        <v>0</v>
      </c>
      <c r="S410" s="174">
        <f ca="1">INDEX('Data Processing'!AD:AD,$A410)</f>
        <v>0</v>
      </c>
      <c r="T410" s="227">
        <f ca="1">INDEX('Data Processing'!AE:AE,$A410)</f>
        <v>0</v>
      </c>
      <c r="U410" s="275"/>
      <c r="V410" s="276"/>
    </row>
    <row r="411" spans="1:25" s="587" customFormat="1">
      <c r="A411" s="440" t="str">
        <f>IF(B411="","",IFERROR(MATCH(B411,'Data Processing'!$C:$C,0),""))</f>
        <v/>
      </c>
      <c r="B411" s="581"/>
      <c r="C411" s="565" t="s">
        <v>1005</v>
      </c>
      <c r="D411" s="488"/>
      <c r="E411" s="454">
        <f>D410</f>
        <v>0</v>
      </c>
      <c r="F411" s="454">
        <f t="shared" ref="F411" ca="1" si="536">E410</f>
        <v>0</v>
      </c>
      <c r="G411" s="454">
        <f t="shared" ref="G411" ca="1" si="537">F410</f>
        <v>0</v>
      </c>
      <c r="H411" s="454">
        <f t="shared" ref="H411" ca="1" si="538">G410</f>
        <v>0</v>
      </c>
      <c r="I411" s="454">
        <f t="shared" ref="I411" ca="1" si="539">H410</f>
        <v>0</v>
      </c>
      <c r="J411" s="454">
        <f t="shared" ref="J411" ca="1" si="540">I410</f>
        <v>0</v>
      </c>
      <c r="K411" s="454">
        <f t="shared" ref="K411" ca="1" si="541">J410</f>
        <v>0</v>
      </c>
      <c r="L411" s="454">
        <f t="shared" ref="L411" ca="1" si="542">K410</f>
        <v>0</v>
      </c>
      <c r="M411" s="454">
        <f t="shared" ref="M411" ca="1" si="543">L410</f>
        <v>0</v>
      </c>
      <c r="N411" s="454">
        <f t="shared" ref="N411" ca="1" si="544">M410</f>
        <v>0</v>
      </c>
      <c r="O411" s="454">
        <f t="shared" ref="O411" ca="1" si="545">N410</f>
        <v>0</v>
      </c>
      <c r="P411" s="454">
        <f t="shared" ref="P411" ca="1" si="546">O410</f>
        <v>0</v>
      </c>
      <c r="Q411" s="454">
        <f t="shared" ref="Q411" ca="1" si="547">P410</f>
        <v>0</v>
      </c>
      <c r="R411" s="454">
        <f t="shared" ref="R411" ca="1" si="548">Q410</f>
        <v>0</v>
      </c>
      <c r="S411" s="454">
        <f t="shared" ref="S411" ca="1" si="549">R410</f>
        <v>0</v>
      </c>
      <c r="T411" s="455">
        <f t="shared" ref="T411" ca="1" si="550">S410</f>
        <v>0</v>
      </c>
      <c r="U411" s="585"/>
      <c r="V411" s="233"/>
      <c r="W411" s="462"/>
      <c r="X411" s="462"/>
      <c r="Y411" s="462"/>
    </row>
    <row r="412" spans="1:25" s="561" customFormat="1">
      <c r="A412" s="440" t="str">
        <f>IF(B412="","",IFERROR(MATCH(B412,'Data Processing'!$C:$C,0),""))</f>
        <v/>
      </c>
      <c r="B412" s="583"/>
      <c r="C412" s="567" t="s">
        <v>51</v>
      </c>
      <c r="D412" s="488"/>
      <c r="E412" s="488">
        <f>INDEX('Data Processing'!CX:CX,$A410)</f>
        <v>0</v>
      </c>
      <c r="F412" s="488">
        <f>INDEX('Data Processing'!CY:CY,$A410)</f>
        <v>0</v>
      </c>
      <c r="G412" s="488">
        <f>INDEX('Data Processing'!CZ:CZ,$A410)</f>
        <v>0</v>
      </c>
      <c r="H412" s="488">
        <f>INDEX('Data Processing'!DA:DA,$A410)</f>
        <v>0</v>
      </c>
      <c r="I412" s="488">
        <f>INDEX('Data Processing'!DB:DB,$A410)</f>
        <v>0</v>
      </c>
      <c r="J412" s="488">
        <f>INDEX('Data Processing'!DC:DC,$A410)</f>
        <v>0</v>
      </c>
      <c r="K412" s="488">
        <f>INDEX('Data Processing'!DD:DD,$A410)</f>
        <v>0</v>
      </c>
      <c r="L412" s="488">
        <f>INDEX('Data Processing'!DE:DE,$A410)</f>
        <v>0</v>
      </c>
      <c r="M412" s="488">
        <f>INDEX('Data Processing'!DF:DF,$A410)</f>
        <v>0</v>
      </c>
      <c r="N412" s="488">
        <f>INDEX('Data Processing'!DG:DG,$A410)</f>
        <v>0</v>
      </c>
      <c r="O412" s="488">
        <f>INDEX('Data Processing'!DH:DH,$A410)</f>
        <v>0</v>
      </c>
      <c r="P412" s="488">
        <f>INDEX('Data Processing'!DI:DI,$A410)</f>
        <v>0</v>
      </c>
      <c r="Q412" s="488">
        <f>INDEX('Data Processing'!DJ:DJ,$A410)</f>
        <v>0</v>
      </c>
      <c r="R412" s="488">
        <f>INDEX('Data Processing'!DK:DK,$A410)</f>
        <v>0</v>
      </c>
      <c r="S412" s="488">
        <f>INDEX('Data Processing'!DL:DL,$A410)</f>
        <v>0</v>
      </c>
      <c r="T412" s="550">
        <f>INDEX('Data Processing'!DM:DM,$A410)</f>
        <v>0</v>
      </c>
      <c r="U412" s="551"/>
      <c r="V412" s="298"/>
      <c r="W412" s="299"/>
      <c r="X412" s="299"/>
      <c r="Y412" s="299"/>
    </row>
    <row r="413" spans="1:25" s="561" customFormat="1">
      <c r="A413" s="440" t="str">
        <f>IF(B413="","",IFERROR(MATCH(B413,'Data Processing'!$C:$C,0),""))</f>
        <v/>
      </c>
      <c r="B413" s="583"/>
      <c r="C413" s="567" t="s">
        <v>50</v>
      </c>
      <c r="D413" s="488"/>
      <c r="E413" s="553">
        <f>INDEX('Data Processing'!BU:BU,$A410)</f>
        <v>1</v>
      </c>
      <c r="F413" s="553">
        <f>INDEX('Data Processing'!BV:BV,$A410)</f>
        <v>1</v>
      </c>
      <c r="G413" s="553">
        <f>INDEX('Data Processing'!BW:BW,$A410)</f>
        <v>1</v>
      </c>
      <c r="H413" s="553">
        <f>INDEX('Data Processing'!BX:BX,$A410)</f>
        <v>1</v>
      </c>
      <c r="I413" s="553">
        <f>INDEX('Data Processing'!BY:BY,$A410)</f>
        <v>1</v>
      </c>
      <c r="J413" s="553">
        <f>INDEX('Data Processing'!BZ:BZ,$A410)</f>
        <v>1</v>
      </c>
      <c r="K413" s="553">
        <f>INDEX('Data Processing'!CA:CA,$A410)</f>
        <v>1</v>
      </c>
      <c r="L413" s="553">
        <f>INDEX('Data Processing'!CB:CB,$A410)</f>
        <v>1</v>
      </c>
      <c r="M413" s="553">
        <f>INDEX('Data Processing'!CC:CC,$A410)</f>
        <v>1</v>
      </c>
      <c r="N413" s="553">
        <f>INDEX('Data Processing'!CD:CD,$A410)</f>
        <v>1</v>
      </c>
      <c r="O413" s="553">
        <f>INDEX('Data Processing'!CE:CE,$A410)</f>
        <v>1</v>
      </c>
      <c r="P413" s="553">
        <f>INDEX('Data Processing'!CF:CF,$A410)</f>
        <v>1</v>
      </c>
      <c r="Q413" s="553">
        <f>INDEX('Data Processing'!CG:CG,$A410)</f>
        <v>1</v>
      </c>
      <c r="R413" s="553">
        <f>INDEX('Data Processing'!CH:CH,$A410)</f>
        <v>1</v>
      </c>
      <c r="S413" s="553">
        <f>INDEX('Data Processing'!CI:CI,$A410)</f>
        <v>1</v>
      </c>
      <c r="T413" s="554">
        <f>INDEX('Data Processing'!CJ:CJ,$A410)</f>
        <v>1</v>
      </c>
      <c r="U413" s="551"/>
      <c r="V413" s="233" t="s">
        <v>1050</v>
      </c>
      <c r="W413" s="299"/>
      <c r="X413" s="299"/>
      <c r="Y413" s="299"/>
    </row>
    <row r="414" spans="1:25" s="587" customFormat="1">
      <c r="A414" s="440" t="str">
        <f>IF(B414="","",IFERROR(MATCH(B414,'Data Processing'!$C:$C,0),""))</f>
        <v/>
      </c>
      <c r="B414" s="581"/>
      <c r="C414" s="523" t="s">
        <v>998</v>
      </c>
      <c r="D414" s="488"/>
      <c r="E414" s="489">
        <f ca="1">INDEX('Data Processing'!AS:AS,$A410)</f>
        <v>0</v>
      </c>
      <c r="F414" s="489">
        <f ca="1">INDEX('Data Processing'!AT:AT,$A410)</f>
        <v>0</v>
      </c>
      <c r="G414" s="556">
        <f ca="1">INDEX('Data Processing'!AU:AU,$A410)</f>
        <v>0</v>
      </c>
      <c r="H414" s="556">
        <f ca="1">INDEX('Data Processing'!AV:AV,$A410)</f>
        <v>0</v>
      </c>
      <c r="I414" s="556">
        <f ca="1">INDEX('Data Processing'!AW:AW,$A410)</f>
        <v>0</v>
      </c>
      <c r="J414" s="556">
        <f ca="1">INDEX('Data Processing'!AX:AX,$A410)</f>
        <v>0</v>
      </c>
      <c r="K414" s="556">
        <f ca="1">INDEX('Data Processing'!AY:AY,$A410)</f>
        <v>0</v>
      </c>
      <c r="L414" s="556">
        <f ca="1">INDEX('Data Processing'!AZ:AZ,$A410)</f>
        <v>0</v>
      </c>
      <c r="M414" s="556">
        <f ca="1">INDEX('Data Processing'!BA:BA,$A410)</f>
        <v>0</v>
      </c>
      <c r="N414" s="556">
        <f ca="1">INDEX('Data Processing'!BB:BB,$A410)</f>
        <v>0</v>
      </c>
      <c r="O414" s="556">
        <f ca="1">INDEX('Data Processing'!BC:BC,$A410)</f>
        <v>0</v>
      </c>
      <c r="P414" s="556">
        <f ca="1">INDEX('Data Processing'!BD:BD,$A410)</f>
        <v>0</v>
      </c>
      <c r="Q414" s="556">
        <f ca="1">INDEX('Data Processing'!BE:BE,$A410)</f>
        <v>0</v>
      </c>
      <c r="R414" s="556">
        <f ca="1">INDEX('Data Processing'!BF:BF,$A410)</f>
        <v>0</v>
      </c>
      <c r="S414" s="556">
        <f ca="1">INDEX('Data Processing'!BG:BG,$A410)</f>
        <v>0</v>
      </c>
      <c r="T414" s="584">
        <f ca="1">INDEX('Data Processing'!BH:BH,$A410)</f>
        <v>0</v>
      </c>
      <c r="U414" s="585"/>
      <c r="V414" s="276"/>
      <c r="W414" s="277"/>
      <c r="X414" s="277"/>
      <c r="Y414" s="277"/>
    </row>
    <row r="415" spans="1:25" s="587" customFormat="1">
      <c r="A415" s="440" t="str">
        <f>IF(B415="","",IFERROR(MATCH(B415,'Data Processing'!$C:$C,0),""))</f>
        <v/>
      </c>
      <c r="B415" s="588"/>
      <c r="C415" s="564" t="s">
        <v>1012</v>
      </c>
      <c r="D415" s="507"/>
      <c r="E415" s="573">
        <f t="shared" ref="E415:T415" ca="1" si="551">E411-E414</f>
        <v>0</v>
      </c>
      <c r="F415" s="573">
        <f t="shared" ca="1" si="551"/>
        <v>0</v>
      </c>
      <c r="G415" s="573">
        <f t="shared" ca="1" si="551"/>
        <v>0</v>
      </c>
      <c r="H415" s="573">
        <f t="shared" ca="1" si="551"/>
        <v>0</v>
      </c>
      <c r="I415" s="573">
        <f t="shared" ca="1" si="551"/>
        <v>0</v>
      </c>
      <c r="J415" s="573">
        <f t="shared" ca="1" si="551"/>
        <v>0</v>
      </c>
      <c r="K415" s="573">
        <f t="shared" ca="1" si="551"/>
        <v>0</v>
      </c>
      <c r="L415" s="573">
        <f t="shared" ca="1" si="551"/>
        <v>0</v>
      </c>
      <c r="M415" s="573">
        <f t="shared" ca="1" si="551"/>
        <v>0</v>
      </c>
      <c r="N415" s="573">
        <f t="shared" ca="1" si="551"/>
        <v>0</v>
      </c>
      <c r="O415" s="573">
        <f t="shared" ca="1" si="551"/>
        <v>0</v>
      </c>
      <c r="P415" s="573">
        <f t="shared" ca="1" si="551"/>
        <v>0</v>
      </c>
      <c r="Q415" s="573">
        <f t="shared" ca="1" si="551"/>
        <v>0</v>
      </c>
      <c r="R415" s="573">
        <f t="shared" ca="1" si="551"/>
        <v>0</v>
      </c>
      <c r="S415" s="573">
        <f t="shared" ca="1" si="551"/>
        <v>0</v>
      </c>
      <c r="T415" s="493">
        <f t="shared" ca="1" si="551"/>
        <v>0</v>
      </c>
      <c r="U415" s="585"/>
      <c r="V415" s="276"/>
      <c r="W415" s="277"/>
      <c r="X415" s="277"/>
      <c r="Y415" s="277"/>
    </row>
    <row r="416" spans="1:25" s="277" customFormat="1">
      <c r="A416">
        <f>IF(B416="","",IFERROR(MATCH(B416,'Data Processing'!$C:$C,0),""))</f>
        <v>70</v>
      </c>
      <c r="B416" s="127">
        <v>99</v>
      </c>
      <c r="C416" s="188" t="str">
        <f>INDEX('Data Processing'!$G:$G,A416)</f>
        <v>REPO Liabilities</v>
      </c>
      <c r="D416" s="323">
        <f>INDEX('Data Processing'!O:O,$A416)</f>
        <v>0</v>
      </c>
      <c r="E416" s="174">
        <f ca="1">INDEX('Data Processing'!P:P,$A416)</f>
        <v>0</v>
      </c>
      <c r="F416" s="174">
        <f ca="1">INDEX('Data Processing'!Q:Q,$A416)</f>
        <v>0</v>
      </c>
      <c r="G416" s="174">
        <f ca="1">INDEX('Data Processing'!R:R,$A416)</f>
        <v>0</v>
      </c>
      <c r="H416" s="174">
        <f ca="1">INDEX('Data Processing'!S:S,$A416)</f>
        <v>0</v>
      </c>
      <c r="I416" s="174">
        <f ca="1">INDEX('Data Processing'!T:T,$A416)</f>
        <v>0</v>
      </c>
      <c r="J416" s="174">
        <f ca="1">INDEX('Data Processing'!U:U,$A416)</f>
        <v>0</v>
      </c>
      <c r="K416" s="174">
        <f ca="1">INDEX('Data Processing'!V:V,$A416)</f>
        <v>0</v>
      </c>
      <c r="L416" s="174">
        <f ca="1">INDEX('Data Processing'!W:W,$A416)</f>
        <v>0</v>
      </c>
      <c r="M416" s="174">
        <f ca="1">INDEX('Data Processing'!X:X,$A416)</f>
        <v>0</v>
      </c>
      <c r="N416" s="174">
        <f ca="1">INDEX('Data Processing'!Y:Y,$A416)</f>
        <v>0</v>
      </c>
      <c r="O416" s="174">
        <f ca="1">INDEX('Data Processing'!Z:Z,$A416)</f>
        <v>0</v>
      </c>
      <c r="P416" s="174">
        <f ca="1">INDEX('Data Processing'!AA:AA,$A416)</f>
        <v>0</v>
      </c>
      <c r="Q416" s="174">
        <f ca="1">INDEX('Data Processing'!AB:AB,$A416)</f>
        <v>0</v>
      </c>
      <c r="R416" s="174">
        <f ca="1">INDEX('Data Processing'!AC:AC,$A416)</f>
        <v>0</v>
      </c>
      <c r="S416" s="174">
        <f ca="1">INDEX('Data Processing'!AD:AD,$A416)</f>
        <v>0</v>
      </c>
      <c r="T416" s="227">
        <f ca="1">INDEX('Data Processing'!AE:AE,$A416)</f>
        <v>0</v>
      </c>
      <c r="U416" s="275"/>
      <c r="V416" s="276"/>
    </row>
    <row r="417" spans="1:25" s="587" customFormat="1">
      <c r="A417" s="440" t="str">
        <f>IF(B417="","",IFERROR(MATCH(B417,'Data Processing'!$C:$C,0),""))</f>
        <v/>
      </c>
      <c r="B417" s="581"/>
      <c r="C417" s="565" t="s">
        <v>1005</v>
      </c>
      <c r="D417" s="488"/>
      <c r="E417" s="454">
        <f>D416</f>
        <v>0</v>
      </c>
      <c r="F417" s="454">
        <f t="shared" ref="F417:T417" ca="1" si="552">E416</f>
        <v>0</v>
      </c>
      <c r="G417" s="454">
        <f t="shared" ca="1" si="552"/>
        <v>0</v>
      </c>
      <c r="H417" s="454">
        <f t="shared" ca="1" si="552"/>
        <v>0</v>
      </c>
      <c r="I417" s="454">
        <f t="shared" ca="1" si="552"/>
        <v>0</v>
      </c>
      <c r="J417" s="454">
        <f t="shared" ca="1" si="552"/>
        <v>0</v>
      </c>
      <c r="K417" s="454">
        <f t="shared" ca="1" si="552"/>
        <v>0</v>
      </c>
      <c r="L417" s="454">
        <f t="shared" ca="1" si="552"/>
        <v>0</v>
      </c>
      <c r="M417" s="454">
        <f t="shared" ca="1" si="552"/>
        <v>0</v>
      </c>
      <c r="N417" s="454">
        <f t="shared" ca="1" si="552"/>
        <v>0</v>
      </c>
      <c r="O417" s="454">
        <f t="shared" ca="1" si="552"/>
        <v>0</v>
      </c>
      <c r="P417" s="454">
        <f t="shared" ca="1" si="552"/>
        <v>0</v>
      </c>
      <c r="Q417" s="454">
        <f t="shared" ca="1" si="552"/>
        <v>0</v>
      </c>
      <c r="R417" s="454">
        <f t="shared" ca="1" si="552"/>
        <v>0</v>
      </c>
      <c r="S417" s="454">
        <f t="shared" ca="1" si="552"/>
        <v>0</v>
      </c>
      <c r="T417" s="455">
        <f t="shared" ca="1" si="552"/>
        <v>0</v>
      </c>
      <c r="U417" s="585"/>
      <c r="V417" s="233"/>
      <c r="W417" s="462"/>
      <c r="X417" s="462"/>
      <c r="Y417" s="462"/>
    </row>
    <row r="418" spans="1:25" s="561" customFormat="1">
      <c r="A418" s="440" t="str">
        <f>IF(B418="","",IFERROR(MATCH(B418,'Data Processing'!$C:$C,0),""))</f>
        <v/>
      </c>
      <c r="B418" s="583"/>
      <c r="C418" s="567" t="s">
        <v>51</v>
      </c>
      <c r="D418" s="488"/>
      <c r="E418" s="488">
        <f>INDEX('Data Processing'!CX:CX,$A416)</f>
        <v>0</v>
      </c>
      <c r="F418" s="488">
        <f>INDEX('Data Processing'!CY:CY,$A416)</f>
        <v>0</v>
      </c>
      <c r="G418" s="488">
        <f>INDEX('Data Processing'!CZ:CZ,$A416)</f>
        <v>0</v>
      </c>
      <c r="H418" s="488">
        <f>INDEX('Data Processing'!DA:DA,$A416)</f>
        <v>0</v>
      </c>
      <c r="I418" s="488">
        <f>INDEX('Data Processing'!DB:DB,$A416)</f>
        <v>0</v>
      </c>
      <c r="J418" s="488">
        <f>INDEX('Data Processing'!DC:DC,$A416)</f>
        <v>0</v>
      </c>
      <c r="K418" s="488">
        <f>INDEX('Data Processing'!DD:DD,$A416)</f>
        <v>0</v>
      </c>
      <c r="L418" s="488">
        <f>INDEX('Data Processing'!DE:DE,$A416)</f>
        <v>0</v>
      </c>
      <c r="M418" s="488">
        <f>INDEX('Data Processing'!DF:DF,$A416)</f>
        <v>0</v>
      </c>
      <c r="N418" s="488">
        <f>INDEX('Data Processing'!DG:DG,$A416)</f>
        <v>0</v>
      </c>
      <c r="O418" s="488">
        <f>INDEX('Data Processing'!DH:DH,$A416)</f>
        <v>0</v>
      </c>
      <c r="P418" s="488">
        <f>INDEX('Data Processing'!DI:DI,$A416)</f>
        <v>0</v>
      </c>
      <c r="Q418" s="488">
        <f>INDEX('Data Processing'!DJ:DJ,$A416)</f>
        <v>0</v>
      </c>
      <c r="R418" s="488">
        <f>INDEX('Data Processing'!DK:DK,$A416)</f>
        <v>0</v>
      </c>
      <c r="S418" s="488">
        <f>INDEX('Data Processing'!DL:DL,$A416)</f>
        <v>0</v>
      </c>
      <c r="T418" s="550">
        <f>INDEX('Data Processing'!DM:DM,$A416)</f>
        <v>0</v>
      </c>
      <c r="U418" s="551"/>
      <c r="V418" s="298"/>
      <c r="W418" s="299"/>
      <c r="X418" s="299"/>
      <c r="Y418" s="299"/>
    </row>
    <row r="419" spans="1:25" s="561" customFormat="1">
      <c r="A419" s="440" t="str">
        <f>IF(B419="","",IFERROR(MATCH(B419,'Data Processing'!$C:$C,0),""))</f>
        <v/>
      </c>
      <c r="B419" s="583"/>
      <c r="C419" s="567" t="s">
        <v>50</v>
      </c>
      <c r="D419" s="488"/>
      <c r="E419" s="553">
        <f ca="1">INDEX('Data Processing'!BU:BU,$A416)</f>
        <v>1</v>
      </c>
      <c r="F419" s="553">
        <f ca="1">INDEX('Data Processing'!BV:BV,$A416)</f>
        <v>1</v>
      </c>
      <c r="G419" s="553">
        <f ca="1">INDEX('Data Processing'!BW:BW,$A416)</f>
        <v>1</v>
      </c>
      <c r="H419" s="553">
        <f ca="1">INDEX('Data Processing'!BX:BX,$A416)</f>
        <v>1</v>
      </c>
      <c r="I419" s="553">
        <f ca="1">INDEX('Data Processing'!BY:BY,$A416)</f>
        <v>1</v>
      </c>
      <c r="J419" s="553">
        <f ca="1">INDEX('Data Processing'!BZ:BZ,$A416)</f>
        <v>1</v>
      </c>
      <c r="K419" s="553">
        <f ca="1">INDEX('Data Processing'!CA:CA,$A416)</f>
        <v>1</v>
      </c>
      <c r="L419" s="553">
        <f ca="1">INDEX('Data Processing'!CB:CB,$A416)</f>
        <v>1</v>
      </c>
      <c r="M419" s="553">
        <f ca="1">INDEX('Data Processing'!CC:CC,$A416)</f>
        <v>1</v>
      </c>
      <c r="N419" s="553">
        <f ca="1">INDEX('Data Processing'!CD:CD,$A416)</f>
        <v>1</v>
      </c>
      <c r="O419" s="553">
        <f ca="1">INDEX('Data Processing'!CE:CE,$A416)</f>
        <v>1</v>
      </c>
      <c r="P419" s="553">
        <f ca="1">INDEX('Data Processing'!CF:CF,$A416)</f>
        <v>1</v>
      </c>
      <c r="Q419" s="553">
        <f ca="1">INDEX('Data Processing'!CG:CG,$A416)</f>
        <v>1</v>
      </c>
      <c r="R419" s="553">
        <f ca="1">INDEX('Data Processing'!CH:CH,$A416)</f>
        <v>1</v>
      </c>
      <c r="S419" s="553">
        <f ca="1">INDEX('Data Processing'!CI:CI,$A416)</f>
        <v>1</v>
      </c>
      <c r="T419" s="554">
        <f ca="1">INDEX('Data Processing'!CJ:CJ,$A416)</f>
        <v>1</v>
      </c>
      <c r="U419" s="551"/>
      <c r="V419" s="233" t="s">
        <v>1050</v>
      </c>
      <c r="W419" s="299"/>
      <c r="X419" s="299"/>
      <c r="Y419" s="299"/>
    </row>
    <row r="420" spans="1:25" s="587" customFormat="1">
      <c r="A420" s="440" t="str">
        <f>IF(B420="","",IFERROR(MATCH(B420,'Data Processing'!$C:$C,0),""))</f>
        <v/>
      </c>
      <c r="B420" s="581"/>
      <c r="C420" s="523" t="s">
        <v>998</v>
      </c>
      <c r="D420" s="488"/>
      <c r="E420" s="489">
        <f ca="1">INDEX('Data Processing'!AS:AS,$A416)</f>
        <v>0</v>
      </c>
      <c r="F420" s="489">
        <f ca="1">INDEX('Data Processing'!AT:AT,$A416)</f>
        <v>0</v>
      </c>
      <c r="G420" s="556">
        <f ca="1">INDEX('Data Processing'!AU:AU,$A416)</f>
        <v>0</v>
      </c>
      <c r="H420" s="556">
        <f ca="1">INDEX('Data Processing'!AV:AV,$A416)</f>
        <v>0</v>
      </c>
      <c r="I420" s="556">
        <f ca="1">INDEX('Data Processing'!AW:AW,$A416)</f>
        <v>0</v>
      </c>
      <c r="J420" s="556">
        <f ca="1">INDEX('Data Processing'!AX:AX,$A416)</f>
        <v>0</v>
      </c>
      <c r="K420" s="556">
        <f ca="1">INDEX('Data Processing'!AY:AY,$A416)</f>
        <v>0</v>
      </c>
      <c r="L420" s="556">
        <f ca="1">INDEX('Data Processing'!AZ:AZ,$A416)</f>
        <v>0</v>
      </c>
      <c r="M420" s="556">
        <f ca="1">INDEX('Data Processing'!BA:BA,$A416)</f>
        <v>0</v>
      </c>
      <c r="N420" s="556">
        <f ca="1">INDEX('Data Processing'!BB:BB,$A416)</f>
        <v>0</v>
      </c>
      <c r="O420" s="556">
        <f ca="1">INDEX('Data Processing'!BC:BC,$A416)</f>
        <v>0</v>
      </c>
      <c r="P420" s="556">
        <f ca="1">INDEX('Data Processing'!BD:BD,$A416)</f>
        <v>0</v>
      </c>
      <c r="Q420" s="556">
        <f ca="1">INDEX('Data Processing'!BE:BE,$A416)</f>
        <v>0</v>
      </c>
      <c r="R420" s="556">
        <f ca="1">INDEX('Data Processing'!BF:BF,$A416)</f>
        <v>0</v>
      </c>
      <c r="S420" s="556">
        <f ca="1">INDEX('Data Processing'!BG:BG,$A416)</f>
        <v>0</v>
      </c>
      <c r="T420" s="584">
        <f ca="1">INDEX('Data Processing'!BH:BH,$A416)</f>
        <v>0</v>
      </c>
      <c r="U420" s="585"/>
      <c r="V420" s="276"/>
      <c r="W420" s="277"/>
      <c r="X420" s="277"/>
      <c r="Y420" s="277"/>
    </row>
    <row r="421" spans="1:25" s="587" customFormat="1">
      <c r="A421" s="440" t="str">
        <f>IF(B421="","",IFERROR(MATCH(B421,'Data Processing'!$C:$C,0),""))</f>
        <v/>
      </c>
      <c r="B421" s="588"/>
      <c r="C421" s="564" t="s">
        <v>1012</v>
      </c>
      <c r="D421" s="507"/>
      <c r="E421" s="573">
        <f t="shared" ref="E421:T421" ca="1" si="553">E417-E420</f>
        <v>0</v>
      </c>
      <c r="F421" s="573">
        <f t="shared" ca="1" si="553"/>
        <v>0</v>
      </c>
      <c r="G421" s="573">
        <f t="shared" ca="1" si="553"/>
        <v>0</v>
      </c>
      <c r="H421" s="573">
        <f t="shared" ca="1" si="553"/>
        <v>0</v>
      </c>
      <c r="I421" s="573">
        <f t="shared" ca="1" si="553"/>
        <v>0</v>
      </c>
      <c r="J421" s="573">
        <f t="shared" ca="1" si="553"/>
        <v>0</v>
      </c>
      <c r="K421" s="573">
        <f t="shared" ca="1" si="553"/>
        <v>0</v>
      </c>
      <c r="L421" s="573">
        <f t="shared" ca="1" si="553"/>
        <v>0</v>
      </c>
      <c r="M421" s="573">
        <f t="shared" ca="1" si="553"/>
        <v>0</v>
      </c>
      <c r="N421" s="573">
        <f t="shared" ca="1" si="553"/>
        <v>0</v>
      </c>
      <c r="O421" s="573">
        <f t="shared" ca="1" si="553"/>
        <v>0</v>
      </c>
      <c r="P421" s="573">
        <f t="shared" ca="1" si="553"/>
        <v>0</v>
      </c>
      <c r="Q421" s="573">
        <f t="shared" ca="1" si="553"/>
        <v>0</v>
      </c>
      <c r="R421" s="573">
        <f t="shared" ca="1" si="553"/>
        <v>0</v>
      </c>
      <c r="S421" s="573">
        <f t="shared" ca="1" si="553"/>
        <v>0</v>
      </c>
      <c r="T421" s="493">
        <f t="shared" ca="1" si="553"/>
        <v>0</v>
      </c>
      <c r="U421" s="585"/>
      <c r="V421" s="276"/>
      <c r="W421" s="277"/>
      <c r="X421" s="277"/>
      <c r="Y421" s="277"/>
    </row>
    <row r="422" spans="1:25" s="587" customFormat="1">
      <c r="A422" s="440" t="str">
        <f>IF(B422="","",IFERROR(MATCH(B422,'Data Processing'!$C:$C,0),""))</f>
        <v/>
      </c>
      <c r="B422" s="581"/>
      <c r="C422" s="523"/>
      <c r="D422" s="488"/>
      <c r="E422" s="489"/>
      <c r="F422" s="489"/>
      <c r="G422" s="489"/>
      <c r="H422" s="489"/>
      <c r="I422" s="489"/>
      <c r="J422" s="489"/>
      <c r="K422" s="489"/>
      <c r="L422" s="489"/>
      <c r="M422" s="489"/>
      <c r="N422" s="489"/>
      <c r="O422" s="489"/>
      <c r="P422" s="489"/>
      <c r="Q422" s="489"/>
      <c r="R422" s="489"/>
      <c r="S422" s="489"/>
      <c r="T422" s="490"/>
      <c r="U422" s="585"/>
      <c r="V422" s="276"/>
      <c r="W422" s="277"/>
      <c r="X422" s="277"/>
      <c r="Y422" s="277"/>
    </row>
    <row r="423" spans="1:25" s="260" customFormat="1">
      <c r="A423">
        <f>IF(B423="","",IFERROR(MATCH(B423,'Data Processing'!$C:$C,0),""))</f>
        <v>71</v>
      </c>
      <c r="B423" s="328">
        <v>13</v>
      </c>
      <c r="C423" s="243" t="s">
        <v>27</v>
      </c>
      <c r="D423" s="329">
        <f>INDEX('Data Processing'!O:O,$A423)</f>
        <v>411.85919435999989</v>
      </c>
      <c r="E423" s="194">
        <f>INDEX('Data Processing'!P:P,$A423)</f>
        <v>411.85919435999989</v>
      </c>
      <c r="F423" s="194">
        <f>INDEX('Data Processing'!Q:Q,$A423)</f>
        <v>411.85919435999989</v>
      </c>
      <c r="G423" s="194">
        <f>INDEX('Data Processing'!R:R,$A423)</f>
        <v>411.85919435999989</v>
      </c>
      <c r="H423" s="194">
        <f>INDEX('Data Processing'!S:S,$A423)</f>
        <v>411.85919435999989</v>
      </c>
      <c r="I423" s="194">
        <f>INDEX('Data Processing'!T:T,$A423)</f>
        <v>411.85919435999989</v>
      </c>
      <c r="J423" s="194">
        <f>INDEX('Data Processing'!U:U,$A423)</f>
        <v>411.85919435999989</v>
      </c>
      <c r="K423" s="194">
        <f>INDEX('Data Processing'!V:V,$A423)</f>
        <v>411.85919435999989</v>
      </c>
      <c r="L423" s="194">
        <f>INDEX('Data Processing'!W:W,$A423)</f>
        <v>411.85919435999989</v>
      </c>
      <c r="M423" s="194">
        <f>INDEX('Data Processing'!X:X,$A423)</f>
        <v>411.85919435999989</v>
      </c>
      <c r="N423" s="194">
        <f>INDEX('Data Processing'!Y:Y,$A423)</f>
        <v>411.85919435999989</v>
      </c>
      <c r="O423" s="194">
        <f>INDEX('Data Processing'!Z:Z,$A423)</f>
        <v>411.85919435999989</v>
      </c>
      <c r="P423" s="194">
        <f>INDEX('Data Processing'!AA:AA,$A423)</f>
        <v>411.85919435999989</v>
      </c>
      <c r="Q423" s="194">
        <f>INDEX('Data Processing'!AB:AB,$A423)</f>
        <v>411.85919435999989</v>
      </c>
      <c r="R423" s="194">
        <f>INDEX('Data Processing'!AC:AC,$A423)</f>
        <v>411.85919435999989</v>
      </c>
      <c r="S423" s="194">
        <f>INDEX('Data Processing'!AD:AD,$A423)</f>
        <v>411.85919435999989</v>
      </c>
      <c r="T423" s="195">
        <f>INDEX('Data Processing'!AE:AE,$A423)</f>
        <v>411.85919435999989</v>
      </c>
      <c r="U423" s="330"/>
      <c r="V423" s="120" t="s">
        <v>1006</v>
      </c>
    </row>
    <row r="424" spans="1:25" s="601" customFormat="1">
      <c r="A424" s="440" t="str">
        <f>IF(B424="","",IFERROR(MATCH(B424,'Data Processing'!$C:$C,0),""))</f>
        <v/>
      </c>
      <c r="B424" s="592"/>
      <c r="C424" s="593" t="s">
        <v>52</v>
      </c>
      <c r="D424" s="507"/>
      <c r="E424" s="573"/>
      <c r="F424" s="594"/>
      <c r="G424" s="594"/>
      <c r="H424" s="594"/>
      <c r="I424" s="594"/>
      <c r="J424" s="594"/>
      <c r="K424" s="594"/>
      <c r="L424" s="594"/>
      <c r="M424" s="594"/>
      <c r="N424" s="594"/>
      <c r="O424" s="594"/>
      <c r="P424" s="594"/>
      <c r="Q424" s="594"/>
      <c r="R424" s="594"/>
      <c r="S424" s="594"/>
      <c r="T424" s="595"/>
      <c r="U424" s="596"/>
      <c r="V424" s="120"/>
      <c r="W424" s="331"/>
      <c r="X424" s="331"/>
      <c r="Y424" s="331"/>
    </row>
    <row r="425" spans="1:25" s="602" customFormat="1" ht="19.899999999999999" customHeight="1" thickBot="1">
      <c r="A425" s="440" t="str">
        <f>IF(B425="","",IFERROR(MATCH(B425,'Data Processing'!$C:$C,0),""))</f>
        <v/>
      </c>
      <c r="B425" s="597"/>
      <c r="C425" s="536" t="s">
        <v>28</v>
      </c>
      <c r="D425" s="505">
        <f t="shared" ref="D425:T425" si="554">D423+D373+D336+D177+D416</f>
        <v>58735.220651860007</v>
      </c>
      <c r="E425" s="598">
        <f t="shared" ca="1" si="554"/>
        <v>56753.169220745061</v>
      </c>
      <c r="F425" s="598">
        <f t="shared" ca="1" si="554"/>
        <v>42152.213949381723</v>
      </c>
      <c r="G425" s="598">
        <f t="shared" ca="1" si="554"/>
        <v>41783.448417905551</v>
      </c>
      <c r="H425" s="598">
        <f t="shared" ca="1" si="554"/>
        <v>41416.08776750839</v>
      </c>
      <c r="I425" s="598">
        <f t="shared" ca="1" si="554"/>
        <v>41055.245470980328</v>
      </c>
      <c r="J425" s="598">
        <f t="shared" ca="1" si="554"/>
        <v>40694.403174452251</v>
      </c>
      <c r="K425" s="598">
        <f t="shared" ca="1" si="554"/>
        <v>40284.765497992994</v>
      </c>
      <c r="L425" s="598">
        <f t="shared" ca="1" si="554"/>
        <v>39972.346088928236</v>
      </c>
      <c r="M425" s="598">
        <f t="shared" ca="1" si="554"/>
        <v>39595.17987116977</v>
      </c>
      <c r="N425" s="598">
        <f t="shared" ca="1" si="554"/>
        <v>39264.412111117941</v>
      </c>
      <c r="O425" s="598">
        <f t="shared" ca="1" si="554"/>
        <v>38955.91450429798</v>
      </c>
      <c r="P425" s="598">
        <f t="shared" ca="1" si="554"/>
        <v>38647.572635495002</v>
      </c>
      <c r="Q425" s="598">
        <f t="shared" ca="1" si="554"/>
        <v>38339.230766692024</v>
      </c>
      <c r="R425" s="598">
        <f t="shared" ca="1" si="554"/>
        <v>37995.20986481943</v>
      </c>
      <c r="S425" s="598">
        <f t="shared" ca="1" si="554"/>
        <v>35209.424106432416</v>
      </c>
      <c r="T425" s="599">
        <f t="shared" ca="1" si="554"/>
        <v>33733.120090160592</v>
      </c>
      <c r="U425" s="600"/>
      <c r="V425" s="210"/>
      <c r="W425" s="260"/>
      <c r="X425" s="260"/>
      <c r="Y425" s="260"/>
    </row>
    <row r="426" spans="1:25" s="260" customFormat="1" ht="15.75" thickTop="1">
      <c r="A426">
        <f>IF(B426="","",IFERROR(MATCH(B426,'Data Processing'!$C:$C,0),""))</f>
        <v>72</v>
      </c>
      <c r="B426" s="328">
        <v>14</v>
      </c>
      <c r="C426" s="243" t="s">
        <v>26</v>
      </c>
      <c r="D426" s="329">
        <f>INDEX('Data Processing'!O:O,$A426)</f>
        <v>626.0229084099991</v>
      </c>
      <c r="E426" s="335">
        <f>INDEX('Data Processing'!P:P,$A426)</f>
        <v>626.0229084099991</v>
      </c>
      <c r="F426" s="335">
        <f>INDEX('Data Processing'!Q:Q,$A426)</f>
        <v>626.0229084099991</v>
      </c>
      <c r="G426" s="335">
        <f>INDEX('Data Processing'!R:R,$A426)</f>
        <v>626.0229084099991</v>
      </c>
      <c r="H426" s="335">
        <f>INDEX('Data Processing'!S:S,$A426)</f>
        <v>626.0229084099991</v>
      </c>
      <c r="I426" s="335">
        <f>INDEX('Data Processing'!T:T,$A426)</f>
        <v>626.0229084099991</v>
      </c>
      <c r="J426" s="335">
        <f>INDEX('Data Processing'!U:U,$A426)</f>
        <v>626.0229084099991</v>
      </c>
      <c r="K426" s="335">
        <f>INDEX('Data Processing'!V:V,$A426)</f>
        <v>626.0229084099991</v>
      </c>
      <c r="L426" s="335">
        <f>INDEX('Data Processing'!W:W,$A426)</f>
        <v>626.0229084099991</v>
      </c>
      <c r="M426" s="335">
        <f>INDEX('Data Processing'!X:X,$A426)</f>
        <v>626.0229084099991</v>
      </c>
      <c r="N426" s="335">
        <f>INDEX('Data Processing'!Y:Y,$A426)</f>
        <v>626.0229084099991</v>
      </c>
      <c r="O426" s="335">
        <f>INDEX('Data Processing'!Z:Z,$A426)</f>
        <v>626.0229084099991</v>
      </c>
      <c r="P426" s="335">
        <f>INDEX('Data Processing'!AA:AA,$A426)</f>
        <v>626.0229084099991</v>
      </c>
      <c r="Q426" s="335">
        <f>INDEX('Data Processing'!AB:AB,$A426)</f>
        <v>626.0229084099991</v>
      </c>
      <c r="R426" s="335">
        <f>INDEX('Data Processing'!AC:AC,$A426)</f>
        <v>626.0229084099991</v>
      </c>
      <c r="S426" s="335">
        <f>INDEX('Data Processing'!AD:AD,$A426)</f>
        <v>626.0229084099991</v>
      </c>
      <c r="T426" s="336">
        <f>INDEX('Data Processing'!AE:AE,$A426)</f>
        <v>626.0229084099991</v>
      </c>
      <c r="U426" s="258"/>
      <c r="V426" s="120" t="s">
        <v>1006</v>
      </c>
    </row>
    <row r="427" spans="1:25" s="601" customFormat="1">
      <c r="A427" s="440" t="str">
        <f>IF(B427="","",IFERROR(MATCH(B427,'Data Processing'!$C:$C,0),""))</f>
        <v/>
      </c>
      <c r="B427" s="578"/>
      <c r="C427" s="603" t="s">
        <v>52</v>
      </c>
      <c r="D427" s="488"/>
      <c r="E427" s="489"/>
      <c r="F427" s="557"/>
      <c r="G427" s="557"/>
      <c r="H427" s="557"/>
      <c r="I427" s="557"/>
      <c r="J427" s="557"/>
      <c r="K427" s="557"/>
      <c r="L427" s="557"/>
      <c r="M427" s="557"/>
      <c r="N427" s="557"/>
      <c r="O427" s="557"/>
      <c r="P427" s="557"/>
      <c r="Q427" s="557"/>
      <c r="R427" s="557"/>
      <c r="S427" s="557"/>
      <c r="T427" s="595"/>
      <c r="U427" s="596"/>
      <c r="V427" s="248"/>
      <c r="W427" s="331"/>
      <c r="X427" s="331"/>
      <c r="Y427" s="331"/>
    </row>
    <row r="428" spans="1:25" s="602" customFormat="1" ht="15.75" thickBot="1">
      <c r="A428" s="440" t="str">
        <f>IF(B428="","",IFERROR(MATCH(B428,'Data Processing'!$C:$C,0),""))</f>
        <v/>
      </c>
      <c r="B428" s="597"/>
      <c r="C428" s="536" t="s">
        <v>1152</v>
      </c>
      <c r="D428" s="505">
        <f>D425+D426</f>
        <v>59361.243560270006</v>
      </c>
      <c r="E428" s="598">
        <f t="shared" ref="E428:T428" ca="1" si="555">E425+E426</f>
        <v>57379.192129155061</v>
      </c>
      <c r="F428" s="598">
        <f t="shared" ca="1" si="555"/>
        <v>42778.236857791722</v>
      </c>
      <c r="G428" s="598">
        <f t="shared" ca="1" si="555"/>
        <v>42409.47132631555</v>
      </c>
      <c r="H428" s="598">
        <f t="shared" ca="1" si="555"/>
        <v>42042.110675918389</v>
      </c>
      <c r="I428" s="598">
        <f t="shared" ca="1" si="555"/>
        <v>41681.268379390327</v>
      </c>
      <c r="J428" s="598">
        <f t="shared" ca="1" si="555"/>
        <v>41320.42608286225</v>
      </c>
      <c r="K428" s="598">
        <f t="shared" ca="1" si="555"/>
        <v>40910.788406402993</v>
      </c>
      <c r="L428" s="598">
        <f t="shared" ca="1" si="555"/>
        <v>40598.368997338235</v>
      </c>
      <c r="M428" s="598">
        <f t="shared" ca="1" si="555"/>
        <v>40221.202779579769</v>
      </c>
      <c r="N428" s="598">
        <f t="shared" ca="1" si="555"/>
        <v>39890.43501952794</v>
      </c>
      <c r="O428" s="598">
        <f t="shared" ca="1" si="555"/>
        <v>39581.937412707979</v>
      </c>
      <c r="P428" s="598">
        <f t="shared" ca="1" si="555"/>
        <v>39273.595543905001</v>
      </c>
      <c r="Q428" s="598">
        <f t="shared" ca="1" si="555"/>
        <v>38965.253675102023</v>
      </c>
      <c r="R428" s="598">
        <f t="shared" ca="1" si="555"/>
        <v>38621.232773229429</v>
      </c>
      <c r="S428" s="598">
        <f t="shared" ca="1" si="555"/>
        <v>35835.447014842415</v>
      </c>
      <c r="T428" s="599">
        <f t="shared" ca="1" si="555"/>
        <v>34359.142998570591</v>
      </c>
      <c r="U428" s="600"/>
      <c r="V428" s="211"/>
      <c r="W428" s="260"/>
      <c r="X428" s="260"/>
      <c r="Y428" s="260"/>
    </row>
    <row r="429" spans="1:25" s="528" customFormat="1" ht="15.75" thickTop="1">
      <c r="A429" s="440" t="str">
        <f>IF(B429="","",IFERROR(MATCH(B429,'Data Processing'!$C:$C,0),""))</f>
        <v/>
      </c>
      <c r="B429" s="542"/>
      <c r="D429" s="508"/>
      <c r="E429" s="544"/>
      <c r="U429" s="534"/>
      <c r="V429" s="126"/>
      <c r="W429" s="121"/>
      <c r="X429" s="121"/>
      <c r="Y429" s="121"/>
    </row>
    <row r="430" spans="1:25" s="528" customFormat="1" ht="30">
      <c r="A430" s="440" t="str">
        <f>IF(B430="","",IFERROR(MATCH(B430,'Data Processing'!$C:$C,0),""))</f>
        <v/>
      </c>
      <c r="B430" s="542"/>
      <c r="C430" s="604" t="s">
        <v>1039</v>
      </c>
      <c r="D430" s="508"/>
      <c r="E430" s="544"/>
      <c r="H430" s="605"/>
      <c r="U430" s="534"/>
      <c r="V430" s="126"/>
      <c r="W430" s="121"/>
      <c r="X430" s="121"/>
      <c r="Y430" s="121"/>
    </row>
    <row r="431" spans="1:25" s="121" customFormat="1" ht="27" customHeight="1">
      <c r="A431">
        <f>IF(B431="","",IFERROR(MATCH(B431,'Data Processing'!$C:$C,0),""))</f>
        <v>73</v>
      </c>
      <c r="B431" s="118">
        <v>15</v>
      </c>
      <c r="C431" s="337" t="s">
        <v>39</v>
      </c>
      <c r="D431" s="338">
        <f>INDEX('Data Processing'!O:O,$A431)</f>
        <v>17243.170592639999</v>
      </c>
      <c r="E431" s="339">
        <f ca="1">INDEX('Data Processing'!P:P,$A431)</f>
        <v>16943.139424328063</v>
      </c>
      <c r="F431" s="340">
        <f ca="1">INDEX('Data Processing'!Q:Q,$A431)</f>
        <v>16843.12903489075</v>
      </c>
      <c r="G431" s="340">
        <f ca="1">INDEX('Data Processing'!R:R,$A431)</f>
        <v>16743.11864545344</v>
      </c>
      <c r="H431" s="340">
        <f ca="1">INDEX('Data Processing'!S:S,$A431)</f>
        <v>16643.108256016127</v>
      </c>
      <c r="I431" s="340">
        <f ca="1">INDEX('Data Processing'!T:T,$A431)</f>
        <v>16543.097866578813</v>
      </c>
      <c r="J431" s="340">
        <f ca="1">INDEX('Data Processing'!U:U,$A431)</f>
        <v>16443.087477141504</v>
      </c>
      <c r="K431" s="340">
        <f ca="1">INDEX('Data Processing'!V:V,$A431)</f>
        <v>16343.07708770419</v>
      </c>
      <c r="L431" s="340">
        <f ca="1">INDEX('Data Processing'!W:W,$A431)</f>
        <v>16257.353896757924</v>
      </c>
      <c r="M431" s="340">
        <f ca="1">INDEX('Data Processing'!X:X,$A431)</f>
        <v>16171.630705811656</v>
      </c>
      <c r="N431" s="340">
        <f ca="1">INDEX('Data Processing'!Y:Y,$A431)</f>
        <v>16085.907514865388</v>
      </c>
      <c r="O431" s="340">
        <f ca="1">INDEX('Data Processing'!Z:Z,$A431)</f>
        <v>16000.184323919122</v>
      </c>
      <c r="P431" s="340">
        <f ca="1">INDEX('Data Processing'!AA:AA,$A431)</f>
        <v>15914.461132972854</v>
      </c>
      <c r="Q431" s="340">
        <f ca="1">INDEX('Data Processing'!AB:AB,$A431)</f>
        <v>15828.737942026586</v>
      </c>
      <c r="R431" s="340">
        <f ca="1">INDEX('Data Processing'!AC:AC,$A431)</f>
        <v>15743.014751080318</v>
      </c>
      <c r="S431" s="340">
        <f ca="1">INDEX('Data Processing'!AD:AD,$A431)</f>
        <v>15242.962803893759</v>
      </c>
      <c r="T431" s="341">
        <f ca="1">INDEX('Data Processing'!AE:AE,$A431)</f>
        <v>14742.910856707198</v>
      </c>
      <c r="U431" s="119"/>
      <c r="V431" s="252" t="s">
        <v>1038</v>
      </c>
    </row>
    <row r="432" spans="1:25" s="487" customFormat="1">
      <c r="A432" s="440" t="str">
        <f>IF(B432="","",IFERROR(MATCH(B432,'Data Processing'!$C:$C,0),""))</f>
        <v/>
      </c>
      <c r="B432" s="583"/>
      <c r="C432" s="487" t="s">
        <v>50</v>
      </c>
      <c r="D432" s="509"/>
      <c r="E432" s="606">
        <f ca="1">INDEX('Data Processing'!BU:BU,$A431)</f>
        <v>1.7399999999999999E-2</v>
      </c>
      <c r="F432" s="606">
        <f ca="1">INDEX('Data Processing'!BV:BV,$A431)</f>
        <v>5.7999999999999996E-3</v>
      </c>
      <c r="G432" s="606">
        <f ca="1">INDEX('Data Processing'!BW:BW,$A431)</f>
        <v>5.7999999999999996E-3</v>
      </c>
      <c r="H432" s="606">
        <f ca="1">INDEX('Data Processing'!BX:BX,$A431)</f>
        <v>5.7999999999999996E-3</v>
      </c>
      <c r="I432" s="606">
        <f ca="1">INDEX('Data Processing'!BY:BY,$A431)</f>
        <v>5.7999999999999996E-3</v>
      </c>
      <c r="J432" s="606">
        <f ca="1">INDEX('Data Processing'!BZ:BZ,$A431)</f>
        <v>5.7999999999999996E-3</v>
      </c>
      <c r="K432" s="606">
        <f ca="1">INDEX('Data Processing'!CA:CA,$A431)</f>
        <v>5.7999999999999996E-3</v>
      </c>
      <c r="L432" s="606">
        <f ca="1">INDEX('Data Processing'!CB:CB,$A431)</f>
        <v>4.971428571428572E-3</v>
      </c>
      <c r="M432" s="606">
        <f ca="1">INDEX('Data Processing'!CC:CC,$A431)</f>
        <v>4.971428571428572E-3</v>
      </c>
      <c r="N432" s="606">
        <f ca="1">INDEX('Data Processing'!CD:CD,$A431)</f>
        <v>4.971428571428572E-3</v>
      </c>
      <c r="O432" s="606">
        <f ca="1">INDEX('Data Processing'!CE:CE,$A431)</f>
        <v>4.971428571428572E-3</v>
      </c>
      <c r="P432" s="606">
        <f ca="1">INDEX('Data Processing'!CF:CF,$A431)</f>
        <v>4.971428571428572E-3</v>
      </c>
      <c r="Q432" s="606">
        <f ca="1">INDEX('Data Processing'!CG:CG,$A431)</f>
        <v>4.971428571428572E-3</v>
      </c>
      <c r="R432" s="606">
        <f ca="1">INDEX('Data Processing'!CH:CH,$A431)</f>
        <v>4.971428571428572E-3</v>
      </c>
      <c r="S432" s="606">
        <f ca="1">INDEX('Data Processing'!CI:CI,$A431)</f>
        <v>2.8999999999999998E-2</v>
      </c>
      <c r="T432" s="554">
        <f ca="1">INDEX('Data Processing'!CJ:CJ,$A431)</f>
        <v>2.8999999999999998E-2</v>
      </c>
      <c r="U432" s="485"/>
      <c r="V432" s="279"/>
      <c r="W432" s="279"/>
      <c r="X432" s="279"/>
      <c r="Y432" s="279"/>
    </row>
    <row r="433" spans="1:25" s="487" customFormat="1">
      <c r="A433" s="440" t="str">
        <f>IF(B433="","",IFERROR(MATCH(B433,'Data Processing'!$C:$C,0),""))</f>
        <v/>
      </c>
      <c r="B433" s="583"/>
      <c r="C433" s="487" t="s">
        <v>998</v>
      </c>
      <c r="D433" s="509"/>
      <c r="E433" s="489">
        <f ca="1">INDEX('Data Processing'!AS:AS,$A431)</f>
        <v>300.03116831193597</v>
      </c>
      <c r="F433" s="489">
        <f ca="1">INDEX('Data Processing'!AT:AT,$A431)</f>
        <v>100.01038943731199</v>
      </c>
      <c r="G433" s="489">
        <f ca="1">INDEX('Data Processing'!AU:AU,$A431)</f>
        <v>100.01038943731199</v>
      </c>
      <c r="H433" s="489">
        <f ca="1">INDEX('Data Processing'!AV:AV,$A431)</f>
        <v>100.01038943731199</v>
      </c>
      <c r="I433" s="489">
        <f ca="1">INDEX('Data Processing'!AW:AW,$A431)</f>
        <v>100.01038943731199</v>
      </c>
      <c r="J433" s="489">
        <f ca="1">INDEX('Data Processing'!AX:AX,$A431)</f>
        <v>100.01038943731199</v>
      </c>
      <c r="K433" s="489">
        <f ca="1">INDEX('Data Processing'!AY:AY,$A431)</f>
        <v>100.01038943731199</v>
      </c>
      <c r="L433" s="489">
        <f ca="1">INDEX('Data Processing'!AZ:AZ,$A431)</f>
        <v>85.723190946267437</v>
      </c>
      <c r="M433" s="489">
        <f ca="1">INDEX('Data Processing'!BA:BA,$A431)</f>
        <v>85.723190946267437</v>
      </c>
      <c r="N433" s="489">
        <f ca="1">INDEX('Data Processing'!BB:BB,$A431)</f>
        <v>85.723190946267437</v>
      </c>
      <c r="O433" s="489">
        <f ca="1">INDEX('Data Processing'!BC:BC,$A431)</f>
        <v>85.723190946267437</v>
      </c>
      <c r="P433" s="489">
        <f ca="1">INDEX('Data Processing'!BD:BD,$A431)</f>
        <v>85.723190946267437</v>
      </c>
      <c r="Q433" s="489">
        <f ca="1">INDEX('Data Processing'!BE:BE,$A431)</f>
        <v>85.723190946267437</v>
      </c>
      <c r="R433" s="489">
        <f ca="1">INDEX('Data Processing'!BF:BF,$A431)</f>
        <v>85.723190946267437</v>
      </c>
      <c r="S433" s="489">
        <f ca="1">INDEX('Data Processing'!BG:BG,$A431)</f>
        <v>500.05194718655991</v>
      </c>
      <c r="T433" s="490">
        <f ca="1">INDEX('Data Processing'!BH:BH,$A431)</f>
        <v>500.05194718655991</v>
      </c>
      <c r="U433" s="485"/>
      <c r="V433" s="279"/>
      <c r="W433" s="279"/>
      <c r="X433" s="279"/>
      <c r="Y433" s="279"/>
    </row>
    <row r="434" spans="1:25" s="521" customFormat="1">
      <c r="A434" s="440" t="str">
        <f>IF(B434="","",IFERROR(MATCH(B434,'Data Processing'!$C:$C,0),""))</f>
        <v/>
      </c>
      <c r="B434" s="522"/>
      <c r="C434" s="521" t="s">
        <v>1012</v>
      </c>
      <c r="D434" s="510"/>
      <c r="E434" s="607">
        <f ca="1">D431-E433</f>
        <v>16943.139424328063</v>
      </c>
      <c r="F434" s="607">
        <f t="shared" ref="F434:T434" ca="1" si="556">E431-F433</f>
        <v>16843.12903489075</v>
      </c>
      <c r="G434" s="607">
        <f t="shared" ca="1" si="556"/>
        <v>16743.118645453436</v>
      </c>
      <c r="H434" s="607">
        <f t="shared" ca="1" si="556"/>
        <v>16643.108256016127</v>
      </c>
      <c r="I434" s="607">
        <f t="shared" ca="1" si="556"/>
        <v>16543.097866578813</v>
      </c>
      <c r="J434" s="607">
        <f t="shared" ca="1" si="556"/>
        <v>16443.0874771415</v>
      </c>
      <c r="K434" s="607">
        <f t="shared" ca="1" si="556"/>
        <v>16343.077087704192</v>
      </c>
      <c r="L434" s="607">
        <f t="shared" ca="1" si="556"/>
        <v>16257.353896757922</v>
      </c>
      <c r="M434" s="607">
        <f t="shared" ca="1" si="556"/>
        <v>16171.630705811656</v>
      </c>
      <c r="N434" s="607">
        <f t="shared" ca="1" si="556"/>
        <v>16085.907514865388</v>
      </c>
      <c r="O434" s="607">
        <f t="shared" ca="1" si="556"/>
        <v>16000.18432391912</v>
      </c>
      <c r="P434" s="607">
        <f t="shared" ca="1" si="556"/>
        <v>15914.461132972854</v>
      </c>
      <c r="Q434" s="607">
        <f t="shared" ca="1" si="556"/>
        <v>15828.737942026586</v>
      </c>
      <c r="R434" s="607">
        <f t="shared" ca="1" si="556"/>
        <v>15743.014751080318</v>
      </c>
      <c r="S434" s="607">
        <f t="shared" ca="1" si="556"/>
        <v>15242.962803893759</v>
      </c>
      <c r="T434" s="526">
        <f t="shared" ca="1" si="556"/>
        <v>14742.9108567072</v>
      </c>
      <c r="U434" s="524"/>
      <c r="V434" s="126"/>
      <c r="W434" s="126"/>
      <c r="X434" s="126"/>
      <c r="Y434" s="126"/>
    </row>
    <row r="435" spans="1:25" s="121" customFormat="1">
      <c r="A435">
        <f>IF(B435="","",IFERROR(MATCH(B435,'Data Processing'!$C:$C,0),""))</f>
        <v>74</v>
      </c>
      <c r="B435" s="118">
        <v>16</v>
      </c>
      <c r="C435" s="345" t="s">
        <v>1041</v>
      </c>
      <c r="D435" s="338">
        <f>INDEX('Data Processing'!O:O,$A435)</f>
        <v>560</v>
      </c>
      <c r="E435" s="339">
        <f ca="1">INDEX('Data Processing'!P:P,$A435)</f>
        <v>514.75199999999995</v>
      </c>
      <c r="F435" s="340">
        <f ca="1">INDEX('Data Processing'!Q:Q,$A435)</f>
        <v>499.66933333333333</v>
      </c>
      <c r="G435" s="340">
        <f ca="1">INDEX('Data Processing'!R:R,$A435)</f>
        <v>484.58666666666664</v>
      </c>
      <c r="H435" s="340">
        <f ca="1">INDEX('Data Processing'!S:S,$A435)</f>
        <v>469.50400000000002</v>
      </c>
      <c r="I435" s="340">
        <f ca="1">INDEX('Data Processing'!T:T,$A435)</f>
        <v>454.42133333333334</v>
      </c>
      <c r="J435" s="340">
        <f ca="1">INDEX('Data Processing'!U:U,$A435)</f>
        <v>439.33866666666665</v>
      </c>
      <c r="K435" s="340">
        <f ca="1">INDEX('Data Processing'!V:V,$A435)</f>
        <v>424.25599999999997</v>
      </c>
      <c r="L435" s="340">
        <f ca="1">INDEX('Data Processing'!W:W,$A435)</f>
        <v>411.32799999999997</v>
      </c>
      <c r="M435" s="340">
        <f ca="1">INDEX('Data Processing'!X:X,$A435)</f>
        <v>398.4</v>
      </c>
      <c r="N435" s="340">
        <f ca="1">INDEX('Data Processing'!Y:Y,$A435)</f>
        <v>385.47199999999998</v>
      </c>
      <c r="O435" s="340">
        <f ca="1">INDEX('Data Processing'!Z:Z,$A435)</f>
        <v>372.54399999999998</v>
      </c>
      <c r="P435" s="340">
        <f ca="1">INDEX('Data Processing'!AA:AA,$A435)</f>
        <v>359.61599999999999</v>
      </c>
      <c r="Q435" s="340">
        <f ca="1">INDEX('Data Processing'!AB:AB,$A435)</f>
        <v>346.68799999999999</v>
      </c>
      <c r="R435" s="340">
        <f ca="1">INDEX('Data Processing'!AC:AC,$A435)</f>
        <v>333.76</v>
      </c>
      <c r="S435" s="340">
        <f ca="1">INDEX('Data Processing'!AD:AD,$A435)</f>
        <v>327.32000000000005</v>
      </c>
      <c r="T435" s="341">
        <f ca="1">INDEX('Data Processing'!AE:AE,$A435)</f>
        <v>320.88</v>
      </c>
      <c r="U435" s="119"/>
      <c r="V435" s="126"/>
    </row>
    <row r="436" spans="1:25" s="487" customFormat="1">
      <c r="A436" s="440" t="str">
        <f>IF(B436="","",IFERROR(MATCH(B436,'Data Processing'!$C:$C,0),""))</f>
        <v/>
      </c>
      <c r="B436" s="583"/>
      <c r="C436" s="487" t="s">
        <v>50</v>
      </c>
      <c r="D436" s="511"/>
      <c r="E436" s="606">
        <f ca="1">INDEX('Data Processing'!BU:BU,$A435)</f>
        <v>8.0800000000000011E-2</v>
      </c>
      <c r="F436" s="606">
        <f ca="1">INDEX('Data Processing'!BV:BV,$A435)</f>
        <v>2.6933333333333333E-2</v>
      </c>
      <c r="G436" s="606">
        <f ca="1">INDEX('Data Processing'!BW:BW,$A435)</f>
        <v>2.6933333333333333E-2</v>
      </c>
      <c r="H436" s="606">
        <f ca="1">INDEX('Data Processing'!BX:BX,$A435)</f>
        <v>2.6933333333333333E-2</v>
      </c>
      <c r="I436" s="606">
        <f ca="1">INDEX('Data Processing'!BY:BY,$A435)</f>
        <v>2.6933333333333333E-2</v>
      </c>
      <c r="J436" s="606">
        <f ca="1">INDEX('Data Processing'!BZ:BZ,$A435)</f>
        <v>2.6933333333333333E-2</v>
      </c>
      <c r="K436" s="606">
        <f ca="1">INDEX('Data Processing'!CA:CA,$A435)</f>
        <v>2.6933333333333333E-2</v>
      </c>
      <c r="L436" s="606">
        <f ca="1">INDEX('Data Processing'!CB:CB,$A435)</f>
        <v>2.3085714285714289E-2</v>
      </c>
      <c r="M436" s="606">
        <f ca="1">INDEX('Data Processing'!CC:CC,$A435)</f>
        <v>2.3085714285714289E-2</v>
      </c>
      <c r="N436" s="606">
        <f ca="1">INDEX('Data Processing'!CD:CD,$A435)</f>
        <v>2.3085714285714289E-2</v>
      </c>
      <c r="O436" s="606">
        <f ca="1">INDEX('Data Processing'!CE:CE,$A435)</f>
        <v>2.3085714285714289E-2</v>
      </c>
      <c r="P436" s="606">
        <f ca="1">INDEX('Data Processing'!CF:CF,$A435)</f>
        <v>2.3085714285714289E-2</v>
      </c>
      <c r="Q436" s="606">
        <f ca="1">INDEX('Data Processing'!CG:CG,$A435)</f>
        <v>2.3085714285714289E-2</v>
      </c>
      <c r="R436" s="606">
        <f ca="1">INDEX('Data Processing'!CH:CH,$A435)</f>
        <v>2.3085714285714289E-2</v>
      </c>
      <c r="S436" s="606">
        <f ca="1">INDEX('Data Processing'!CI:CI,$A435)</f>
        <v>1.1499999999999982E-2</v>
      </c>
      <c r="T436" s="554">
        <f ca="1">INDEX('Data Processing'!CJ:CJ,$A435)</f>
        <v>1.1499999999999982E-2</v>
      </c>
      <c r="U436" s="485"/>
      <c r="V436" s="279"/>
      <c r="W436" s="279"/>
      <c r="X436" s="279"/>
      <c r="Y436" s="279"/>
    </row>
    <row r="437" spans="1:25" s="487" customFormat="1">
      <c r="A437" s="440" t="str">
        <f>IF(B437="","",IFERROR(MATCH(B437,'Data Processing'!$C:$C,0),""))</f>
        <v/>
      </c>
      <c r="B437" s="583"/>
      <c r="C437" s="487" t="s">
        <v>998</v>
      </c>
      <c r="D437" s="511"/>
      <c r="E437" s="489">
        <f ca="1">INDEX('Data Processing'!AS:AS,$A435)</f>
        <v>45.248000000000005</v>
      </c>
      <c r="F437" s="489">
        <f ca="1">INDEX('Data Processing'!AT:AT,$A435)</f>
        <v>15.082666666666666</v>
      </c>
      <c r="G437" s="489">
        <f ca="1">INDEX('Data Processing'!AU:AU,$A435)</f>
        <v>15.082666666666666</v>
      </c>
      <c r="H437" s="489">
        <f ca="1">INDEX('Data Processing'!AV:AV,$A435)</f>
        <v>15.082666666666666</v>
      </c>
      <c r="I437" s="489">
        <f ca="1">INDEX('Data Processing'!AW:AW,$A435)</f>
        <v>15.082666666666666</v>
      </c>
      <c r="J437" s="489">
        <f ca="1">INDEX('Data Processing'!AX:AX,$A435)</f>
        <v>15.082666666666666</v>
      </c>
      <c r="K437" s="489">
        <f ca="1">INDEX('Data Processing'!AY:AY,$A435)</f>
        <v>15.082666666666666</v>
      </c>
      <c r="L437" s="556">
        <f ca="1">INDEX('Data Processing'!AZ:AZ,$A435)</f>
        <v>12.928000000000003</v>
      </c>
      <c r="M437" s="556">
        <f ca="1">INDEX('Data Processing'!BA:BA,$A435)</f>
        <v>12.928000000000003</v>
      </c>
      <c r="N437" s="556">
        <f ca="1">INDEX('Data Processing'!BB:BB,$A435)</f>
        <v>12.928000000000003</v>
      </c>
      <c r="O437" s="556">
        <f ca="1">INDEX('Data Processing'!BC:BC,$A435)</f>
        <v>12.928000000000003</v>
      </c>
      <c r="P437" s="556">
        <f ca="1">INDEX('Data Processing'!BD:BD,$A435)</f>
        <v>12.928000000000003</v>
      </c>
      <c r="Q437" s="556">
        <f ca="1">INDEX('Data Processing'!BE:BE,$A435)</f>
        <v>12.928000000000003</v>
      </c>
      <c r="R437" s="556">
        <f ca="1">INDEX('Data Processing'!BF:BF,$A435)</f>
        <v>12.928000000000003</v>
      </c>
      <c r="S437" s="556">
        <f ca="1">INDEX('Data Processing'!BG:BG,$A435)</f>
        <v>6.4399999999999906</v>
      </c>
      <c r="T437" s="584">
        <f ca="1">INDEX('Data Processing'!BH:BH,$A435)</f>
        <v>6.4399999999999906</v>
      </c>
      <c r="U437" s="485"/>
      <c r="V437" s="279"/>
      <c r="W437" s="279"/>
      <c r="X437" s="279"/>
      <c r="Y437" s="279"/>
    </row>
    <row r="438" spans="1:25" s="521" customFormat="1">
      <c r="A438" s="440" t="str">
        <f>IF(B438="","",IFERROR(MATCH(B438,'Data Processing'!$C:$C,0),""))</f>
        <v/>
      </c>
      <c r="B438" s="522"/>
      <c r="C438" s="521" t="s">
        <v>1012</v>
      </c>
      <c r="D438" s="510"/>
      <c r="E438" s="607">
        <f ca="1">D435-E437</f>
        <v>514.75199999999995</v>
      </c>
      <c r="F438" s="607">
        <f t="shared" ref="F438:T438" ca="1" si="557">E435-F437</f>
        <v>499.66933333333327</v>
      </c>
      <c r="G438" s="607">
        <f t="shared" ca="1" si="557"/>
        <v>484.58666666666664</v>
      </c>
      <c r="H438" s="607">
        <f t="shared" ca="1" si="557"/>
        <v>469.50399999999996</v>
      </c>
      <c r="I438" s="607">
        <f t="shared" ca="1" si="557"/>
        <v>454.42133333333334</v>
      </c>
      <c r="J438" s="607">
        <f t="shared" ca="1" si="557"/>
        <v>439.33866666666665</v>
      </c>
      <c r="K438" s="607">
        <f t="shared" ca="1" si="557"/>
        <v>424.25599999999997</v>
      </c>
      <c r="L438" s="607">
        <f t="shared" ca="1" si="557"/>
        <v>411.32799999999997</v>
      </c>
      <c r="M438" s="607">
        <f t="shared" ca="1" si="557"/>
        <v>398.4</v>
      </c>
      <c r="N438" s="607">
        <f t="shared" ca="1" si="557"/>
        <v>385.47199999999998</v>
      </c>
      <c r="O438" s="607">
        <f t="shared" ca="1" si="557"/>
        <v>372.54399999999998</v>
      </c>
      <c r="P438" s="607">
        <f t="shared" ca="1" si="557"/>
        <v>359.61599999999999</v>
      </c>
      <c r="Q438" s="607">
        <f t="shared" ca="1" si="557"/>
        <v>346.68799999999999</v>
      </c>
      <c r="R438" s="607">
        <f t="shared" ca="1" si="557"/>
        <v>333.76</v>
      </c>
      <c r="S438" s="607">
        <f t="shared" ca="1" si="557"/>
        <v>327.32</v>
      </c>
      <c r="T438" s="608">
        <f t="shared" ca="1" si="557"/>
        <v>320.88000000000005</v>
      </c>
      <c r="U438" s="524"/>
      <c r="V438" s="126"/>
      <c r="W438" s="126"/>
      <c r="X438" s="126"/>
      <c r="Y438" s="126"/>
    </row>
    <row r="439" spans="1:25" s="528" customFormat="1" ht="15.75" thickBot="1">
      <c r="A439" s="440" t="str">
        <f>IF(B439="","",IFERROR(MATCH(B439,'Data Processing'!$C:$C,0),""))</f>
        <v/>
      </c>
      <c r="B439" s="609"/>
      <c r="C439" s="610" t="s">
        <v>1049</v>
      </c>
      <c r="D439" s="512">
        <f>D435+D431</f>
        <v>17803.170592639999</v>
      </c>
      <c r="E439" s="611">
        <f t="shared" ref="E439:T439" ca="1" si="558">E435+E431</f>
        <v>17457.891424328063</v>
      </c>
      <c r="F439" s="611">
        <f t="shared" ca="1" si="558"/>
        <v>17342.798368224085</v>
      </c>
      <c r="G439" s="611">
        <f t="shared" ca="1" si="558"/>
        <v>17227.705312120106</v>
      </c>
      <c r="H439" s="611">
        <f t="shared" ca="1" si="558"/>
        <v>17112.612256016128</v>
      </c>
      <c r="I439" s="611">
        <f t="shared" ca="1" si="558"/>
        <v>16997.519199912145</v>
      </c>
      <c r="J439" s="611">
        <f t="shared" ca="1" si="558"/>
        <v>16882.42614380817</v>
      </c>
      <c r="K439" s="611">
        <f t="shared" ca="1" si="558"/>
        <v>16767.333087704192</v>
      </c>
      <c r="L439" s="611">
        <f t="shared" ca="1" si="558"/>
        <v>16668.681896757924</v>
      </c>
      <c r="M439" s="611">
        <f t="shared" ca="1" si="558"/>
        <v>16570.030705811656</v>
      </c>
      <c r="N439" s="611">
        <f t="shared" ca="1" si="558"/>
        <v>16471.379514865388</v>
      </c>
      <c r="O439" s="611">
        <f t="shared" ca="1" si="558"/>
        <v>16372.728323919122</v>
      </c>
      <c r="P439" s="611">
        <f t="shared" ca="1" si="558"/>
        <v>16274.077132972854</v>
      </c>
      <c r="Q439" s="611">
        <f t="shared" ca="1" si="558"/>
        <v>16175.425942026586</v>
      </c>
      <c r="R439" s="611">
        <f t="shared" ca="1" si="558"/>
        <v>16076.774751080318</v>
      </c>
      <c r="S439" s="611">
        <f t="shared" ca="1" si="558"/>
        <v>15570.282803893759</v>
      </c>
      <c r="T439" s="612">
        <f t="shared" ca="1" si="558"/>
        <v>15063.790856707197</v>
      </c>
      <c r="U439" s="534"/>
      <c r="V439" s="126"/>
      <c r="W439" s="121"/>
      <c r="X439" s="121"/>
      <c r="Y439" s="121"/>
    </row>
    <row r="440" spans="1:25" s="528" customFormat="1" ht="15.75" thickTop="1">
      <c r="B440" s="542"/>
      <c r="D440" s="500"/>
      <c r="E440" s="544"/>
      <c r="T440" s="546"/>
      <c r="U440" s="534"/>
      <c r="V440" s="126"/>
      <c r="W440" s="121"/>
      <c r="X440" s="121"/>
      <c r="Y440" s="121"/>
    </row>
    <row r="441" spans="1:25" s="528" customFormat="1">
      <c r="B441" s="542"/>
      <c r="C441" s="613" t="s">
        <v>1051</v>
      </c>
      <c r="D441" s="513"/>
      <c r="E441" s="614">
        <f ca="1">E437+E433</f>
        <v>345.27916831193596</v>
      </c>
      <c r="F441" s="614">
        <f t="shared" ref="F441:T441" ca="1" si="559">F437+F433</f>
        <v>115.09305610397865</v>
      </c>
      <c r="G441" s="614">
        <f t="shared" ca="1" si="559"/>
        <v>115.09305610397865</v>
      </c>
      <c r="H441" s="614">
        <f t="shared" ca="1" si="559"/>
        <v>115.09305610397865</v>
      </c>
      <c r="I441" s="614">
        <f t="shared" ca="1" si="559"/>
        <v>115.09305610397865</v>
      </c>
      <c r="J441" s="614">
        <f t="shared" ca="1" si="559"/>
        <v>115.09305610397865</v>
      </c>
      <c r="K441" s="614">
        <f t="shared" ca="1" si="559"/>
        <v>115.09305610397865</v>
      </c>
      <c r="L441" s="614">
        <f t="shared" ca="1" si="559"/>
        <v>98.651190946267434</v>
      </c>
      <c r="M441" s="614">
        <f t="shared" ca="1" si="559"/>
        <v>98.651190946267434</v>
      </c>
      <c r="N441" s="614">
        <f t="shared" ca="1" si="559"/>
        <v>98.651190946267434</v>
      </c>
      <c r="O441" s="614">
        <f t="shared" ca="1" si="559"/>
        <v>98.651190946267434</v>
      </c>
      <c r="P441" s="614">
        <f t="shared" ca="1" si="559"/>
        <v>98.651190946267434</v>
      </c>
      <c r="Q441" s="614">
        <f t="shared" ca="1" si="559"/>
        <v>98.651190946267434</v>
      </c>
      <c r="R441" s="614">
        <f t="shared" ca="1" si="559"/>
        <v>98.651190946267434</v>
      </c>
      <c r="S441" s="614">
        <f t="shared" ca="1" si="559"/>
        <v>506.49194718655991</v>
      </c>
      <c r="T441" s="615">
        <f t="shared" ca="1" si="559"/>
        <v>506.49194718655991</v>
      </c>
      <c r="U441" s="534"/>
      <c r="V441" s="126"/>
      <c r="W441" s="121"/>
      <c r="X441" s="121"/>
      <c r="Y441" s="121"/>
    </row>
    <row r="442" spans="1:25" s="528" customFormat="1" ht="15.75" thickBot="1">
      <c r="B442" s="616"/>
      <c r="C442" s="617" t="s">
        <v>1053</v>
      </c>
      <c r="D442" s="512"/>
      <c r="E442" s="618">
        <f ca="1">E78-SUM($E$441:E441)</f>
        <v>30104.291863105573</v>
      </c>
      <c r="F442" s="611">
        <f ca="1">F78-SUM($E$441:F441)</f>
        <v>15385.739657516173</v>
      </c>
      <c r="G442" s="611">
        <f ca="1">G78-SUM($E$441:G441)</f>
        <v>14760.439628363943</v>
      </c>
      <c r="H442" s="611">
        <f ca="1">H78-SUM($E$441:H441)</f>
        <v>14136.207292040726</v>
      </c>
      <c r="I442" s="611">
        <f ca="1">I78-SUM($E$441:I441)</f>
        <v>13517.216403516588</v>
      </c>
      <c r="J442" s="611">
        <f ca="1">J78-SUM($E$441:J441)</f>
        <v>12898.225514992453</v>
      </c>
      <c r="K442" s="611">
        <f ca="1">K78-SUM($E$441:K441)</f>
        <v>12270.528991867133</v>
      </c>
      <c r="L442" s="611">
        <f ca="1">L78-SUM($E$441:L441)</f>
        <v>11743.92857537646</v>
      </c>
      <c r="M442" s="618">
        <f ca="1">M78-SUM($E$441:M441)</f>
        <v>11216.554919057082</v>
      </c>
      <c r="N442" s="611">
        <f ca="1">N78-SUM($E$441:N441)</f>
        <v>10694.711474784346</v>
      </c>
      <c r="O442" s="611">
        <f ca="1">O78-SUM($E$441:O441)</f>
        <v>10177.203822988477</v>
      </c>
      <c r="P442" s="611">
        <f ca="1">P78-SUM($E$441:P441)</f>
        <v>9647.5917324745806</v>
      </c>
      <c r="Q442" s="611">
        <f ca="1">Q78-SUM($E$441:Q441)</f>
        <v>9117.9796419606846</v>
      </c>
      <c r="R442" s="611">
        <f ca="1">R78-SUM($E$441:R441)</f>
        <v>8584.5414979221823</v>
      </c>
      <c r="S442" s="611">
        <f ca="1">S78-SUM($E$441:S441)</f>
        <v>5379.94184587566</v>
      </c>
      <c r="T442" s="612">
        <f ca="1">T78-SUM($E$441:T441)</f>
        <v>2941.5708170779058</v>
      </c>
      <c r="U442" s="544"/>
      <c r="V442" s="126"/>
      <c r="W442" s="121"/>
      <c r="X442" s="121"/>
      <c r="Y442" s="121"/>
    </row>
    <row r="443" spans="1:25" s="528" customFormat="1" ht="15.75" thickTop="1">
      <c r="B443" s="542"/>
      <c r="C443" s="534"/>
      <c r="D443" s="495"/>
      <c r="E443" s="580"/>
      <c r="F443" s="580"/>
      <c r="G443" s="580"/>
      <c r="H443" s="580"/>
      <c r="I443" s="580"/>
      <c r="J443" s="580"/>
      <c r="K443" s="580"/>
      <c r="L443" s="580"/>
      <c r="M443" s="619"/>
      <c r="N443" s="580"/>
      <c r="O443" s="580"/>
      <c r="P443" s="580"/>
      <c r="Q443" s="580"/>
      <c r="R443" s="580"/>
      <c r="S443" s="580"/>
      <c r="T443" s="580"/>
      <c r="U443" s="544"/>
      <c r="V443" s="126"/>
      <c r="W443" s="121"/>
      <c r="X443" s="121"/>
      <c r="Y443" s="121"/>
    </row>
    <row r="444" spans="1:25" s="528" customFormat="1">
      <c r="B444" s="542"/>
      <c r="C444" s="620" t="s">
        <v>1095</v>
      </c>
      <c r="D444" s="494"/>
      <c r="E444" s="531"/>
      <c r="F444" s="531"/>
      <c r="G444" s="531"/>
      <c r="H444" s="531"/>
      <c r="I444" s="531"/>
      <c r="J444" s="531"/>
      <c r="K444" s="531"/>
      <c r="L444" s="531"/>
      <c r="M444" s="621"/>
      <c r="N444" s="531"/>
      <c r="O444" s="531"/>
      <c r="P444" s="531"/>
      <c r="Q444" s="531"/>
      <c r="R444" s="531"/>
      <c r="S444" s="531"/>
      <c r="T444" s="622"/>
      <c r="U444" s="544"/>
      <c r="V444" s="126"/>
      <c r="W444" s="121"/>
      <c r="X444" s="121"/>
      <c r="Y444" s="121"/>
    </row>
    <row r="445" spans="1:25" s="487" customFormat="1">
      <c r="B445" s="623"/>
      <c r="C445" s="624" t="s">
        <v>1098</v>
      </c>
      <c r="D445" s="488"/>
      <c r="E445" s="625">
        <f>-'Data Processing'!$AS$78</f>
        <v>-150</v>
      </c>
      <c r="F445" s="625">
        <f>-'Data Processing'!$AS$78</f>
        <v>-150</v>
      </c>
      <c r="G445" s="625">
        <f>-'Data Processing'!$AS$78</f>
        <v>-150</v>
      </c>
      <c r="H445" s="625">
        <f>-'Data Processing'!$AS$78</f>
        <v>-150</v>
      </c>
      <c r="I445" s="625">
        <f>-'Data Processing'!$AS$78</f>
        <v>-150</v>
      </c>
      <c r="J445" s="625">
        <f>-'Data Processing'!$AS$78</f>
        <v>-150</v>
      </c>
      <c r="K445" s="625">
        <f>-'Data Processing'!$AS$78</f>
        <v>-150</v>
      </c>
      <c r="L445" s="625">
        <f>-'Data Processing'!$AS$78</f>
        <v>-150</v>
      </c>
      <c r="M445" s="625">
        <f>-'Data Processing'!$AS$78</f>
        <v>-150</v>
      </c>
      <c r="N445" s="625">
        <f>-'Data Processing'!$AS$78</f>
        <v>-150</v>
      </c>
      <c r="O445" s="625">
        <f>-'Data Processing'!$AS$78</f>
        <v>-150</v>
      </c>
      <c r="P445" s="625">
        <f>-'Data Processing'!$AS$78</f>
        <v>-150</v>
      </c>
      <c r="Q445" s="625">
        <f>-'Data Processing'!$AS$78</f>
        <v>-150</v>
      </c>
      <c r="R445" s="625">
        <f>-'Data Processing'!$AS$78</f>
        <v>-150</v>
      </c>
      <c r="S445" s="625">
        <f>-'Data Processing'!$AS$78</f>
        <v>-150</v>
      </c>
      <c r="T445" s="626">
        <f>-'Data Processing'!$AS$78</f>
        <v>-150</v>
      </c>
      <c r="U445" s="627"/>
      <c r="V445" s="279"/>
      <c r="W445" s="279"/>
      <c r="X445" s="279"/>
      <c r="Y445" s="279"/>
    </row>
    <row r="446" spans="1:25" s="487" customFormat="1">
      <c r="B446" s="623"/>
      <c r="C446" s="624" t="s">
        <v>1101</v>
      </c>
      <c r="D446" s="488"/>
      <c r="E446" s="515" t="s">
        <v>1070</v>
      </c>
      <c r="F446" s="515" t="s">
        <v>1070</v>
      </c>
      <c r="G446" s="515" t="s">
        <v>1070</v>
      </c>
      <c r="H446" s="515" t="s">
        <v>1070</v>
      </c>
      <c r="I446" s="515" t="s">
        <v>1070</v>
      </c>
      <c r="J446" s="515" t="s">
        <v>1070</v>
      </c>
      <c r="K446" s="515" t="s">
        <v>1070</v>
      </c>
      <c r="L446" s="515" t="s">
        <v>1070</v>
      </c>
      <c r="M446" s="515" t="s">
        <v>1070</v>
      </c>
      <c r="N446" s="515" t="s">
        <v>1070</v>
      </c>
      <c r="O446" s="515" t="s">
        <v>1070</v>
      </c>
      <c r="P446" s="515" t="s">
        <v>1070</v>
      </c>
      <c r="Q446" s="515" t="s">
        <v>1070</v>
      </c>
      <c r="R446" s="515" t="s">
        <v>1070</v>
      </c>
      <c r="S446" s="515" t="s">
        <v>1070</v>
      </c>
      <c r="T446" s="628" t="s">
        <v>1070</v>
      </c>
      <c r="U446" s="627"/>
      <c r="V446" s="279"/>
      <c r="W446" s="279"/>
      <c r="X446" s="279"/>
      <c r="Y446" s="279"/>
    </row>
    <row r="447" spans="1:25" s="487" customFormat="1">
      <c r="B447" s="623"/>
      <c r="C447" s="624" t="s">
        <v>1102</v>
      </c>
      <c r="D447" s="488"/>
      <c r="E447" s="515" t="s">
        <v>1070</v>
      </c>
      <c r="F447" s="515" t="s">
        <v>1070</v>
      </c>
      <c r="G447" s="515" t="s">
        <v>1070</v>
      </c>
      <c r="H447" s="515" t="s">
        <v>1070</v>
      </c>
      <c r="I447" s="515" t="s">
        <v>1070</v>
      </c>
      <c r="J447" s="515" t="s">
        <v>1070</v>
      </c>
      <c r="K447" s="515" t="s">
        <v>1070</v>
      </c>
      <c r="L447" s="515" t="s">
        <v>1070</v>
      </c>
      <c r="M447" s="515" t="s">
        <v>1070</v>
      </c>
      <c r="N447" s="515" t="s">
        <v>1070</v>
      </c>
      <c r="O447" s="515" t="s">
        <v>1070</v>
      </c>
      <c r="P447" s="515" t="s">
        <v>1070</v>
      </c>
      <c r="Q447" s="515" t="s">
        <v>1070</v>
      </c>
      <c r="R447" s="515" t="s">
        <v>1070</v>
      </c>
      <c r="S447" s="515" t="s">
        <v>1070</v>
      </c>
      <c r="T447" s="628" t="s">
        <v>1070</v>
      </c>
      <c r="U447" s="627"/>
      <c r="V447" s="279"/>
      <c r="W447" s="279"/>
      <c r="X447" s="279"/>
      <c r="Y447" s="279"/>
    </row>
    <row r="448" spans="1:25" s="487" customFormat="1">
      <c r="B448" s="623"/>
      <c r="C448" s="624" t="s">
        <v>1099</v>
      </c>
      <c r="D448" s="488"/>
      <c r="E448" s="515" t="s">
        <v>1070</v>
      </c>
      <c r="F448" s="515" t="s">
        <v>1070</v>
      </c>
      <c r="G448" s="515" t="s">
        <v>1070</v>
      </c>
      <c r="H448" s="515" t="s">
        <v>1070</v>
      </c>
      <c r="I448" s="515" t="s">
        <v>1070</v>
      </c>
      <c r="J448" s="515" t="s">
        <v>1070</v>
      </c>
      <c r="K448" s="515" t="s">
        <v>1070</v>
      </c>
      <c r="L448" s="515" t="s">
        <v>1070</v>
      </c>
      <c r="M448" s="515" t="s">
        <v>1070</v>
      </c>
      <c r="N448" s="515" t="s">
        <v>1070</v>
      </c>
      <c r="O448" s="515" t="s">
        <v>1070</v>
      </c>
      <c r="P448" s="515" t="s">
        <v>1070</v>
      </c>
      <c r="Q448" s="515" t="s">
        <v>1070</v>
      </c>
      <c r="R448" s="515" t="s">
        <v>1070</v>
      </c>
      <c r="S448" s="515" t="s">
        <v>1070</v>
      </c>
      <c r="T448" s="628" t="s">
        <v>1070</v>
      </c>
      <c r="U448" s="627"/>
      <c r="V448" s="279"/>
      <c r="W448" s="279"/>
      <c r="X448" s="279"/>
      <c r="Y448" s="279"/>
    </row>
    <row r="449" spans="2:25" s="487" customFormat="1">
      <c r="B449" s="623"/>
      <c r="C449" s="624" t="s">
        <v>1100</v>
      </c>
      <c r="D449" s="488"/>
      <c r="E449" s="515" t="s">
        <v>1070</v>
      </c>
      <c r="F449" s="515" t="s">
        <v>1070</v>
      </c>
      <c r="G449" s="515" t="s">
        <v>1070</v>
      </c>
      <c r="H449" s="515" t="s">
        <v>1070</v>
      </c>
      <c r="I449" s="515" t="s">
        <v>1070</v>
      </c>
      <c r="J449" s="515" t="s">
        <v>1070</v>
      </c>
      <c r="K449" s="515" t="s">
        <v>1070</v>
      </c>
      <c r="L449" s="515" t="s">
        <v>1070</v>
      </c>
      <c r="M449" s="515" t="s">
        <v>1070</v>
      </c>
      <c r="N449" s="515" t="s">
        <v>1070</v>
      </c>
      <c r="O449" s="515" t="s">
        <v>1070</v>
      </c>
      <c r="P449" s="515" t="s">
        <v>1070</v>
      </c>
      <c r="Q449" s="515" t="s">
        <v>1070</v>
      </c>
      <c r="R449" s="515" t="s">
        <v>1070</v>
      </c>
      <c r="S449" s="515" t="s">
        <v>1070</v>
      </c>
      <c r="T449" s="628" t="s">
        <v>1070</v>
      </c>
      <c r="U449" s="627"/>
      <c r="V449" s="279"/>
      <c r="W449" s="279"/>
      <c r="X449" s="279"/>
      <c r="Y449" s="279"/>
    </row>
    <row r="450" spans="2:25" s="487" customFormat="1">
      <c r="B450" s="623"/>
      <c r="C450" s="629" t="s">
        <v>1103</v>
      </c>
      <c r="D450" s="491"/>
      <c r="E450" s="516" t="s">
        <v>1070</v>
      </c>
      <c r="F450" s="516" t="s">
        <v>1070</v>
      </c>
      <c r="G450" s="516" t="s">
        <v>1070</v>
      </c>
      <c r="H450" s="516" t="s">
        <v>1070</v>
      </c>
      <c r="I450" s="516" t="s">
        <v>1070</v>
      </c>
      <c r="J450" s="516" t="s">
        <v>1070</v>
      </c>
      <c r="K450" s="516" t="s">
        <v>1070</v>
      </c>
      <c r="L450" s="516" t="s">
        <v>1070</v>
      </c>
      <c r="M450" s="516" t="s">
        <v>1070</v>
      </c>
      <c r="N450" s="516" t="s">
        <v>1070</v>
      </c>
      <c r="O450" s="516" t="s">
        <v>1070</v>
      </c>
      <c r="P450" s="516" t="s">
        <v>1070</v>
      </c>
      <c r="Q450" s="516" t="s">
        <v>1070</v>
      </c>
      <c r="R450" s="516" t="s">
        <v>1070</v>
      </c>
      <c r="S450" s="516" t="s">
        <v>1070</v>
      </c>
      <c r="T450" s="630" t="s">
        <v>1070</v>
      </c>
      <c r="U450" s="627"/>
      <c r="V450" s="279"/>
      <c r="W450" s="279"/>
      <c r="X450" s="279"/>
      <c r="Y450" s="279"/>
    </row>
    <row r="451" spans="2:25" s="521" customFormat="1" ht="15.75" thickBot="1">
      <c r="B451" s="631"/>
      <c r="C451" s="632" t="s">
        <v>1053</v>
      </c>
      <c r="D451" s="514"/>
      <c r="E451" s="633">
        <f ca="1">E442+E445</f>
        <v>29954.291863105573</v>
      </c>
      <c r="F451" s="633">
        <f ca="1">F442+F445</f>
        <v>15235.739657516173</v>
      </c>
      <c r="G451" s="633">
        <f ca="1">G442+G445</f>
        <v>14610.439628363943</v>
      </c>
      <c r="H451" s="633">
        <v>-5080.5023255973892</v>
      </c>
      <c r="I451" s="633">
        <v>-10388.318468024967</v>
      </c>
      <c r="J451" s="633">
        <v>-14214.50502037385</v>
      </c>
      <c r="K451" s="633">
        <v>-16681.560981437207</v>
      </c>
      <c r="L451" s="633">
        <v>-16374.580021609234</v>
      </c>
      <c r="M451" s="633">
        <v>-16062.621341035614</v>
      </c>
      <c r="N451" s="633">
        <v>-15577.850125475859</v>
      </c>
      <c r="O451" s="633">
        <v>-15661.957649815904</v>
      </c>
      <c r="P451" s="633">
        <v>-15929.180831232368</v>
      </c>
      <c r="Q451" s="633">
        <v>-16135.951872112677</v>
      </c>
      <c r="R451" s="633">
        <v>-15745.210922059654</v>
      </c>
      <c r="S451" s="633">
        <v>-15215.63898065126</v>
      </c>
      <c r="T451" s="634">
        <v>-18942.42658386923</v>
      </c>
      <c r="U451" s="607"/>
      <c r="V451" s="126"/>
      <c r="W451" s="126"/>
      <c r="X451" s="126"/>
      <c r="Y451" s="126"/>
    </row>
    <row r="452" spans="2:25" s="121" customFormat="1" ht="15.75" thickTop="1">
      <c r="B452" s="135"/>
      <c r="D452" s="136"/>
      <c r="E452" s="137"/>
      <c r="F452" s="137"/>
      <c r="G452" s="137"/>
      <c r="U452" s="119"/>
      <c r="V452" s="126"/>
    </row>
    <row r="453" spans="2:25" s="252" customFormat="1">
      <c r="B453" s="358"/>
      <c r="C453" s="358" t="s">
        <v>1154</v>
      </c>
      <c r="D453" s="433"/>
      <c r="E453" s="253"/>
      <c r="G453" s="253"/>
      <c r="I453" s="253"/>
      <c r="U453" s="119"/>
      <c r="V453" s="250"/>
    </row>
    <row r="454" spans="2:25" s="121" customFormat="1">
      <c r="B454" s="359">
        <v>1</v>
      </c>
      <c r="C454" s="360" t="s">
        <v>1096</v>
      </c>
      <c r="D454" s="361"/>
      <c r="E454" s="447"/>
      <c r="F454" s="363"/>
      <c r="G454" s="363"/>
      <c r="H454" s="363"/>
      <c r="I454" s="363"/>
      <c r="J454" s="363"/>
      <c r="K454" s="363"/>
      <c r="L454" s="363"/>
      <c r="M454" s="363"/>
      <c r="N454" s="363"/>
      <c r="O454" s="363"/>
      <c r="P454" s="363"/>
      <c r="Q454" s="363"/>
      <c r="R454" s="363"/>
      <c r="S454" s="363"/>
      <c r="T454" s="364"/>
      <c r="U454" s="119"/>
      <c r="V454" s="126"/>
    </row>
    <row r="455" spans="2:25" s="121" customFormat="1">
      <c r="B455" s="365">
        <v>2</v>
      </c>
      <c r="C455" s="366" t="s">
        <v>1071</v>
      </c>
      <c r="D455" s="351"/>
      <c r="E455" s="448"/>
      <c r="F455" s="252"/>
      <c r="G455" s="252"/>
      <c r="H455" s="252"/>
      <c r="I455" s="252"/>
      <c r="J455" s="252"/>
      <c r="K455" s="252"/>
      <c r="L455" s="252"/>
      <c r="M455" s="252"/>
      <c r="N455" s="252"/>
      <c r="O455" s="252"/>
      <c r="P455" s="252"/>
      <c r="Q455" s="252"/>
      <c r="R455" s="252"/>
      <c r="S455" s="252"/>
      <c r="T455" s="138"/>
      <c r="U455" s="119"/>
      <c r="V455" s="126"/>
    </row>
    <row r="456" spans="2:25" s="121" customFormat="1">
      <c r="B456" s="365">
        <v>2.1</v>
      </c>
      <c r="C456" s="368" t="s">
        <v>1097</v>
      </c>
      <c r="D456" s="351"/>
      <c r="E456" s="448"/>
      <c r="F456" s="252"/>
      <c r="G456" s="252"/>
      <c r="H456" s="252"/>
      <c r="I456" s="252"/>
      <c r="J456" s="252"/>
      <c r="K456" s="252"/>
      <c r="L456" s="252"/>
      <c r="M456" s="252"/>
      <c r="N456" s="252"/>
      <c r="O456" s="252"/>
      <c r="P456" s="252"/>
      <c r="Q456" s="252"/>
      <c r="R456" s="252"/>
      <c r="S456" s="252"/>
      <c r="T456" s="138"/>
      <c r="U456" s="119"/>
      <c r="V456" s="126"/>
    </row>
    <row r="457" spans="2:25" s="121" customFormat="1">
      <c r="B457" s="365">
        <v>2.2000000000000002</v>
      </c>
      <c r="C457" s="369" t="s">
        <v>30</v>
      </c>
      <c r="D457" s="370"/>
      <c r="E457" s="449"/>
      <c r="F457" s="372"/>
      <c r="G457" s="372"/>
      <c r="H457" s="372"/>
      <c r="I457" s="372"/>
      <c r="J457" s="372"/>
      <c r="K457" s="372"/>
      <c r="L457" s="372"/>
      <c r="M457" s="372"/>
      <c r="N457" s="372"/>
      <c r="O457" s="372"/>
      <c r="P457" s="372"/>
      <c r="Q457" s="372"/>
      <c r="R457" s="372"/>
      <c r="S457" s="372"/>
      <c r="T457" s="373"/>
      <c r="U457" s="119"/>
      <c r="V457" s="126"/>
    </row>
    <row r="458" spans="2:25" s="121" customFormat="1">
      <c r="B458" s="365">
        <v>3</v>
      </c>
      <c r="C458" s="138" t="s">
        <v>40</v>
      </c>
      <c r="D458" s="356" t="s">
        <v>1070</v>
      </c>
      <c r="E458" s="253"/>
      <c r="F458" s="252"/>
      <c r="G458" s="252"/>
      <c r="H458" s="252"/>
      <c r="I458" s="252"/>
      <c r="J458" s="252"/>
      <c r="K458" s="252"/>
      <c r="L458" s="252"/>
      <c r="M458" s="252"/>
      <c r="N458" s="252"/>
      <c r="O458" s="252"/>
      <c r="P458" s="252"/>
      <c r="Q458" s="252"/>
      <c r="R458" s="252"/>
      <c r="S458" s="252"/>
      <c r="T458" s="138"/>
      <c r="U458" s="119"/>
      <c r="V458" s="126"/>
    </row>
    <row r="459" spans="2:25" s="121" customFormat="1">
      <c r="B459" s="365">
        <v>4</v>
      </c>
      <c r="C459" s="138" t="s">
        <v>41</v>
      </c>
      <c r="D459" s="356" t="s">
        <v>1070</v>
      </c>
      <c r="E459" s="253"/>
      <c r="F459" s="252"/>
      <c r="G459" s="252"/>
      <c r="H459" s="252"/>
      <c r="I459" s="252"/>
      <c r="J459" s="252"/>
      <c r="K459" s="252"/>
      <c r="L459" s="252"/>
      <c r="M459" s="252"/>
      <c r="N459" s="252"/>
      <c r="O459" s="252"/>
      <c r="P459" s="252"/>
      <c r="Q459" s="252"/>
      <c r="R459" s="252"/>
      <c r="S459" s="252"/>
      <c r="T459" s="138"/>
      <c r="U459" s="119"/>
      <c r="V459" s="126"/>
    </row>
    <row r="460" spans="2:25" s="121" customFormat="1">
      <c r="B460" s="365">
        <v>5</v>
      </c>
      <c r="C460" s="138" t="s">
        <v>42</v>
      </c>
      <c r="D460" s="356" t="s">
        <v>1070</v>
      </c>
      <c r="E460" s="253"/>
      <c r="F460" s="252"/>
      <c r="G460" s="252"/>
      <c r="H460" s="252"/>
      <c r="I460" s="252"/>
      <c r="J460" s="252"/>
      <c r="K460" s="252"/>
      <c r="L460" s="252"/>
      <c r="M460" s="252"/>
      <c r="N460" s="252"/>
      <c r="O460" s="252"/>
      <c r="P460" s="252"/>
      <c r="Q460" s="252"/>
      <c r="R460" s="252"/>
      <c r="S460" s="252"/>
      <c r="T460" s="138"/>
      <c r="U460" s="119"/>
      <c r="V460" s="126"/>
    </row>
    <row r="461" spans="2:25" s="121" customFormat="1">
      <c r="B461" s="365">
        <v>6</v>
      </c>
      <c r="C461" s="138" t="s">
        <v>43</v>
      </c>
      <c r="D461" s="356" t="s">
        <v>1070</v>
      </c>
      <c r="E461" s="253"/>
      <c r="F461" s="252"/>
      <c r="G461" s="252"/>
      <c r="H461" s="252"/>
      <c r="I461" s="252"/>
      <c r="J461" s="252"/>
      <c r="K461" s="252"/>
      <c r="L461" s="252"/>
      <c r="M461" s="252"/>
      <c r="N461" s="252"/>
      <c r="O461" s="252"/>
      <c r="P461" s="252"/>
      <c r="Q461" s="252"/>
      <c r="R461" s="252"/>
      <c r="S461" s="252"/>
      <c r="T461" s="138"/>
      <c r="U461" s="119"/>
      <c r="V461" s="126"/>
    </row>
    <row r="462" spans="2:25" s="121" customFormat="1">
      <c r="B462" s="365">
        <v>7</v>
      </c>
      <c r="C462" s="138" t="s">
        <v>44</v>
      </c>
      <c r="D462" s="356" t="s">
        <v>1070</v>
      </c>
      <c r="E462" s="253"/>
      <c r="F462" s="252"/>
      <c r="G462" s="252"/>
      <c r="H462" s="252"/>
      <c r="I462" s="252"/>
      <c r="J462" s="252"/>
      <c r="K462" s="252"/>
      <c r="L462" s="252"/>
      <c r="M462" s="252"/>
      <c r="N462" s="252"/>
      <c r="O462" s="252"/>
      <c r="P462" s="252"/>
      <c r="Q462" s="252"/>
      <c r="R462" s="252"/>
      <c r="S462" s="252"/>
      <c r="T462" s="138"/>
      <c r="U462" s="119"/>
      <c r="V462" s="126"/>
    </row>
    <row r="463" spans="2:25" s="121" customFormat="1">
      <c r="B463" s="365">
        <v>8</v>
      </c>
      <c r="C463" s="138" t="s">
        <v>45</v>
      </c>
      <c r="D463" s="356" t="s">
        <v>1070</v>
      </c>
      <c r="E463" s="253"/>
      <c r="F463" s="252"/>
      <c r="G463" s="252"/>
      <c r="H463" s="252"/>
      <c r="I463" s="252"/>
      <c r="J463" s="252"/>
      <c r="K463" s="252"/>
      <c r="L463" s="252"/>
      <c r="M463" s="252"/>
      <c r="N463" s="252"/>
      <c r="O463" s="252"/>
      <c r="P463" s="252"/>
      <c r="Q463" s="252"/>
      <c r="R463" s="252"/>
      <c r="S463" s="252"/>
      <c r="T463" s="138"/>
      <c r="U463" s="119"/>
      <c r="V463" s="126"/>
    </row>
    <row r="464" spans="2:25" s="121" customFormat="1">
      <c r="B464" s="365">
        <v>9</v>
      </c>
      <c r="C464" s="138" t="s">
        <v>46</v>
      </c>
      <c r="D464" s="356" t="s">
        <v>1070</v>
      </c>
      <c r="E464" s="253"/>
      <c r="F464" s="252"/>
      <c r="G464" s="252"/>
      <c r="H464" s="252"/>
      <c r="I464" s="252"/>
      <c r="J464" s="252"/>
      <c r="K464" s="252"/>
      <c r="L464" s="252"/>
      <c r="M464" s="252"/>
      <c r="N464" s="252"/>
      <c r="O464" s="252"/>
      <c r="P464" s="252"/>
      <c r="Q464" s="252"/>
      <c r="R464" s="252"/>
      <c r="S464" s="252"/>
      <c r="T464" s="138"/>
      <c r="U464" s="119"/>
      <c r="V464" s="126"/>
    </row>
    <row r="465" spans="2:22" s="121" customFormat="1">
      <c r="B465" s="365">
        <v>10</v>
      </c>
      <c r="C465" s="138" t="s">
        <v>47</v>
      </c>
      <c r="D465" s="356" t="s">
        <v>1070</v>
      </c>
      <c r="E465" s="253"/>
      <c r="F465" s="252"/>
      <c r="G465" s="252"/>
      <c r="H465" s="252"/>
      <c r="I465" s="252"/>
      <c r="J465" s="252"/>
      <c r="K465" s="252"/>
      <c r="L465" s="252"/>
      <c r="M465" s="252"/>
      <c r="N465" s="252"/>
      <c r="O465" s="252"/>
      <c r="P465" s="252"/>
      <c r="Q465" s="252"/>
      <c r="R465" s="252"/>
      <c r="S465" s="252"/>
      <c r="T465" s="138"/>
      <c r="U465" s="119"/>
      <c r="V465" s="126"/>
    </row>
    <row r="466" spans="2:22" s="121" customFormat="1">
      <c r="B466" s="375">
        <v>11</v>
      </c>
      <c r="C466" s="376" t="s">
        <v>48</v>
      </c>
      <c r="D466" s="357" t="s">
        <v>1070</v>
      </c>
      <c r="E466" s="450"/>
      <c r="F466" s="378"/>
      <c r="G466" s="378"/>
      <c r="H466" s="378"/>
      <c r="I466" s="378"/>
      <c r="J466" s="378"/>
      <c r="K466" s="378"/>
      <c r="L466" s="378"/>
      <c r="M466" s="378"/>
      <c r="N466" s="378"/>
      <c r="O466" s="378"/>
      <c r="P466" s="378"/>
      <c r="Q466" s="378"/>
      <c r="R466" s="378"/>
      <c r="S466" s="378"/>
      <c r="T466" s="376"/>
      <c r="U466" s="119"/>
      <c r="V466" s="126"/>
    </row>
    <row r="467" spans="2:22" s="121" customFormat="1">
      <c r="B467" s="135"/>
      <c r="D467" s="136"/>
      <c r="E467" s="137"/>
      <c r="U467" s="119"/>
      <c r="V467" s="126"/>
    </row>
    <row r="468" spans="2:22" s="121" customFormat="1">
      <c r="B468" s="135"/>
      <c r="D468" s="136"/>
      <c r="E468" s="137"/>
      <c r="U468" s="119"/>
      <c r="V468" s="126"/>
    </row>
    <row r="469" spans="2:22" s="121" customFormat="1">
      <c r="B469" s="135"/>
      <c r="C469" s="379" t="s">
        <v>1008</v>
      </c>
      <c r="D469" s="434"/>
      <c r="E469" s="381" t="e">
        <f t="shared" ref="E469:T469" ca="1" si="560">D25-D6-(E25-E6)</f>
        <v>#VALUE!</v>
      </c>
      <c r="F469" s="381" t="e">
        <f t="shared" ca="1" si="560"/>
        <v>#VALUE!</v>
      </c>
      <c r="G469" s="381" t="e">
        <f t="shared" ca="1" si="560"/>
        <v>#VALUE!</v>
      </c>
      <c r="H469" s="381" t="e">
        <f t="shared" ca="1" si="560"/>
        <v>#VALUE!</v>
      </c>
      <c r="I469" s="381" t="e">
        <f t="shared" ca="1" si="560"/>
        <v>#VALUE!</v>
      </c>
      <c r="J469" s="381" t="e">
        <f t="shared" ca="1" si="560"/>
        <v>#VALUE!</v>
      </c>
      <c r="K469" s="381" t="e">
        <f t="shared" ca="1" si="560"/>
        <v>#VALUE!</v>
      </c>
      <c r="L469" s="381" t="e">
        <f t="shared" ca="1" si="560"/>
        <v>#VALUE!</v>
      </c>
      <c r="M469" s="381" t="e">
        <f t="shared" ca="1" si="560"/>
        <v>#VALUE!</v>
      </c>
      <c r="N469" s="381" t="e">
        <f t="shared" ca="1" si="560"/>
        <v>#VALUE!</v>
      </c>
      <c r="O469" s="381" t="e">
        <f t="shared" ca="1" si="560"/>
        <v>#VALUE!</v>
      </c>
      <c r="P469" s="381" t="e">
        <f t="shared" ca="1" si="560"/>
        <v>#VALUE!</v>
      </c>
      <c r="Q469" s="381" t="e">
        <f t="shared" ca="1" si="560"/>
        <v>#VALUE!</v>
      </c>
      <c r="R469" s="381" t="e">
        <f t="shared" ca="1" si="560"/>
        <v>#VALUE!</v>
      </c>
      <c r="S469" s="381" t="e">
        <f t="shared" ca="1" si="560"/>
        <v>#VALUE!</v>
      </c>
      <c r="T469" s="382" t="e">
        <f t="shared" ca="1" si="560"/>
        <v>#VALUE!</v>
      </c>
      <c r="U469" s="119"/>
      <c r="V469" s="383" t="s">
        <v>1008</v>
      </c>
    </row>
    <row r="470" spans="2:22" s="121" customFormat="1">
      <c r="B470" s="135"/>
      <c r="D470" s="136"/>
      <c r="E470" s="137"/>
      <c r="U470" s="119"/>
      <c r="V470" s="463">
        <v>9712.8283073799994</v>
      </c>
    </row>
    <row r="471" spans="2:22" s="121" customFormat="1">
      <c r="B471" s="135"/>
      <c r="C471" s="384" t="s">
        <v>1054</v>
      </c>
      <c r="D471" s="385"/>
      <c r="E471" s="386">
        <f ca="1">D73-E73+E441-E445</f>
        <v>2574.5299219832159</v>
      </c>
      <c r="F471" s="387">
        <f t="shared" ref="F471:T471" ca="1" si="561">E73-F73+F441</f>
        <v>14741.56978749462</v>
      </c>
      <c r="G471" s="387">
        <f t="shared" ca="1" si="561"/>
        <v>509.38004760745395</v>
      </c>
      <c r="H471" s="387">
        <f t="shared" ca="1" si="561"/>
        <v>507.97516652842756</v>
      </c>
      <c r="I471" s="387">
        <f t="shared" ca="1" si="561"/>
        <v>501.45681265936588</v>
      </c>
      <c r="J471" s="387">
        <f t="shared" ca="1" si="561"/>
        <v>501.45681265936588</v>
      </c>
      <c r="K471" s="387">
        <f t="shared" ca="1" si="561"/>
        <v>550.25219259052392</v>
      </c>
      <c r="L471" s="387">
        <f t="shared" ca="1" si="561"/>
        <v>432.94613717730999</v>
      </c>
      <c r="M471" s="387">
        <f t="shared" ca="1" si="561"/>
        <v>497.69294587098875</v>
      </c>
      <c r="N471" s="387">
        <f t="shared" ca="1" si="561"/>
        <v>451.29448816435206</v>
      </c>
      <c r="O471" s="387">
        <f t="shared" ca="1" si="561"/>
        <v>429.02433493249873</v>
      </c>
      <c r="P471" s="387">
        <f t="shared" ca="1" si="561"/>
        <v>428.86859691551535</v>
      </c>
      <c r="Q471" s="387">
        <f t="shared" ca="1" si="561"/>
        <v>428.86859691550808</v>
      </c>
      <c r="R471" s="387">
        <f t="shared" ca="1" si="561"/>
        <v>464.54762998513206</v>
      </c>
      <c r="S471" s="387">
        <f t="shared" ca="1" si="561"/>
        <v>3342.7098759890455</v>
      </c>
      <c r="T471" s="388">
        <f t="shared" ca="1" si="561"/>
        <v>2033.2281338738778</v>
      </c>
      <c r="U471" s="119"/>
      <c r="V471" s="383" t="s">
        <v>1007</v>
      </c>
    </row>
    <row r="472" spans="2:22" s="121" customFormat="1">
      <c r="B472" s="135"/>
      <c r="D472" s="136"/>
      <c r="E472" s="137"/>
      <c r="U472" s="119"/>
      <c r="V472" s="464">
        <v>-61745.895628151149</v>
      </c>
    </row>
    <row r="473" spans="2:22" s="121" customFormat="1">
      <c r="B473" s="135"/>
      <c r="C473" s="389" t="s">
        <v>1035</v>
      </c>
      <c r="D473" s="435"/>
      <c r="E473" s="391" t="e">
        <f t="shared" ref="E473:T473" ca="1" si="562">E469-E471</f>
        <v>#VALUE!</v>
      </c>
      <c r="F473" s="391" t="e">
        <f t="shared" ca="1" si="562"/>
        <v>#VALUE!</v>
      </c>
      <c r="G473" s="391" t="e">
        <f t="shared" ca="1" si="562"/>
        <v>#VALUE!</v>
      </c>
      <c r="H473" s="391" t="e">
        <f t="shared" ca="1" si="562"/>
        <v>#VALUE!</v>
      </c>
      <c r="I473" s="391" t="e">
        <f t="shared" ca="1" si="562"/>
        <v>#VALUE!</v>
      </c>
      <c r="J473" s="391" t="e">
        <f t="shared" ca="1" si="562"/>
        <v>#VALUE!</v>
      </c>
      <c r="K473" s="391" t="e">
        <f t="shared" ca="1" si="562"/>
        <v>#VALUE!</v>
      </c>
      <c r="L473" s="391" t="e">
        <f t="shared" ca="1" si="562"/>
        <v>#VALUE!</v>
      </c>
      <c r="M473" s="391" t="e">
        <f t="shared" ca="1" si="562"/>
        <v>#VALUE!</v>
      </c>
      <c r="N473" s="391" t="e">
        <f t="shared" ca="1" si="562"/>
        <v>#VALUE!</v>
      </c>
      <c r="O473" s="391" t="e">
        <f t="shared" ca="1" si="562"/>
        <v>#VALUE!</v>
      </c>
      <c r="P473" s="391" t="e">
        <f t="shared" ca="1" si="562"/>
        <v>#VALUE!</v>
      </c>
      <c r="Q473" s="391" t="e">
        <f t="shared" ca="1" si="562"/>
        <v>#VALUE!</v>
      </c>
      <c r="R473" s="391" t="e">
        <f t="shared" ca="1" si="562"/>
        <v>#VALUE!</v>
      </c>
      <c r="S473" s="391" t="e">
        <f t="shared" ca="1" si="562"/>
        <v>#VALUE!</v>
      </c>
      <c r="T473" s="392" t="e">
        <f t="shared" ca="1" si="562"/>
        <v>#VALUE!</v>
      </c>
      <c r="U473" s="119"/>
      <c r="V473" s="383" t="s">
        <v>1052</v>
      </c>
    </row>
    <row r="474" spans="2:22">
      <c r="V474" s="465">
        <v>-52033.067320771166</v>
      </c>
    </row>
    <row r="484" spans="11:11">
      <c r="K484" s="101"/>
    </row>
  </sheetData>
  <autoFilter ref="B1:B484"/>
  <mergeCells count="3">
    <mergeCell ref="B3:B4"/>
    <mergeCell ref="C3:C4"/>
    <mergeCell ref="V3:V4"/>
  </mergeCells>
  <pageMargins left="0.7" right="0.7" top="0.75" bottom="0.75" header="0.3" footer="0.3"/>
  <pageSetup scale="34" fitToHeight="0"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
  <sheetViews>
    <sheetView workbookViewId="0">
      <selection sqref="A1:B1"/>
    </sheetView>
  </sheetViews>
  <sheetFormatPr defaultRowHeight="14.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1"/>
  </sheetPr>
  <dimension ref="A1"/>
  <sheetViews>
    <sheetView workbookViewId="0">
      <selection sqref="A1:B1"/>
    </sheetView>
  </sheetViews>
  <sheetFormatPr defaultRowHeight="14.2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pageSetUpPr fitToPage="1"/>
  </sheetPr>
  <dimension ref="A1:G92"/>
  <sheetViews>
    <sheetView workbookViewId="0">
      <selection activeCell="B17" sqref="B17"/>
    </sheetView>
  </sheetViews>
  <sheetFormatPr defaultColWidth="8" defaultRowHeight="15"/>
  <cols>
    <col min="1" max="1" width="13.625" style="721" customWidth="1"/>
    <col min="2" max="2" width="65.5" style="748" bestFit="1" customWidth="1"/>
    <col min="3" max="3" width="13.625" style="721" bestFit="1" customWidth="1"/>
    <col min="4" max="4" width="14.75" style="721" customWidth="1"/>
    <col min="5" max="6" width="14.625" style="721" customWidth="1"/>
    <col min="7" max="7" width="14.625" customWidth="1"/>
    <col min="8" max="16384" width="8" style="721"/>
  </cols>
  <sheetData>
    <row r="1" spans="1:7" ht="20.25">
      <c r="B1" s="730"/>
      <c r="C1" s="730"/>
      <c r="D1" s="730"/>
      <c r="E1" s="730"/>
      <c r="F1" s="730"/>
    </row>
    <row r="2" spans="1:7">
      <c r="C2" s="724"/>
    </row>
    <row r="3" spans="1:7" ht="38.25" customHeight="1" thickBot="1">
      <c r="B3" s="949"/>
      <c r="C3" s="756">
        <f ca="1">C5-F63</f>
        <v>10310.937339481858</v>
      </c>
      <c r="D3" s="756"/>
      <c r="E3" s="731"/>
      <c r="F3" s="731"/>
    </row>
    <row r="4" spans="1:7" s="728" customFormat="1" ht="49.5" customHeight="1">
      <c r="B4" s="749" t="s">
        <v>1341</v>
      </c>
      <c r="C4" s="729" t="s">
        <v>1394</v>
      </c>
      <c r="D4" s="729" t="s">
        <v>1407</v>
      </c>
      <c r="E4" s="736" t="s">
        <v>1403</v>
      </c>
      <c r="F4" s="729" t="s">
        <v>1404</v>
      </c>
      <c r="G4"/>
    </row>
    <row r="5" spans="1:7" ht="16.5" customHeight="1">
      <c r="A5" s="721">
        <v>1</v>
      </c>
      <c r="B5" s="750" t="s">
        <v>1400</v>
      </c>
      <c r="C5" s="733">
        <f>SUMIFS('Model Report Formatized'!$N:$N,'Model Report Formatized'!$X:$X,$A5)</f>
        <v>32995.072847883108</v>
      </c>
      <c r="D5" s="733">
        <f ca="1">SUMIFS('Model Report Formatized'!$O:$O,'Model Report Formatized'!$X:$X,$A5)</f>
        <v>10310.937339481861</v>
      </c>
      <c r="E5" s="737">
        <f>'Stress testing Buffer'!C5</f>
        <v>0.45454398452447636</v>
      </c>
      <c r="F5" s="733">
        <f ca="1">SUMIFS('Model Report Formatized'!$P:$P,'Model Report Formatized'!$X:$X,$A5)</f>
        <v>22684.135508401247</v>
      </c>
    </row>
    <row r="6" spans="1:7" ht="16.5" customHeight="1">
      <c r="A6" s="721">
        <v>99</v>
      </c>
      <c r="B6" s="721"/>
      <c r="C6" s="733">
        <f>SUMIFS('Model Report Formatized'!$N:$N,'Model Report Formatized'!$X:$X,$A6)</f>
        <v>0</v>
      </c>
      <c r="F6" s="733">
        <f ca="1">IF('Model Report Formatized'!E2='Stress testing Buffer'!C2,'Model Report Formatized'!P6,25000)</f>
        <v>22684.135508401247</v>
      </c>
      <c r="G6" s="721"/>
    </row>
    <row r="7" spans="1:7" ht="16.5" customHeight="1">
      <c r="B7" s="750"/>
      <c r="C7" s="733"/>
      <c r="D7" s="733"/>
      <c r="E7" s="737"/>
      <c r="F7" s="733"/>
    </row>
    <row r="8" spans="1:7" ht="16.5" customHeight="1">
      <c r="A8" s="721">
        <v>5</v>
      </c>
      <c r="B8" s="750" t="s">
        <v>1273</v>
      </c>
      <c r="C8" s="733">
        <f>SUMIFS('Model Report Formatized'!$N:$N,'Model Report Formatized'!$X:$X,$A8)</f>
        <v>0</v>
      </c>
      <c r="D8" s="733">
        <f ca="1">SUMIFS('Model Report Formatized'!$O:$O,'Model Report Formatized'!$X:$X,$A8)</f>
        <v>0</v>
      </c>
      <c r="E8" s="737">
        <f ca="1">INDEX('Model Report Formatized'!$F:$F,MATCH($A8,'Model Report Formatized'!$X:$X,0))</f>
        <v>1</v>
      </c>
      <c r="F8" s="732">
        <f ca="1">-SUMIFS('Model Report Formatized'!$P:$P,'Model Report Formatized'!$X:$X,$A8)</f>
        <v>0</v>
      </c>
    </row>
    <row r="9" spans="1:7" ht="16.5" customHeight="1">
      <c r="A9" s="721">
        <v>11</v>
      </c>
      <c r="B9" s="750" t="s">
        <v>1392</v>
      </c>
      <c r="C9" s="733">
        <f>SUMIFS('Model Report Formatized'!$N:$N,'Model Report Formatized'!$X:$X,$A9)</f>
        <v>2175.6707057700041</v>
      </c>
      <c r="D9" s="733">
        <f ca="1">SUMIFS('Model Report Formatized'!$O:$O,'Model Report Formatized'!$X:$X,$A9)</f>
        <v>1775.3472959083233</v>
      </c>
      <c r="E9" s="737">
        <f ca="1">INDEX('Model Report Formatized'!$F:$F,MATCH($A9,'Model Report Formatized'!$X:$X,0))</f>
        <v>0.18400000000000016</v>
      </c>
      <c r="F9" s="732">
        <f ca="1">-SUMIFS('Model Report Formatized'!$P:$P,'Model Report Formatized'!$X:$X,$A9)</f>
        <v>-400.32340986168094</v>
      </c>
    </row>
    <row r="10" spans="1:7" ht="16.5" customHeight="1">
      <c r="A10" s="721" t="s">
        <v>1321</v>
      </c>
      <c r="B10" s="750" t="s">
        <v>1330</v>
      </c>
      <c r="C10" s="733">
        <f>SUMIFS('Model Report Formatized'!$N:$N,'Model Report Formatized'!$X:$X,$A10)</f>
        <v>500.91083754000005</v>
      </c>
      <c r="D10" s="733">
        <f ca="1">SUMIFS('Model Report Formatized'!$O:$O,'Model Report Formatized'!$X:$X,$A10)</f>
        <v>300.54650252400006</v>
      </c>
      <c r="E10" s="737">
        <f ca="1">INDEX('Model Report Formatized'!$F:$F,MATCH($A10,'Model Report Formatized'!$X:$X,0))</f>
        <v>0.39999999999999991</v>
      </c>
      <c r="F10" s="732">
        <f ca="1">-SUMIFS('Model Report Formatized'!$P:$P,'Model Report Formatized'!$X:$X,$A10)</f>
        <v>-200.36433501599998</v>
      </c>
    </row>
    <row r="11" spans="1:7" ht="16.5" customHeight="1">
      <c r="A11" s="721" t="s">
        <v>1322</v>
      </c>
      <c r="B11" s="750" t="s">
        <v>1332</v>
      </c>
      <c r="C11" s="733">
        <f>SUMIFS('Model Report Formatized'!$N:$N,'Model Report Formatized'!$X:$X,$A11)</f>
        <v>5144.4813025600006</v>
      </c>
      <c r="D11" s="733">
        <f ca="1">SUMIFS('Model Report Formatized'!$O:$O,'Model Report Formatized'!$X:$X,$A11)</f>
        <v>3251.3121832179199</v>
      </c>
      <c r="E11" s="737">
        <f ca="1">INDEX('Model Report Formatized'!$F:$F,MATCH($A11,'Model Report Formatized'!$X:$X,0))</f>
        <v>0.36800000000000033</v>
      </c>
      <c r="F11" s="732">
        <f ca="1">-SUMIFS('Model Report Formatized'!$P:$P,'Model Report Formatized'!$X:$X,$A11)</f>
        <v>-1893.1691193420806</v>
      </c>
    </row>
    <row r="12" spans="1:7" ht="16.5" customHeight="1">
      <c r="A12" s="721" t="s">
        <v>1398</v>
      </c>
      <c r="B12" s="750" t="s">
        <v>1333</v>
      </c>
      <c r="C12" s="733">
        <f>SUMIFS('Model Report Formatized'!$N:$N,'Model Report Formatized'!$X:$X,$A12)</f>
        <v>4707.2802759200003</v>
      </c>
      <c r="D12" s="733">
        <f ca="1">SUMIFS('Model Report Formatized'!$O:$O,'Model Report Formatized'!$X:$X,$A12)</f>
        <v>2975.0011343814404</v>
      </c>
      <c r="E12" s="737">
        <f ca="1">INDEX('Model Report Formatized'!$F:$F,MATCH($A12,'Model Report Formatized'!$X:$X,0))</f>
        <v>0.36800000000000033</v>
      </c>
      <c r="F12" s="732">
        <f ca="1">-SUMIFS('Model Report Formatized'!$P:$P,'Model Report Formatized'!$X:$X,$A12)</f>
        <v>-1732.27914153856</v>
      </c>
    </row>
    <row r="13" spans="1:7" ht="16.5" customHeight="1">
      <c r="A13" s="721" t="s">
        <v>1399</v>
      </c>
      <c r="B13" s="750" t="s">
        <v>1334</v>
      </c>
      <c r="C13" s="733">
        <f>SUMIFS('Model Report Formatized'!$N:$N,'Model Report Formatized'!$X:$X,$A13)</f>
        <v>93.106070770000002</v>
      </c>
      <c r="D13" s="733">
        <f ca="1">SUMIFS('Model Report Formatized'!$O:$O,'Model Report Formatized'!$X:$X,$A13)</f>
        <v>75.974553748320005</v>
      </c>
      <c r="E13" s="737">
        <f ca="1">INDEX('Model Report Formatized'!$F:$F,MATCH($A13,'Model Report Formatized'!$X:$X,0))</f>
        <v>0.18400000000000016</v>
      </c>
      <c r="F13" s="732">
        <f ca="1">-SUMIFS('Model Report Formatized'!$P:$P,'Model Report Formatized'!$X:$X,$A13)</f>
        <v>-17.131517021679997</v>
      </c>
    </row>
    <row r="14" spans="1:7" ht="16.5" customHeight="1">
      <c r="A14" s="721" t="s">
        <v>2772</v>
      </c>
      <c r="B14" s="750" t="s">
        <v>2767</v>
      </c>
      <c r="C14" s="733">
        <f>SUMIFS('Model Report Formatized'!$N:$N,'Model Report Formatized'!$X:$X,$A14)</f>
        <v>16.90850859</v>
      </c>
      <c r="D14" s="733">
        <f ca="1">SUMIFS('Model Report Formatized'!$O:$O,'Model Report Formatized'!$X:$X,$A14)</f>
        <v>13.79734300944</v>
      </c>
      <c r="E14" s="737">
        <f ca="1">INDEX('Model Report Formatized'!$F:$F,MATCH($A14,'Model Report Formatized'!$X:$X,0))</f>
        <v>0.18400000000000016</v>
      </c>
      <c r="F14" s="732">
        <f ca="1">-SUMIFS('Model Report Formatized'!$P:$P,'Model Report Formatized'!$X:$X,$A14)</f>
        <v>-3.1111655805599998</v>
      </c>
    </row>
    <row r="15" spans="1:7" ht="16.5" customHeight="1">
      <c r="A15" s="721" t="s">
        <v>2800</v>
      </c>
      <c r="B15" s="750" t="s">
        <v>2799</v>
      </c>
      <c r="C15" s="733">
        <f>SUMIFS('Model Report Formatized'!$N:$N,'Model Report Formatized'!$X:$X,$A15)</f>
        <v>378.11120232999997</v>
      </c>
      <c r="D15" s="733">
        <f ca="1">SUMIFS('Model Report Formatized'!$O:$O,'Model Report Formatized'!$X:$X,$A15)</f>
        <v>303.0999228832942</v>
      </c>
      <c r="E15" s="737">
        <f ca="1">INDEX('Model Report Formatized'!$F:$F,MATCH($A15,'Model Report Formatized'!$X:$X,0))</f>
        <v>0.19838417635994554</v>
      </c>
      <c r="F15" s="732">
        <f ca="1">-SUMIFS('Model Report Formatized'!$P:$P,'Model Report Formatized'!$X:$X,$A15)</f>
        <v>-75.011279446705771</v>
      </c>
    </row>
    <row r="16" spans="1:7" ht="16.5" customHeight="1">
      <c r="A16" s="721" t="s">
        <v>1397</v>
      </c>
      <c r="B16" s="750" t="s">
        <v>1328</v>
      </c>
      <c r="C16" s="733">
        <f>SUMIFS('Model Report Formatized'!$N:$N,'Model Report Formatized'!$X:$X,$A16)</f>
        <v>5.7349952499999999</v>
      </c>
      <c r="D16" s="733">
        <f ca="1">SUMIFS('Model Report Formatized'!$O:$O,'Model Report Formatized'!$X:$X,$A16)</f>
        <v>4.6797561239999999</v>
      </c>
      <c r="E16" s="737">
        <f ca="1">INDEX('Model Report Formatized'!$F:$F,MATCH($A16,'Model Report Formatized'!$X:$X,0))</f>
        <v>0.18400000000000016</v>
      </c>
      <c r="F16" s="732">
        <f ca="1">-SUMIFS('Model Report Formatized'!$P:$P,'Model Report Formatized'!$X:$X,$A16)</f>
        <v>-1.055239126</v>
      </c>
    </row>
    <row r="17" spans="1:7" ht="16.5" customHeight="1">
      <c r="A17" s="721" t="s">
        <v>1448</v>
      </c>
      <c r="B17" s="750" t="s">
        <v>1447</v>
      </c>
      <c r="C17" s="733">
        <f>SUMIFS('Model Report Formatized'!$N:$N,'Model Report Formatized'!$X:$X,$A17)</f>
        <v>159.46774133000002</v>
      </c>
      <c r="D17" s="733">
        <f ca="1">SUMIFS('Model Report Formatized'!$O:$O,'Model Report Formatized'!$X:$X,$A17)</f>
        <v>130.12567692528</v>
      </c>
      <c r="E17" s="737">
        <f ca="1">INDEX('Model Report Formatized'!$F:$F,MATCH($A17,'Model Report Formatized'!$X:$X,0))</f>
        <v>0.18400000000000016</v>
      </c>
      <c r="F17" s="732">
        <f ca="1">-SUMIFS('Model Report Formatized'!$P:$P,'Model Report Formatized'!$X:$X,$A17)</f>
        <v>-29.34206440472002</v>
      </c>
    </row>
    <row r="18" spans="1:7" ht="16.5" customHeight="1">
      <c r="B18" s="750"/>
      <c r="C18" s="733"/>
      <c r="D18" s="733"/>
      <c r="E18" s="737"/>
      <c r="F18" s="732"/>
    </row>
    <row r="19" spans="1:7" ht="16.5" customHeight="1">
      <c r="B19" s="750"/>
      <c r="C19" s="733"/>
      <c r="D19" s="733"/>
      <c r="E19" s="737"/>
      <c r="F19" s="732"/>
    </row>
    <row r="20" spans="1:7" ht="16.5" customHeight="1">
      <c r="A20" s="721">
        <v>6</v>
      </c>
      <c r="B20" s="750" t="s">
        <v>1274</v>
      </c>
      <c r="C20" s="733">
        <f>SUMIFS('Model Report Formatized'!$N:$N,'Model Report Formatized'!$X:$X,$A20)</f>
        <v>2649.5570429800018</v>
      </c>
      <c r="D20" s="733">
        <f ca="1">SUMIFS('Model Report Formatized'!$O:$O,'Model Report Formatized'!$X:$X,$A20)</f>
        <v>2177.0035808830398</v>
      </c>
      <c r="E20" s="737">
        <v>0.108</v>
      </c>
      <c r="F20" s="732">
        <f ca="1">-SUMIFS('Model Report Formatized'!$P:$P,'Model Report Formatized'!$X:$X,$A20)</f>
        <v>-472.55346209696199</v>
      </c>
    </row>
    <row r="21" spans="1:7" ht="16.5" customHeight="1">
      <c r="A21" s="721">
        <v>13</v>
      </c>
      <c r="B21" s="750" t="s">
        <v>1391</v>
      </c>
      <c r="C21" s="733">
        <f>SUMIFS('Model Report Formatized'!$N:$N,'Model Report Formatized'!$X:$X,$A21)</f>
        <v>2583.6036079000005</v>
      </c>
      <c r="D21" s="733">
        <f ca="1">SUMIFS('Model Report Formatized'!$O:$O,'Model Report Formatized'!$X:$X,$A21)</f>
        <v>2335.5776615416003</v>
      </c>
      <c r="E21" s="737">
        <f ca="1">INDEX('Model Report Formatized'!$F:$F,MATCH($A21,'Model Report Formatized'!$X:$X,0))</f>
        <v>9.600000000000003E-2</v>
      </c>
      <c r="F21" s="732">
        <f ca="1">-SUMIFS('Model Report Formatized'!$P:$P,'Model Report Formatized'!$X:$X,$A21)</f>
        <v>-248.02594635840023</v>
      </c>
    </row>
    <row r="22" spans="1:7" ht="16.5" customHeight="1">
      <c r="A22" s="721" t="s">
        <v>1320</v>
      </c>
      <c r="B22" s="750" t="s">
        <v>1329</v>
      </c>
      <c r="C22" s="733">
        <f>SUMIFS('Model Report Formatized'!$N:$N,'Model Report Formatized'!$X:$X,$A22)</f>
        <v>1201.8187905699999</v>
      </c>
      <c r="D22" s="733">
        <f ca="1">SUMIFS('Model Report Formatized'!$O:$O,'Model Report Formatized'!$X:$X,$A22)</f>
        <v>660.36190972016277</v>
      </c>
      <c r="E22" s="737">
        <f ca="1">INDEX('Model Report Formatized'!$F:$F,MATCH($A22,'Model Report Formatized'!$X:$X,0))</f>
        <v>0.45053121576925453</v>
      </c>
      <c r="F22" s="732">
        <f ca="1">-SUMIFS('Model Report Formatized'!$P:$P,'Model Report Formatized'!$X:$X,$A22)</f>
        <v>-541.45688084983715</v>
      </c>
    </row>
    <row r="23" spans="1:7" ht="16.5" customHeight="1">
      <c r="A23" s="721" t="s">
        <v>1326</v>
      </c>
      <c r="B23" s="750" t="s">
        <v>1336</v>
      </c>
      <c r="C23" s="733">
        <f>SUMIFS('Model Report Formatized'!$N:$N,'Model Report Formatized'!$X:$X,$A23)</f>
        <v>0</v>
      </c>
      <c r="D23" s="733">
        <f ca="1">SUMIFS('Model Report Formatized'!$O:$O,'Model Report Formatized'!$X:$X,$A23)</f>
        <v>0</v>
      </c>
      <c r="E23" s="737">
        <f ca="1">INDEX('Model Report Formatized'!$F:$F,MATCH($A23,'Model Report Formatized'!$X:$X,0))</f>
        <v>9.600000000000003E-2</v>
      </c>
      <c r="F23" s="732">
        <f ca="1">-SUMIFS('Model Report Formatized'!$P:$P,'Model Report Formatized'!$X:$X,$A23)</f>
        <v>0</v>
      </c>
    </row>
    <row r="24" spans="1:7" ht="16.5" customHeight="1">
      <c r="A24" s="721" t="s">
        <v>1443</v>
      </c>
      <c r="B24" s="750" t="s">
        <v>1450</v>
      </c>
      <c r="C24" s="733">
        <f>SUMIFS('Model Report Formatized'!$N:$N,'Model Report Formatized'!$X:$X,$A24)</f>
        <v>0</v>
      </c>
      <c r="D24" s="733">
        <f ca="1">SUMIFS('Model Report Formatized'!$O:$O,'Model Report Formatized'!$X:$X,$A24)</f>
        <v>0</v>
      </c>
      <c r="E24" s="737">
        <f ca="1">INDEX('Model Report Formatized'!$F:$F,MATCH($A24,'Model Report Formatized'!$X:$X,0))</f>
        <v>9.600000000000003E-2</v>
      </c>
      <c r="F24" s="732">
        <f ca="1">-SUMIFS('Model Report Formatized'!$P:$P,'Model Report Formatized'!$X:$X,$A24)</f>
        <v>0</v>
      </c>
    </row>
    <row r="25" spans="1:7" ht="16.5" customHeight="1">
      <c r="A25" s="721" t="s">
        <v>2809</v>
      </c>
      <c r="B25" s="750" t="s">
        <v>2802</v>
      </c>
      <c r="C25" s="733">
        <f>SUMIFS('Model Report Formatized'!$N:$N,'Model Report Formatized'!$X:$X,$A25)</f>
        <v>1101.9382160099999</v>
      </c>
      <c r="D25" s="733">
        <f ca="1">SUMIFS('Model Report Formatized'!$O:$O,'Model Report Formatized'!$X:$X,$A25)</f>
        <v>822.29102797236953</v>
      </c>
      <c r="E25" s="737">
        <f ca="1">INDEX('Model Report Formatized'!$F:$F,MATCH($A25,'Model Report Formatized'!$X:$X,0))</f>
        <v>0.25377755664941259</v>
      </c>
      <c r="F25" s="732">
        <f ca="1">-SUMIFS('Model Report Formatized'!$P:$P,'Model Report Formatized'!$X:$X,$A25)</f>
        <v>-279.64718803763037</v>
      </c>
    </row>
    <row r="26" spans="1:7" ht="16.5" customHeight="1">
      <c r="A26" s="721" t="s">
        <v>1339</v>
      </c>
      <c r="B26" s="750" t="s">
        <v>1338</v>
      </c>
      <c r="C26" s="733">
        <f>SUMIFS('Model Report Formatized'!$N:$N,'Model Report Formatized'!$X:$X,$A26)</f>
        <v>147.44580615999999</v>
      </c>
      <c r="D26" s="733">
        <f ca="1">SUMIFS('Model Report Formatized'!$O:$O,'Model Report Formatized'!$X:$X,$A26)</f>
        <v>135.65014166719999</v>
      </c>
      <c r="E26" s="737">
        <f ca="1">INDEX('Model Report Formatized'!$F:$F,MATCH($A26,'Model Report Formatized'!$X:$X,0))</f>
        <v>8.0000000000000016E-2</v>
      </c>
      <c r="F26" s="732">
        <f ca="1">-SUMIFS('Model Report Formatized'!$P:$P,'Model Report Formatized'!$X:$X,$A26)</f>
        <v>-11.7956644928</v>
      </c>
    </row>
    <row r="27" spans="1:7" ht="16.5" customHeight="1">
      <c r="A27" s="721">
        <v>19</v>
      </c>
      <c r="B27" s="750" t="s">
        <v>1281</v>
      </c>
      <c r="C27" s="733">
        <f>SUMIFS('Model Report Formatized'!$N:$N,'Model Report Formatized'!$X:$X,$A27)</f>
        <v>1327.2317001799997</v>
      </c>
      <c r="D27" s="733">
        <f ca="1">SUMIFS('Model Report Formatized'!$O:$O,'Model Report Formatized'!$X:$X,$A27)</f>
        <v>1247.5977981691997</v>
      </c>
      <c r="E27" s="737">
        <f ca="1">INDEX('Model Report Formatized'!$F:$F,MATCH($A27,'Model Report Formatized'!$X:$X,0))</f>
        <v>5.9999999999999991E-2</v>
      </c>
      <c r="F27" s="732">
        <f ca="1">-SUMIFS('Model Report Formatized'!$P:$P,'Model Report Formatized'!$X:$X,$A27)</f>
        <v>-79.633902010800057</v>
      </c>
    </row>
    <row r="28" spans="1:7" ht="16.5" customHeight="1">
      <c r="B28" s="750"/>
      <c r="C28" s="733"/>
      <c r="D28" s="733"/>
      <c r="E28" s="737"/>
      <c r="F28" s="732"/>
    </row>
    <row r="29" spans="1:7" ht="16.5" customHeight="1">
      <c r="B29" s="750"/>
      <c r="C29" s="733"/>
      <c r="D29" s="733"/>
      <c r="E29" s="737"/>
      <c r="F29" s="732"/>
    </row>
    <row r="30" spans="1:7" s="727" customFormat="1" ht="16.5" customHeight="1">
      <c r="A30" s="727">
        <v>2</v>
      </c>
      <c r="B30" s="750" t="s">
        <v>1401</v>
      </c>
      <c r="C30" s="733">
        <f>SUMIFS('Model Report Formatized'!$N:$N,'Model Report Formatized'!$X:$X,$A30)</f>
        <v>19377</v>
      </c>
      <c r="D30" s="733">
        <f ca="1">SUMIFS('Model Report Formatized'!$O:$O,'Model Report Formatized'!$X:$X,$A30)</f>
        <v>5137</v>
      </c>
      <c r="E30" s="737">
        <f ca="1">INDEX('Model Report Formatized'!$F:$F,MATCH($A30,'Model Report Formatized'!$X:$X,0))</f>
        <v>1</v>
      </c>
      <c r="F30" s="732">
        <f ca="1">-SUMIFS('Model Report Formatized'!$P:$P,'Model Report Formatized'!$X:$X,$A30)</f>
        <v>-14240</v>
      </c>
      <c r="G30"/>
    </row>
    <row r="31" spans="1:7" s="727" customFormat="1" ht="16.5" customHeight="1">
      <c r="A31" s="727">
        <v>3</v>
      </c>
      <c r="B31" s="750" t="s">
        <v>1402</v>
      </c>
      <c r="C31" s="733">
        <f>SUMIFS('Model Report Formatized'!$N:$N,'Model Report Formatized'!$X:$X,$A31)</f>
        <v>460.84183000000002</v>
      </c>
      <c r="D31" s="733">
        <f ca="1">SUMIFS('Model Report Formatized'!$O:$O,'Model Report Formatized'!$X:$X,$A31)</f>
        <v>460.84183000000002</v>
      </c>
      <c r="E31" s="737">
        <f ca="1">INDEX('Model Report Formatized'!$F:$F,MATCH($A31,'Model Report Formatized'!$X:$X,0))</f>
        <v>1</v>
      </c>
      <c r="F31" s="732">
        <f ca="1">-SUMIFS('Model Report Formatized'!$P:$P,'Model Report Formatized'!$X:$X,$A31)</f>
        <v>0</v>
      </c>
      <c r="G31"/>
    </row>
    <row r="32" spans="1:7" ht="16.5" customHeight="1">
      <c r="A32" s="721">
        <v>8</v>
      </c>
      <c r="B32" s="750" t="s">
        <v>1276</v>
      </c>
      <c r="C32" s="733">
        <f>SUMIFS('Model Report Formatized'!$N:$N,'Model Report Formatized'!$X:$X,$A32)</f>
        <v>2019.1058597900001</v>
      </c>
      <c r="D32" s="733">
        <f ca="1">SUMIFS('Model Report Formatized'!$O:$O,'Model Report Formatized'!$X:$X,$A32)</f>
        <v>1703.0367500447674</v>
      </c>
      <c r="E32" s="737">
        <f ca="1">INDEX('Model Report Formatized'!$F:$F,MATCH($A32,'Model Report Formatized'!$X:$X,0))</f>
        <v>0.15653914737194896</v>
      </c>
      <c r="F32" s="732">
        <f ca="1">-SUMIFS('Model Report Formatized'!$P:$P,'Model Report Formatized'!$X:$X,$A32)</f>
        <v>-316.06910974523271</v>
      </c>
    </row>
    <row r="33" spans="1:6" ht="16.5" customHeight="1">
      <c r="A33" s="721">
        <v>9</v>
      </c>
      <c r="B33" s="750" t="s">
        <v>1277</v>
      </c>
      <c r="C33" s="733">
        <f>SUMIFS('Model Report Formatized'!$N:$N,'Model Report Formatized'!$X:$X,$A33)</f>
        <v>2177.5477524899998</v>
      </c>
      <c r="D33" s="733">
        <f ca="1">SUMIFS('Model Report Formatized'!$O:$O,'Model Report Formatized'!$X:$X,$A33)</f>
        <v>1968.5031682509598</v>
      </c>
      <c r="E33" s="737">
        <f ca="1">INDEX('Model Report Formatized'!$F:$F,MATCH($A33,'Model Report Formatized'!$X:$X,0))</f>
        <v>9.600000000000003E-2</v>
      </c>
      <c r="F33" s="732">
        <f ca="1">-SUMIFS('Model Report Formatized'!$P:$P,'Model Report Formatized'!$X:$X,$A33)</f>
        <v>-209.04458423904015</v>
      </c>
    </row>
    <row r="34" spans="1:6" ht="16.5" customHeight="1">
      <c r="A34" s="721" t="s">
        <v>1422</v>
      </c>
      <c r="B34" s="750" t="s">
        <v>1421</v>
      </c>
      <c r="C34" s="733">
        <f>SUMIFS('Model Report Formatized'!$N:$N,'Model Report Formatized'!$X:$X,$A34)</f>
        <v>170.26193140000001</v>
      </c>
      <c r="D34" s="733">
        <f ca="1">SUMIFS('Model Report Formatized'!$O:$O,'Model Report Formatized'!$X:$X,$A34)</f>
        <v>153.9167859856</v>
      </c>
      <c r="E34" s="737">
        <f ca="1">INDEX('Model Report Formatized'!$F:$F,MATCH($A34,'Model Report Formatized'!$X:$X,0))</f>
        <v>9.600000000000003E-2</v>
      </c>
      <c r="F34" s="732">
        <f ca="1">-SUMIFS('Model Report Formatized'!$P:$P,'Model Report Formatized'!$X:$X,$A34)</f>
        <v>-16.345145414400008</v>
      </c>
    </row>
    <row r="35" spans="1:6" ht="16.5" customHeight="1">
      <c r="A35" s="721" t="s">
        <v>1414</v>
      </c>
      <c r="B35" s="750" t="s">
        <v>1415</v>
      </c>
      <c r="C35" s="733">
        <f>SUMIFS('Model Report Formatized'!$N:$N,'Model Report Formatized'!$X:$X,$A35)</f>
        <v>460.71168785000003</v>
      </c>
      <c r="D35" s="733">
        <f ca="1">SUMIFS('Model Report Formatized'!$O:$O,'Model Report Formatized'!$X:$X,$A35)</f>
        <v>416.48336581640001</v>
      </c>
      <c r="E35" s="737">
        <f ca="1">INDEX('Model Report Formatized'!$F:$F,MATCH($A35,'Model Report Formatized'!$X:$X,0))</f>
        <v>9.600000000000003E-2</v>
      </c>
      <c r="F35" s="732">
        <f ca="1">-SUMIFS('Model Report Formatized'!$P:$P,'Model Report Formatized'!$X:$X,$A35)</f>
        <v>-44.228322033600023</v>
      </c>
    </row>
    <row r="36" spans="1:6" ht="16.5" customHeight="1">
      <c r="A36" s="721">
        <v>10</v>
      </c>
      <c r="B36" s="750" t="s">
        <v>1393</v>
      </c>
      <c r="C36" s="733">
        <f>SUMIFS('Model Report Formatized'!$N:$N,'Model Report Formatized'!$X:$X,$A36)</f>
        <v>336.23741755999998</v>
      </c>
      <c r="D36" s="733">
        <f ca="1">SUMIFS('Model Report Formatized'!$O:$O,'Model Report Formatized'!$X:$X,$A36)</f>
        <v>295.88892745279998</v>
      </c>
      <c r="E36" s="737">
        <f ca="1">INDEX('Model Report Formatized'!$F:$F,MATCH($A36,'Model Report Formatized'!$X:$X,0))</f>
        <v>0.12</v>
      </c>
      <c r="F36" s="732">
        <f ca="1">-SUMIFS('Model Report Formatized'!$P:$P,'Model Report Formatized'!$X:$X,$A36)</f>
        <v>-40.348490107199993</v>
      </c>
    </row>
    <row r="37" spans="1:6" ht="16.5" customHeight="1">
      <c r="A37" s="721" t="s">
        <v>1396</v>
      </c>
      <c r="B37" s="750" t="s">
        <v>1352</v>
      </c>
      <c r="C37" s="733">
        <f>SUMIFS('Model Report Formatized'!$N:$N,'Model Report Formatized'!$X:$X,$A37)</f>
        <v>8.2450289999999996E-2</v>
      </c>
      <c r="D37" s="733">
        <f ca="1">SUMIFS('Model Report Formatized'!$O:$O,'Model Report Formatized'!$X:$X,$A37)</f>
        <v>7.2556255200000003E-2</v>
      </c>
      <c r="E37" s="737">
        <f ca="1">INDEX('Model Report Formatized'!$F:$F,MATCH($A37,'Model Report Formatized'!$X:$X,0))</f>
        <v>0.12</v>
      </c>
      <c r="F37" s="732">
        <f ca="1">-SUMIFS('Model Report Formatized'!$P:$P,'Model Report Formatized'!$X:$X,$A37)</f>
        <v>-9.8940347999999928E-3</v>
      </c>
    </row>
    <row r="38" spans="1:6" ht="16.5" customHeight="1">
      <c r="A38" s="721">
        <v>14</v>
      </c>
      <c r="B38" s="750" t="s">
        <v>1279</v>
      </c>
      <c r="C38" s="733">
        <f>SUMIFS('Model Report Formatized'!$N:$N,'Model Report Formatized'!$X:$X,$A38)</f>
        <v>9604.8459999999995</v>
      </c>
      <c r="D38" s="733">
        <f ca="1">SUMIFS('Model Report Formatized'!$O:$O,'Model Report Formatized'!$X:$X,$A38)</f>
        <v>9508.7975399999996</v>
      </c>
      <c r="E38" s="737">
        <v>0.01</v>
      </c>
      <c r="F38" s="732">
        <f ca="1">-SUMIFS('Model Report Formatized'!$P:$P,'Model Report Formatized'!$X:$X,$A38)</f>
        <v>-96.048459999999977</v>
      </c>
    </row>
    <row r="39" spans="1:6" ht="16.5" customHeight="1">
      <c r="A39" s="721">
        <v>15</v>
      </c>
      <c r="B39" s="750" t="s">
        <v>1280</v>
      </c>
      <c r="C39" s="733">
        <f>SUMIFS('Model Report Formatized'!$N:$N,'Model Report Formatized'!$X:$X,$A39)</f>
        <v>0</v>
      </c>
      <c r="D39" s="733">
        <f ca="1">SUMIFS('Model Report Formatized'!$O:$O,'Model Report Formatized'!$X:$X,$A39)</f>
        <v>0</v>
      </c>
      <c r="E39" s="737">
        <v>0.03</v>
      </c>
      <c r="F39" s="732">
        <f ca="1">-SUMIFS('Model Report Formatized'!$P:$P,'Model Report Formatized'!$X:$X,$A39)</f>
        <v>0</v>
      </c>
    </row>
    <row r="40" spans="1:6" ht="16.5" customHeight="1">
      <c r="A40" s="721">
        <v>20</v>
      </c>
      <c r="B40" s="750" t="s">
        <v>1282</v>
      </c>
      <c r="C40" s="733">
        <f>SUMIFS('Model Report Formatized'!$N:$N,'Model Report Formatized'!$X:$X,$A40)</f>
        <v>2989.0659873999998</v>
      </c>
      <c r="D40" s="733">
        <f ca="1">SUMIFS('Model Report Formatized'!$O:$O,'Model Report Formatized'!$X:$X,$A40)</f>
        <v>2809.7220281559999</v>
      </c>
      <c r="E40" s="737">
        <f ca="1">INDEX('Model Report Formatized'!$F:$F,MATCH($A40,'Model Report Formatized'!$X:$X,0))</f>
        <v>5.9999999999999991E-2</v>
      </c>
      <c r="F40" s="732">
        <f ca="1">-SUMIFS('Model Report Formatized'!$P:$P,'Model Report Formatized'!$X:$X,$A40)</f>
        <v>-179.34395924399996</v>
      </c>
    </row>
    <row r="41" spans="1:6" ht="16.5" customHeight="1">
      <c r="B41" s="750"/>
      <c r="C41" s="733"/>
      <c r="D41" s="733"/>
      <c r="E41" s="737"/>
      <c r="F41" s="732"/>
    </row>
    <row r="42" spans="1:6" ht="16.5" customHeight="1">
      <c r="B42" s="750"/>
      <c r="C42" s="733"/>
      <c r="D42" s="733"/>
      <c r="E42" s="737"/>
      <c r="F42" s="732"/>
    </row>
    <row r="43" spans="1:6" ht="16.5" customHeight="1">
      <c r="A43" s="721">
        <v>7</v>
      </c>
      <c r="B43" s="750" t="s">
        <v>1275</v>
      </c>
      <c r="C43" s="733">
        <f>SUMIFS('Model Report Formatized'!$N:$N,'Model Report Formatized'!$X:$X,$A43)</f>
        <v>174.09592567000021</v>
      </c>
      <c r="D43" s="733">
        <f ca="1">SUMIFS('Model Report Formatized'!$O:$O,'Model Report Formatized'!$X:$X,$A43)</f>
        <v>168.1857003990923</v>
      </c>
      <c r="E43" s="737">
        <f ca="1">INDEX('Model Report Formatized'!$F:$F,MATCH($A43,'Model Report Formatized'!$X:$X,0))</f>
        <v>0.06</v>
      </c>
      <c r="F43" s="732">
        <f ca="1">-SUMIFS('Model Report Formatized'!$P:$P,'Model Report Formatized'!$X:$X,$A43)</f>
        <v>-5.9102252709079153</v>
      </c>
    </row>
    <row r="44" spans="1:6" ht="16.5" customHeight="1">
      <c r="A44" s="721">
        <v>12</v>
      </c>
      <c r="B44" s="750" t="s">
        <v>1278</v>
      </c>
      <c r="C44" s="733">
        <f>SUMIFS('Model Report Formatized'!$N:$N,'Model Report Formatized'!$X:$X,$A44)</f>
        <v>116.28780820000011</v>
      </c>
      <c r="D44" s="733">
        <f ca="1">SUMIFS('Model Report Formatized'!$O:$O,'Model Report Formatized'!$X:$X,$A44)</f>
        <v>109.31053970800011</v>
      </c>
      <c r="E44" s="737">
        <f ca="1">INDEX('Model Report Formatized'!$F:$F,MATCH($A44,'Model Report Formatized'!$X:$X,0))</f>
        <v>5.9999999999999991E-2</v>
      </c>
      <c r="F44" s="732">
        <f ca="1">-SUMIFS('Model Report Formatized'!$P:$P,'Model Report Formatized'!$X:$X,$A44)</f>
        <v>-6.9772684920000074</v>
      </c>
    </row>
    <row r="45" spans="1:6" ht="16.5" customHeight="1">
      <c r="A45" s="721">
        <v>21</v>
      </c>
      <c r="B45" s="750" t="s">
        <v>1283</v>
      </c>
      <c r="C45" s="733">
        <f>SUMIFS('Model Report Formatized'!$N:$N,'Model Report Formatized'!$X:$X,$A45)</f>
        <v>70.697602650000007</v>
      </c>
      <c r="D45" s="733">
        <f ca="1">SUMIFS('Model Report Formatized'!$O:$O,'Model Report Formatized'!$X:$X,$A45)</f>
        <v>66.455746491000014</v>
      </c>
      <c r="E45" s="737">
        <f ca="1">INDEX('Model Report Formatized'!$F:$F,MATCH($A45,'Model Report Formatized'!$X:$X,0))</f>
        <v>5.9999999999999991E-2</v>
      </c>
      <c r="F45" s="732">
        <f ca="1">-SUMIFS('Model Report Formatized'!$P:$P,'Model Report Formatized'!$X:$X,$A45)</f>
        <v>-4.2418561589999939</v>
      </c>
    </row>
    <row r="46" spans="1:6" ht="16.5" customHeight="1">
      <c r="B46" s="750"/>
      <c r="C46" s="733"/>
      <c r="D46" s="733"/>
      <c r="E46" s="737"/>
      <c r="F46" s="732"/>
    </row>
    <row r="47" spans="1:6" ht="16.5" customHeight="1">
      <c r="B47" s="757"/>
      <c r="C47" s="758"/>
      <c r="D47" s="758"/>
      <c r="E47" s="759"/>
      <c r="F47" s="732"/>
    </row>
    <row r="48" spans="1:6" ht="16.5" customHeight="1">
      <c r="A48" s="721">
        <v>27</v>
      </c>
      <c r="B48" s="752" t="s">
        <v>1387</v>
      </c>
      <c r="C48" s="735">
        <f>SUMIFS('Model Report Formatized'!$N:$N,'Model Report Formatized'!$X:$X,$A48)</f>
        <v>1037.8821027699989</v>
      </c>
      <c r="D48" s="735">
        <f>SUMIFS('Model Report Formatized'!$O:$O,'Model Report Formatized'!$X:$X,$A48)</f>
        <v>1037.8821027699989</v>
      </c>
      <c r="E48" s="739" t="str">
        <f>INDEX('Model Report Formatized'!$F:$F,MATCH($A48,'Model Report Formatized'!$X:$X,0))</f>
        <v/>
      </c>
      <c r="F48" s="732">
        <f>-SUMIFS('Model Report Formatized'!$P:$P,'Model Report Formatized'!$X:$X,$A48)</f>
        <v>0</v>
      </c>
    </row>
    <row r="49" spans="1:7" ht="16.5" customHeight="1">
      <c r="B49" s="752"/>
      <c r="C49" s="735"/>
      <c r="D49" s="735"/>
      <c r="E49" s="739"/>
      <c r="F49" s="732"/>
    </row>
    <row r="50" spans="1:7" ht="16.5" customHeight="1">
      <c r="B50" s="750"/>
      <c r="C50" s="733"/>
      <c r="D50" s="733"/>
      <c r="E50" s="737"/>
      <c r="F50" s="732"/>
    </row>
    <row r="51" spans="1:7" ht="16.5" customHeight="1">
      <c r="B51" s="750"/>
      <c r="C51" s="733"/>
      <c r="D51" s="733"/>
      <c r="E51" s="737"/>
      <c r="F51" s="732"/>
    </row>
    <row r="52" spans="1:7" ht="16.5" customHeight="1">
      <c r="A52" s="721">
        <v>24</v>
      </c>
      <c r="B52" s="751" t="s">
        <v>1388</v>
      </c>
      <c r="C52" s="734">
        <f>SUMIFS('Model Report Formatized'!$N:$N,'Model Report Formatized'!$X:$X,$A52)</f>
        <v>1479.2493747999997</v>
      </c>
      <c r="D52" s="734">
        <f ca="1">SUMIFS('Model Report Formatized'!$O:$O,'Model Report Formatized'!$X:$X,$A52)</f>
        <v>1311.9046321799999</v>
      </c>
      <c r="E52" s="738">
        <f ca="1">INDEX('Model Report Formatized'!$F:$F,MATCH($A52,'Model Report Formatized'!$X:$X,0))</f>
        <v>0.5</v>
      </c>
      <c r="F52" s="732">
        <f ca="1">SUMIFS('Model Report Formatized'!$P:$P,'Model Report Formatized'!$X:$X,$A52)</f>
        <v>167.34474261999975</v>
      </c>
    </row>
    <row r="53" spans="1:7" ht="16.5" customHeight="1">
      <c r="A53" s="721">
        <v>26</v>
      </c>
      <c r="B53" s="752" t="s">
        <v>19</v>
      </c>
      <c r="C53" s="735">
        <f>SUMIFS('Model Report Formatized'!$N:$N,'Model Report Formatized'!$X:$X,$A53)</f>
        <v>3632.5387794668932</v>
      </c>
      <c r="D53" s="735">
        <f>SUMIFS('Model Report Formatized'!$O:$O,'Model Report Formatized'!$X:$X,$A53)</f>
        <v>3632.5387794668932</v>
      </c>
      <c r="E53" s="739">
        <f>INDEX('Model Report Formatized'!$F:$F,MATCH($A53,'Model Report Formatized'!$X:$X,0))</f>
        <v>0</v>
      </c>
      <c r="F53" s="732">
        <f>-SUMIFS('Model Report Formatized'!$P:$P,'Model Report Formatized'!$X:$X,$A53)</f>
        <v>0</v>
      </c>
    </row>
    <row r="54" spans="1:7" ht="16.5" customHeight="1">
      <c r="A54" s="721">
        <v>16</v>
      </c>
      <c r="B54" s="750" t="s">
        <v>1390</v>
      </c>
      <c r="C54" s="733">
        <f>SUMIFS('Model Report Formatized'!$N:$N,'Model Report Formatized'!$X:$X,$A54)</f>
        <v>18176.014521920002</v>
      </c>
      <c r="D54" s="733">
        <f ca="1">SUMIFS('Model Report Formatized'!$O:$O,'Model Report Formatized'!$X:$X,$A54)</f>
        <v>18108.817518235002</v>
      </c>
      <c r="E54" s="737">
        <f ca="1">INDEX('Model Report Formatized'!$F:$F,MATCH($A54,'Model Report Formatized'!$X:$X,0))</f>
        <v>0.5</v>
      </c>
      <c r="F54" s="732">
        <f ca="1">SUMIFS('Model Report Formatized'!$P:$P,'Model Report Formatized'!$X:$X,$A54)</f>
        <v>67.197003685000141</v>
      </c>
    </row>
    <row r="55" spans="1:7" ht="16.5" customHeight="1">
      <c r="A55" s="721">
        <v>17</v>
      </c>
      <c r="B55" s="750" t="s">
        <v>1389</v>
      </c>
      <c r="C55" s="733">
        <f>SUMIFS('Model Report Formatized'!$N:$N,'Model Report Formatized'!$X:$X,$A55)</f>
        <v>4385.0084512899994</v>
      </c>
      <c r="D55" s="733">
        <f ca="1">SUMIFS('Model Report Formatized'!$O:$O,'Model Report Formatized'!$X:$X,$A55)</f>
        <v>4247.2069381000001</v>
      </c>
      <c r="E55" s="737">
        <f ca="1">INDEX('Model Report Formatized'!$F:$F,MATCH($A55,'Model Report Formatized'!$X:$X,0))</f>
        <v>0.5</v>
      </c>
      <c r="F55" s="732">
        <f ca="1">SUMIFS('Model Report Formatized'!$P:$P,'Model Report Formatized'!$X:$X,$A55)</f>
        <v>137.80151319000012</v>
      </c>
    </row>
    <row r="56" spans="1:7" ht="16.5" customHeight="1">
      <c r="A56" s="721" t="s">
        <v>1417</v>
      </c>
      <c r="B56" s="752" t="s">
        <v>1418</v>
      </c>
      <c r="C56" s="735">
        <f>SUMIFS('Model Report Formatized'!$N:$N,'Model Report Formatized'!$X:$X,$A56)</f>
        <v>520.0471847199999</v>
      </c>
      <c r="D56" s="735">
        <f ca="1">SUMIFS('Model Report Formatized'!$O:$O,'Model Report Formatized'!$X:$X,$A56)</f>
        <v>520.0471847199999</v>
      </c>
      <c r="E56" s="739">
        <f>INDEX('Model Report Formatized'!$F:$F,MATCH($A56,'Model Report Formatized'!$X:$X,0))</f>
        <v>0</v>
      </c>
      <c r="F56" s="732">
        <f ca="1">-SUMIFS('Model Report Formatized'!$P:$P,'Model Report Formatized'!$X:$X,$A56)</f>
        <v>0</v>
      </c>
    </row>
    <row r="57" spans="1:7" ht="16.5" customHeight="1">
      <c r="B57" s="752"/>
      <c r="C57" s="735"/>
      <c r="D57" s="735"/>
      <c r="E57" s="739"/>
      <c r="F57" s="732"/>
    </row>
    <row r="58" spans="1:7" ht="16.5" customHeight="1">
      <c r="A58" s="721">
        <v>22</v>
      </c>
      <c r="B58" s="750" t="s">
        <v>39</v>
      </c>
      <c r="C58" s="733">
        <f>SUMIFS('Model Report Formatized'!$N:$N,'Model Report Formatized'!$X:$X,$A58)</f>
        <v>17243.170592639999</v>
      </c>
      <c r="D58" s="733">
        <f ca="1">SUMIFS('Model Report Formatized'!$P:$P,'Model Report Formatized'!$X:$X,$A58)</f>
        <v>1500.155841559681</v>
      </c>
      <c r="E58" s="737">
        <f ca="1">INDEX('Model Report Formatized'!$F:$F,MATCH($A58,'Model Report Formatized'!$X:$X,0))</f>
        <v>8.6999999999999994E-2</v>
      </c>
      <c r="F58" s="732">
        <f ca="1">-SUMIFS('Model Report Formatized'!$P:$P,'Model Report Formatized'!$X:$X,$A58)</f>
        <v>-1500.155841559681</v>
      </c>
    </row>
    <row r="59" spans="1:7" ht="16.5" customHeight="1">
      <c r="A59" s="721">
        <v>23</v>
      </c>
      <c r="B59" s="750" t="s">
        <v>1576</v>
      </c>
      <c r="C59" s="733">
        <f>SUMIFS('Model Report Formatized'!$N:$N,'Model Report Formatized'!$X:$X,$A59)</f>
        <v>560</v>
      </c>
      <c r="D59" s="733">
        <f ca="1">SUMIFS('Model Report Formatized'!$P:$P,'Model Report Formatized'!$X:$X,$A59)</f>
        <v>226.24</v>
      </c>
      <c r="E59" s="737">
        <f ca="1">INDEX('Model Report Formatized'!$F:$F,MATCH($A59,'Model Report Formatized'!$X:$X,0))</f>
        <v>0.40399999999999991</v>
      </c>
      <c r="F59" s="732">
        <f ca="1">-SUMIFS('Model Report Formatized'!$P:$P,'Model Report Formatized'!$X:$X,$A59)</f>
        <v>-226.24</v>
      </c>
    </row>
    <row r="60" spans="1:7" ht="16.5" customHeight="1">
      <c r="A60" s="721">
        <v>25</v>
      </c>
      <c r="B60" s="757" t="s">
        <v>1575</v>
      </c>
      <c r="C60" s="758">
        <f>SUMIFS('Model Report Formatized'!$N:$N,'Model Report Formatized'!$X:$X,$A60)</f>
        <v>1122.824177</v>
      </c>
      <c r="D60" s="758">
        <f ca="1">SUMIFS('Model Report Formatized'!$P:$P,'Model Report Formatized'!$X:$X,$A60)</f>
        <v>36.615296411969894</v>
      </c>
      <c r="E60" s="759">
        <f ca="1">INDEX('Model Report Formatized'!$F:$F,MATCH($A60,'Model Report Formatized'!$X:$X,0))</f>
        <v>3.261E-2</v>
      </c>
      <c r="F60" s="742">
        <f ca="1">-SUMIFS('Model Report Formatized'!$P:$P,'Model Report Formatized'!$X:$X,$A60)</f>
        <v>-36.615296411969894</v>
      </c>
    </row>
    <row r="61" spans="1:7" ht="16.5" customHeight="1">
      <c r="A61" s="721">
        <v>28</v>
      </c>
      <c r="B61" s="757" t="s">
        <v>2773</v>
      </c>
      <c r="C61" s="758">
        <f>SUMIFS('Model Report Formatized'!$N:$N,'Model Report Formatized'!$X:$X,$A61)</f>
        <v>1276.1819958300009</v>
      </c>
      <c r="D61" s="758">
        <f ca="1">SUMIFS('Model Report Formatized'!$P:$P,'Model Report Formatized'!$X:$X,$A61)</f>
        <v>0</v>
      </c>
      <c r="E61" s="759">
        <f ca="1">INDEX('Model Report Formatized'!$F:$F,MATCH($A61,'Model Report Formatized'!$X:$X,0))</f>
        <v>0</v>
      </c>
      <c r="F61" s="742">
        <f ca="1">-SUMIFS('Model Report Formatized'!$P:$P,'Model Report Formatized'!$X:$X,$A61)</f>
        <v>0</v>
      </c>
    </row>
    <row r="62" spans="1:7" ht="16.5" customHeight="1">
      <c r="B62" s="752" t="s">
        <v>1406</v>
      </c>
      <c r="C62" s="735"/>
      <c r="D62" s="735">
        <v>150</v>
      </c>
      <c r="E62" s="739"/>
      <c r="F62" s="742">
        <v>-150</v>
      </c>
    </row>
    <row r="63" spans="1:7" s="725" customFormat="1" ht="16.5" customHeight="1" thickBot="1">
      <c r="B63" s="753" t="s">
        <v>1405</v>
      </c>
      <c r="C63" s="726"/>
      <c r="D63" s="741">
        <f ca="1">SUM(D8:D48)-SUM(D52:D62)</f>
        <v>10310.937339331871</v>
      </c>
      <c r="E63" s="740"/>
      <c r="F63" s="741">
        <f ca="1">SUM(F5:F62)</f>
        <v>22684.13550840125</v>
      </c>
      <c r="G63"/>
    </row>
    <row r="64" spans="1:7">
      <c r="D64" s="721" t="s">
        <v>1416</v>
      </c>
      <c r="F64" s="746">
        <f ca="1">F5-F63+10000</f>
        <v>9999.9999999999964</v>
      </c>
    </row>
    <row r="65" spans="2:6">
      <c r="F65" s="722">
        <f ca="1">D63/F64</f>
        <v>1.0310937339331874</v>
      </c>
    </row>
    <row r="66" spans="2:6">
      <c r="D66" s="723"/>
      <c r="F66" s="724"/>
    </row>
    <row r="67" spans="2:6">
      <c r="D67" s="723"/>
    </row>
    <row r="68" spans="2:6">
      <c r="B68" s="754"/>
      <c r="D68" s="723"/>
    </row>
    <row r="69" spans="2:6" customFormat="1" ht="14.25">
      <c r="B69" s="443"/>
      <c r="F69" s="26"/>
    </row>
    <row r="70" spans="2:6" customFormat="1" ht="14.25">
      <c r="B70" s="443"/>
      <c r="D70" s="26"/>
    </row>
    <row r="71" spans="2:6" customFormat="1" ht="14.25">
      <c r="B71" s="443"/>
    </row>
    <row r="72" spans="2:6" customFormat="1" ht="14.25">
      <c r="B72" s="443"/>
    </row>
    <row r="73" spans="2:6" customFormat="1" ht="14.25">
      <c r="B73" s="443"/>
    </row>
    <row r="74" spans="2:6" customFormat="1" ht="14.25">
      <c r="B74" s="443"/>
    </row>
    <row r="75" spans="2:6" customFormat="1" ht="14.25">
      <c r="B75" s="443"/>
    </row>
    <row r="76" spans="2:6" customFormat="1" ht="14.25">
      <c r="B76" s="443"/>
    </row>
    <row r="77" spans="2:6" customFormat="1" ht="14.25">
      <c r="B77" s="443"/>
    </row>
    <row r="78" spans="2:6" customFormat="1" ht="14.25">
      <c r="B78" s="443"/>
    </row>
    <row r="79" spans="2:6" customFormat="1" ht="14.25">
      <c r="B79" s="443"/>
    </row>
    <row r="80" spans="2:6" customFormat="1" ht="14.25">
      <c r="B80" s="443"/>
    </row>
    <row r="81" spans="2:6" customFormat="1" ht="14.25">
      <c r="B81" s="443"/>
    </row>
    <row r="82" spans="2:6" customFormat="1" ht="14.25">
      <c r="B82" s="443"/>
    </row>
    <row r="83" spans="2:6" customFormat="1" ht="14.25">
      <c r="B83" s="443"/>
    </row>
    <row r="84" spans="2:6" customFormat="1" ht="14.25">
      <c r="B84" s="443"/>
    </row>
    <row r="85" spans="2:6" customFormat="1" ht="14.25">
      <c r="B85" s="443"/>
    </row>
    <row r="86" spans="2:6" customFormat="1" ht="14.25">
      <c r="B86" s="443"/>
    </row>
    <row r="87" spans="2:6" customFormat="1" ht="14.25">
      <c r="B87" s="443"/>
    </row>
    <row r="88" spans="2:6">
      <c r="B88" s="755"/>
      <c r="C88" s="723"/>
      <c r="D88" s="723"/>
      <c r="E88" s="723"/>
      <c r="F88" s="723"/>
    </row>
    <row r="91" spans="2:6">
      <c r="C91" s="743"/>
      <c r="D91" s="724"/>
    </row>
    <row r="92" spans="2:6">
      <c r="C92" s="743"/>
      <c r="D92" s="724"/>
    </row>
  </sheetData>
  <pageMargins left="0.25" right="0.25" top="0.75" bottom="0.75" header="0.3" footer="0.3"/>
  <pageSetup scale="38"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F20"/>
  <sheetViews>
    <sheetView workbookViewId="0"/>
  </sheetViews>
  <sheetFormatPr defaultRowHeight="14.25"/>
  <cols>
    <col min="1" max="1" width="11.5" bestFit="1" customWidth="1"/>
    <col min="2" max="2" width="20.875" bestFit="1" customWidth="1"/>
  </cols>
  <sheetData>
    <row r="1" spans="1:6">
      <c r="A1" t="s">
        <v>1587</v>
      </c>
      <c r="B1" t="s">
        <v>1588</v>
      </c>
      <c r="C1" t="s">
        <v>1589</v>
      </c>
    </row>
    <row r="2" spans="1:6">
      <c r="B2" t="s">
        <v>2784</v>
      </c>
      <c r="C2" s="980" t="s">
        <v>1591</v>
      </c>
    </row>
    <row r="3" spans="1:6">
      <c r="B3" s="980" t="s">
        <v>1590</v>
      </c>
      <c r="C3" s="980" t="s">
        <v>1593</v>
      </c>
    </row>
    <row r="4" spans="1:6">
      <c r="C4" s="980" t="s">
        <v>1592</v>
      </c>
    </row>
    <row r="5" spans="1:6">
      <c r="B5" s="980"/>
      <c r="C5" s="980"/>
    </row>
    <row r="6" spans="1:6">
      <c r="A6" t="s">
        <v>1594</v>
      </c>
      <c r="B6" s="980" t="s">
        <v>1684</v>
      </c>
      <c r="C6" s="980" t="s">
        <v>2761</v>
      </c>
    </row>
    <row r="7" spans="1:6">
      <c r="B7" s="980" t="s">
        <v>1605</v>
      </c>
      <c r="C7" s="980" t="s">
        <v>2760</v>
      </c>
    </row>
    <row r="8" spans="1:6">
      <c r="B8" s="980" t="s">
        <v>1596</v>
      </c>
      <c r="C8" s="981" t="s">
        <v>1595</v>
      </c>
    </row>
    <row r="9" spans="1:6">
      <c r="B9" s="980" t="s">
        <v>1599</v>
      </c>
      <c r="C9" t="s">
        <v>2794</v>
      </c>
      <c r="F9" s="890"/>
    </row>
    <row r="10" spans="1:6">
      <c r="B10" s="980" t="s">
        <v>1600</v>
      </c>
      <c r="C10" s="981" t="s">
        <v>1597</v>
      </c>
    </row>
    <row r="11" spans="1:6">
      <c r="B11" s="980" t="s">
        <v>1601</v>
      </c>
      <c r="C11" s="981" t="s">
        <v>1591</v>
      </c>
    </row>
    <row r="12" spans="1:6">
      <c r="B12" s="981" t="s">
        <v>1690</v>
      </c>
      <c r="C12" t="s">
        <v>2784</v>
      </c>
    </row>
    <row r="13" spans="1:6">
      <c r="B13" s="981" t="s">
        <v>1602</v>
      </c>
      <c r="C13" s="981" t="s">
        <v>1590</v>
      </c>
    </row>
    <row r="14" spans="1:6">
      <c r="C14" s="981" t="s">
        <v>1593</v>
      </c>
    </row>
    <row r="15" spans="1:6">
      <c r="C15" s="981" t="s">
        <v>1592</v>
      </c>
    </row>
    <row r="16" spans="1:6">
      <c r="B16" s="980"/>
      <c r="C16" s="981" t="s">
        <v>1603</v>
      </c>
    </row>
    <row r="17" spans="2:3">
      <c r="B17" s="980"/>
      <c r="C17" s="981" t="s">
        <v>1604</v>
      </c>
    </row>
    <row r="18" spans="2:3">
      <c r="B18" s="980"/>
      <c r="C18" t="s">
        <v>2815</v>
      </c>
    </row>
    <row r="19" spans="2:3">
      <c r="B19" s="980"/>
      <c r="C19" s="980" t="s">
        <v>2783</v>
      </c>
    </row>
    <row r="20" spans="2:3">
      <c r="C20" s="980" t="s">
        <v>1598</v>
      </c>
    </row>
  </sheetData>
  <hyperlinks>
    <hyperlink ref="C15" r:id="rId1"/>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sheetPr>
  <dimension ref="A1:N42"/>
  <sheetViews>
    <sheetView workbookViewId="0"/>
  </sheetViews>
  <sheetFormatPr defaultColWidth="8.75" defaultRowHeight="15"/>
  <cols>
    <col min="1" max="1" width="4.375" style="48" bestFit="1" customWidth="1"/>
    <col min="2" max="2" width="39" style="48" customWidth="1"/>
    <col min="3" max="3" width="17.25" style="48" customWidth="1"/>
    <col min="4" max="4" width="8.75" style="60"/>
    <col min="5" max="5" width="8.75" style="89"/>
    <col min="6" max="16384" width="8.75" style="48"/>
  </cols>
  <sheetData>
    <row r="1" spans="1:14" ht="25.5">
      <c r="A1" s="43" t="s">
        <v>1082</v>
      </c>
      <c r="B1" s="44"/>
      <c r="C1" s="45" t="s">
        <v>1083</v>
      </c>
      <c r="D1" s="46" t="s">
        <v>1084</v>
      </c>
      <c r="E1" s="86" t="s">
        <v>1085</v>
      </c>
      <c r="F1" s="45" t="s">
        <v>1086</v>
      </c>
      <c r="G1" s="45" t="s">
        <v>1087</v>
      </c>
      <c r="H1" s="45" t="s">
        <v>1088</v>
      </c>
      <c r="I1" s="45" t="s">
        <v>1089</v>
      </c>
      <c r="J1" s="45" t="s">
        <v>1090</v>
      </c>
      <c r="K1" s="45" t="s">
        <v>1091</v>
      </c>
      <c r="L1" s="45" t="s">
        <v>1092</v>
      </c>
      <c r="M1" s="45" t="s">
        <v>1093</v>
      </c>
      <c r="N1" s="47" t="s">
        <v>1094</v>
      </c>
    </row>
    <row r="2" spans="1:14">
      <c r="A2" s="49">
        <v>5</v>
      </c>
      <c r="B2" s="50" t="s">
        <v>18</v>
      </c>
      <c r="C2" s="50"/>
      <c r="D2" s="51"/>
      <c r="E2" s="87"/>
      <c r="F2" s="50"/>
      <c r="G2" s="50"/>
      <c r="H2" s="50"/>
      <c r="I2" s="50"/>
      <c r="J2" s="50"/>
      <c r="K2" s="50"/>
      <c r="L2" s="50"/>
      <c r="M2" s="50"/>
      <c r="N2" s="52"/>
    </row>
    <row r="3" spans="1:14">
      <c r="A3" s="53">
        <v>5.0999999999999996</v>
      </c>
      <c r="B3" s="54" t="s">
        <v>992</v>
      </c>
      <c r="C3" s="55"/>
      <c r="D3" s="56"/>
      <c r="E3" s="88"/>
      <c r="F3" s="55"/>
      <c r="G3" s="55"/>
      <c r="H3" s="55"/>
      <c r="I3" s="55"/>
      <c r="J3" s="55"/>
      <c r="K3" s="55"/>
      <c r="L3" s="55"/>
      <c r="M3" s="55"/>
      <c r="N3" s="57"/>
    </row>
    <row r="4" spans="1:14">
      <c r="A4" s="58"/>
      <c r="B4" s="59" t="s">
        <v>1072</v>
      </c>
      <c r="N4" s="61"/>
    </row>
    <row r="5" spans="1:14">
      <c r="A5" s="58"/>
      <c r="B5" s="59" t="s">
        <v>1073</v>
      </c>
      <c r="N5" s="61"/>
    </row>
    <row r="6" spans="1:14">
      <c r="A6" s="58"/>
      <c r="B6" s="59" t="s">
        <v>1074</v>
      </c>
      <c r="N6" s="61"/>
    </row>
    <row r="7" spans="1:14">
      <c r="A7" s="58"/>
      <c r="B7" s="59" t="s">
        <v>1075</v>
      </c>
      <c r="N7" s="61"/>
    </row>
    <row r="8" spans="1:14">
      <c r="A8" s="58"/>
      <c r="B8" s="59" t="s">
        <v>1076</v>
      </c>
      <c r="N8" s="61"/>
    </row>
    <row r="9" spans="1:14">
      <c r="A9" s="58"/>
      <c r="B9" s="62" t="s">
        <v>1077</v>
      </c>
      <c r="C9" s="63"/>
      <c r="D9" s="64"/>
      <c r="E9" s="90">
        <v>0.03</v>
      </c>
      <c r="F9" s="63"/>
      <c r="G9" s="63"/>
      <c r="H9" s="63"/>
      <c r="I9" s="63"/>
      <c r="J9" s="63"/>
      <c r="K9" s="63"/>
      <c r="L9" s="63"/>
      <c r="M9" s="63"/>
      <c r="N9" s="65"/>
    </row>
    <row r="10" spans="1:14">
      <c r="A10" s="58"/>
      <c r="B10" s="66" t="s">
        <v>1078</v>
      </c>
      <c r="C10" s="67"/>
      <c r="D10" s="68"/>
      <c r="E10" s="91">
        <v>0.01</v>
      </c>
      <c r="F10" s="67"/>
      <c r="G10" s="67"/>
      <c r="H10" s="67"/>
      <c r="I10" s="67"/>
      <c r="J10" s="67"/>
      <c r="K10" s="67"/>
      <c r="L10" s="67"/>
      <c r="M10" s="67"/>
      <c r="N10" s="69"/>
    </row>
    <row r="11" spans="1:14">
      <c r="A11" s="58"/>
      <c r="B11" s="62" t="s">
        <v>1079</v>
      </c>
      <c r="C11" s="63"/>
      <c r="D11" s="64"/>
      <c r="E11" s="92"/>
      <c r="F11" s="63"/>
      <c r="G11" s="63"/>
      <c r="H11" s="63"/>
      <c r="I11" s="63"/>
      <c r="J11" s="63"/>
      <c r="K11" s="63"/>
      <c r="L11" s="63"/>
      <c r="M11" s="63"/>
      <c r="N11" s="65"/>
    </row>
    <row r="12" spans="1:14">
      <c r="A12" s="58"/>
      <c r="B12" s="70" t="s">
        <v>1080</v>
      </c>
      <c r="C12" s="71"/>
      <c r="D12" s="72"/>
      <c r="E12" s="93"/>
      <c r="F12" s="71"/>
      <c r="G12" s="71"/>
      <c r="H12" s="71"/>
      <c r="I12" s="71"/>
      <c r="J12" s="71"/>
      <c r="K12" s="71"/>
      <c r="L12" s="71"/>
      <c r="M12" s="71"/>
      <c r="N12" s="73"/>
    </row>
    <row r="13" spans="1:14">
      <c r="A13" s="74">
        <v>5.2</v>
      </c>
      <c r="B13" s="54" t="s">
        <v>1081</v>
      </c>
      <c r="C13" s="55"/>
      <c r="D13" s="56"/>
      <c r="E13" s="88"/>
      <c r="F13" s="55"/>
      <c r="G13" s="55"/>
      <c r="H13" s="55"/>
      <c r="I13" s="55"/>
      <c r="J13" s="55"/>
      <c r="K13" s="55"/>
      <c r="L13" s="55"/>
      <c r="M13" s="55"/>
      <c r="N13" s="57"/>
    </row>
    <row r="14" spans="1:14">
      <c r="A14" s="75"/>
      <c r="B14" s="59" t="s">
        <v>1072</v>
      </c>
      <c r="N14" s="61"/>
    </row>
    <row r="15" spans="1:14">
      <c r="A15" s="75"/>
      <c r="B15" s="59" t="s">
        <v>1073</v>
      </c>
      <c r="N15" s="61"/>
    </row>
    <row r="16" spans="1:14">
      <c r="A16" s="75"/>
      <c r="B16" s="59" t="s">
        <v>1074</v>
      </c>
      <c r="N16" s="61"/>
    </row>
    <row r="17" spans="1:14">
      <c r="A17" s="75"/>
      <c r="B17" s="59" t="s">
        <v>1075</v>
      </c>
      <c r="N17" s="61"/>
    </row>
    <row r="18" spans="1:14">
      <c r="A18" s="75"/>
      <c r="B18" s="59" t="s">
        <v>1076</v>
      </c>
      <c r="N18" s="61"/>
    </row>
    <row r="19" spans="1:14">
      <c r="A19" s="75"/>
      <c r="B19" s="62" t="s">
        <v>1077</v>
      </c>
      <c r="C19" s="63"/>
      <c r="D19" s="64"/>
      <c r="E19" s="90">
        <v>0.1</v>
      </c>
      <c r="F19" s="63"/>
      <c r="G19" s="63"/>
      <c r="H19" s="63"/>
      <c r="I19" s="63"/>
      <c r="J19" s="63"/>
      <c r="K19" s="63"/>
      <c r="L19" s="63"/>
      <c r="M19" s="63"/>
      <c r="N19" s="65"/>
    </row>
    <row r="20" spans="1:14">
      <c r="A20" s="75"/>
      <c r="B20" s="66" t="s">
        <v>1078</v>
      </c>
      <c r="C20" s="67"/>
      <c r="D20" s="68"/>
      <c r="E20" s="91">
        <v>0.03</v>
      </c>
      <c r="F20" s="67"/>
      <c r="G20" s="67"/>
      <c r="H20" s="67"/>
      <c r="I20" s="67"/>
      <c r="J20" s="67"/>
      <c r="K20" s="67"/>
      <c r="L20" s="67"/>
      <c r="M20" s="67"/>
      <c r="N20" s="69"/>
    </row>
    <row r="21" spans="1:14">
      <c r="A21" s="75"/>
      <c r="B21" s="62" t="s">
        <v>1079</v>
      </c>
      <c r="C21" s="63"/>
      <c r="D21" s="64"/>
      <c r="E21" s="92"/>
      <c r="F21" s="63"/>
      <c r="G21" s="63"/>
      <c r="H21" s="63"/>
      <c r="I21" s="63"/>
      <c r="J21" s="63"/>
      <c r="K21" s="63"/>
      <c r="L21" s="63"/>
      <c r="M21" s="63"/>
      <c r="N21" s="65"/>
    </row>
    <row r="22" spans="1:14">
      <c r="A22" s="75"/>
      <c r="B22" s="70" t="s">
        <v>1080</v>
      </c>
      <c r="C22" s="71"/>
      <c r="D22" s="72"/>
      <c r="E22" s="93"/>
      <c r="F22" s="71"/>
      <c r="G22" s="71"/>
      <c r="H22" s="71"/>
      <c r="I22" s="71"/>
      <c r="J22" s="71"/>
      <c r="K22" s="71"/>
      <c r="L22" s="71"/>
      <c r="M22" s="71"/>
      <c r="N22" s="73"/>
    </row>
    <row r="23" spans="1:14">
      <c r="A23" s="74">
        <v>5.3</v>
      </c>
      <c r="B23" s="54" t="s">
        <v>30</v>
      </c>
      <c r="C23" s="54"/>
      <c r="D23" s="76"/>
      <c r="E23" s="94"/>
      <c r="F23" s="54"/>
      <c r="G23" s="54"/>
      <c r="H23" s="54"/>
      <c r="I23" s="54"/>
      <c r="J23" s="54"/>
      <c r="K23" s="54"/>
      <c r="L23" s="54"/>
      <c r="M23" s="54"/>
      <c r="N23" s="77"/>
    </row>
    <row r="24" spans="1:14">
      <c r="A24" s="75"/>
      <c r="B24" s="59" t="s">
        <v>1072</v>
      </c>
      <c r="N24" s="61"/>
    </row>
    <row r="25" spans="1:14">
      <c r="A25" s="75"/>
      <c r="B25" s="59" t="s">
        <v>1073</v>
      </c>
      <c r="N25" s="61"/>
    </row>
    <row r="26" spans="1:14">
      <c r="A26" s="75"/>
      <c r="B26" s="59" t="s">
        <v>1074</v>
      </c>
      <c r="N26" s="61"/>
    </row>
    <row r="27" spans="1:14">
      <c r="A27" s="75"/>
      <c r="B27" s="59" t="s">
        <v>1075</v>
      </c>
      <c r="N27" s="61"/>
    </row>
    <row r="28" spans="1:14">
      <c r="A28" s="75"/>
      <c r="B28" s="59" t="s">
        <v>1076</v>
      </c>
      <c r="N28" s="61"/>
    </row>
    <row r="29" spans="1:14">
      <c r="A29" s="75"/>
      <c r="B29" s="62" t="s">
        <v>1077</v>
      </c>
      <c r="C29" s="63"/>
      <c r="D29" s="64"/>
      <c r="E29" s="90">
        <v>0.1</v>
      </c>
      <c r="F29" s="63"/>
      <c r="G29" s="63"/>
      <c r="H29" s="63"/>
      <c r="I29" s="63"/>
      <c r="J29" s="63"/>
      <c r="K29" s="63"/>
      <c r="L29" s="63"/>
      <c r="M29" s="63"/>
      <c r="N29" s="65"/>
    </row>
    <row r="30" spans="1:14">
      <c r="A30" s="75"/>
      <c r="B30" s="66" t="s">
        <v>1078</v>
      </c>
      <c r="C30" s="67"/>
      <c r="D30" s="68"/>
      <c r="E30" s="91">
        <v>0.02</v>
      </c>
      <c r="F30" s="67"/>
      <c r="G30" s="67"/>
      <c r="H30" s="67"/>
      <c r="I30" s="67"/>
      <c r="J30" s="67"/>
      <c r="K30" s="67"/>
      <c r="L30" s="67"/>
      <c r="M30" s="67"/>
      <c r="N30" s="69"/>
    </row>
    <row r="31" spans="1:14">
      <c r="A31" s="75"/>
      <c r="B31" s="62" t="s">
        <v>1079</v>
      </c>
      <c r="C31" s="63"/>
      <c r="D31" s="64"/>
      <c r="E31" s="92"/>
      <c r="F31" s="63"/>
      <c r="G31" s="63"/>
      <c r="H31" s="63"/>
      <c r="I31" s="63"/>
      <c r="J31" s="63"/>
      <c r="K31" s="63"/>
      <c r="L31" s="63"/>
      <c r="M31" s="63"/>
      <c r="N31" s="65"/>
    </row>
    <row r="32" spans="1:14">
      <c r="A32" s="75"/>
      <c r="B32" s="70" t="s">
        <v>1080</v>
      </c>
      <c r="C32" s="71"/>
      <c r="D32" s="72"/>
      <c r="E32" s="93"/>
      <c r="F32" s="71"/>
      <c r="G32" s="71"/>
      <c r="H32" s="71"/>
      <c r="I32" s="71"/>
      <c r="J32" s="71"/>
      <c r="K32" s="71"/>
      <c r="L32" s="71"/>
      <c r="M32" s="71"/>
      <c r="N32" s="73"/>
    </row>
    <row r="33" spans="1:14">
      <c r="A33" s="74">
        <v>5.4</v>
      </c>
      <c r="B33" s="78" t="s">
        <v>993</v>
      </c>
      <c r="C33" s="78"/>
      <c r="D33" s="79"/>
      <c r="E33" s="95"/>
      <c r="F33" s="78"/>
      <c r="G33" s="78"/>
      <c r="H33" s="78"/>
      <c r="I33" s="78"/>
      <c r="J33" s="78"/>
      <c r="K33" s="78"/>
      <c r="L33" s="78"/>
      <c r="M33" s="78"/>
      <c r="N33" s="80"/>
    </row>
    <row r="34" spans="1:14">
      <c r="A34" s="75"/>
      <c r="B34" s="59" t="s">
        <v>1072</v>
      </c>
      <c r="N34" s="61"/>
    </row>
    <row r="35" spans="1:14">
      <c r="A35" s="75"/>
      <c r="B35" s="59" t="s">
        <v>1073</v>
      </c>
      <c r="N35" s="61"/>
    </row>
    <row r="36" spans="1:14">
      <c r="A36" s="75"/>
      <c r="B36" s="59" t="s">
        <v>1074</v>
      </c>
      <c r="N36" s="61"/>
    </row>
    <row r="37" spans="1:14">
      <c r="A37" s="75"/>
      <c r="B37" s="59" t="s">
        <v>1075</v>
      </c>
      <c r="N37" s="61"/>
    </row>
    <row r="38" spans="1:14">
      <c r="A38" s="75"/>
      <c r="B38" s="59" t="s">
        <v>1076</v>
      </c>
      <c r="N38" s="61"/>
    </row>
    <row r="39" spans="1:14">
      <c r="A39" s="75"/>
      <c r="B39" s="62" t="s">
        <v>1077</v>
      </c>
      <c r="C39" s="63"/>
      <c r="D39" s="64">
        <v>0.1</v>
      </c>
      <c r="E39" s="90">
        <v>0.1</v>
      </c>
      <c r="F39" s="63"/>
      <c r="G39" s="63"/>
      <c r="H39" s="63"/>
      <c r="I39" s="63"/>
      <c r="J39" s="63"/>
      <c r="K39" s="63"/>
      <c r="L39" s="63"/>
      <c r="M39" s="63"/>
      <c r="N39" s="65"/>
    </row>
    <row r="40" spans="1:14">
      <c r="A40" s="75"/>
      <c r="B40" s="66" t="s">
        <v>1078</v>
      </c>
      <c r="C40" s="67"/>
      <c r="D40" s="68">
        <v>0.03</v>
      </c>
      <c r="E40" s="91">
        <v>0.03</v>
      </c>
      <c r="F40" s="67"/>
      <c r="G40" s="67"/>
      <c r="H40" s="67"/>
      <c r="I40" s="67"/>
      <c r="J40" s="67"/>
      <c r="K40" s="67"/>
      <c r="L40" s="67"/>
      <c r="M40" s="67"/>
      <c r="N40" s="69"/>
    </row>
    <row r="41" spans="1:14">
      <c r="A41" s="75"/>
      <c r="B41" s="62" t="s">
        <v>1079</v>
      </c>
      <c r="C41" s="63"/>
      <c r="D41" s="64"/>
      <c r="E41" s="92"/>
      <c r="F41" s="63"/>
      <c r="G41" s="63"/>
      <c r="H41" s="63"/>
      <c r="I41" s="63"/>
      <c r="J41" s="63"/>
      <c r="K41" s="63"/>
      <c r="L41" s="63"/>
      <c r="M41" s="63"/>
      <c r="N41" s="65"/>
    </row>
    <row r="42" spans="1:14">
      <c r="A42" s="81"/>
      <c r="B42" s="82" t="s">
        <v>1080</v>
      </c>
      <c r="C42" s="83"/>
      <c r="D42" s="84"/>
      <c r="E42" s="96"/>
      <c r="F42" s="83"/>
      <c r="G42" s="83"/>
      <c r="H42" s="83"/>
      <c r="I42" s="83"/>
      <c r="J42" s="83"/>
      <c r="K42" s="83"/>
      <c r="L42" s="83"/>
      <c r="M42" s="83"/>
      <c r="N42" s="85"/>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1"/>
  </sheetPr>
  <dimension ref="A1"/>
  <sheetViews>
    <sheetView workbookViewId="0"/>
  </sheetViews>
  <sheetFormatPr defaultRowHeight="14.2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J169"/>
  <sheetViews>
    <sheetView workbookViewId="0"/>
  </sheetViews>
  <sheetFormatPr defaultRowHeight="15"/>
  <cols>
    <col min="1" max="1" width="6.125" style="117" customWidth="1"/>
    <col min="2" max="2" width="36" style="102" customWidth="1"/>
    <col min="3" max="3" width="18" style="107" bestFit="1" customWidth="1"/>
    <col min="4" max="4" width="12.875" style="102" bestFit="1" customWidth="1"/>
    <col min="5" max="5" width="10.375" style="102" bestFit="1" customWidth="1"/>
    <col min="6" max="6" width="9.5" style="102" bestFit="1" customWidth="1"/>
  </cols>
  <sheetData>
    <row r="1" spans="1:10" ht="17.25" thickBot="1">
      <c r="A1" s="98"/>
      <c r="B1" s="99" t="s">
        <v>1016</v>
      </c>
      <c r="C1" s="100" t="s">
        <v>1112</v>
      </c>
      <c r="D1" s="101"/>
    </row>
    <row r="2" spans="1:10">
      <c r="A2" s="98"/>
      <c r="B2" s="106">
        <v>42521</v>
      </c>
    </row>
    <row r="3" spans="1:10">
      <c r="A3" s="991" t="s">
        <v>35</v>
      </c>
      <c r="B3" s="993" t="s">
        <v>1189</v>
      </c>
      <c r="C3" s="108" t="s">
        <v>0</v>
      </c>
      <c r="D3" s="109" t="s">
        <v>1</v>
      </c>
      <c r="E3" s="109" t="s">
        <v>2</v>
      </c>
      <c r="F3" s="109" t="s">
        <v>3</v>
      </c>
    </row>
    <row r="4" spans="1:10">
      <c r="A4" s="992"/>
      <c r="B4" s="994"/>
      <c r="C4" s="113">
        <v>42521</v>
      </c>
      <c r="D4" s="114">
        <v>42522</v>
      </c>
      <c r="E4" s="114">
        <v>42528</v>
      </c>
      <c r="F4" s="114">
        <v>42535</v>
      </c>
    </row>
    <row r="5" spans="1:10">
      <c r="A5" s="140">
        <v>1</v>
      </c>
      <c r="B5" s="141" t="s">
        <v>1026</v>
      </c>
      <c r="C5" s="142">
        <v>31396.553705799994</v>
      </c>
      <c r="D5" s="143">
        <v>-11379.613805517207</v>
      </c>
      <c r="E5" s="143">
        <v>-12836.474169296007</v>
      </c>
      <c r="F5" s="143">
        <v>-14259.840690736606</v>
      </c>
      <c r="G5">
        <v>48</v>
      </c>
      <c r="H5" t="s">
        <v>1190</v>
      </c>
      <c r="I5">
        <f>IF(A5="",I4,A5)</f>
        <v>1</v>
      </c>
      <c r="J5" t="str">
        <f>IF(I5=I4,J4,B5)</f>
        <v>Balance with Fed (include Reserve balance)</v>
      </c>
    </row>
    <row r="6" spans="1:10">
      <c r="A6" s="146">
        <v>1.1000000000000001</v>
      </c>
      <c r="B6" s="147" t="s">
        <v>1027</v>
      </c>
      <c r="C6" s="148">
        <v>30288.725705799992</v>
      </c>
      <c r="D6" s="149">
        <v>-12487.441805517206</v>
      </c>
      <c r="E6" s="149">
        <v>-13944.302169296006</v>
      </c>
      <c r="F6" s="149">
        <v>-15367.668690736606</v>
      </c>
      <c r="G6">
        <v>49</v>
      </c>
      <c r="H6" t="s">
        <v>1190</v>
      </c>
      <c r="I6">
        <f t="shared" ref="I6:I69" si="0">IF(A6="",I5,A6)</f>
        <v>1.1000000000000001</v>
      </c>
      <c r="J6" t="str">
        <f t="shared" ref="J6:J69" si="1">IF(I6=I5,J5,B6)</f>
        <v>Balance with Fed (net of Reserve balance)</v>
      </c>
    </row>
    <row r="7" spans="1:10">
      <c r="A7" s="152"/>
      <c r="B7" s="153" t="s">
        <v>1018</v>
      </c>
      <c r="C7" s="154"/>
      <c r="D7" s="155">
        <v>75.929649244996043</v>
      </c>
      <c r="E7" s="155">
        <v>318.01917200499997</v>
      </c>
      <c r="F7" s="155">
        <v>304.38257859000004</v>
      </c>
      <c r="G7">
        <v>52</v>
      </c>
      <c r="H7" t="s">
        <v>1192</v>
      </c>
      <c r="I7">
        <f t="shared" si="0"/>
        <v>1.1000000000000001</v>
      </c>
      <c r="J7" t="str">
        <f t="shared" si="1"/>
        <v>Balance with Fed (net of Reserve balance)</v>
      </c>
    </row>
    <row r="8" spans="1:10">
      <c r="A8" s="152"/>
      <c r="B8" s="153" t="s">
        <v>1019</v>
      </c>
      <c r="C8" s="154"/>
      <c r="D8" s="155">
        <v>-42852.097160562196</v>
      </c>
      <c r="E8" s="155">
        <v>-1774.8795357837998</v>
      </c>
      <c r="F8" s="155">
        <v>-1727.7491000305999</v>
      </c>
      <c r="G8">
        <v>55</v>
      </c>
      <c r="H8" t="s">
        <v>1192</v>
      </c>
      <c r="I8">
        <f t="shared" si="0"/>
        <v>1.1000000000000001</v>
      </c>
      <c r="J8" t="str">
        <f t="shared" si="1"/>
        <v>Balance with Fed (net of Reserve balance)</v>
      </c>
    </row>
    <row r="9" spans="1:10">
      <c r="A9" s="122"/>
      <c r="B9" s="153" t="s">
        <v>1068</v>
      </c>
      <c r="C9" s="154"/>
      <c r="D9" s="156">
        <v>-852.98508821849987</v>
      </c>
      <c r="E9" s="156">
        <v>-693.71489918887505</v>
      </c>
      <c r="F9" s="156">
        <v>-693.71489918887505</v>
      </c>
      <c r="G9">
        <v>57</v>
      </c>
      <c r="H9" t="s">
        <v>1192</v>
      </c>
      <c r="I9">
        <f t="shared" si="0"/>
        <v>1.1000000000000001</v>
      </c>
      <c r="J9" t="str">
        <f t="shared" si="1"/>
        <v>Balance with Fed (net of Reserve balance)</v>
      </c>
    </row>
    <row r="10" spans="1:10">
      <c r="A10" s="157">
        <v>2</v>
      </c>
      <c r="B10" s="158" t="s">
        <v>1013</v>
      </c>
      <c r="C10" s="159">
        <v>1107.828</v>
      </c>
      <c r="D10" s="160">
        <v>1107.828</v>
      </c>
      <c r="E10" s="160">
        <v>1107.828</v>
      </c>
      <c r="F10" s="160">
        <v>1107.828</v>
      </c>
      <c r="G10">
        <v>59</v>
      </c>
      <c r="H10" t="s">
        <v>1190</v>
      </c>
      <c r="I10">
        <f t="shared" si="0"/>
        <v>2</v>
      </c>
      <c r="J10" t="str">
        <f t="shared" si="1"/>
        <v>Reserve Balance</v>
      </c>
    </row>
    <row r="11" spans="1:10">
      <c r="A11" s="165">
        <v>3</v>
      </c>
      <c r="B11" s="166" t="s">
        <v>38</v>
      </c>
      <c r="C11" s="167">
        <v>1789.8608667399972</v>
      </c>
      <c r="D11" s="168">
        <v>1721.057054905001</v>
      </c>
      <c r="E11" s="168">
        <v>1721.057054905001</v>
      </c>
      <c r="F11" s="168">
        <v>1621.057054905001</v>
      </c>
      <c r="G11">
        <v>60</v>
      </c>
      <c r="H11" t="s">
        <v>1190</v>
      </c>
      <c r="I11">
        <f t="shared" si="0"/>
        <v>3</v>
      </c>
      <c r="J11" t="str">
        <f t="shared" si="1"/>
        <v>Due from Banks</v>
      </c>
    </row>
    <row r="12" spans="1:10">
      <c r="A12" s="171">
        <v>3.1</v>
      </c>
      <c r="B12" s="172" t="s">
        <v>17</v>
      </c>
      <c r="C12" s="173">
        <v>1099.5240001799971</v>
      </c>
      <c r="D12" s="174">
        <v>1031.057054905001</v>
      </c>
      <c r="E12" s="174">
        <v>1031.057054905001</v>
      </c>
      <c r="F12" s="174">
        <v>931.057054905001</v>
      </c>
      <c r="G12">
        <v>61</v>
      </c>
      <c r="H12" t="s">
        <v>1190</v>
      </c>
      <c r="I12">
        <f t="shared" si="0"/>
        <v>3.1</v>
      </c>
      <c r="J12" t="str">
        <f t="shared" si="1"/>
        <v>Due From Banks (IB / Affiliates)</v>
      </c>
    </row>
    <row r="13" spans="1:10">
      <c r="A13" s="180"/>
      <c r="B13" s="181" t="s">
        <v>51</v>
      </c>
      <c r="C13" s="154"/>
      <c r="D13" s="182">
        <v>136.93389054999207</v>
      </c>
      <c r="E13" s="182">
        <v>0</v>
      </c>
      <c r="F13" s="182">
        <v>200</v>
      </c>
      <c r="G13">
        <v>63</v>
      </c>
      <c r="H13" t="s">
        <v>1193</v>
      </c>
      <c r="I13">
        <f t="shared" si="0"/>
        <v>3.1</v>
      </c>
      <c r="J13" t="str">
        <f t="shared" si="1"/>
        <v>Due From Banks (IB / Affiliates)</v>
      </c>
    </row>
    <row r="14" spans="1:10">
      <c r="A14" s="180"/>
      <c r="B14" s="183" t="s">
        <v>50</v>
      </c>
      <c r="C14" s="184"/>
      <c r="D14" s="185">
        <v>0.5</v>
      </c>
      <c r="E14" s="185">
        <v>0.5</v>
      </c>
      <c r="F14" s="185">
        <v>0.5</v>
      </c>
      <c r="G14">
        <v>64</v>
      </c>
      <c r="H14" t="s">
        <v>49</v>
      </c>
      <c r="I14">
        <f t="shared" si="0"/>
        <v>3.1</v>
      </c>
      <c r="J14" t="str">
        <f t="shared" si="1"/>
        <v>Due From Banks (IB / Affiliates)</v>
      </c>
    </row>
    <row r="15" spans="1:10">
      <c r="A15" s="122"/>
      <c r="B15" s="153" t="s">
        <v>1015</v>
      </c>
      <c r="C15" s="154"/>
      <c r="D15" s="186">
        <v>68.466945274996036</v>
      </c>
      <c r="E15" s="187">
        <v>0</v>
      </c>
      <c r="F15" s="187">
        <v>100</v>
      </c>
      <c r="G15">
        <v>65</v>
      </c>
      <c r="H15" t="s">
        <v>1192</v>
      </c>
      <c r="I15">
        <f t="shared" si="0"/>
        <v>3.1</v>
      </c>
      <c r="J15" t="str">
        <f t="shared" si="1"/>
        <v>Due From Banks (IB / Affiliates)</v>
      </c>
    </row>
    <row r="16" spans="1:10">
      <c r="A16" s="171">
        <v>3.2</v>
      </c>
      <c r="B16" s="188" t="s">
        <v>37</v>
      </c>
      <c r="C16" s="189">
        <v>690.33686655999998</v>
      </c>
      <c r="D16" s="174">
        <v>690</v>
      </c>
      <c r="E16" s="174">
        <v>690</v>
      </c>
      <c r="F16" s="174">
        <v>690</v>
      </c>
      <c r="G16">
        <v>67</v>
      </c>
      <c r="H16" t="s">
        <v>1190</v>
      </c>
      <c r="I16">
        <f t="shared" si="0"/>
        <v>3.2</v>
      </c>
      <c r="J16" t="str">
        <f t="shared" si="1"/>
        <v>Due From Banks (3rd Party FI)</v>
      </c>
    </row>
    <row r="17" spans="1:10">
      <c r="A17" s="180"/>
      <c r="B17" s="181" t="s">
        <v>51</v>
      </c>
      <c r="C17" s="154"/>
      <c r="D17" s="182">
        <v>0.33686656000000004</v>
      </c>
      <c r="E17" s="182">
        <v>0</v>
      </c>
      <c r="F17" s="182">
        <v>0</v>
      </c>
      <c r="G17">
        <v>69</v>
      </c>
      <c r="H17" t="s">
        <v>1193</v>
      </c>
      <c r="I17">
        <f t="shared" si="0"/>
        <v>3.2</v>
      </c>
      <c r="J17" t="str">
        <f t="shared" si="1"/>
        <v>Due From Banks (3rd Party FI)</v>
      </c>
    </row>
    <row r="18" spans="1:10">
      <c r="A18" s="180"/>
      <c r="B18" s="183" t="s">
        <v>50</v>
      </c>
      <c r="C18" s="184"/>
      <c r="D18" s="185">
        <v>1</v>
      </c>
      <c r="E18" s="185">
        <v>1</v>
      </c>
      <c r="F18" s="185">
        <v>1</v>
      </c>
      <c r="G18">
        <v>70</v>
      </c>
      <c r="H18" t="s">
        <v>49</v>
      </c>
      <c r="I18">
        <f t="shared" si="0"/>
        <v>3.2</v>
      </c>
      <c r="J18" t="str">
        <f t="shared" si="1"/>
        <v>Due From Banks (3rd Party FI)</v>
      </c>
    </row>
    <row r="19" spans="1:10">
      <c r="A19" s="122"/>
      <c r="B19" s="153" t="s">
        <v>1015</v>
      </c>
      <c r="C19" s="154"/>
      <c r="D19" s="187">
        <v>0.33686656000000004</v>
      </c>
      <c r="E19" s="187">
        <v>0</v>
      </c>
      <c r="F19" s="187">
        <v>0</v>
      </c>
      <c r="G19">
        <v>71</v>
      </c>
      <c r="H19" t="s">
        <v>1192</v>
      </c>
      <c r="I19">
        <f t="shared" si="0"/>
        <v>3.2</v>
      </c>
      <c r="J19" t="str">
        <f t="shared" si="1"/>
        <v>Due From Banks (3rd Party FI)</v>
      </c>
    </row>
    <row r="20" spans="1:10">
      <c r="A20" s="191">
        <v>4</v>
      </c>
      <c r="B20" s="192" t="s">
        <v>19</v>
      </c>
      <c r="C20" s="193">
        <v>3351.0056614999999</v>
      </c>
      <c r="D20" s="194">
        <v>3351.0056614999999</v>
      </c>
      <c r="E20" s="194">
        <v>3351.0056614999999</v>
      </c>
      <c r="F20" s="194">
        <v>3351.0056614999999</v>
      </c>
      <c r="G20">
        <v>73</v>
      </c>
      <c r="H20" t="s">
        <v>1190</v>
      </c>
      <c r="I20">
        <f t="shared" si="0"/>
        <v>4</v>
      </c>
      <c r="J20" t="str">
        <f t="shared" si="1"/>
        <v>Securities</v>
      </c>
    </row>
    <row r="21" spans="1:10">
      <c r="A21" s="198"/>
      <c r="B21" s="199" t="s">
        <v>51</v>
      </c>
      <c r="C21" s="154"/>
      <c r="D21" s="200">
        <v>30</v>
      </c>
      <c r="E21" s="200">
        <v>0</v>
      </c>
      <c r="F21" s="200">
        <v>100</v>
      </c>
      <c r="G21">
        <v>75</v>
      </c>
      <c r="H21" t="s">
        <v>1193</v>
      </c>
      <c r="I21">
        <f t="shared" si="0"/>
        <v>4</v>
      </c>
      <c r="J21" t="str">
        <f t="shared" si="1"/>
        <v>Securities</v>
      </c>
    </row>
    <row r="22" spans="1:10">
      <c r="A22" s="198"/>
      <c r="B22" s="199" t="s">
        <v>1014</v>
      </c>
      <c r="C22" s="154"/>
      <c r="D22" s="201">
        <v>30</v>
      </c>
      <c r="E22" s="201">
        <v>0</v>
      </c>
      <c r="F22" s="201">
        <v>100</v>
      </c>
      <c r="G22">
        <v>76</v>
      </c>
      <c r="H22" t="s">
        <v>1194</v>
      </c>
      <c r="I22">
        <f t="shared" si="0"/>
        <v>4</v>
      </c>
      <c r="J22" t="str">
        <f t="shared" si="1"/>
        <v>Securities</v>
      </c>
    </row>
    <row r="23" spans="1:10">
      <c r="A23" s="203"/>
      <c r="B23" s="153" t="s">
        <v>1015</v>
      </c>
      <c r="C23" s="204"/>
      <c r="D23" s="187">
        <v>0</v>
      </c>
      <c r="E23" s="187">
        <v>0</v>
      </c>
      <c r="F23" s="187">
        <v>0</v>
      </c>
      <c r="G23">
        <v>77</v>
      </c>
      <c r="H23" t="s">
        <v>1192</v>
      </c>
      <c r="I23">
        <f t="shared" si="0"/>
        <v>4</v>
      </c>
      <c r="J23" t="str">
        <f t="shared" si="1"/>
        <v>Securities</v>
      </c>
    </row>
    <row r="24" spans="1:10">
      <c r="A24" s="205">
        <v>5</v>
      </c>
      <c r="B24" s="206" t="s">
        <v>18</v>
      </c>
      <c r="C24" s="167">
        <v>28123.429788200003</v>
      </c>
      <c r="D24" s="207">
        <v>28116.303950790003</v>
      </c>
      <c r="E24" s="207">
        <v>27798.284778785001</v>
      </c>
      <c r="F24" s="207">
        <v>27593.902200195</v>
      </c>
      <c r="G24">
        <v>79</v>
      </c>
      <c r="H24" t="s">
        <v>1190</v>
      </c>
      <c r="I24">
        <f t="shared" si="0"/>
        <v>5</v>
      </c>
      <c r="J24" t="str">
        <f t="shared" si="1"/>
        <v>Loans</v>
      </c>
    </row>
    <row r="25" spans="1:10">
      <c r="A25" s="171">
        <v>5.0999999999999996</v>
      </c>
      <c r="B25" s="212" t="s">
        <v>1062</v>
      </c>
      <c r="C25" s="142"/>
      <c r="D25" s="213"/>
      <c r="E25" s="213"/>
      <c r="F25" s="213"/>
      <c r="G25">
        <v>80</v>
      </c>
      <c r="H25" t="s">
        <v>1190</v>
      </c>
      <c r="I25">
        <f t="shared" si="0"/>
        <v>5.0999999999999996</v>
      </c>
      <c r="J25" t="str">
        <f t="shared" si="1"/>
        <v xml:space="preserve">Syndications </v>
      </c>
    </row>
    <row r="26" spans="1:10">
      <c r="A26" s="215" t="s">
        <v>1059</v>
      </c>
      <c r="B26" s="216" t="s">
        <v>1043</v>
      </c>
      <c r="C26" s="217">
        <v>3554.585882089998</v>
      </c>
      <c r="D26" s="128">
        <v>3554.585882089998</v>
      </c>
      <c r="E26" s="128">
        <v>3554.585882089998</v>
      </c>
      <c r="F26" s="128">
        <v>3554.585882089998</v>
      </c>
      <c r="G26">
        <v>81</v>
      </c>
      <c r="H26" t="s">
        <v>1190</v>
      </c>
      <c r="I26" t="str">
        <f t="shared" si="0"/>
        <v>5.1.1</v>
      </c>
      <c r="J26" t="str">
        <f t="shared" si="1"/>
        <v xml:space="preserve"> Syndications - U.S. customers  (170)</v>
      </c>
    </row>
    <row r="27" spans="1:10">
      <c r="A27" s="180"/>
      <c r="B27" s="181" t="s">
        <v>51</v>
      </c>
      <c r="C27" s="154"/>
      <c r="D27" s="182">
        <v>0</v>
      </c>
      <c r="E27" s="182">
        <v>0</v>
      </c>
      <c r="F27" s="182">
        <v>0</v>
      </c>
      <c r="G27">
        <v>83</v>
      </c>
      <c r="H27" t="s">
        <v>1193</v>
      </c>
      <c r="I27" t="str">
        <f t="shared" si="0"/>
        <v>5.1.1</v>
      </c>
      <c r="J27" t="str">
        <f t="shared" si="1"/>
        <v xml:space="preserve"> Syndications - U.S. customers  (170)</v>
      </c>
    </row>
    <row r="28" spans="1:10">
      <c r="A28" s="180"/>
      <c r="B28" s="183" t="s">
        <v>50</v>
      </c>
      <c r="C28" s="184"/>
      <c r="D28" s="185">
        <v>0.5</v>
      </c>
      <c r="E28" s="185">
        <v>0.5</v>
      </c>
      <c r="F28" s="185">
        <v>0.5</v>
      </c>
      <c r="G28">
        <v>84</v>
      </c>
      <c r="H28" t="s">
        <v>49</v>
      </c>
      <c r="I28" t="str">
        <f t="shared" si="0"/>
        <v>5.1.1</v>
      </c>
      <c r="J28" t="str">
        <f t="shared" si="1"/>
        <v xml:space="preserve"> Syndications - U.S. customers  (170)</v>
      </c>
    </row>
    <row r="29" spans="1:10">
      <c r="A29" s="122"/>
      <c r="B29" s="153" t="s">
        <v>1015</v>
      </c>
      <c r="C29" s="154"/>
      <c r="D29" s="187">
        <v>0</v>
      </c>
      <c r="E29" s="187">
        <v>0</v>
      </c>
      <c r="F29" s="187">
        <v>0</v>
      </c>
      <c r="G29">
        <v>85</v>
      </c>
      <c r="H29" t="s">
        <v>1192</v>
      </c>
      <c r="I29" t="str">
        <f t="shared" si="0"/>
        <v>5.1.1</v>
      </c>
      <c r="J29" t="str">
        <f t="shared" si="1"/>
        <v xml:space="preserve"> Syndications - U.S. customers  (170)</v>
      </c>
    </row>
    <row r="30" spans="1:10">
      <c r="A30" s="215" t="s">
        <v>1060</v>
      </c>
      <c r="B30" s="216" t="s">
        <v>1044</v>
      </c>
      <c r="C30" s="217">
        <v>2195.1610323199998</v>
      </c>
      <c r="D30" s="128">
        <v>2195.1610323199998</v>
      </c>
      <c r="E30" s="128">
        <v>2195.1610323199998</v>
      </c>
      <c r="F30" s="128">
        <v>2195.1610323199998</v>
      </c>
      <c r="G30">
        <v>87</v>
      </c>
      <c r="H30" t="s">
        <v>1190</v>
      </c>
      <c r="I30" t="str">
        <f t="shared" si="0"/>
        <v>5.1.2</v>
      </c>
      <c r="J30" t="str">
        <f t="shared" si="1"/>
        <v xml:space="preserve"> Syndications - Non U.S. customers (240)</v>
      </c>
    </row>
    <row r="31" spans="1:10">
      <c r="A31" s="180"/>
      <c r="B31" s="181" t="s">
        <v>51</v>
      </c>
      <c r="C31" s="154"/>
      <c r="D31" s="182">
        <v>0</v>
      </c>
      <c r="E31" s="182">
        <v>0</v>
      </c>
      <c r="F31" s="182">
        <v>0</v>
      </c>
      <c r="G31">
        <v>89</v>
      </c>
      <c r="H31" t="s">
        <v>1193</v>
      </c>
      <c r="I31" t="str">
        <f t="shared" si="0"/>
        <v>5.1.2</v>
      </c>
      <c r="J31" t="str">
        <f t="shared" si="1"/>
        <v xml:space="preserve"> Syndications - Non U.S. customers (240)</v>
      </c>
    </row>
    <row r="32" spans="1:10">
      <c r="A32" s="180"/>
      <c r="B32" s="183" t="s">
        <v>50</v>
      </c>
      <c r="C32" s="184"/>
      <c r="D32" s="185">
        <v>0.5</v>
      </c>
      <c r="E32" s="185">
        <v>0.5</v>
      </c>
      <c r="F32" s="185">
        <v>0.5</v>
      </c>
      <c r="G32">
        <v>90</v>
      </c>
      <c r="H32" t="s">
        <v>49</v>
      </c>
      <c r="I32" t="str">
        <f t="shared" si="0"/>
        <v>5.1.2</v>
      </c>
      <c r="J32" t="str">
        <f t="shared" si="1"/>
        <v xml:space="preserve"> Syndications - Non U.S. customers (240)</v>
      </c>
    </row>
    <row r="33" spans="1:10">
      <c r="A33" s="122"/>
      <c r="B33" s="153" t="s">
        <v>1015</v>
      </c>
      <c r="C33" s="154"/>
      <c r="D33" s="187">
        <v>0</v>
      </c>
      <c r="E33" s="187">
        <v>0</v>
      </c>
      <c r="F33" s="187">
        <v>0</v>
      </c>
      <c r="G33">
        <v>91</v>
      </c>
      <c r="H33" t="s">
        <v>1192</v>
      </c>
      <c r="I33" t="str">
        <f t="shared" si="0"/>
        <v>5.1.2</v>
      </c>
      <c r="J33" t="str">
        <f t="shared" si="1"/>
        <v xml:space="preserve"> Syndications - Non U.S. customers (240)</v>
      </c>
    </row>
    <row r="34" spans="1:10">
      <c r="A34" s="215">
        <v>5.2</v>
      </c>
      <c r="B34" s="212" t="s">
        <v>29</v>
      </c>
      <c r="C34" s="221">
        <v>6085.4807674699996</v>
      </c>
      <c r="D34" s="222">
        <v>6085.4807674699996</v>
      </c>
      <c r="E34" s="222">
        <v>6013.0257674699997</v>
      </c>
      <c r="F34" s="222">
        <v>5968.0257674699997</v>
      </c>
      <c r="G34">
        <v>93</v>
      </c>
      <c r="H34" t="s">
        <v>1190</v>
      </c>
      <c r="I34">
        <f t="shared" si="0"/>
        <v>5.2</v>
      </c>
      <c r="J34" t="str">
        <f t="shared" si="1"/>
        <v>Time (Bilateral)</v>
      </c>
    </row>
    <row r="35" spans="1:10">
      <c r="A35" s="215" t="s">
        <v>1061</v>
      </c>
      <c r="B35" s="223" t="s">
        <v>1058</v>
      </c>
      <c r="C35" s="217">
        <v>3362.5391986599998</v>
      </c>
      <c r="D35" s="128">
        <v>3362.5391986599998</v>
      </c>
      <c r="E35" s="128">
        <v>3322.5391986599998</v>
      </c>
      <c r="F35" s="128">
        <v>3320.0391986599998</v>
      </c>
      <c r="G35">
        <v>94</v>
      </c>
      <c r="H35" t="s">
        <v>1190</v>
      </c>
      <c r="I35" t="str">
        <f t="shared" si="0"/>
        <v>5.2.1</v>
      </c>
      <c r="J35" t="str">
        <f t="shared" si="1"/>
        <v>Time -Secured Non U.S.</v>
      </c>
    </row>
    <row r="36" spans="1:10">
      <c r="A36" s="180"/>
      <c r="B36" s="199" t="s">
        <v>51</v>
      </c>
      <c r="C36" s="154"/>
      <c r="D36" s="182">
        <v>0</v>
      </c>
      <c r="E36" s="182">
        <v>80</v>
      </c>
      <c r="F36" s="182">
        <v>5</v>
      </c>
      <c r="G36">
        <v>96</v>
      </c>
      <c r="H36" t="s">
        <v>1193</v>
      </c>
      <c r="I36" t="str">
        <f t="shared" si="0"/>
        <v>5.2.1</v>
      </c>
      <c r="J36" t="str">
        <f t="shared" si="1"/>
        <v>Time -Secured Non U.S.</v>
      </c>
    </row>
    <row r="37" spans="1:10">
      <c r="A37" s="180"/>
      <c r="B37" s="199" t="s">
        <v>50</v>
      </c>
      <c r="C37" s="184"/>
      <c r="D37" s="185">
        <v>0.5</v>
      </c>
      <c r="E37" s="185">
        <v>0.5</v>
      </c>
      <c r="F37" s="185">
        <v>0.5</v>
      </c>
      <c r="G37">
        <v>97</v>
      </c>
      <c r="H37" t="s">
        <v>49</v>
      </c>
      <c r="I37" t="str">
        <f t="shared" si="0"/>
        <v>5.2.1</v>
      </c>
      <c r="J37" t="str">
        <f t="shared" si="1"/>
        <v>Time -Secured Non U.S.</v>
      </c>
    </row>
    <row r="38" spans="1:10">
      <c r="A38" s="122"/>
      <c r="B38" s="153" t="s">
        <v>1015</v>
      </c>
      <c r="C38" s="154"/>
      <c r="D38" s="187">
        <v>0</v>
      </c>
      <c r="E38" s="187">
        <v>40</v>
      </c>
      <c r="F38" s="187">
        <v>2.5</v>
      </c>
      <c r="G38">
        <v>98</v>
      </c>
      <c r="H38" t="s">
        <v>1192</v>
      </c>
      <c r="I38" t="str">
        <f t="shared" si="0"/>
        <v>5.2.1</v>
      </c>
      <c r="J38" t="str">
        <f t="shared" si="1"/>
        <v>Time -Secured Non U.S.</v>
      </c>
    </row>
    <row r="39" spans="1:10">
      <c r="A39" s="224" t="s">
        <v>1063</v>
      </c>
      <c r="B39" s="223" t="s">
        <v>1158</v>
      </c>
      <c r="C39" s="217">
        <v>102.31</v>
      </c>
      <c r="D39" s="128">
        <v>102.31</v>
      </c>
      <c r="E39" s="128">
        <v>102.31</v>
      </c>
      <c r="F39" s="128">
        <v>102.31</v>
      </c>
      <c r="G39">
        <v>100</v>
      </c>
      <c r="H39" t="s">
        <v>1190</v>
      </c>
      <c r="I39" t="str">
        <f t="shared" si="0"/>
        <v>5.2.2</v>
      </c>
      <c r="J39" t="str">
        <f t="shared" si="1"/>
        <v xml:space="preserve">Time - unsecured U.S. </v>
      </c>
    </row>
    <row r="40" spans="1:10">
      <c r="A40" s="180"/>
      <c r="B40" s="199" t="s">
        <v>51</v>
      </c>
      <c r="C40" s="154"/>
      <c r="D40" s="182">
        <v>0</v>
      </c>
      <c r="E40" s="182">
        <v>0</v>
      </c>
      <c r="F40" s="182">
        <v>0</v>
      </c>
      <c r="G40">
        <v>102</v>
      </c>
      <c r="H40" t="s">
        <v>1193</v>
      </c>
      <c r="I40" t="str">
        <f t="shared" si="0"/>
        <v>5.2.2</v>
      </c>
      <c r="J40" t="str">
        <f t="shared" si="1"/>
        <v xml:space="preserve">Time - unsecured U.S. </v>
      </c>
    </row>
    <row r="41" spans="1:10">
      <c r="A41" s="180"/>
      <c r="B41" s="199" t="s">
        <v>50</v>
      </c>
      <c r="C41" s="184"/>
      <c r="D41" s="185">
        <v>0.5</v>
      </c>
      <c r="E41" s="185">
        <v>0.5</v>
      </c>
      <c r="F41" s="185">
        <v>0.5</v>
      </c>
      <c r="G41">
        <v>103</v>
      </c>
      <c r="H41" t="s">
        <v>49</v>
      </c>
      <c r="I41" t="str">
        <f t="shared" si="0"/>
        <v>5.2.2</v>
      </c>
      <c r="J41" t="str">
        <f t="shared" si="1"/>
        <v xml:space="preserve">Time - unsecured U.S. </v>
      </c>
    </row>
    <row r="42" spans="1:10">
      <c r="A42" s="122"/>
      <c r="B42" s="153" t="s">
        <v>1015</v>
      </c>
      <c r="C42" s="154"/>
      <c r="D42" s="187">
        <v>0</v>
      </c>
      <c r="E42" s="187">
        <v>0</v>
      </c>
      <c r="F42" s="187">
        <v>0</v>
      </c>
      <c r="G42">
        <v>104</v>
      </c>
      <c r="H42" t="s">
        <v>1192</v>
      </c>
      <c r="I42" t="str">
        <f t="shared" si="0"/>
        <v>5.2.2</v>
      </c>
      <c r="J42" t="str">
        <f t="shared" si="1"/>
        <v xml:space="preserve">Time - unsecured U.S. </v>
      </c>
    </row>
    <row r="43" spans="1:10">
      <c r="A43" s="224" t="s">
        <v>1064</v>
      </c>
      <c r="B43" s="223" t="s">
        <v>1157</v>
      </c>
      <c r="C43" s="217">
        <v>2620.6315688099999</v>
      </c>
      <c r="D43" s="128">
        <v>2620.6315688099999</v>
      </c>
      <c r="E43" s="128">
        <v>2588.1765688099999</v>
      </c>
      <c r="F43" s="128">
        <v>2545.6765688099999</v>
      </c>
      <c r="G43">
        <v>106</v>
      </c>
      <c r="H43" t="s">
        <v>1190</v>
      </c>
      <c r="I43" t="str">
        <f t="shared" si="0"/>
        <v>5.2.3</v>
      </c>
      <c r="J43" t="str">
        <f t="shared" si="1"/>
        <v xml:space="preserve">Time - secured U.S. </v>
      </c>
    </row>
    <row r="44" spans="1:10">
      <c r="A44" s="180"/>
      <c r="B44" s="199" t="s">
        <v>51</v>
      </c>
      <c r="C44" s="154"/>
      <c r="D44" s="182">
        <v>0</v>
      </c>
      <c r="E44" s="182">
        <v>64.91</v>
      </c>
      <c r="F44" s="182">
        <v>85</v>
      </c>
      <c r="G44">
        <v>108</v>
      </c>
      <c r="H44" t="s">
        <v>1193</v>
      </c>
      <c r="I44" t="str">
        <f t="shared" si="0"/>
        <v>5.2.3</v>
      </c>
      <c r="J44" t="str">
        <f t="shared" si="1"/>
        <v xml:space="preserve">Time - secured U.S. </v>
      </c>
    </row>
    <row r="45" spans="1:10">
      <c r="A45" s="180"/>
      <c r="B45" s="199" t="s">
        <v>50</v>
      </c>
      <c r="C45" s="184"/>
      <c r="D45" s="185">
        <v>0.5</v>
      </c>
      <c r="E45" s="185">
        <v>0.5</v>
      </c>
      <c r="F45" s="185">
        <v>0.5</v>
      </c>
      <c r="G45">
        <v>109</v>
      </c>
      <c r="H45" t="s">
        <v>49</v>
      </c>
      <c r="I45" t="str">
        <f t="shared" si="0"/>
        <v>5.2.3</v>
      </c>
      <c r="J45" t="str">
        <f t="shared" si="1"/>
        <v xml:space="preserve">Time - secured U.S. </v>
      </c>
    </row>
    <row r="46" spans="1:10">
      <c r="A46" s="122"/>
      <c r="B46" s="153" t="s">
        <v>1015</v>
      </c>
      <c r="C46" s="154"/>
      <c r="D46" s="187">
        <v>0</v>
      </c>
      <c r="E46" s="187">
        <v>32.454999999999998</v>
      </c>
      <c r="F46" s="187">
        <v>42.5</v>
      </c>
      <c r="G46">
        <v>110</v>
      </c>
      <c r="H46" t="s">
        <v>1192</v>
      </c>
      <c r="I46" t="str">
        <f t="shared" si="0"/>
        <v>5.2.3</v>
      </c>
      <c r="J46" t="str">
        <f t="shared" si="1"/>
        <v xml:space="preserve">Time - secured U.S. </v>
      </c>
    </row>
    <row r="47" spans="1:10">
      <c r="A47" s="225">
        <v>5.3</v>
      </c>
      <c r="B47" s="226" t="s">
        <v>1017</v>
      </c>
      <c r="C47" s="189">
        <v>9414.5252949299993</v>
      </c>
      <c r="D47" s="174">
        <v>9409.3568586900001</v>
      </c>
      <c r="E47" s="174">
        <v>9409.3568586900001</v>
      </c>
      <c r="F47" s="174">
        <v>9409.3568586900001</v>
      </c>
      <c r="G47">
        <v>112</v>
      </c>
      <c r="H47" t="s">
        <v>1190</v>
      </c>
      <c r="I47">
        <f t="shared" si="0"/>
        <v>5.3</v>
      </c>
      <c r="J47" t="str">
        <f t="shared" si="1"/>
        <v>Mortgage (Commercial and Retail)</v>
      </c>
    </row>
    <row r="48" spans="1:10">
      <c r="A48" s="180"/>
      <c r="B48" s="199" t="s">
        <v>51</v>
      </c>
      <c r="C48" s="154"/>
      <c r="D48" s="182">
        <v>10.33687248</v>
      </c>
      <c r="E48" s="182">
        <v>0</v>
      </c>
      <c r="F48" s="182">
        <v>0</v>
      </c>
      <c r="G48">
        <v>114</v>
      </c>
      <c r="H48" t="s">
        <v>1193</v>
      </c>
      <c r="I48">
        <f t="shared" si="0"/>
        <v>5.3</v>
      </c>
      <c r="J48" t="str">
        <f t="shared" si="1"/>
        <v>Mortgage (Commercial and Retail)</v>
      </c>
    </row>
    <row r="49" spans="1:10">
      <c r="A49" s="180"/>
      <c r="B49" s="199" t="s">
        <v>50</v>
      </c>
      <c r="C49" s="184"/>
      <c r="D49" s="185">
        <v>0.5</v>
      </c>
      <c r="E49" s="185">
        <v>0.5</v>
      </c>
      <c r="F49" s="185">
        <v>0.5</v>
      </c>
      <c r="G49">
        <v>115</v>
      </c>
      <c r="H49" t="s">
        <v>49</v>
      </c>
      <c r="I49">
        <f t="shared" si="0"/>
        <v>5.3</v>
      </c>
      <c r="J49" t="str">
        <f t="shared" si="1"/>
        <v>Mortgage (Commercial and Retail)</v>
      </c>
    </row>
    <row r="50" spans="1:10">
      <c r="A50" s="122"/>
      <c r="B50" s="153" t="s">
        <v>1015</v>
      </c>
      <c r="C50" s="154"/>
      <c r="D50" s="187">
        <v>5.1684362400000001</v>
      </c>
      <c r="E50" s="187">
        <v>0</v>
      </c>
      <c r="F50" s="187">
        <v>0</v>
      </c>
      <c r="G50">
        <v>116</v>
      </c>
      <c r="H50" t="s">
        <v>1192</v>
      </c>
      <c r="I50">
        <f t="shared" si="0"/>
        <v>5.3</v>
      </c>
      <c r="J50" t="str">
        <f t="shared" si="1"/>
        <v>Mortgage (Commercial and Retail)</v>
      </c>
    </row>
    <row r="51" spans="1:10">
      <c r="A51" s="215">
        <v>5.4</v>
      </c>
      <c r="B51" s="228" t="s">
        <v>31</v>
      </c>
      <c r="C51" s="229">
        <v>6873.6768113900034</v>
      </c>
      <c r="D51" s="230">
        <v>6871.7194102200037</v>
      </c>
      <c r="E51" s="230">
        <v>6626.1552382150039</v>
      </c>
      <c r="F51" s="230">
        <v>6466.7726596250041</v>
      </c>
      <c r="G51">
        <v>118</v>
      </c>
      <c r="H51" t="s">
        <v>1190</v>
      </c>
      <c r="I51">
        <f t="shared" si="0"/>
        <v>5.4</v>
      </c>
      <c r="J51" t="str">
        <f t="shared" si="1"/>
        <v xml:space="preserve">  Trade finance</v>
      </c>
    </row>
    <row r="52" spans="1:10" ht="30">
      <c r="A52" s="224"/>
      <c r="B52" s="232" t="s">
        <v>1159</v>
      </c>
      <c r="C52" s="154">
        <v>4916.8137557800037</v>
      </c>
      <c r="D52" s="124">
        <v>4914.856354610004</v>
      </c>
      <c r="E52" s="124">
        <v>4901.2930190550042</v>
      </c>
      <c r="F52" s="124">
        <v>4801.1682697350043</v>
      </c>
      <c r="G52">
        <v>119</v>
      </c>
      <c r="H52" t="s">
        <v>1190</v>
      </c>
      <c r="I52">
        <f t="shared" si="0"/>
        <v>5.4</v>
      </c>
      <c r="J52" t="str">
        <f t="shared" si="1"/>
        <v xml:space="preserve">  Trade finance</v>
      </c>
    </row>
    <row r="53" spans="1:10">
      <c r="A53" s="224" t="s">
        <v>1066</v>
      </c>
      <c r="B53" s="234" t="s">
        <v>990</v>
      </c>
      <c r="C53" s="154">
        <v>1040.4429996200001</v>
      </c>
      <c r="D53" s="235">
        <v>1039.1591303950001</v>
      </c>
      <c r="E53" s="235">
        <v>1033.7503578500002</v>
      </c>
      <c r="F53" s="235">
        <v>1014.1796606850003</v>
      </c>
      <c r="G53">
        <v>120</v>
      </c>
      <c r="H53" t="s">
        <v>1190</v>
      </c>
      <c r="I53" t="str">
        <f t="shared" si="0"/>
        <v>5.4.1</v>
      </c>
      <c r="J53" t="str">
        <f t="shared" si="1"/>
        <v>Trade Finance - IB &amp; Affiliates</v>
      </c>
    </row>
    <row r="54" spans="1:10">
      <c r="A54" s="180"/>
      <c r="B54" s="199" t="s">
        <v>51</v>
      </c>
      <c r="C54" s="154"/>
      <c r="D54" s="236">
        <v>2.5677384500000002</v>
      </c>
      <c r="E54" s="236">
        <v>10.817545089999998</v>
      </c>
      <c r="F54" s="236">
        <v>39.141394329999997</v>
      </c>
      <c r="G54">
        <v>122</v>
      </c>
      <c r="H54" t="s">
        <v>1193</v>
      </c>
      <c r="I54" t="str">
        <f t="shared" si="0"/>
        <v>5.4.1</v>
      </c>
      <c r="J54" t="str">
        <f t="shared" si="1"/>
        <v>Trade Finance - IB &amp; Affiliates</v>
      </c>
    </row>
    <row r="55" spans="1:10">
      <c r="A55" s="180"/>
      <c r="B55" s="199" t="s">
        <v>50</v>
      </c>
      <c r="C55" s="184"/>
      <c r="D55" s="185">
        <v>0.5</v>
      </c>
      <c r="E55" s="185">
        <v>0.5</v>
      </c>
      <c r="F55" s="185">
        <v>0.5</v>
      </c>
      <c r="G55">
        <v>123</v>
      </c>
      <c r="H55" t="s">
        <v>49</v>
      </c>
      <c r="I55" t="str">
        <f t="shared" si="0"/>
        <v>5.4.1</v>
      </c>
      <c r="J55" t="str">
        <f t="shared" si="1"/>
        <v>Trade Finance - IB &amp; Affiliates</v>
      </c>
    </row>
    <row r="56" spans="1:10">
      <c r="A56" s="122"/>
      <c r="B56" s="153" t="s">
        <v>1015</v>
      </c>
      <c r="C56" s="204"/>
      <c r="D56" s="186">
        <v>1.2838692250000001</v>
      </c>
      <c r="E56" s="187">
        <v>5.4087725449999988</v>
      </c>
      <c r="F56" s="187">
        <v>19.570697164999999</v>
      </c>
      <c r="G56">
        <v>124</v>
      </c>
      <c r="H56" t="s">
        <v>1192</v>
      </c>
      <c r="I56" t="str">
        <f t="shared" si="0"/>
        <v>5.4.1</v>
      </c>
      <c r="J56" t="str">
        <f t="shared" si="1"/>
        <v>Trade Finance - IB &amp; Affiliates</v>
      </c>
    </row>
    <row r="57" spans="1:10">
      <c r="A57" s="224" t="s">
        <v>1067</v>
      </c>
      <c r="B57" s="234" t="s">
        <v>991</v>
      </c>
      <c r="C57" s="154">
        <v>3876.370756160004</v>
      </c>
      <c r="D57" s="235">
        <v>3875.6972242150041</v>
      </c>
      <c r="E57" s="235">
        <v>3867.5426612050042</v>
      </c>
      <c r="F57" s="235">
        <v>3786.988609050004</v>
      </c>
      <c r="G57">
        <v>126</v>
      </c>
      <c r="H57" t="s">
        <v>1190</v>
      </c>
      <c r="I57" t="str">
        <f t="shared" si="0"/>
        <v>5.4.2</v>
      </c>
      <c r="J57" t="str">
        <f t="shared" si="1"/>
        <v>Trade Finance - 3rd Parties</v>
      </c>
    </row>
    <row r="58" spans="1:10">
      <c r="A58" s="180"/>
      <c r="B58" s="199" t="s">
        <v>51</v>
      </c>
      <c r="C58" s="154"/>
      <c r="D58" s="236">
        <v>1.3470638899999998</v>
      </c>
      <c r="E58" s="236">
        <v>16.309126019999997</v>
      </c>
      <c r="F58" s="236">
        <v>161.10810431000004</v>
      </c>
      <c r="G58">
        <v>128</v>
      </c>
      <c r="H58" t="s">
        <v>1193</v>
      </c>
      <c r="I58" t="str">
        <f t="shared" si="0"/>
        <v>5.4.2</v>
      </c>
      <c r="J58" t="str">
        <f t="shared" si="1"/>
        <v>Trade Finance - 3rd Parties</v>
      </c>
    </row>
    <row r="59" spans="1:10">
      <c r="A59" s="180"/>
      <c r="B59" s="199" t="s">
        <v>50</v>
      </c>
      <c r="C59" s="184"/>
      <c r="D59" s="185">
        <v>0.5</v>
      </c>
      <c r="E59" s="185">
        <v>0.5</v>
      </c>
      <c r="F59" s="185">
        <v>0.5</v>
      </c>
      <c r="G59">
        <v>129</v>
      </c>
      <c r="H59" t="s">
        <v>49</v>
      </c>
      <c r="I59" t="str">
        <f t="shared" si="0"/>
        <v>5.4.2</v>
      </c>
      <c r="J59" t="str">
        <f t="shared" si="1"/>
        <v>Trade Finance - 3rd Parties</v>
      </c>
    </row>
    <row r="60" spans="1:10">
      <c r="A60" s="122"/>
      <c r="B60" s="153" t="s">
        <v>1015</v>
      </c>
      <c r="C60" s="204"/>
      <c r="D60" s="187">
        <v>0.67353194499999991</v>
      </c>
      <c r="E60" s="187">
        <v>8.1545630099999986</v>
      </c>
      <c r="F60" s="187">
        <v>80.554052155000022</v>
      </c>
      <c r="G60">
        <v>130</v>
      </c>
      <c r="H60" t="s">
        <v>1192</v>
      </c>
      <c r="I60" t="str">
        <f t="shared" si="0"/>
        <v>5.4.2</v>
      </c>
      <c r="J60" t="str">
        <f t="shared" si="1"/>
        <v>Trade Finance - 3rd Parties</v>
      </c>
    </row>
    <row r="61" spans="1:10">
      <c r="A61" s="224" t="s">
        <v>1156</v>
      </c>
      <c r="B61" s="232" t="s">
        <v>1065</v>
      </c>
      <c r="C61" s="154">
        <v>1956.8630556099997</v>
      </c>
      <c r="D61" s="124">
        <v>1956.8630556099997</v>
      </c>
      <c r="E61" s="124">
        <v>1724.8622191599998</v>
      </c>
      <c r="F61" s="124">
        <v>1665.6043898899998</v>
      </c>
      <c r="G61">
        <v>132</v>
      </c>
      <c r="H61" t="s">
        <v>1190</v>
      </c>
      <c r="I61" t="str">
        <f t="shared" si="0"/>
        <v>5.4.3</v>
      </c>
      <c r="J61" t="str">
        <f t="shared" si="1"/>
        <v xml:space="preserve">Trade Finance - Non FI </v>
      </c>
    </row>
    <row r="62" spans="1:10">
      <c r="A62" s="180"/>
      <c r="B62" s="199" t="s">
        <v>51</v>
      </c>
      <c r="C62" s="154"/>
      <c r="D62" s="236">
        <v>0</v>
      </c>
      <c r="E62" s="236">
        <v>232.00083644999998</v>
      </c>
      <c r="F62" s="236">
        <v>59.257829269999995</v>
      </c>
      <c r="G62">
        <v>134</v>
      </c>
      <c r="H62" t="s">
        <v>1193</v>
      </c>
      <c r="I62" t="str">
        <f t="shared" si="0"/>
        <v>5.4.3</v>
      </c>
      <c r="J62" t="str">
        <f t="shared" si="1"/>
        <v xml:space="preserve">Trade Finance - Non FI </v>
      </c>
    </row>
    <row r="63" spans="1:10">
      <c r="A63" s="180"/>
      <c r="B63" s="199" t="s">
        <v>50</v>
      </c>
      <c r="C63" s="184"/>
      <c r="D63" s="185">
        <v>1</v>
      </c>
      <c r="E63" s="185">
        <v>1</v>
      </c>
      <c r="F63" s="185">
        <v>1</v>
      </c>
      <c r="G63">
        <v>135</v>
      </c>
      <c r="H63" t="s">
        <v>49</v>
      </c>
      <c r="I63" t="str">
        <f t="shared" si="0"/>
        <v>5.4.3</v>
      </c>
      <c r="J63" t="str">
        <f t="shared" si="1"/>
        <v xml:space="preserve">Trade Finance - Non FI </v>
      </c>
    </row>
    <row r="64" spans="1:10">
      <c r="A64" s="122"/>
      <c r="B64" s="153" t="s">
        <v>1015</v>
      </c>
      <c r="C64" s="204"/>
      <c r="D64" s="187">
        <v>0</v>
      </c>
      <c r="E64" s="187">
        <v>232.00083644999998</v>
      </c>
      <c r="F64" s="187">
        <v>59.257829269999995</v>
      </c>
      <c r="G64">
        <v>136</v>
      </c>
      <c r="H64" t="s">
        <v>1192</v>
      </c>
      <c r="I64" t="str">
        <f t="shared" si="0"/>
        <v>5.4.3</v>
      </c>
      <c r="J64" t="str">
        <f t="shared" si="1"/>
        <v xml:space="preserve">Trade Finance - Non FI </v>
      </c>
    </row>
    <row r="65" spans="1:10">
      <c r="A65" s="237">
        <v>6</v>
      </c>
      <c r="B65" s="238" t="s">
        <v>20</v>
      </c>
      <c r="C65" s="239">
        <v>166.86290197</v>
      </c>
      <c r="D65" s="240">
        <v>166.86290197</v>
      </c>
      <c r="E65" s="240">
        <v>166.86290197</v>
      </c>
      <c r="F65" s="240">
        <v>166.86290197</v>
      </c>
      <c r="G65">
        <v>138</v>
      </c>
      <c r="H65" t="s">
        <v>1190</v>
      </c>
      <c r="I65">
        <f t="shared" si="0"/>
        <v>6</v>
      </c>
      <c r="J65" t="str">
        <f t="shared" si="1"/>
        <v>BOLI</v>
      </c>
    </row>
    <row r="66" spans="1:10">
      <c r="A66" s="237">
        <v>7</v>
      </c>
      <c r="B66" s="243" t="s">
        <v>21</v>
      </c>
      <c r="C66" s="193">
        <v>106.84589441000011</v>
      </c>
      <c r="D66" s="244">
        <v>106.84589441000011</v>
      </c>
      <c r="E66" s="244">
        <v>106.84589441000011</v>
      </c>
      <c r="F66" s="244">
        <v>106.84589441000011</v>
      </c>
      <c r="G66">
        <v>139</v>
      </c>
      <c r="H66" t="s">
        <v>1190</v>
      </c>
      <c r="I66">
        <f t="shared" si="0"/>
        <v>7</v>
      </c>
      <c r="J66" t="str">
        <f t="shared" si="1"/>
        <v>Other Assets</v>
      </c>
    </row>
    <row r="67" spans="1:10" ht="15.75" thickBot="1">
      <c r="A67" s="246"/>
      <c r="B67" s="131" t="s">
        <v>22</v>
      </c>
      <c r="C67" s="247">
        <v>64934.558818619997</v>
      </c>
      <c r="D67" s="132">
        <v>22082.461658057793</v>
      </c>
      <c r="E67" s="132">
        <v>20307.582122273991</v>
      </c>
      <c r="F67" s="132">
        <v>18579.833022243391</v>
      </c>
      <c r="G67">
        <v>140</v>
      </c>
      <c r="H67" t="s">
        <v>1191</v>
      </c>
      <c r="I67">
        <f t="shared" si="0"/>
        <v>7</v>
      </c>
      <c r="J67" t="str">
        <f t="shared" si="1"/>
        <v>Other Assets</v>
      </c>
    </row>
    <row r="68" spans="1:10" ht="15.75" thickTop="1">
      <c r="A68" s="140">
        <v>8</v>
      </c>
      <c r="B68" s="141" t="s">
        <v>23</v>
      </c>
      <c r="C68" s="255">
        <v>45969.542564649993</v>
      </c>
      <c r="D68" s="256">
        <v>9383.8423917379969</v>
      </c>
      <c r="E68" s="256">
        <v>9006.6935398659953</v>
      </c>
      <c r="F68" s="256">
        <v>7629.5446879939964</v>
      </c>
      <c r="G68">
        <v>143</v>
      </c>
      <c r="H68" t="s">
        <v>1190</v>
      </c>
      <c r="I68">
        <f t="shared" si="0"/>
        <v>8</v>
      </c>
      <c r="J68" t="str">
        <f t="shared" si="1"/>
        <v>Due To Banks</v>
      </c>
    </row>
    <row r="69" spans="1:10">
      <c r="A69" s="261">
        <v>8.1</v>
      </c>
      <c r="B69" s="262" t="s">
        <v>34</v>
      </c>
      <c r="C69" s="263">
        <v>22013.215144709997</v>
      </c>
      <c r="D69" s="264">
        <v>5889.9550977830004</v>
      </c>
      <c r="E69" s="264">
        <v>5696.6950508559994</v>
      </c>
      <c r="F69" s="264">
        <v>4503.4350039289993</v>
      </c>
      <c r="G69">
        <v>144</v>
      </c>
      <c r="H69" t="s">
        <v>1190</v>
      </c>
      <c r="I69">
        <f t="shared" si="0"/>
        <v>8.1</v>
      </c>
      <c r="J69" t="str">
        <f t="shared" si="1"/>
        <v>Due to Banks - IB &amp; Affiliate</v>
      </c>
    </row>
    <row r="70" spans="1:10">
      <c r="A70" s="177" t="s">
        <v>994</v>
      </c>
      <c r="B70" s="232" t="s">
        <v>407</v>
      </c>
      <c r="C70" s="236">
        <v>43.112013339999997</v>
      </c>
      <c r="D70" s="124">
        <v>40.956412672999996</v>
      </c>
      <c r="E70" s="124">
        <v>38.800812005999994</v>
      </c>
      <c r="F70" s="124">
        <v>36.645211338999992</v>
      </c>
      <c r="G70">
        <v>145</v>
      </c>
      <c r="H70" t="s">
        <v>1190</v>
      </c>
      <c r="I70" t="str">
        <f t="shared" ref="I70:I133" si="2">IF(A70="",I69,A70)</f>
        <v>8.1.1</v>
      </c>
      <c r="J70" t="str">
        <f t="shared" ref="J70:J133" si="3">IF(I70=I69,J69,B70)</f>
        <v>DUE TO INTERBRANCH - DEMAND</v>
      </c>
    </row>
    <row r="71" spans="1:10">
      <c r="A71" s="122"/>
      <c r="B71" s="267" t="s">
        <v>51</v>
      </c>
      <c r="C71" s="124"/>
      <c r="D71" s="128">
        <v>43.112013339999997</v>
      </c>
      <c r="E71" s="128">
        <v>40.956412672999996</v>
      </c>
      <c r="F71" s="128">
        <v>38.800812005999994</v>
      </c>
      <c r="G71">
        <v>147</v>
      </c>
      <c r="H71" t="s">
        <v>1193</v>
      </c>
      <c r="I71" t="str">
        <f t="shared" si="2"/>
        <v>8.1.1</v>
      </c>
      <c r="J71" t="str">
        <f t="shared" si="3"/>
        <v>DUE TO INTERBRANCH - DEMAND</v>
      </c>
    </row>
    <row r="72" spans="1:10">
      <c r="A72" s="269"/>
      <c r="B72" s="199" t="s">
        <v>50</v>
      </c>
      <c r="C72" s="236"/>
      <c r="D72" s="270">
        <v>0.05</v>
      </c>
      <c r="E72" s="270">
        <v>0.05</v>
      </c>
      <c r="F72" s="270">
        <v>0.05</v>
      </c>
      <c r="G72">
        <v>148</v>
      </c>
      <c r="H72" t="s">
        <v>49</v>
      </c>
      <c r="I72" t="str">
        <f t="shared" si="2"/>
        <v>8.1.1</v>
      </c>
      <c r="J72" t="str">
        <f t="shared" si="3"/>
        <v>DUE TO INTERBRANCH - DEMAND</v>
      </c>
    </row>
    <row r="73" spans="1:10">
      <c r="A73" s="266"/>
      <c r="B73" s="153" t="s">
        <v>998</v>
      </c>
      <c r="C73" s="273"/>
      <c r="D73" s="187">
        <v>2.1556006669999999</v>
      </c>
      <c r="E73" s="187">
        <v>2.1556006669999999</v>
      </c>
      <c r="F73" s="187">
        <v>2.1556006669999999</v>
      </c>
      <c r="G73">
        <v>149</v>
      </c>
      <c r="H73" t="s">
        <v>1192</v>
      </c>
      <c r="I73" t="str">
        <f t="shared" si="2"/>
        <v>8.1.1</v>
      </c>
      <c r="J73" t="str">
        <f t="shared" si="3"/>
        <v>DUE TO INTERBRANCH - DEMAND</v>
      </c>
    </row>
    <row r="74" spans="1:10">
      <c r="A74" s="224" t="s">
        <v>995</v>
      </c>
      <c r="B74" s="123" t="s">
        <v>409</v>
      </c>
      <c r="C74" s="236">
        <v>2509.9526976899997</v>
      </c>
      <c r="D74" s="128">
        <v>2384.4550628054999</v>
      </c>
      <c r="E74" s="128">
        <v>2258.9574279210001</v>
      </c>
      <c r="F74" s="128">
        <v>2133.4597930365003</v>
      </c>
      <c r="G74">
        <v>151</v>
      </c>
      <c r="H74" t="s">
        <v>1190</v>
      </c>
      <c r="I74" t="str">
        <f t="shared" si="2"/>
        <v>8.1.2</v>
      </c>
      <c r="J74" t="str">
        <f t="shared" si="3"/>
        <v>DUE TO INTERBRANCH - INVESTMEN</v>
      </c>
    </row>
    <row r="75" spans="1:10">
      <c r="A75" s="122"/>
      <c r="B75" s="267" t="s">
        <v>51</v>
      </c>
      <c r="C75" s="124"/>
      <c r="D75" s="128">
        <v>2509.9526976899997</v>
      </c>
      <c r="E75" s="128">
        <v>2384.4550628054999</v>
      </c>
      <c r="F75" s="128">
        <v>2258.9574279210001</v>
      </c>
      <c r="G75">
        <v>153</v>
      </c>
      <c r="H75" t="s">
        <v>1193</v>
      </c>
      <c r="I75" t="str">
        <f t="shared" si="2"/>
        <v>8.1.2</v>
      </c>
      <c r="J75" t="str">
        <f t="shared" si="3"/>
        <v>DUE TO INTERBRANCH - INVESTMEN</v>
      </c>
    </row>
    <row r="76" spans="1:10">
      <c r="A76" s="269"/>
      <c r="B76" s="199" t="s">
        <v>50</v>
      </c>
      <c r="C76" s="236"/>
      <c r="D76" s="270">
        <v>0.05</v>
      </c>
      <c r="E76" s="270">
        <v>0.05</v>
      </c>
      <c r="F76" s="270">
        <v>0.05</v>
      </c>
      <c r="G76">
        <v>154</v>
      </c>
      <c r="H76" t="s">
        <v>49</v>
      </c>
      <c r="I76" t="str">
        <f t="shared" si="2"/>
        <v>8.1.2</v>
      </c>
      <c r="J76" t="str">
        <f t="shared" si="3"/>
        <v>DUE TO INTERBRANCH - INVESTMEN</v>
      </c>
    </row>
    <row r="77" spans="1:10">
      <c r="A77" s="266"/>
      <c r="B77" s="153" t="s">
        <v>998</v>
      </c>
      <c r="C77" s="273"/>
      <c r="D77" s="187">
        <v>125.49763488449999</v>
      </c>
      <c r="E77" s="187">
        <v>125.49763488449999</v>
      </c>
      <c r="F77" s="187">
        <v>125.49763488449999</v>
      </c>
      <c r="G77">
        <v>155</v>
      </c>
      <c r="H77" t="s">
        <v>1192</v>
      </c>
      <c r="I77" t="str">
        <f t="shared" si="2"/>
        <v>8.1.2</v>
      </c>
      <c r="J77" t="str">
        <f t="shared" si="3"/>
        <v>DUE TO INTERBRANCH - INVESTMEN</v>
      </c>
    </row>
    <row r="78" spans="1:10">
      <c r="A78" s="224" t="s">
        <v>996</v>
      </c>
      <c r="B78" s="123" t="s">
        <v>1160</v>
      </c>
      <c r="C78" s="236">
        <v>18130</v>
      </c>
      <c r="D78" s="128">
        <v>2200</v>
      </c>
      <c r="E78" s="128">
        <v>2200</v>
      </c>
      <c r="F78" s="128">
        <v>1200</v>
      </c>
      <c r="G78">
        <v>157</v>
      </c>
      <c r="H78" t="s">
        <v>1190</v>
      </c>
      <c r="I78" t="str">
        <f t="shared" si="2"/>
        <v>8.1.3</v>
      </c>
      <c r="J78" t="str">
        <f t="shared" si="3"/>
        <v>DUE TO IB-Call Loans</v>
      </c>
    </row>
    <row r="79" spans="1:10">
      <c r="A79" s="122"/>
      <c r="B79" s="267" t="s">
        <v>51</v>
      </c>
      <c r="C79" s="124"/>
      <c r="D79" s="128">
        <v>15930</v>
      </c>
      <c r="E79" s="128">
        <v>0</v>
      </c>
      <c r="F79" s="128">
        <v>1000</v>
      </c>
      <c r="G79">
        <v>159</v>
      </c>
      <c r="H79" t="s">
        <v>1193</v>
      </c>
      <c r="I79" t="str">
        <f t="shared" si="2"/>
        <v>8.1.3</v>
      </c>
      <c r="J79" t="str">
        <f t="shared" si="3"/>
        <v>DUE TO IB-Call Loans</v>
      </c>
    </row>
    <row r="80" spans="1:10">
      <c r="A80" s="269"/>
      <c r="B80" s="199" t="s">
        <v>50</v>
      </c>
      <c r="C80" s="236"/>
      <c r="D80" s="281">
        <v>1</v>
      </c>
      <c r="E80" s="270">
        <v>1</v>
      </c>
      <c r="F80" s="270">
        <v>1</v>
      </c>
      <c r="G80">
        <v>160</v>
      </c>
      <c r="H80" t="s">
        <v>49</v>
      </c>
      <c r="I80" t="str">
        <f t="shared" si="2"/>
        <v>8.1.3</v>
      </c>
      <c r="J80" t="str">
        <f t="shared" si="3"/>
        <v>DUE TO IB-Call Loans</v>
      </c>
    </row>
    <row r="81" spans="1:10">
      <c r="A81" s="122"/>
      <c r="B81" s="153" t="s">
        <v>998</v>
      </c>
      <c r="C81" s="273"/>
      <c r="D81" s="187">
        <v>15930</v>
      </c>
      <c r="E81" s="187">
        <v>0</v>
      </c>
      <c r="F81" s="187">
        <v>1000</v>
      </c>
      <c r="G81">
        <v>161</v>
      </c>
      <c r="H81" t="s">
        <v>1192</v>
      </c>
      <c r="I81" t="str">
        <f t="shared" si="2"/>
        <v>8.1.3</v>
      </c>
      <c r="J81" t="str">
        <f t="shared" si="3"/>
        <v>DUE TO IB-Call Loans</v>
      </c>
    </row>
    <row r="82" spans="1:10">
      <c r="A82" s="224" t="s">
        <v>1161</v>
      </c>
      <c r="B82" s="282" t="s">
        <v>420</v>
      </c>
      <c r="C82" s="283">
        <v>11.131682640000001</v>
      </c>
      <c r="D82" s="284">
        <v>11.131682640000001</v>
      </c>
      <c r="E82" s="284">
        <v>11.131682640000001</v>
      </c>
      <c r="F82" s="284">
        <v>11.131682640000001</v>
      </c>
      <c r="G82">
        <v>163</v>
      </c>
      <c r="H82" t="s">
        <v>1190</v>
      </c>
      <c r="I82" t="str">
        <f t="shared" si="2"/>
        <v>8.1.A</v>
      </c>
      <c r="J82" t="str">
        <f t="shared" si="3"/>
        <v>DUE TO AFFILIATE DDA US</v>
      </c>
    </row>
    <row r="83" spans="1:10">
      <c r="A83" s="224" t="s">
        <v>1162</v>
      </c>
      <c r="B83" s="282" t="s">
        <v>421</v>
      </c>
      <c r="C83" s="285">
        <v>6.7071685700000003</v>
      </c>
      <c r="D83" s="286">
        <v>6.7071685700000003</v>
      </c>
      <c r="E83" s="286">
        <v>6.7071685700000003</v>
      </c>
      <c r="F83" s="286">
        <v>6.7071685700000003</v>
      </c>
      <c r="G83">
        <v>164</v>
      </c>
      <c r="H83" t="s">
        <v>1190</v>
      </c>
      <c r="I83" t="str">
        <f t="shared" si="2"/>
        <v>8.1.B</v>
      </c>
      <c r="J83" t="str">
        <f t="shared" si="3"/>
        <v>DUE TO AFFILIATE DDA NUS</v>
      </c>
    </row>
    <row r="84" spans="1:10">
      <c r="A84" s="224" t="s">
        <v>1163</v>
      </c>
      <c r="B84" s="282" t="s">
        <v>422</v>
      </c>
      <c r="C84" s="283">
        <v>0.17535496</v>
      </c>
      <c r="D84" s="284">
        <v>0.17535496</v>
      </c>
      <c r="E84" s="284">
        <v>0.17535496</v>
      </c>
      <c r="F84" s="284">
        <v>0.17535496</v>
      </c>
      <c r="G84">
        <v>165</v>
      </c>
      <c r="H84" t="s">
        <v>1190</v>
      </c>
      <c r="I84" t="str">
        <f t="shared" si="2"/>
        <v>8.1.C</v>
      </c>
      <c r="J84" t="str">
        <f t="shared" si="3"/>
        <v>DUE TO AFFILIATE INV US</v>
      </c>
    </row>
    <row r="85" spans="1:10">
      <c r="A85" s="224" t="s">
        <v>997</v>
      </c>
      <c r="B85" s="123" t="s">
        <v>423</v>
      </c>
      <c r="C85" s="236">
        <v>1312.1362275099998</v>
      </c>
      <c r="D85" s="128">
        <v>1246.5294161344998</v>
      </c>
      <c r="E85" s="128">
        <v>1180.9226047589998</v>
      </c>
      <c r="F85" s="128">
        <v>1115.3157933834998</v>
      </c>
      <c r="G85">
        <v>166</v>
      </c>
      <c r="H85" t="s">
        <v>1190</v>
      </c>
      <c r="I85" t="str">
        <f t="shared" si="2"/>
        <v>8.1.4</v>
      </c>
      <c r="J85" t="str">
        <f t="shared" si="3"/>
        <v>DUE TO AFFILIATE INV NUS</v>
      </c>
    </row>
    <row r="86" spans="1:10">
      <c r="A86" s="122"/>
      <c r="B86" s="267" t="s">
        <v>51</v>
      </c>
      <c r="C86" s="124"/>
      <c r="D86" s="128">
        <v>1312.1362275099998</v>
      </c>
      <c r="E86" s="128">
        <v>0</v>
      </c>
      <c r="F86" s="128">
        <v>0</v>
      </c>
      <c r="G86">
        <v>168</v>
      </c>
      <c r="H86" t="s">
        <v>1193</v>
      </c>
      <c r="I86" t="str">
        <f t="shared" si="2"/>
        <v>8.1.4</v>
      </c>
      <c r="J86" t="str">
        <f t="shared" si="3"/>
        <v>DUE TO AFFILIATE INV NUS</v>
      </c>
    </row>
    <row r="87" spans="1:10">
      <c r="A87" s="269"/>
      <c r="B87" s="199" t="s">
        <v>50</v>
      </c>
      <c r="C87" s="236"/>
      <c r="D87" s="270">
        <v>0.05</v>
      </c>
      <c r="E87" s="270">
        <v>0.05</v>
      </c>
      <c r="F87" s="270">
        <v>0.05</v>
      </c>
      <c r="G87">
        <v>169</v>
      </c>
      <c r="H87" t="s">
        <v>49</v>
      </c>
      <c r="I87" t="str">
        <f t="shared" si="2"/>
        <v>8.1.4</v>
      </c>
      <c r="J87" t="str">
        <f t="shared" si="3"/>
        <v>DUE TO AFFILIATE INV NUS</v>
      </c>
    </row>
    <row r="88" spans="1:10">
      <c r="A88" s="122"/>
      <c r="B88" s="153" t="s">
        <v>998</v>
      </c>
      <c r="C88" s="273"/>
      <c r="D88" s="187">
        <v>65.606811375499987</v>
      </c>
      <c r="E88" s="187">
        <v>65.606811375499987</v>
      </c>
      <c r="F88" s="187">
        <v>65.606811375499987</v>
      </c>
      <c r="G88">
        <v>170</v>
      </c>
      <c r="H88" t="s">
        <v>1192</v>
      </c>
      <c r="I88" t="str">
        <f t="shared" si="2"/>
        <v>8.1.4</v>
      </c>
      <c r="J88" t="str">
        <f t="shared" si="3"/>
        <v>DUE TO AFFILIATE INV NUS</v>
      </c>
    </row>
    <row r="89" spans="1:10">
      <c r="A89" s="224" t="s">
        <v>1164</v>
      </c>
      <c r="B89" s="282" t="s">
        <v>425</v>
      </c>
      <c r="C89" s="285">
        <v>0</v>
      </c>
      <c r="D89" s="286">
        <v>0</v>
      </c>
      <c r="E89" s="286">
        <v>0</v>
      </c>
      <c r="F89" s="286">
        <v>0</v>
      </c>
      <c r="G89">
        <v>172</v>
      </c>
      <c r="H89" t="s">
        <v>1190</v>
      </c>
      <c r="I89" t="str">
        <f t="shared" si="2"/>
        <v>8.1.D</v>
      </c>
      <c r="J89" t="str">
        <f t="shared" si="3"/>
        <v>DUE TO AFFILIATE DRAFT</v>
      </c>
    </row>
    <row r="90" spans="1:10">
      <c r="A90" s="288" t="s">
        <v>1165</v>
      </c>
      <c r="B90" s="289" t="s">
        <v>424</v>
      </c>
      <c r="C90" s="274">
        <v>0</v>
      </c>
      <c r="D90" s="290">
        <v>0</v>
      </c>
      <c r="E90" s="290">
        <v>0</v>
      </c>
      <c r="F90" s="290">
        <v>0</v>
      </c>
      <c r="G90">
        <v>173</v>
      </c>
      <c r="H90" t="s">
        <v>1190</v>
      </c>
      <c r="I90" t="str">
        <f t="shared" si="2"/>
        <v>8.1.E</v>
      </c>
      <c r="J90" t="str">
        <f t="shared" si="3"/>
        <v>DUE TO  AFFILIATE-CALL LOAN</v>
      </c>
    </row>
    <row r="91" spans="1:10">
      <c r="A91" s="127">
        <v>8.1999999999999993</v>
      </c>
      <c r="B91" s="291" t="s">
        <v>36</v>
      </c>
      <c r="C91" s="292">
        <v>23956.327419939997</v>
      </c>
      <c r="D91" s="293">
        <v>3493.8872939549965</v>
      </c>
      <c r="E91" s="293">
        <v>3309.9984890099968</v>
      </c>
      <c r="F91" s="293">
        <v>3126.1096840649971</v>
      </c>
      <c r="G91">
        <v>174</v>
      </c>
      <c r="H91" t="s">
        <v>1190</v>
      </c>
      <c r="I91">
        <f t="shared" si="2"/>
        <v>8.1999999999999993</v>
      </c>
      <c r="J91" t="str">
        <f t="shared" si="3"/>
        <v>Due to Banks - 3rd party FI</v>
      </c>
    </row>
    <row r="92" spans="1:10" ht="60">
      <c r="A92" s="294" t="s">
        <v>1167</v>
      </c>
      <c r="B92" s="232" t="s">
        <v>1166</v>
      </c>
      <c r="C92" s="249">
        <v>2493.8335194900001</v>
      </c>
      <c r="D92" s="128">
        <v>2369.1418435155001</v>
      </c>
      <c r="E92" s="128">
        <v>2244.4501675410002</v>
      </c>
      <c r="F92" s="128">
        <v>2119.7584915665002</v>
      </c>
      <c r="G92">
        <v>175</v>
      </c>
      <c r="H92" t="s">
        <v>1190</v>
      </c>
      <c r="I92" t="str">
        <f t="shared" si="2"/>
        <v>8.2.1 &amp; 8.2.2 &amp;8.2.3 &amp; 8.2.4</v>
      </c>
      <c r="J92" t="str">
        <f t="shared" si="3"/>
        <v>Due to U.S. Banks - Demand; Due to Non-U.S. Bank - Demand; Due to Non-Bank FI Demand; Due to Non-Bank FI Investment</v>
      </c>
    </row>
    <row r="93" spans="1:10">
      <c r="A93" s="294"/>
      <c r="B93" s="267" t="s">
        <v>51</v>
      </c>
      <c r="C93" s="249"/>
      <c r="D93" s="124">
        <v>2493.8335194900001</v>
      </c>
      <c r="E93" s="124">
        <v>2369.1418435155001</v>
      </c>
      <c r="F93" s="124">
        <v>2244.4501675410002</v>
      </c>
      <c r="G93">
        <v>177</v>
      </c>
      <c r="H93" t="s">
        <v>1193</v>
      </c>
      <c r="I93" t="str">
        <f t="shared" si="2"/>
        <v>8.2.1 &amp; 8.2.2 &amp;8.2.3 &amp; 8.2.4</v>
      </c>
      <c r="J93" t="str">
        <f t="shared" si="3"/>
        <v>Due to U.S. Banks - Demand; Due to Non-U.S. Bank - Demand; Due to Non-Bank FI Demand; Due to Non-Bank FI Investment</v>
      </c>
    </row>
    <row r="94" spans="1:10">
      <c r="A94" s="297"/>
      <c r="B94" s="199" t="s">
        <v>50</v>
      </c>
      <c r="C94" s="249"/>
      <c r="D94" s="270">
        <v>0.05</v>
      </c>
      <c r="E94" s="270">
        <v>0.05</v>
      </c>
      <c r="F94" s="270">
        <v>0.05</v>
      </c>
      <c r="G94">
        <v>178</v>
      </c>
      <c r="H94" t="s">
        <v>49</v>
      </c>
      <c r="I94" t="str">
        <f t="shared" si="2"/>
        <v>8.2.1 &amp; 8.2.2 &amp;8.2.3 &amp; 8.2.4</v>
      </c>
      <c r="J94" t="str">
        <f t="shared" si="3"/>
        <v>Due to U.S. Banks - Demand; Due to Non-U.S. Bank - Demand; Due to Non-Bank FI Demand; Due to Non-Bank FI Investment</v>
      </c>
    </row>
    <row r="95" spans="1:10">
      <c r="A95" s="294"/>
      <c r="B95" s="153" t="s">
        <v>998</v>
      </c>
      <c r="C95" s="249"/>
      <c r="D95" s="186">
        <v>124.69167597450001</v>
      </c>
      <c r="E95" s="186">
        <v>124.69167597450001</v>
      </c>
      <c r="F95" s="186">
        <v>124.69167597450001</v>
      </c>
      <c r="G95">
        <v>179</v>
      </c>
      <c r="H95" t="s">
        <v>1192</v>
      </c>
      <c r="I95" t="str">
        <f t="shared" si="2"/>
        <v>8.2.1 &amp; 8.2.2 &amp;8.2.3 &amp; 8.2.4</v>
      </c>
      <c r="J95" t="str">
        <f t="shared" si="3"/>
        <v>Due to U.S. Banks - Demand; Due to Non-U.S. Bank - Demand; Due to Non-Bank FI Demand; Due to Non-Bank FI Investment</v>
      </c>
    </row>
    <row r="96" spans="1:10">
      <c r="A96" s="294" t="s">
        <v>1168</v>
      </c>
      <c r="B96" s="153" t="s">
        <v>1037</v>
      </c>
      <c r="C96" s="249">
        <v>3503.5045219200001</v>
      </c>
      <c r="D96" s="124">
        <v>0</v>
      </c>
      <c r="E96" s="124">
        <v>0</v>
      </c>
      <c r="F96" s="124">
        <v>0</v>
      </c>
      <c r="G96">
        <v>181</v>
      </c>
      <c r="H96" t="s">
        <v>1190</v>
      </c>
      <c r="I96" t="str">
        <f t="shared" si="2"/>
        <v>8.2.5</v>
      </c>
      <c r="J96" t="str">
        <f t="shared" si="3"/>
        <v>Bankers deposits - Investment US (4440)</v>
      </c>
    </row>
    <row r="97" spans="1:10">
      <c r="A97" s="297"/>
      <c r="B97" s="267" t="s">
        <v>51</v>
      </c>
      <c r="C97" s="249"/>
      <c r="D97" s="128">
        <v>3503.5045219200001</v>
      </c>
      <c r="E97" s="128">
        <v>0</v>
      </c>
      <c r="F97" s="128">
        <v>0</v>
      </c>
      <c r="G97">
        <v>183</v>
      </c>
      <c r="H97" t="s">
        <v>1193</v>
      </c>
      <c r="I97" t="str">
        <f t="shared" si="2"/>
        <v>8.2.5</v>
      </c>
      <c r="J97" t="str">
        <f t="shared" si="3"/>
        <v>Bankers deposits - Investment US (4440)</v>
      </c>
    </row>
    <row r="98" spans="1:10">
      <c r="A98" s="294"/>
      <c r="B98" s="199" t="s">
        <v>50</v>
      </c>
      <c r="C98" s="249"/>
      <c r="D98" s="300">
        <v>1</v>
      </c>
      <c r="E98" s="300">
        <v>0</v>
      </c>
      <c r="F98" s="300">
        <v>0</v>
      </c>
      <c r="G98">
        <v>184</v>
      </c>
      <c r="H98" t="s">
        <v>49</v>
      </c>
      <c r="I98" t="str">
        <f t="shared" si="2"/>
        <v>8.2.5</v>
      </c>
      <c r="J98" t="str">
        <f t="shared" si="3"/>
        <v>Bankers deposits - Investment US (4440)</v>
      </c>
    </row>
    <row r="99" spans="1:10">
      <c r="A99" s="294"/>
      <c r="B99" s="153" t="s">
        <v>998</v>
      </c>
      <c r="C99" s="249"/>
      <c r="D99" s="187">
        <v>3503.5045219200001</v>
      </c>
      <c r="E99" s="186">
        <v>0</v>
      </c>
      <c r="F99" s="186">
        <v>0</v>
      </c>
      <c r="G99">
        <v>185</v>
      </c>
      <c r="H99" t="s">
        <v>1192</v>
      </c>
      <c r="I99" t="str">
        <f t="shared" si="2"/>
        <v>8.2.5</v>
      </c>
      <c r="J99" t="str">
        <f t="shared" si="3"/>
        <v>Bankers deposits - Investment US (4440)</v>
      </c>
    </row>
    <row r="100" spans="1:10" ht="30">
      <c r="A100" s="294" t="s">
        <v>1169</v>
      </c>
      <c r="B100" s="301" t="s">
        <v>1047</v>
      </c>
      <c r="C100" s="302">
        <v>1183.9425794099961</v>
      </c>
      <c r="D100" s="303">
        <v>1124.7454504394964</v>
      </c>
      <c r="E100" s="303">
        <v>1065.5483214689966</v>
      </c>
      <c r="F100" s="303">
        <v>1006.3511924984969</v>
      </c>
      <c r="G100">
        <v>187</v>
      </c>
      <c r="H100" t="s">
        <v>1190</v>
      </c>
      <c r="I100" t="str">
        <f t="shared" si="2"/>
        <v>8.2.6.1</v>
      </c>
      <c r="J100" t="str">
        <f t="shared" si="3"/>
        <v>Bankers deposits - Investment Non-US (4450 - Exclude CDB, PBOC, ICBC)</v>
      </c>
    </row>
    <row r="101" spans="1:10">
      <c r="A101" s="297"/>
      <c r="B101" s="267" t="s">
        <v>51</v>
      </c>
      <c r="C101" s="249"/>
      <c r="D101" s="124">
        <v>1183.9425794099961</v>
      </c>
      <c r="E101" s="124">
        <v>1183.9425794099961</v>
      </c>
      <c r="F101" s="124">
        <v>1124.7454504394964</v>
      </c>
      <c r="G101">
        <v>189</v>
      </c>
      <c r="H101" t="s">
        <v>1193</v>
      </c>
      <c r="I101" t="str">
        <f t="shared" si="2"/>
        <v>8.2.6.1</v>
      </c>
      <c r="J101" t="str">
        <f t="shared" si="3"/>
        <v>Bankers deposits - Investment Non-US (4450 - Exclude CDB, PBOC, ICBC)</v>
      </c>
    </row>
    <row r="102" spans="1:10">
      <c r="A102" s="294"/>
      <c r="B102" s="199" t="s">
        <v>50</v>
      </c>
      <c r="C102" s="249"/>
      <c r="D102" s="300">
        <v>0.05</v>
      </c>
      <c r="E102" s="300">
        <v>0.05</v>
      </c>
      <c r="F102" s="300">
        <v>0.05</v>
      </c>
      <c r="G102">
        <v>190</v>
      </c>
      <c r="H102" t="s">
        <v>49</v>
      </c>
      <c r="I102" t="str">
        <f t="shared" si="2"/>
        <v>8.2.6.1</v>
      </c>
      <c r="J102" t="str">
        <f t="shared" si="3"/>
        <v>Bankers deposits - Investment Non-US (4450 - Exclude CDB, PBOC, ICBC)</v>
      </c>
    </row>
    <row r="103" spans="1:10">
      <c r="A103" s="294"/>
      <c r="B103" s="153" t="s">
        <v>998</v>
      </c>
      <c r="C103" s="249"/>
      <c r="D103" s="186">
        <v>59.197128970499811</v>
      </c>
      <c r="E103" s="186">
        <v>59.197128970499811</v>
      </c>
      <c r="F103" s="186">
        <v>59.197128970499811</v>
      </c>
      <c r="G103">
        <v>191</v>
      </c>
      <c r="H103" t="s">
        <v>1192</v>
      </c>
      <c r="I103" t="str">
        <f t="shared" si="2"/>
        <v>8.2.6.1</v>
      </c>
      <c r="J103" t="str">
        <f t="shared" si="3"/>
        <v>Bankers deposits - Investment Non-US (4450 - Exclude CDB, PBOC, ICBC)</v>
      </c>
    </row>
    <row r="104" spans="1:10" ht="30">
      <c r="A104" s="294" t="s">
        <v>1170</v>
      </c>
      <c r="B104" s="304" t="s">
        <v>1048</v>
      </c>
      <c r="C104" s="305">
        <v>16775.046799119998</v>
      </c>
      <c r="D104" s="306">
        <v>0</v>
      </c>
      <c r="E104" s="306">
        <v>0</v>
      </c>
      <c r="F104" s="306">
        <v>0</v>
      </c>
      <c r="G104">
        <v>193</v>
      </c>
      <c r="H104" t="s">
        <v>1190</v>
      </c>
      <c r="I104" t="str">
        <f t="shared" si="2"/>
        <v>8.2.6.2</v>
      </c>
      <c r="J104" t="str">
        <f t="shared" si="3"/>
        <v>Bankers deposits - Investment Non- US Volatile FI clients (4450)- CDB, PBOC, ICBC</v>
      </c>
    </row>
    <row r="105" spans="1:10">
      <c r="A105" s="297"/>
      <c r="B105" s="267" t="s">
        <v>51</v>
      </c>
      <c r="C105" s="249"/>
      <c r="D105" s="124">
        <v>16775.046799119998</v>
      </c>
      <c r="E105" s="124">
        <v>0</v>
      </c>
      <c r="F105" s="124">
        <v>0</v>
      </c>
      <c r="G105">
        <v>195</v>
      </c>
      <c r="H105" t="s">
        <v>1193</v>
      </c>
      <c r="I105" t="str">
        <f t="shared" si="2"/>
        <v>8.2.6.2</v>
      </c>
      <c r="J105" t="str">
        <f t="shared" si="3"/>
        <v>Bankers deposits - Investment Non- US Volatile FI clients (4450)- CDB, PBOC, ICBC</v>
      </c>
    </row>
    <row r="106" spans="1:10">
      <c r="A106" s="294"/>
      <c r="B106" s="199" t="s">
        <v>50</v>
      </c>
      <c r="C106" s="249"/>
      <c r="D106" s="300">
        <v>1</v>
      </c>
      <c r="E106" s="300">
        <v>0</v>
      </c>
      <c r="F106" s="300">
        <v>0</v>
      </c>
      <c r="G106">
        <v>196</v>
      </c>
      <c r="H106" t="s">
        <v>49</v>
      </c>
      <c r="I106" t="str">
        <f t="shared" si="2"/>
        <v>8.2.6.2</v>
      </c>
      <c r="J106" t="str">
        <f t="shared" si="3"/>
        <v>Bankers deposits - Investment Non- US Volatile FI clients (4450)- CDB, PBOC, ICBC</v>
      </c>
    </row>
    <row r="107" spans="1:10">
      <c r="A107" s="294"/>
      <c r="B107" s="153" t="s">
        <v>998</v>
      </c>
      <c r="C107" s="249"/>
      <c r="D107" s="187">
        <v>16775.046799119998</v>
      </c>
      <c r="E107" s="187">
        <v>0</v>
      </c>
      <c r="F107" s="187">
        <v>0</v>
      </c>
      <c r="G107">
        <v>197</v>
      </c>
      <c r="H107" t="s">
        <v>1192</v>
      </c>
      <c r="I107" t="str">
        <f t="shared" si="2"/>
        <v>8.2.6.2</v>
      </c>
      <c r="J107" t="str">
        <f t="shared" si="3"/>
        <v>Bankers deposits - Investment Non- US Volatile FI clients (4450)- CDB, PBOC, ICBC</v>
      </c>
    </row>
    <row r="108" spans="1:10">
      <c r="A108" s="307">
        <v>9</v>
      </c>
      <c r="B108" s="206" t="s">
        <v>24</v>
      </c>
      <c r="C108" s="308">
        <v>9563.5009386299989</v>
      </c>
      <c r="D108" s="309">
        <v>5080.2358852090001</v>
      </c>
      <c r="E108" s="309">
        <v>4831.1615011164004</v>
      </c>
      <c r="F108" s="309">
        <v>4574.3455527770002</v>
      </c>
      <c r="G108">
        <v>199</v>
      </c>
      <c r="H108" t="s">
        <v>1190</v>
      </c>
      <c r="I108">
        <f t="shared" si="2"/>
        <v>9</v>
      </c>
      <c r="J108" t="str">
        <f t="shared" si="3"/>
        <v>Customer Deposits</v>
      </c>
    </row>
    <row r="109" spans="1:10">
      <c r="A109" s="261">
        <v>9.1</v>
      </c>
      <c r="B109" s="228" t="s">
        <v>1001</v>
      </c>
      <c r="C109" s="263">
        <v>109.77545035999991</v>
      </c>
      <c r="D109" s="293">
        <v>107.57994135279991</v>
      </c>
      <c r="E109" s="293">
        <v>105.3844323455999</v>
      </c>
      <c r="F109" s="293">
        <v>103.1889233383999</v>
      </c>
      <c r="G109">
        <v>200</v>
      </c>
      <c r="H109" t="s">
        <v>1190</v>
      </c>
      <c r="I109">
        <f t="shared" si="2"/>
        <v>9.1</v>
      </c>
      <c r="J109" t="str">
        <f t="shared" si="3"/>
        <v xml:space="preserve">     Demand,MM &amp; Savings - Retail</v>
      </c>
    </row>
    <row r="110" spans="1:10">
      <c r="A110" s="311"/>
      <c r="B110" s="312" t="s">
        <v>51</v>
      </c>
      <c r="C110" s="313"/>
      <c r="D110" s="236">
        <v>109.77545035999991</v>
      </c>
      <c r="E110" s="236">
        <v>107.57994135279991</v>
      </c>
      <c r="F110" s="236">
        <v>105.3844323455999</v>
      </c>
      <c r="G110">
        <v>202</v>
      </c>
      <c r="H110" t="s">
        <v>1193</v>
      </c>
      <c r="I110">
        <f t="shared" si="2"/>
        <v>9.1</v>
      </c>
      <c r="J110" t="str">
        <f t="shared" si="3"/>
        <v xml:space="preserve">     Demand,MM &amp; Savings - Retail</v>
      </c>
    </row>
    <row r="111" spans="1:10">
      <c r="A111" s="280"/>
      <c r="B111" s="199" t="s">
        <v>50</v>
      </c>
      <c r="C111" s="236"/>
      <c r="D111" s="300">
        <v>0.02</v>
      </c>
      <c r="E111" s="300">
        <v>0.02</v>
      </c>
      <c r="F111" s="300">
        <v>0.02</v>
      </c>
      <c r="G111">
        <v>203</v>
      </c>
      <c r="H111" t="s">
        <v>49</v>
      </c>
      <c r="I111">
        <f t="shared" si="2"/>
        <v>9.1</v>
      </c>
      <c r="J111" t="str">
        <f t="shared" si="3"/>
        <v xml:space="preserve">     Demand,MM &amp; Savings - Retail</v>
      </c>
    </row>
    <row r="112" spans="1:10">
      <c r="A112" s="266"/>
      <c r="B112" s="153" t="s">
        <v>998</v>
      </c>
      <c r="C112" s="236"/>
      <c r="D112" s="187">
        <v>2.1955090071999983</v>
      </c>
      <c r="E112" s="187">
        <v>2.1955090071999983</v>
      </c>
      <c r="F112" s="187">
        <v>2.1955090071999983</v>
      </c>
      <c r="G112">
        <v>204</v>
      </c>
      <c r="H112" t="s">
        <v>1192</v>
      </c>
      <c r="I112">
        <f t="shared" si="2"/>
        <v>9.1</v>
      </c>
      <c r="J112" t="str">
        <f t="shared" si="3"/>
        <v xml:space="preserve">     Demand,MM &amp; Savings - Retail</v>
      </c>
    </row>
    <row r="113" spans="1:10">
      <c r="A113" s="261" t="s">
        <v>1171</v>
      </c>
      <c r="B113" s="314" t="s">
        <v>1002</v>
      </c>
      <c r="C113" s="315">
        <v>3060.5462556300008</v>
      </c>
      <c r="D113" s="316">
        <v>2815.7025551796009</v>
      </c>
      <c r="E113" s="316">
        <v>2570.8588547292011</v>
      </c>
      <c r="F113" s="316">
        <v>2326.0151542788012</v>
      </c>
      <c r="G113">
        <v>206</v>
      </c>
      <c r="H113" t="s">
        <v>1190</v>
      </c>
      <c r="I113" t="str">
        <f t="shared" si="2"/>
        <v>9.2.2</v>
      </c>
      <c r="J113" t="str">
        <f t="shared" si="3"/>
        <v xml:space="preserve">   Demand,MM &amp; Savings - Corporates</v>
      </c>
    </row>
    <row r="114" spans="1:10">
      <c r="A114" s="122"/>
      <c r="B114" s="267" t="s">
        <v>51</v>
      </c>
      <c r="C114" s="124"/>
      <c r="D114" s="317">
        <v>3060.5462556300008</v>
      </c>
      <c r="E114" s="317">
        <v>2815.7025551796009</v>
      </c>
      <c r="F114" s="317">
        <v>2570.8588547292011</v>
      </c>
      <c r="G114">
        <v>208</v>
      </c>
      <c r="H114" t="s">
        <v>1193</v>
      </c>
      <c r="I114" t="str">
        <f t="shared" si="2"/>
        <v>9.2.2</v>
      </c>
      <c r="J114" t="str">
        <f t="shared" si="3"/>
        <v xml:space="preserve">   Demand,MM &amp; Savings - Corporates</v>
      </c>
    </row>
    <row r="115" spans="1:10">
      <c r="A115" s="318"/>
      <c r="B115" s="199" t="s">
        <v>50</v>
      </c>
      <c r="C115" s="236"/>
      <c r="D115" s="319">
        <v>0.08</v>
      </c>
      <c r="E115" s="319">
        <v>0.08</v>
      </c>
      <c r="F115" s="319">
        <v>0.08</v>
      </c>
      <c r="G115">
        <v>209</v>
      </c>
      <c r="H115" t="s">
        <v>49</v>
      </c>
      <c r="I115" t="str">
        <f t="shared" si="2"/>
        <v>9.2.2</v>
      </c>
      <c r="J115" t="str">
        <f t="shared" si="3"/>
        <v xml:space="preserve">   Demand,MM &amp; Savings - Corporates</v>
      </c>
    </row>
    <row r="116" spans="1:10">
      <c r="A116" s="266"/>
      <c r="B116" s="153" t="s">
        <v>998</v>
      </c>
      <c r="C116" s="236"/>
      <c r="D116" s="187">
        <v>244.84370045040006</v>
      </c>
      <c r="E116" s="187">
        <v>244.84370045040006</v>
      </c>
      <c r="F116" s="187">
        <v>244.84370045040006</v>
      </c>
      <c r="G116">
        <v>210</v>
      </c>
      <c r="H116" t="s">
        <v>1192</v>
      </c>
      <c r="I116" t="str">
        <f t="shared" si="2"/>
        <v>9.2.2</v>
      </c>
      <c r="J116" t="str">
        <f t="shared" si="3"/>
        <v xml:space="preserve">   Demand,MM &amp; Savings - Corporates</v>
      </c>
    </row>
    <row r="117" spans="1:10" ht="30">
      <c r="A117" s="127" t="s">
        <v>1032</v>
      </c>
      <c r="B117" s="314" t="s">
        <v>1033</v>
      </c>
      <c r="C117" s="305">
        <v>4234.1833479899997</v>
      </c>
      <c r="D117" s="320">
        <v>0</v>
      </c>
      <c r="E117" s="320">
        <v>0</v>
      </c>
      <c r="F117" s="320">
        <v>0</v>
      </c>
      <c r="G117">
        <v>212</v>
      </c>
      <c r="H117" t="s">
        <v>1190</v>
      </c>
      <c r="I117" t="str">
        <f t="shared" si="2"/>
        <v>9.2.1</v>
      </c>
      <c r="J117" t="str">
        <f t="shared" si="3"/>
        <v>Demand,MM &amp; Savings - GIFS Capital Company</v>
      </c>
    </row>
    <row r="118" spans="1:10">
      <c r="A118" s="122"/>
      <c r="B118" s="267" t="s">
        <v>51</v>
      </c>
      <c r="C118" s="124"/>
      <c r="D118" s="317">
        <v>4234.1833479899997</v>
      </c>
      <c r="E118" s="317">
        <v>0</v>
      </c>
      <c r="F118" s="317">
        <v>0</v>
      </c>
      <c r="G118">
        <v>214</v>
      </c>
      <c r="H118" t="s">
        <v>1193</v>
      </c>
      <c r="I118" t="str">
        <f t="shared" si="2"/>
        <v>9.2.1</v>
      </c>
      <c r="J118" t="str">
        <f t="shared" si="3"/>
        <v>Demand,MM &amp; Savings - GIFS Capital Company</v>
      </c>
    </row>
    <row r="119" spans="1:10">
      <c r="A119" s="318"/>
      <c r="B119" s="199" t="s">
        <v>50</v>
      </c>
      <c r="C119" s="236"/>
      <c r="D119" s="319">
        <v>1</v>
      </c>
      <c r="E119" s="319">
        <v>0</v>
      </c>
      <c r="F119" s="319">
        <v>0</v>
      </c>
      <c r="G119">
        <v>215</v>
      </c>
      <c r="H119" t="s">
        <v>49</v>
      </c>
      <c r="I119" t="str">
        <f t="shared" si="2"/>
        <v>9.2.1</v>
      </c>
      <c r="J119" t="str">
        <f t="shared" si="3"/>
        <v>Demand,MM &amp; Savings - GIFS Capital Company</v>
      </c>
    </row>
    <row r="120" spans="1:10">
      <c r="A120" s="266"/>
      <c r="B120" s="153" t="s">
        <v>998</v>
      </c>
      <c r="C120" s="236"/>
      <c r="D120" s="187">
        <v>4234.1833479899997</v>
      </c>
      <c r="E120" s="187">
        <v>0</v>
      </c>
      <c r="F120" s="187">
        <v>0</v>
      </c>
      <c r="G120">
        <v>216</v>
      </c>
      <c r="H120" t="s">
        <v>1192</v>
      </c>
      <c r="I120" t="str">
        <f t="shared" si="2"/>
        <v>9.2.1</v>
      </c>
      <c r="J120" t="str">
        <f t="shared" si="3"/>
        <v>Demand,MM &amp; Savings - GIFS Capital Company</v>
      </c>
    </row>
    <row r="121" spans="1:10">
      <c r="A121" s="127">
        <v>9.3000000000000007</v>
      </c>
      <c r="B121" s="228" t="s">
        <v>1003</v>
      </c>
      <c r="C121" s="263">
        <v>165.99973321000013</v>
      </c>
      <c r="D121" s="293">
        <v>165.99927432460012</v>
      </c>
      <c r="E121" s="293">
        <v>165.94564660960012</v>
      </c>
      <c r="F121" s="293">
        <v>165.90934346060013</v>
      </c>
      <c r="G121">
        <v>218</v>
      </c>
      <c r="H121" t="s">
        <v>1190</v>
      </c>
      <c r="I121">
        <f t="shared" si="2"/>
        <v>9.3000000000000007</v>
      </c>
      <c r="J121" t="str">
        <f t="shared" si="3"/>
        <v xml:space="preserve">  Time Deposits - Retail</v>
      </c>
    </row>
    <row r="122" spans="1:10">
      <c r="A122" s="280"/>
      <c r="B122" s="321" t="s">
        <v>51</v>
      </c>
      <c r="C122" s="236"/>
      <c r="D122" s="202">
        <v>2.2944269999999996E-2</v>
      </c>
      <c r="E122" s="202">
        <v>2.68138575</v>
      </c>
      <c r="F122" s="202">
        <v>1.8151574500000005</v>
      </c>
      <c r="G122">
        <v>220</v>
      </c>
      <c r="H122" t="s">
        <v>1193</v>
      </c>
      <c r="I122">
        <f t="shared" si="2"/>
        <v>9.3000000000000007</v>
      </c>
      <c r="J122" t="str">
        <f t="shared" si="3"/>
        <v xml:space="preserve">  Time Deposits - Retail</v>
      </c>
    </row>
    <row r="123" spans="1:10">
      <c r="A123" s="318"/>
      <c r="B123" s="199" t="s">
        <v>50</v>
      </c>
      <c r="C123" s="236"/>
      <c r="D123" s="185">
        <v>0.02</v>
      </c>
      <c r="E123" s="185">
        <v>0.02</v>
      </c>
      <c r="F123" s="185">
        <v>0.02</v>
      </c>
      <c r="G123">
        <v>221</v>
      </c>
      <c r="H123" t="s">
        <v>49</v>
      </c>
      <c r="I123">
        <f t="shared" si="2"/>
        <v>9.3000000000000007</v>
      </c>
      <c r="J123" t="str">
        <f t="shared" si="3"/>
        <v xml:space="preserve">  Time Deposits - Retail</v>
      </c>
    </row>
    <row r="124" spans="1:10">
      <c r="A124" s="266"/>
      <c r="B124" s="153" t="s">
        <v>998</v>
      </c>
      <c r="C124" s="236"/>
      <c r="D124" s="187">
        <v>4.5888539999999994E-4</v>
      </c>
      <c r="E124" s="187">
        <v>5.3627714999999999E-2</v>
      </c>
      <c r="F124" s="187">
        <v>3.6303149000000014E-2</v>
      </c>
      <c r="G124">
        <v>222</v>
      </c>
      <c r="H124" t="s">
        <v>1192</v>
      </c>
      <c r="I124">
        <f t="shared" si="2"/>
        <v>9.3000000000000007</v>
      </c>
      <c r="J124" t="str">
        <f t="shared" si="3"/>
        <v xml:space="preserve">  Time Deposits - Retail</v>
      </c>
    </row>
    <row r="125" spans="1:10">
      <c r="A125" s="127">
        <v>9.4</v>
      </c>
      <c r="B125" s="322" t="s">
        <v>1004</v>
      </c>
      <c r="C125" s="323">
        <v>1992.996151439999</v>
      </c>
      <c r="D125" s="174">
        <v>1990.9541143519991</v>
      </c>
      <c r="E125" s="174">
        <v>1988.9725674319991</v>
      </c>
      <c r="F125" s="174">
        <v>1979.232131699199</v>
      </c>
      <c r="G125">
        <v>224</v>
      </c>
      <c r="H125" t="s">
        <v>1190</v>
      </c>
      <c r="I125">
        <f t="shared" si="2"/>
        <v>9.4</v>
      </c>
      <c r="J125" t="str">
        <f t="shared" si="3"/>
        <v xml:space="preserve">  Time Deposits - Corporates</v>
      </c>
    </row>
    <row r="126" spans="1:10">
      <c r="A126" s="324"/>
      <c r="B126" s="321" t="s">
        <v>51</v>
      </c>
      <c r="C126" s="236"/>
      <c r="D126" s="236">
        <v>25.525463599999998</v>
      </c>
      <c r="E126" s="236">
        <v>24.769336500000001</v>
      </c>
      <c r="F126" s="236">
        <v>121.75544665999999</v>
      </c>
      <c r="G126">
        <v>226</v>
      </c>
      <c r="H126" t="s">
        <v>1193</v>
      </c>
      <c r="I126">
        <f t="shared" si="2"/>
        <v>9.4</v>
      </c>
      <c r="J126" t="str">
        <f t="shared" si="3"/>
        <v xml:space="preserve">  Time Deposits - Corporates</v>
      </c>
    </row>
    <row r="127" spans="1:10">
      <c r="A127" s="280"/>
      <c r="B127" s="199" t="s">
        <v>50</v>
      </c>
      <c r="C127" s="236"/>
      <c r="D127" s="325">
        <v>0.08</v>
      </c>
      <c r="E127" s="325">
        <v>0.08</v>
      </c>
      <c r="F127" s="325">
        <v>0.08</v>
      </c>
      <c r="G127">
        <v>227</v>
      </c>
      <c r="H127" t="s">
        <v>49</v>
      </c>
      <c r="I127">
        <f t="shared" si="2"/>
        <v>9.4</v>
      </c>
      <c r="J127" t="str">
        <f t="shared" si="3"/>
        <v xml:space="preserve">  Time Deposits - Corporates</v>
      </c>
    </row>
    <row r="128" spans="1:10">
      <c r="A128" s="266"/>
      <c r="B128" s="153" t="s">
        <v>998</v>
      </c>
      <c r="C128" s="236"/>
      <c r="D128" s="186">
        <v>2.0420370879999998</v>
      </c>
      <c r="E128" s="186">
        <v>1.9815469200000002</v>
      </c>
      <c r="F128" s="187">
        <v>9.7404357328</v>
      </c>
      <c r="G128">
        <v>228</v>
      </c>
      <c r="H128" t="s">
        <v>1192</v>
      </c>
      <c r="I128">
        <f t="shared" si="2"/>
        <v>9.4</v>
      </c>
      <c r="J128" t="str">
        <f t="shared" si="3"/>
        <v xml:space="preserve">  Time Deposits - Corporates</v>
      </c>
    </row>
    <row r="129" spans="1:10" ht="30">
      <c r="A129" s="307">
        <v>10</v>
      </c>
      <c r="B129" s="206" t="s">
        <v>1173</v>
      </c>
      <c r="C129" s="326">
        <v>8112.2562246199996</v>
      </c>
      <c r="D129" s="309">
        <v>6329.1242903908005</v>
      </c>
      <c r="E129" s="309">
        <v>5180.4679905716002</v>
      </c>
      <c r="F129" s="309">
        <v>5086.6836907524003</v>
      </c>
      <c r="G129">
        <v>230</v>
      </c>
      <c r="H129" t="s">
        <v>1190</v>
      </c>
      <c r="I129">
        <f t="shared" si="2"/>
        <v>10</v>
      </c>
      <c r="J129" t="str">
        <f t="shared" si="3"/>
        <v>Brokered CDs, FDIC Sweep Deposits, and Yankee CDs</v>
      </c>
    </row>
    <row r="130" spans="1:10">
      <c r="A130" s="127">
        <v>10.1</v>
      </c>
      <c r="B130" s="327" t="s">
        <v>1134</v>
      </c>
      <c r="C130" s="323">
        <v>3927.1149909599999</v>
      </c>
      <c r="D130" s="174">
        <v>3848.5726911408001</v>
      </c>
      <c r="E130" s="174">
        <v>3770.0303913216003</v>
      </c>
      <c r="F130" s="174">
        <v>3691.4880915024005</v>
      </c>
      <c r="G130">
        <v>233</v>
      </c>
      <c r="H130" t="s">
        <v>1190</v>
      </c>
      <c r="I130">
        <f t="shared" si="2"/>
        <v>10.1</v>
      </c>
      <c r="J130" t="str">
        <f t="shared" si="3"/>
        <v>FDIC Sweep Deposits</v>
      </c>
    </row>
    <row r="131" spans="1:10">
      <c r="A131" s="324"/>
      <c r="B131" s="321" t="s">
        <v>51</v>
      </c>
      <c r="C131" s="236"/>
      <c r="D131" s="154">
        <v>3927.1149909599999</v>
      </c>
      <c r="E131" s="154">
        <v>3848.5726911408001</v>
      </c>
      <c r="F131" s="154">
        <v>3770.0303913216003</v>
      </c>
      <c r="G131">
        <v>235</v>
      </c>
      <c r="H131" t="s">
        <v>1193</v>
      </c>
      <c r="I131">
        <f t="shared" si="2"/>
        <v>10.1</v>
      </c>
      <c r="J131" t="str">
        <f t="shared" si="3"/>
        <v>FDIC Sweep Deposits</v>
      </c>
    </row>
    <row r="132" spans="1:10">
      <c r="A132" s="324"/>
      <c r="B132" s="199" t="s">
        <v>50</v>
      </c>
      <c r="C132" s="236"/>
      <c r="D132" s="185">
        <v>0.02</v>
      </c>
      <c r="E132" s="185">
        <v>0.02</v>
      </c>
      <c r="F132" s="185">
        <v>0.02</v>
      </c>
      <c r="G132">
        <v>236</v>
      </c>
      <c r="H132" t="s">
        <v>49</v>
      </c>
      <c r="I132">
        <f t="shared" si="2"/>
        <v>10.1</v>
      </c>
      <c r="J132" t="str">
        <f t="shared" si="3"/>
        <v>FDIC Sweep Deposits</v>
      </c>
    </row>
    <row r="133" spans="1:10">
      <c r="A133" s="266"/>
      <c r="B133" s="153" t="s">
        <v>998</v>
      </c>
      <c r="C133" s="236"/>
      <c r="D133" s="186">
        <v>78.542299819199997</v>
      </c>
      <c r="E133" s="186">
        <v>78.542299819199997</v>
      </c>
      <c r="F133" s="186">
        <v>78.542299819199997</v>
      </c>
      <c r="G133">
        <v>237</v>
      </c>
      <c r="H133" t="s">
        <v>1192</v>
      </c>
      <c r="I133">
        <f t="shared" si="2"/>
        <v>10.1</v>
      </c>
      <c r="J133" t="str">
        <f t="shared" si="3"/>
        <v>FDIC Sweep Deposits</v>
      </c>
    </row>
    <row r="134" spans="1:10">
      <c r="A134" s="127">
        <v>10.199999999999999</v>
      </c>
      <c r="B134" s="188" t="s">
        <v>25</v>
      </c>
      <c r="C134" s="323">
        <v>1625.1412336599999</v>
      </c>
      <c r="D134" s="174">
        <v>1430.55159925</v>
      </c>
      <c r="E134" s="174">
        <v>1410.4375992499999</v>
      </c>
      <c r="F134" s="174">
        <v>1395.19559925</v>
      </c>
      <c r="G134">
        <v>239</v>
      </c>
      <c r="H134" t="s">
        <v>1190</v>
      </c>
      <c r="I134">
        <f t="shared" ref="I134:I169" si="4">IF(A134="",I133,A134)</f>
        <v>10.199999999999999</v>
      </c>
      <c r="J134" t="str">
        <f t="shared" ref="J134:J169" si="5">IF(I134=I133,J133,B134)</f>
        <v>Brokered CDs</v>
      </c>
    </row>
    <row r="135" spans="1:10">
      <c r="A135" s="324"/>
      <c r="B135" s="321" t="s">
        <v>51</v>
      </c>
      <c r="C135" s="236"/>
      <c r="D135" s="236">
        <v>194.58963441</v>
      </c>
      <c r="E135" s="236">
        <v>20.114000000000001</v>
      </c>
      <c r="F135" s="236">
        <v>15.242000000000001</v>
      </c>
      <c r="G135">
        <v>241</v>
      </c>
      <c r="H135" t="s">
        <v>1193</v>
      </c>
      <c r="I135">
        <f t="shared" si="4"/>
        <v>10.199999999999999</v>
      </c>
      <c r="J135" t="str">
        <f t="shared" si="5"/>
        <v>Brokered CDs</v>
      </c>
    </row>
    <row r="136" spans="1:10">
      <c r="A136" s="324"/>
      <c r="B136" s="321" t="s">
        <v>50</v>
      </c>
      <c r="C136" s="236"/>
      <c r="D136" s="185">
        <v>1</v>
      </c>
      <c r="E136" s="185">
        <v>1</v>
      </c>
      <c r="F136" s="185">
        <v>1</v>
      </c>
      <c r="G136">
        <v>242</v>
      </c>
      <c r="H136" t="s">
        <v>49</v>
      </c>
      <c r="I136">
        <f t="shared" si="4"/>
        <v>10.199999999999999</v>
      </c>
      <c r="J136" t="str">
        <f t="shared" si="5"/>
        <v>Brokered CDs</v>
      </c>
    </row>
    <row r="137" spans="1:10">
      <c r="A137" s="266"/>
      <c r="B137" s="153" t="s">
        <v>998</v>
      </c>
      <c r="C137" s="236"/>
      <c r="D137" s="186">
        <v>194.58963441</v>
      </c>
      <c r="E137" s="186">
        <v>20.114000000000001</v>
      </c>
      <c r="F137" s="186">
        <v>15.242000000000001</v>
      </c>
      <c r="G137">
        <v>243</v>
      </c>
      <c r="H137" t="s">
        <v>1192</v>
      </c>
      <c r="I137">
        <f t="shared" si="4"/>
        <v>10.199999999999999</v>
      </c>
      <c r="J137" t="str">
        <f t="shared" si="5"/>
        <v>Brokered CDs</v>
      </c>
    </row>
    <row r="138" spans="1:10">
      <c r="A138" s="127">
        <v>10.3</v>
      </c>
      <c r="B138" s="188" t="s">
        <v>1172</v>
      </c>
      <c r="C138" s="323">
        <v>2560</v>
      </c>
      <c r="D138" s="174">
        <v>1050</v>
      </c>
      <c r="E138" s="174">
        <v>0</v>
      </c>
      <c r="F138" s="174">
        <v>0</v>
      </c>
      <c r="G138">
        <v>245</v>
      </c>
      <c r="H138" t="s">
        <v>1190</v>
      </c>
      <c r="I138">
        <f t="shared" si="4"/>
        <v>10.3</v>
      </c>
      <c r="J138" t="str">
        <f t="shared" si="5"/>
        <v>Yankee CDs</v>
      </c>
    </row>
    <row r="139" spans="1:10">
      <c r="A139" s="324"/>
      <c r="B139" s="321" t="s">
        <v>51</v>
      </c>
      <c r="C139" s="236"/>
      <c r="D139" s="236">
        <v>1510</v>
      </c>
      <c r="E139" s="236">
        <v>1050</v>
      </c>
      <c r="F139" s="236">
        <v>0</v>
      </c>
      <c r="G139">
        <v>247</v>
      </c>
      <c r="H139" t="s">
        <v>1193</v>
      </c>
      <c r="I139">
        <f t="shared" si="4"/>
        <v>10.3</v>
      </c>
      <c r="J139" t="str">
        <f t="shared" si="5"/>
        <v>Yankee CDs</v>
      </c>
    </row>
    <row r="140" spans="1:10">
      <c r="A140" s="324"/>
      <c r="B140" s="321" t="s">
        <v>50</v>
      </c>
      <c r="C140" s="236"/>
      <c r="D140" s="185">
        <v>1</v>
      </c>
      <c r="E140" s="185">
        <v>1</v>
      </c>
      <c r="F140" s="185">
        <v>1</v>
      </c>
      <c r="G140">
        <v>248</v>
      </c>
      <c r="H140" t="s">
        <v>49</v>
      </c>
      <c r="I140">
        <f t="shared" si="4"/>
        <v>10.3</v>
      </c>
      <c r="J140" t="str">
        <f t="shared" si="5"/>
        <v>Yankee CDs</v>
      </c>
    </row>
    <row r="141" spans="1:10">
      <c r="A141" s="266"/>
      <c r="B141" s="153" t="s">
        <v>998</v>
      </c>
      <c r="C141" s="236"/>
      <c r="D141" s="187">
        <v>1510</v>
      </c>
      <c r="E141" s="187">
        <v>1050</v>
      </c>
      <c r="F141" s="186">
        <v>0</v>
      </c>
      <c r="G141">
        <v>249</v>
      </c>
      <c r="H141" t="s">
        <v>1192</v>
      </c>
      <c r="I141">
        <f t="shared" si="4"/>
        <v>10.3</v>
      </c>
      <c r="J141" t="str">
        <f t="shared" si="5"/>
        <v>Yankee CDs</v>
      </c>
    </row>
    <row r="142" spans="1:10">
      <c r="A142" s="328">
        <v>13</v>
      </c>
      <c r="B142" s="243" t="s">
        <v>27</v>
      </c>
      <c r="C142" s="329">
        <v>557.17825169000025</v>
      </c>
      <c r="D142" s="194">
        <v>557.17825169000025</v>
      </c>
      <c r="E142" s="194">
        <v>557.17825169000025</v>
      </c>
      <c r="F142" s="194">
        <v>557.17825169000025</v>
      </c>
      <c r="G142">
        <v>252</v>
      </c>
      <c r="H142" t="s">
        <v>1190</v>
      </c>
      <c r="I142">
        <f t="shared" si="4"/>
        <v>13</v>
      </c>
      <c r="J142" t="str">
        <f t="shared" si="5"/>
        <v>Other Liabilities</v>
      </c>
    </row>
    <row r="143" spans="1:10" ht="15.75" thickBot="1">
      <c r="A143" s="332"/>
      <c r="B143" s="131" t="s">
        <v>28</v>
      </c>
      <c r="C143" s="333">
        <v>64202.477979589996</v>
      </c>
      <c r="D143" s="334">
        <v>21350.3808190278</v>
      </c>
      <c r="E143" s="334">
        <v>19575.501283243997</v>
      </c>
      <c r="F143" s="334">
        <v>17847.752183213401</v>
      </c>
      <c r="G143">
        <v>254</v>
      </c>
      <c r="H143" t="s">
        <v>1191</v>
      </c>
      <c r="I143">
        <f t="shared" si="4"/>
        <v>13</v>
      </c>
      <c r="J143" t="str">
        <f t="shared" si="5"/>
        <v>Other Liabilities</v>
      </c>
    </row>
    <row r="144" spans="1:10" ht="15.75" thickTop="1">
      <c r="A144" s="328">
        <v>14</v>
      </c>
      <c r="B144" s="243" t="s">
        <v>26</v>
      </c>
      <c r="C144" s="329">
        <v>732.08127516999991</v>
      </c>
      <c r="D144" s="335">
        <v>732.08127516999991</v>
      </c>
      <c r="E144" s="335">
        <v>732.08127516999991</v>
      </c>
      <c r="F144" s="335">
        <v>732.08127516999991</v>
      </c>
      <c r="G144">
        <v>255</v>
      </c>
      <c r="H144" t="s">
        <v>1190</v>
      </c>
      <c r="I144">
        <f t="shared" si="4"/>
        <v>14</v>
      </c>
      <c r="J144" t="str">
        <f t="shared" si="5"/>
        <v>Equity</v>
      </c>
    </row>
    <row r="145" spans="1:10" ht="15.75" thickBot="1">
      <c r="A145" s="332"/>
      <c r="B145" s="131" t="s">
        <v>1152</v>
      </c>
      <c r="C145" s="247">
        <v>64934.559254759995</v>
      </c>
      <c r="D145" s="334">
        <v>22082.462094197799</v>
      </c>
      <c r="E145" s="334">
        <v>20307.582558413997</v>
      </c>
      <c r="F145" s="334">
        <v>18579.8334583834</v>
      </c>
      <c r="G145">
        <v>257</v>
      </c>
      <c r="H145" t="s">
        <v>1191</v>
      </c>
      <c r="I145">
        <f t="shared" si="4"/>
        <v>14</v>
      </c>
      <c r="J145" t="str">
        <f t="shared" si="5"/>
        <v>Equity</v>
      </c>
    </row>
    <row r="146" spans="1:10" ht="15.75" thickTop="1">
      <c r="A146" s="118">
        <v>15</v>
      </c>
      <c r="B146" s="337" t="s">
        <v>39</v>
      </c>
      <c r="C146" s="338">
        <v>12741.615122369998</v>
      </c>
      <c r="D146" s="339">
        <v>12104.534366251499</v>
      </c>
      <c r="E146" s="340">
        <v>11626.723799162624</v>
      </c>
      <c r="F146" s="340">
        <v>11148.91323207375</v>
      </c>
      <c r="G146">
        <v>260</v>
      </c>
      <c r="H146" t="s">
        <v>1190</v>
      </c>
      <c r="I146">
        <f t="shared" si="4"/>
        <v>15</v>
      </c>
      <c r="J146" t="str">
        <f t="shared" si="5"/>
        <v>Loan Commitments</v>
      </c>
    </row>
    <row r="147" spans="1:10">
      <c r="A147" s="280"/>
      <c r="B147" s="342" t="s">
        <v>50</v>
      </c>
      <c r="C147" s="343"/>
      <c r="D147" s="344">
        <v>0.05</v>
      </c>
      <c r="E147" s="344">
        <v>3.7500000000000006E-2</v>
      </c>
      <c r="F147" s="344">
        <v>3.7500000000000006E-2</v>
      </c>
      <c r="G147">
        <v>261</v>
      </c>
      <c r="H147" t="s">
        <v>49</v>
      </c>
      <c r="I147">
        <f t="shared" si="4"/>
        <v>15</v>
      </c>
      <c r="J147" t="str">
        <f t="shared" si="5"/>
        <v>Loan Commitments</v>
      </c>
    </row>
    <row r="148" spans="1:10">
      <c r="A148" s="280"/>
      <c r="B148" s="342" t="s">
        <v>998</v>
      </c>
      <c r="C148" s="343"/>
      <c r="D148" s="186">
        <v>637.08075611849995</v>
      </c>
      <c r="E148" s="187">
        <v>477.81056708887502</v>
      </c>
      <c r="F148" s="187">
        <v>477.81056708887502</v>
      </c>
      <c r="G148">
        <v>262</v>
      </c>
      <c r="H148" t="s">
        <v>1192</v>
      </c>
      <c r="I148">
        <f t="shared" si="4"/>
        <v>15</v>
      </c>
      <c r="J148" t="str">
        <f t="shared" si="5"/>
        <v>Loan Commitments</v>
      </c>
    </row>
    <row r="149" spans="1:10">
      <c r="A149" s="118">
        <v>16</v>
      </c>
      <c r="B149" s="345" t="s">
        <v>1041</v>
      </c>
      <c r="C149" s="338">
        <v>3598.4055349999999</v>
      </c>
      <c r="D149" s="339">
        <v>3382.5012029</v>
      </c>
      <c r="E149" s="340">
        <v>3166.5968708</v>
      </c>
      <c r="F149" s="340">
        <v>2950.6925387000001</v>
      </c>
      <c r="G149">
        <v>264</v>
      </c>
      <c r="H149" t="s">
        <v>1190</v>
      </c>
      <c r="I149">
        <f t="shared" si="4"/>
        <v>16</v>
      </c>
      <c r="J149" t="str">
        <f t="shared" si="5"/>
        <v>Commercial Paper Backstop</v>
      </c>
    </row>
    <row r="150" spans="1:10">
      <c r="A150" s="280"/>
      <c r="B150" s="342" t="s">
        <v>50</v>
      </c>
      <c r="C150" s="346"/>
      <c r="D150" s="347">
        <v>0.06</v>
      </c>
      <c r="E150" s="347">
        <v>0.06</v>
      </c>
      <c r="F150" s="347">
        <v>0.06</v>
      </c>
      <c r="G150">
        <v>265</v>
      </c>
      <c r="H150" t="s">
        <v>49</v>
      </c>
      <c r="I150">
        <f t="shared" si="4"/>
        <v>16</v>
      </c>
      <c r="J150" t="str">
        <f t="shared" si="5"/>
        <v>Commercial Paper Backstop</v>
      </c>
    </row>
    <row r="151" spans="1:10">
      <c r="A151" s="280"/>
      <c r="B151" s="342" t="s">
        <v>998</v>
      </c>
      <c r="C151" s="346"/>
      <c r="D151" s="186">
        <v>215.90433209999998</v>
      </c>
      <c r="E151" s="187">
        <v>215.90433209999998</v>
      </c>
      <c r="F151" s="187">
        <v>215.90433209999998</v>
      </c>
      <c r="G151">
        <v>266</v>
      </c>
      <c r="H151" t="s">
        <v>1192</v>
      </c>
      <c r="I151">
        <f t="shared" si="4"/>
        <v>16</v>
      </c>
      <c r="J151" t="str">
        <f t="shared" si="5"/>
        <v>Commercial Paper Backstop</v>
      </c>
    </row>
    <row r="152" spans="1:10">
      <c r="A152" s="135"/>
      <c r="B152" s="348" t="s">
        <v>1051</v>
      </c>
      <c r="C152" s="349"/>
      <c r="D152" s="350">
        <v>-852.98508821849987</v>
      </c>
      <c r="E152" s="350">
        <v>-693.71489918887505</v>
      </c>
      <c r="F152" s="350">
        <v>-693.71489918887505</v>
      </c>
      <c r="G152">
        <v>270</v>
      </c>
      <c r="H152" t="s">
        <v>1192</v>
      </c>
      <c r="I152">
        <f t="shared" si="4"/>
        <v>16</v>
      </c>
      <c r="J152" t="str">
        <f t="shared" si="5"/>
        <v>Commercial Paper Backstop</v>
      </c>
    </row>
    <row r="153" spans="1:10">
      <c r="A153" s="352"/>
      <c r="B153" s="353" t="s">
        <v>1098</v>
      </c>
      <c r="C153" s="354"/>
      <c r="D153" s="355">
        <v>-150</v>
      </c>
      <c r="E153" s="355">
        <v>-150</v>
      </c>
      <c r="F153" s="355">
        <v>-150</v>
      </c>
      <c r="G153">
        <v>274</v>
      </c>
      <c r="H153" t="s">
        <v>1190</v>
      </c>
      <c r="I153">
        <f t="shared" si="4"/>
        <v>16</v>
      </c>
      <c r="J153" t="str">
        <f t="shared" si="5"/>
        <v>Commercial Paper Backstop</v>
      </c>
    </row>
    <row r="154" spans="1:10">
      <c r="A154" s="359">
        <v>1</v>
      </c>
      <c r="B154" s="360" t="s">
        <v>1096</v>
      </c>
      <c r="C154" s="361">
        <v>12417.7176</v>
      </c>
      <c r="D154" s="362"/>
      <c r="E154" s="363"/>
      <c r="F154" s="363"/>
      <c r="G154">
        <v>283</v>
      </c>
      <c r="H154" t="s">
        <v>1190</v>
      </c>
      <c r="I154">
        <f t="shared" si="4"/>
        <v>1</v>
      </c>
      <c r="J154" t="str">
        <f t="shared" si="5"/>
        <v>Lend HO securities</v>
      </c>
    </row>
    <row r="155" spans="1:10">
      <c r="A155" s="365">
        <v>2</v>
      </c>
      <c r="B155" s="366" t="s">
        <v>1071</v>
      </c>
      <c r="C155" s="351"/>
      <c r="D155" s="367"/>
      <c r="E155" s="252"/>
      <c r="F155" s="252"/>
      <c r="G155">
        <v>284</v>
      </c>
      <c r="H155" t="s">
        <v>1190</v>
      </c>
      <c r="I155">
        <f t="shared" si="4"/>
        <v>2</v>
      </c>
      <c r="J155" t="str">
        <f t="shared" si="5"/>
        <v>Sell loans on the secondary market</v>
      </c>
    </row>
    <row r="156" spans="1:10">
      <c r="A156" s="365">
        <v>2.1</v>
      </c>
      <c r="B156" s="368" t="s">
        <v>1097</v>
      </c>
      <c r="C156" s="351"/>
      <c r="D156" s="367"/>
      <c r="E156" s="252"/>
      <c r="F156" s="252"/>
      <c r="G156">
        <v>285</v>
      </c>
      <c r="H156" t="s">
        <v>1190</v>
      </c>
      <c r="I156">
        <f t="shared" si="4"/>
        <v>2.1</v>
      </c>
      <c r="J156" t="str">
        <f t="shared" si="5"/>
        <v xml:space="preserve">Syndication </v>
      </c>
    </row>
    <row r="157" spans="1:10">
      <c r="A157" s="365">
        <v>2.2000000000000002</v>
      </c>
      <c r="B157" s="369" t="s">
        <v>30</v>
      </c>
      <c r="C157" s="370"/>
      <c r="D157" s="371"/>
      <c r="E157" s="372"/>
      <c r="F157" s="372"/>
      <c r="G157">
        <v>286</v>
      </c>
      <c r="H157" t="s">
        <v>1190</v>
      </c>
      <c r="I157">
        <f t="shared" si="4"/>
        <v>2.2000000000000002</v>
      </c>
      <c r="J157" t="str">
        <f t="shared" si="5"/>
        <v>Mortgage</v>
      </c>
    </row>
    <row r="158" spans="1:10" ht="30">
      <c r="A158" s="365">
        <v>3</v>
      </c>
      <c r="B158" s="138" t="s">
        <v>40</v>
      </c>
      <c r="C158" s="374" t="s">
        <v>1070</v>
      </c>
      <c r="D158" s="252"/>
      <c r="E158" s="252"/>
      <c r="F158" s="252"/>
      <c r="G158">
        <v>287</v>
      </c>
      <c r="H158" t="s">
        <v>1190</v>
      </c>
      <c r="I158">
        <f t="shared" si="4"/>
        <v>3</v>
      </c>
      <c r="J158" t="str">
        <f t="shared" si="5"/>
        <v>Borrow Eurodollars or Fed Funds in interbank market.</v>
      </c>
    </row>
    <row r="159" spans="1:10">
      <c r="A159" s="365">
        <v>4</v>
      </c>
      <c r="B159" s="138" t="s">
        <v>41</v>
      </c>
      <c r="C159" s="374" t="s">
        <v>1070</v>
      </c>
      <c r="D159" s="252"/>
      <c r="E159" s="252"/>
      <c r="F159" s="252"/>
      <c r="G159">
        <v>288</v>
      </c>
      <c r="H159" t="s">
        <v>1190</v>
      </c>
      <c r="I159">
        <f t="shared" si="4"/>
        <v>4</v>
      </c>
      <c r="J159" t="str">
        <f t="shared" si="5"/>
        <v>REPO NY Branch securities.</v>
      </c>
    </row>
    <row r="160" spans="1:10" ht="30">
      <c r="A160" s="365">
        <v>5</v>
      </c>
      <c r="B160" s="138" t="s">
        <v>42</v>
      </c>
      <c r="C160" s="374" t="s">
        <v>1070</v>
      </c>
      <c r="D160" s="252"/>
      <c r="E160" s="252"/>
      <c r="F160" s="252"/>
      <c r="G160">
        <v>289</v>
      </c>
      <c r="H160" t="s">
        <v>1190</v>
      </c>
      <c r="I160">
        <f t="shared" si="4"/>
        <v>5</v>
      </c>
      <c r="J160" t="str">
        <f t="shared" si="5"/>
        <v>Inform and request funding from HO TRD departments.</v>
      </c>
    </row>
    <row r="161" spans="1:10">
      <c r="A161" s="365">
        <v>6</v>
      </c>
      <c r="B161" s="138" t="s">
        <v>43</v>
      </c>
      <c r="C161" s="374" t="s">
        <v>1070</v>
      </c>
      <c r="D161" s="252"/>
      <c r="E161" s="252"/>
      <c r="F161" s="252"/>
      <c r="G161">
        <v>290</v>
      </c>
      <c r="H161" t="s">
        <v>1190</v>
      </c>
      <c r="I161">
        <f t="shared" si="4"/>
        <v>6</v>
      </c>
      <c r="J161" t="str">
        <f t="shared" si="5"/>
        <v>Issue BCD.</v>
      </c>
    </row>
    <row r="162" spans="1:10">
      <c r="A162" s="365">
        <v>7</v>
      </c>
      <c r="B162" s="138" t="s">
        <v>44</v>
      </c>
      <c r="C162" s="374" t="s">
        <v>1070</v>
      </c>
      <c r="D162" s="252"/>
      <c r="E162" s="252"/>
      <c r="F162" s="252"/>
      <c r="G162">
        <v>291</v>
      </c>
      <c r="H162" t="s">
        <v>1190</v>
      </c>
      <c r="I162">
        <f t="shared" si="4"/>
        <v>7</v>
      </c>
      <c r="J162" t="str">
        <f t="shared" si="5"/>
        <v>Issue YCD.</v>
      </c>
    </row>
    <row r="163" spans="1:10">
      <c r="A163" s="365">
        <v>8</v>
      </c>
      <c r="B163" s="138" t="s">
        <v>45</v>
      </c>
      <c r="C163" s="374" t="s">
        <v>1070</v>
      </c>
      <c r="D163" s="252"/>
      <c r="E163" s="252"/>
      <c r="F163" s="252"/>
      <c r="G163">
        <v>292</v>
      </c>
      <c r="H163" t="s">
        <v>1190</v>
      </c>
      <c r="I163">
        <f t="shared" si="4"/>
        <v>8</v>
      </c>
      <c r="J163" t="str">
        <f t="shared" si="5"/>
        <v>Suspend loans.</v>
      </c>
    </row>
    <row r="164" spans="1:10">
      <c r="A164" s="365">
        <v>9</v>
      </c>
      <c r="B164" s="138" t="s">
        <v>46</v>
      </c>
      <c r="C164" s="374" t="s">
        <v>1070</v>
      </c>
      <c r="D164" s="252"/>
      <c r="E164" s="252"/>
      <c r="F164" s="252"/>
      <c r="G164">
        <v>293</v>
      </c>
      <c r="H164" t="s">
        <v>1190</v>
      </c>
      <c r="I164">
        <f t="shared" si="4"/>
        <v>9</v>
      </c>
      <c r="J164" t="str">
        <f t="shared" si="5"/>
        <v>Rebalance investments to increase liquidity.</v>
      </c>
    </row>
    <row r="165" spans="1:10">
      <c r="A165" s="365">
        <v>10</v>
      </c>
      <c r="B165" s="138" t="s">
        <v>47</v>
      </c>
      <c r="C165" s="374" t="s">
        <v>1070</v>
      </c>
      <c r="D165" s="252"/>
      <c r="E165" s="252"/>
      <c r="F165" s="252"/>
      <c r="G165">
        <v>294</v>
      </c>
      <c r="H165" t="s">
        <v>1190</v>
      </c>
      <c r="I165">
        <f t="shared" si="4"/>
        <v>10</v>
      </c>
      <c r="J165" t="str">
        <f t="shared" si="5"/>
        <v>Sell Investment Portfolio.</v>
      </c>
    </row>
    <row r="166" spans="1:10">
      <c r="A166" s="375">
        <v>11</v>
      </c>
      <c r="B166" s="376" t="s">
        <v>48</v>
      </c>
      <c r="C166" s="377" t="s">
        <v>1070</v>
      </c>
      <c r="D166" s="378"/>
      <c r="E166" s="378"/>
      <c r="F166" s="378"/>
      <c r="G166">
        <v>295</v>
      </c>
      <c r="H166" t="s">
        <v>1190</v>
      </c>
      <c r="I166">
        <f t="shared" si="4"/>
        <v>11</v>
      </c>
      <c r="J166" t="str">
        <f t="shared" si="5"/>
        <v>Access Fed Discount window.</v>
      </c>
    </row>
    <row r="167" spans="1:10">
      <c r="A167" s="135"/>
      <c r="B167" s="379" t="s">
        <v>1008</v>
      </c>
      <c r="C167" s="380"/>
      <c r="D167" s="381">
        <v>75.929649244996043</v>
      </c>
      <c r="E167" s="381">
        <v>318.01917200499997</v>
      </c>
      <c r="F167" s="381">
        <v>304.38257859000004</v>
      </c>
      <c r="G167">
        <v>298</v>
      </c>
      <c r="H167" t="s">
        <v>1192</v>
      </c>
      <c r="I167">
        <f t="shared" si="4"/>
        <v>11</v>
      </c>
      <c r="J167" t="str">
        <f t="shared" si="5"/>
        <v>Access Fed Discount window.</v>
      </c>
    </row>
    <row r="168" spans="1:10">
      <c r="A168" s="135"/>
      <c r="B168" s="384" t="s">
        <v>1054</v>
      </c>
      <c r="C168" s="385"/>
      <c r="D168" s="386">
        <v>-43705.082248780694</v>
      </c>
      <c r="E168" s="387">
        <v>-2468.5944349726751</v>
      </c>
      <c r="F168" s="387">
        <v>-2421.4639992194752</v>
      </c>
      <c r="G168">
        <v>300</v>
      </c>
      <c r="H168" t="s">
        <v>1192</v>
      </c>
      <c r="I168">
        <f t="shared" si="4"/>
        <v>11</v>
      </c>
      <c r="J168" t="str">
        <f t="shared" si="5"/>
        <v>Access Fed Discount window.</v>
      </c>
    </row>
    <row r="169" spans="1:10">
      <c r="A169" s="135"/>
      <c r="B169" s="389" t="s">
        <v>1035</v>
      </c>
      <c r="C169" s="390"/>
      <c r="D169" s="391">
        <v>-43629.152599535701</v>
      </c>
      <c r="E169" s="391">
        <v>-2150.5752629676754</v>
      </c>
      <c r="F169" s="391">
        <v>-2117.0814206294754</v>
      </c>
      <c r="G169">
        <v>302</v>
      </c>
      <c r="H169" t="s">
        <v>1192</v>
      </c>
      <c r="I169">
        <f t="shared" si="4"/>
        <v>11</v>
      </c>
      <c r="J169" t="str">
        <f t="shared" si="5"/>
        <v>Access Fed Discount window.</v>
      </c>
    </row>
  </sheetData>
  <mergeCells count="2">
    <mergeCell ref="A3:A4"/>
    <mergeCell ref="B3:B4"/>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3"/>
  <sheetViews>
    <sheetView workbookViewId="0">
      <selection activeCell="A3" sqref="A3"/>
    </sheetView>
  </sheetViews>
  <sheetFormatPr defaultRowHeight="14.25"/>
  <cols>
    <col min="1" max="4" width="4.5" customWidth="1"/>
    <col min="5" max="5" width="5.5" bestFit="1" customWidth="1"/>
    <col min="6" max="6" width="4.5" customWidth="1"/>
    <col min="7" max="7" width="6" bestFit="1" customWidth="1"/>
    <col min="8" max="20" width="5" bestFit="1" customWidth="1"/>
    <col min="21" max="21" width="7" bestFit="1" customWidth="1"/>
  </cols>
  <sheetData>
    <row r="1" spans="1:21">
      <c r="A1" t="s">
        <v>1609</v>
      </c>
      <c r="B1" t="s">
        <v>1610</v>
      </c>
      <c r="C1" t="s">
        <v>1</v>
      </c>
      <c r="D1" t="s">
        <v>2</v>
      </c>
      <c r="E1" t="s">
        <v>3</v>
      </c>
      <c r="G1" t="s">
        <v>1451</v>
      </c>
      <c r="H1" t="s">
        <v>1452</v>
      </c>
      <c r="I1" t="s">
        <v>1453</v>
      </c>
      <c r="J1" t="s">
        <v>1454</v>
      </c>
      <c r="K1" t="s">
        <v>1455</v>
      </c>
      <c r="L1" t="s">
        <v>1456</v>
      </c>
      <c r="M1" t="s">
        <v>1457</v>
      </c>
      <c r="N1" t="s">
        <v>1458</v>
      </c>
      <c r="O1" t="s">
        <v>1459</v>
      </c>
      <c r="P1" t="s">
        <v>1460</v>
      </c>
      <c r="Q1" t="s">
        <v>1461</v>
      </c>
      <c r="R1" t="s">
        <v>1462</v>
      </c>
      <c r="S1" t="s">
        <v>1463</v>
      </c>
      <c r="T1" t="s">
        <v>1464</v>
      </c>
      <c r="U1" t="s">
        <v>1611</v>
      </c>
    </row>
    <row r="2" spans="1:21">
      <c r="A2">
        <v>0</v>
      </c>
      <c r="C2" s="428">
        <v>0.2</v>
      </c>
      <c r="D2" s="428">
        <v>0.6</v>
      </c>
      <c r="E2" s="428">
        <v>1</v>
      </c>
      <c r="G2" s="712">
        <f>$C2</f>
        <v>0.2</v>
      </c>
      <c r="H2" s="712">
        <f>($D2-$C2)/6</f>
        <v>6.6666666666666666E-2</v>
      </c>
      <c r="I2" s="712">
        <f t="shared" ref="I2:M3" si="0">($D2-$C2)/6</f>
        <v>6.6666666666666666E-2</v>
      </c>
      <c r="J2" s="712">
        <f t="shared" si="0"/>
        <v>6.6666666666666666E-2</v>
      </c>
      <c r="K2" s="712">
        <f t="shared" si="0"/>
        <v>6.6666666666666666E-2</v>
      </c>
      <c r="L2" s="712">
        <f t="shared" si="0"/>
        <v>6.6666666666666666E-2</v>
      </c>
      <c r="M2" s="712">
        <f t="shared" si="0"/>
        <v>6.6666666666666666E-2</v>
      </c>
      <c r="N2" s="712">
        <f>($E2-$D2)/7</f>
        <v>5.7142857142857148E-2</v>
      </c>
      <c r="O2" s="712">
        <f t="shared" ref="O2:T3" si="1">($E2-$D2)/7</f>
        <v>5.7142857142857148E-2</v>
      </c>
      <c r="P2" s="712">
        <f t="shared" si="1"/>
        <v>5.7142857142857148E-2</v>
      </c>
      <c r="Q2" s="712">
        <f t="shared" si="1"/>
        <v>5.7142857142857148E-2</v>
      </c>
      <c r="R2" s="712">
        <f t="shared" si="1"/>
        <v>5.7142857142857148E-2</v>
      </c>
      <c r="S2" s="712">
        <f t="shared" si="1"/>
        <v>5.7142857142857148E-2</v>
      </c>
      <c r="T2" s="712">
        <f t="shared" si="1"/>
        <v>5.7142857142857148E-2</v>
      </c>
      <c r="U2" s="713">
        <f>SUM(G2:T2)</f>
        <v>1</v>
      </c>
    </row>
    <row r="3" spans="1:21">
      <c r="A3">
        <v>1</v>
      </c>
      <c r="C3" s="428">
        <f>1/3</f>
        <v>0.33333333333333331</v>
      </c>
      <c r="D3" s="428">
        <f>2/3</f>
        <v>0.66666666666666663</v>
      </c>
      <c r="E3" s="428">
        <f>3/3</f>
        <v>1</v>
      </c>
      <c r="G3" s="712">
        <f>$C3</f>
        <v>0.33333333333333331</v>
      </c>
      <c r="H3" s="712">
        <f>($D3-$C3)/6</f>
        <v>5.5555555555555552E-2</v>
      </c>
      <c r="I3" s="712">
        <f t="shared" si="0"/>
        <v>5.5555555555555552E-2</v>
      </c>
      <c r="J3" s="712">
        <f t="shared" si="0"/>
        <v>5.5555555555555552E-2</v>
      </c>
      <c r="K3" s="712">
        <f t="shared" si="0"/>
        <v>5.5555555555555552E-2</v>
      </c>
      <c r="L3" s="712">
        <f t="shared" si="0"/>
        <v>5.5555555555555552E-2</v>
      </c>
      <c r="M3" s="712">
        <f t="shared" si="0"/>
        <v>5.5555555555555552E-2</v>
      </c>
      <c r="N3" s="712">
        <f>($E3-$D3)/7</f>
        <v>4.7619047619047623E-2</v>
      </c>
      <c r="O3" s="712">
        <f t="shared" si="1"/>
        <v>4.7619047619047623E-2</v>
      </c>
      <c r="P3" s="712">
        <f t="shared" si="1"/>
        <v>4.7619047619047623E-2</v>
      </c>
      <c r="Q3" s="712">
        <f t="shared" si="1"/>
        <v>4.7619047619047623E-2</v>
      </c>
      <c r="R3" s="712">
        <f t="shared" si="1"/>
        <v>4.7619047619047623E-2</v>
      </c>
      <c r="S3" s="712">
        <f t="shared" si="1"/>
        <v>4.7619047619047623E-2</v>
      </c>
      <c r="T3" s="712">
        <f t="shared" si="1"/>
        <v>4.7619047619047623E-2</v>
      </c>
      <c r="U3" s="713">
        <f>SUM(G3:T3)</f>
        <v>1.0000000000000004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HW22"/>
  <sheetViews>
    <sheetView workbookViewId="0"/>
  </sheetViews>
  <sheetFormatPr defaultRowHeight="14.25"/>
  <cols>
    <col min="2" max="2" width="40.5" bestFit="1" customWidth="1"/>
    <col min="3" max="3" width="12.375" bestFit="1" customWidth="1"/>
    <col min="4" max="6" width="6.875" customWidth="1"/>
    <col min="7" max="54" width="6.875" hidden="1" customWidth="1"/>
    <col min="55" max="55" width="6.875" customWidth="1"/>
    <col min="57" max="57" width="9" customWidth="1"/>
    <col min="59" max="106" width="9" hidden="1" customWidth="1"/>
    <col min="111" max="158" width="9" hidden="1" customWidth="1"/>
    <col min="160" max="160" width="15.625" bestFit="1" customWidth="1"/>
    <col min="162" max="162" width="23.875" bestFit="1" customWidth="1"/>
    <col min="172" max="175" width="9" customWidth="1"/>
    <col min="176" max="186" width="9" hidden="1" customWidth="1"/>
    <col min="187" max="192" width="9" customWidth="1"/>
    <col min="193" max="203" width="9" hidden="1" customWidth="1"/>
    <col min="204" max="209" width="9" customWidth="1"/>
    <col min="210" max="230" width="9" hidden="1" customWidth="1"/>
    <col min="231" max="231" width="0" hidden="1" customWidth="1"/>
  </cols>
  <sheetData>
    <row r="1" spans="1:231">
      <c r="A1" s="427" t="s">
        <v>1616</v>
      </c>
      <c r="C1" t="s">
        <v>1615</v>
      </c>
      <c r="D1" t="s">
        <v>1614</v>
      </c>
      <c r="E1" t="s">
        <v>1112</v>
      </c>
      <c r="F1" t="s">
        <v>1</v>
      </c>
      <c r="G1" t="s">
        <v>2</v>
      </c>
      <c r="H1" t="s">
        <v>3</v>
      </c>
      <c r="I1" t="s">
        <v>4</v>
      </c>
      <c r="J1" t="s">
        <v>5</v>
      </c>
      <c r="K1" t="s">
        <v>6</v>
      </c>
      <c r="L1" t="s">
        <v>7</v>
      </c>
      <c r="M1" t="s">
        <v>8</v>
      </c>
      <c r="N1" t="s">
        <v>9</v>
      </c>
      <c r="O1" t="s">
        <v>10</v>
      </c>
      <c r="P1" t="s">
        <v>11</v>
      </c>
      <c r="Q1" t="s">
        <v>12</v>
      </c>
      <c r="R1" t="s">
        <v>13</v>
      </c>
      <c r="S1" t="s">
        <v>14</v>
      </c>
      <c r="T1" t="s">
        <v>15</v>
      </c>
      <c r="U1" t="s">
        <v>16</v>
      </c>
      <c r="V1" t="s">
        <v>1113</v>
      </c>
      <c r="W1" t="s">
        <v>1</v>
      </c>
      <c r="X1" t="s">
        <v>2</v>
      </c>
      <c r="Y1" t="s">
        <v>3</v>
      </c>
      <c r="Z1" t="s">
        <v>4</v>
      </c>
      <c r="AA1" t="s">
        <v>5</v>
      </c>
      <c r="AB1" t="s">
        <v>6</v>
      </c>
      <c r="AC1" t="s">
        <v>7</v>
      </c>
      <c r="AD1" t="s">
        <v>8</v>
      </c>
      <c r="AE1" t="s">
        <v>9</v>
      </c>
      <c r="AF1" t="s">
        <v>10</v>
      </c>
      <c r="AG1" t="s">
        <v>11</v>
      </c>
      <c r="AH1" t="s">
        <v>12</v>
      </c>
      <c r="AI1" t="s">
        <v>13</v>
      </c>
      <c r="AJ1" t="s">
        <v>14</v>
      </c>
      <c r="AK1" t="s">
        <v>15</v>
      </c>
      <c r="AL1" t="s">
        <v>16</v>
      </c>
      <c r="AM1" t="s">
        <v>1111</v>
      </c>
      <c r="AN1" t="s">
        <v>1</v>
      </c>
      <c r="AO1" t="s">
        <v>2</v>
      </c>
      <c r="AP1" t="s">
        <v>3</v>
      </c>
      <c r="AQ1" t="s">
        <v>4</v>
      </c>
      <c r="AR1" t="s">
        <v>5</v>
      </c>
      <c r="AS1" t="s">
        <v>6</v>
      </c>
      <c r="AT1" t="s">
        <v>7</v>
      </c>
      <c r="AU1" t="s">
        <v>8</v>
      </c>
      <c r="AV1" t="s">
        <v>9</v>
      </c>
      <c r="AW1" t="s">
        <v>10</v>
      </c>
      <c r="AX1" t="s">
        <v>11</v>
      </c>
      <c r="AY1" t="s">
        <v>12</v>
      </c>
      <c r="AZ1" t="s">
        <v>13</v>
      </c>
      <c r="BA1" t="s">
        <v>14</v>
      </c>
      <c r="BB1" t="s">
        <v>15</v>
      </c>
      <c r="BC1" t="s">
        <v>16</v>
      </c>
      <c r="BD1" t="s">
        <v>1612</v>
      </c>
      <c r="BE1" t="s">
        <v>1112</v>
      </c>
      <c r="BF1" t="s">
        <v>1</v>
      </c>
      <c r="BG1" t="s">
        <v>2</v>
      </c>
      <c r="BH1" t="s">
        <v>3</v>
      </c>
      <c r="BI1" t="s">
        <v>4</v>
      </c>
      <c r="BJ1" t="s">
        <v>5</v>
      </c>
      <c r="BK1" t="s">
        <v>6</v>
      </c>
      <c r="BL1" t="s">
        <v>7</v>
      </c>
      <c r="BM1" t="s">
        <v>8</v>
      </c>
      <c r="BN1" t="s">
        <v>9</v>
      </c>
      <c r="BO1" t="s">
        <v>10</v>
      </c>
      <c r="BP1" t="s">
        <v>11</v>
      </c>
      <c r="BQ1" t="s">
        <v>12</v>
      </c>
      <c r="BR1" t="s">
        <v>13</v>
      </c>
      <c r="BS1" t="s">
        <v>14</v>
      </c>
      <c r="BT1" t="s">
        <v>15</v>
      </c>
      <c r="BU1" t="s">
        <v>16</v>
      </c>
      <c r="BV1" t="s">
        <v>1113</v>
      </c>
      <c r="BW1" t="s">
        <v>1</v>
      </c>
      <c r="BX1" t="s">
        <v>2</v>
      </c>
      <c r="BY1" t="s">
        <v>3</v>
      </c>
      <c r="BZ1" t="s">
        <v>4</v>
      </c>
      <c r="CA1" t="s">
        <v>5</v>
      </c>
      <c r="CB1" t="s">
        <v>6</v>
      </c>
      <c r="CC1" t="s">
        <v>7</v>
      </c>
      <c r="CD1" t="s">
        <v>8</v>
      </c>
      <c r="CE1" t="s">
        <v>9</v>
      </c>
      <c r="CF1" t="s">
        <v>10</v>
      </c>
      <c r="CG1" t="s">
        <v>11</v>
      </c>
      <c r="CH1" t="s">
        <v>12</v>
      </c>
      <c r="CI1" t="s">
        <v>13</v>
      </c>
      <c r="CJ1" t="s">
        <v>14</v>
      </c>
      <c r="CK1" t="s">
        <v>15</v>
      </c>
      <c r="CL1" t="s">
        <v>16</v>
      </c>
      <c r="CM1" t="s">
        <v>1111</v>
      </c>
      <c r="CN1" t="s">
        <v>1</v>
      </c>
      <c r="CO1" t="s">
        <v>2</v>
      </c>
      <c r="CP1" t="s">
        <v>3</v>
      </c>
      <c r="CQ1" t="s">
        <v>4</v>
      </c>
      <c r="CR1" t="s">
        <v>5</v>
      </c>
      <c r="CS1" t="s">
        <v>6</v>
      </c>
      <c r="CT1" t="s">
        <v>7</v>
      </c>
      <c r="CU1" t="s">
        <v>8</v>
      </c>
      <c r="CV1" t="s">
        <v>9</v>
      </c>
      <c r="CW1" t="s">
        <v>10</v>
      </c>
      <c r="CX1" t="s">
        <v>11</v>
      </c>
      <c r="CY1" t="s">
        <v>12</v>
      </c>
      <c r="CZ1" t="s">
        <v>13</v>
      </c>
      <c r="DA1" t="s">
        <v>14</v>
      </c>
      <c r="DB1" t="s">
        <v>15</v>
      </c>
      <c r="DC1" t="s">
        <v>16</v>
      </c>
      <c r="DD1" t="s">
        <v>1613</v>
      </c>
      <c r="DE1" t="s">
        <v>1112</v>
      </c>
      <c r="DF1" t="s">
        <v>1</v>
      </c>
      <c r="DG1" t="s">
        <v>2</v>
      </c>
      <c r="DH1" t="s">
        <v>3</v>
      </c>
      <c r="DI1" t="s">
        <v>4</v>
      </c>
      <c r="DJ1" t="s">
        <v>5</v>
      </c>
      <c r="DK1" t="s">
        <v>6</v>
      </c>
      <c r="DL1" t="s">
        <v>7</v>
      </c>
      <c r="DM1" t="s">
        <v>8</v>
      </c>
      <c r="DN1" t="s">
        <v>9</v>
      </c>
      <c r="DO1" t="s">
        <v>10</v>
      </c>
      <c r="DP1" t="s">
        <v>11</v>
      </c>
      <c r="DQ1" t="s">
        <v>12</v>
      </c>
      <c r="DR1" t="s">
        <v>13</v>
      </c>
      <c r="DS1" t="s">
        <v>14</v>
      </c>
      <c r="DT1" t="s">
        <v>15</v>
      </c>
      <c r="DU1" t="s">
        <v>16</v>
      </c>
      <c r="DV1" t="s">
        <v>1113</v>
      </c>
      <c r="DW1" t="s">
        <v>1</v>
      </c>
      <c r="DX1" t="s">
        <v>2</v>
      </c>
      <c r="DY1" t="s">
        <v>3</v>
      </c>
      <c r="DZ1" t="s">
        <v>4</v>
      </c>
      <c r="EA1" t="s">
        <v>5</v>
      </c>
      <c r="EB1" t="s">
        <v>6</v>
      </c>
      <c r="EC1" t="s">
        <v>7</v>
      </c>
      <c r="ED1" t="s">
        <v>8</v>
      </c>
      <c r="EE1" t="s">
        <v>9</v>
      </c>
      <c r="EF1" t="s">
        <v>10</v>
      </c>
      <c r="EG1" t="s">
        <v>11</v>
      </c>
      <c r="EH1" t="s">
        <v>12</v>
      </c>
      <c r="EI1" t="s">
        <v>13</v>
      </c>
      <c r="EJ1" t="s">
        <v>14</v>
      </c>
      <c r="EK1" t="s">
        <v>15</v>
      </c>
      <c r="EL1" t="s">
        <v>16</v>
      </c>
      <c r="EM1" t="s">
        <v>1111</v>
      </c>
      <c r="EN1" t="s">
        <v>1</v>
      </c>
      <c r="EO1" t="s">
        <v>2</v>
      </c>
      <c r="EP1" t="s">
        <v>3</v>
      </c>
      <c r="EQ1" t="s">
        <v>4</v>
      </c>
      <c r="ER1" t="s">
        <v>5</v>
      </c>
      <c r="ES1" t="s">
        <v>6</v>
      </c>
      <c r="ET1" t="s">
        <v>7</v>
      </c>
      <c r="EU1" t="s">
        <v>8</v>
      </c>
      <c r="EV1" t="s">
        <v>9</v>
      </c>
      <c r="EW1" t="s">
        <v>10</v>
      </c>
      <c r="EX1" t="s">
        <v>11</v>
      </c>
      <c r="EY1" t="s">
        <v>12</v>
      </c>
      <c r="EZ1" t="s">
        <v>13</v>
      </c>
      <c r="FA1" t="s">
        <v>14</v>
      </c>
      <c r="FB1" t="s">
        <v>15</v>
      </c>
      <c r="FC1" t="s">
        <v>16</v>
      </c>
      <c r="FD1" t="s">
        <v>1583</v>
      </c>
      <c r="FE1" s="427" t="s">
        <v>1616</v>
      </c>
      <c r="FG1" t="s">
        <v>1618</v>
      </c>
      <c r="FH1" t="s">
        <v>1619</v>
      </c>
      <c r="FJ1" t="s">
        <v>1113</v>
      </c>
      <c r="FL1" t="s">
        <v>1111</v>
      </c>
      <c r="FN1" t="s">
        <v>1112</v>
      </c>
      <c r="FO1" t="s">
        <v>1</v>
      </c>
      <c r="FP1" t="s">
        <v>2</v>
      </c>
      <c r="FQ1" t="s">
        <v>3</v>
      </c>
      <c r="FR1" t="s">
        <v>4</v>
      </c>
      <c r="FS1" t="s">
        <v>5</v>
      </c>
      <c r="FT1" t="s">
        <v>6</v>
      </c>
      <c r="FU1" t="s">
        <v>7</v>
      </c>
      <c r="FV1" t="s">
        <v>8</v>
      </c>
      <c r="FW1" t="s">
        <v>9</v>
      </c>
      <c r="FX1" t="s">
        <v>10</v>
      </c>
      <c r="FY1" t="s">
        <v>11</v>
      </c>
      <c r="FZ1" t="s">
        <v>12</v>
      </c>
      <c r="GA1" t="s">
        <v>13</v>
      </c>
      <c r="GB1" t="s">
        <v>14</v>
      </c>
      <c r="GC1" t="s">
        <v>15</v>
      </c>
      <c r="GD1" t="s">
        <v>16</v>
      </c>
      <c r="GE1" t="s">
        <v>1113</v>
      </c>
      <c r="GF1" t="s">
        <v>1</v>
      </c>
      <c r="GG1" t="s">
        <v>2</v>
      </c>
      <c r="GH1" t="s">
        <v>3</v>
      </c>
      <c r="GI1" t="s">
        <v>4</v>
      </c>
      <c r="GJ1" t="s">
        <v>5</v>
      </c>
      <c r="GK1" t="s">
        <v>6</v>
      </c>
      <c r="GL1" t="s">
        <v>7</v>
      </c>
      <c r="GM1" t="s">
        <v>8</v>
      </c>
      <c r="GN1" t="s">
        <v>9</v>
      </c>
      <c r="GO1" t="s">
        <v>10</v>
      </c>
      <c r="GP1" t="s">
        <v>11</v>
      </c>
      <c r="GQ1" t="s">
        <v>12</v>
      </c>
      <c r="GR1" t="s">
        <v>13</v>
      </c>
      <c r="GS1" t="s">
        <v>14</v>
      </c>
      <c r="GT1" t="s">
        <v>15</v>
      </c>
      <c r="GU1" t="s">
        <v>16</v>
      </c>
      <c r="GV1" t="s">
        <v>1111</v>
      </c>
      <c r="GW1" t="s">
        <v>1</v>
      </c>
      <c r="GX1" t="s">
        <v>2</v>
      </c>
      <c r="GY1" t="s">
        <v>3</v>
      </c>
      <c r="GZ1" t="s">
        <v>4</v>
      </c>
      <c r="HA1" t="s">
        <v>5</v>
      </c>
      <c r="HB1" t="s">
        <v>6</v>
      </c>
      <c r="HC1" t="s">
        <v>7</v>
      </c>
      <c r="HD1" t="s">
        <v>8</v>
      </c>
      <c r="HE1" t="s">
        <v>9</v>
      </c>
      <c r="HF1" t="s">
        <v>10</v>
      </c>
      <c r="HG1" t="s">
        <v>11</v>
      </c>
      <c r="HH1" t="s">
        <v>12</v>
      </c>
      <c r="HI1" t="s">
        <v>13</v>
      </c>
      <c r="HJ1" t="s">
        <v>14</v>
      </c>
      <c r="HK1" t="s">
        <v>15</v>
      </c>
      <c r="HL1" t="s">
        <v>16</v>
      </c>
      <c r="HM1" t="s">
        <v>6</v>
      </c>
      <c r="HN1" t="s">
        <v>7</v>
      </c>
      <c r="HO1" t="s">
        <v>8</v>
      </c>
      <c r="HP1" t="s">
        <v>9</v>
      </c>
      <c r="HQ1" t="s">
        <v>10</v>
      </c>
      <c r="HR1" t="s">
        <v>11</v>
      </c>
      <c r="HS1" t="s">
        <v>12</v>
      </c>
      <c r="HT1" t="s">
        <v>13</v>
      </c>
      <c r="HU1" t="s">
        <v>14</v>
      </c>
      <c r="HV1" t="s">
        <v>15</v>
      </c>
      <c r="HW1" t="s">
        <v>16</v>
      </c>
    </row>
    <row r="3" spans="1:231">
      <c r="FH3" t="s">
        <v>1581</v>
      </c>
      <c r="FI3" t="s">
        <v>1580</v>
      </c>
      <c r="FJ3" t="s">
        <v>1581</v>
      </c>
      <c r="FK3" t="s">
        <v>1580</v>
      </c>
      <c r="FL3" t="s">
        <v>1581</v>
      </c>
      <c r="FM3" t="s">
        <v>1580</v>
      </c>
    </row>
    <row r="4" spans="1:231">
      <c r="A4">
        <v>16</v>
      </c>
      <c r="B4" t="str">
        <f>INDEX('Data Interface'!$C:$C,MATCH(A4,'Data Interface'!$B:$B,0))</f>
        <v>Credit Enhancement Facility - CPDP</v>
      </c>
      <c r="C4">
        <f>'Para Adj'!$B$3</f>
        <v>2</v>
      </c>
      <c r="F4">
        <f>IF($C4=1,DF4,IF($C4=2,DF5,BF4))</f>
        <v>0.13466666666666668</v>
      </c>
      <c r="G4">
        <f t="shared" ref="G4:BC4" si="0">IF($C4=1,DG4,IF($C4=2,DG5,BG4))</f>
        <v>0.13466666666666668</v>
      </c>
      <c r="H4">
        <f t="shared" si="0"/>
        <v>0.13466666666666668</v>
      </c>
      <c r="I4">
        <f t="shared" si="0"/>
        <v>1.1499999999999982E-2</v>
      </c>
      <c r="J4">
        <f t="shared" si="0"/>
        <v>1.1499999999999982E-2</v>
      </c>
      <c r="K4">
        <f t="shared" si="0"/>
        <v>0.1</v>
      </c>
      <c r="L4">
        <f t="shared" si="0"/>
        <v>0.1</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0.10933333333333334</v>
      </c>
      <c r="X4">
        <f t="shared" si="0"/>
        <v>0.10933333333333334</v>
      </c>
      <c r="Y4">
        <f t="shared" si="0"/>
        <v>0.10933333333333334</v>
      </c>
      <c r="Z4">
        <f t="shared" si="0"/>
        <v>1.6999999999999987E-2</v>
      </c>
      <c r="AA4">
        <f t="shared" si="0"/>
        <v>1.6999999999999987E-2</v>
      </c>
      <c r="AB4">
        <f t="shared" si="0"/>
        <v>0.1</v>
      </c>
      <c r="AC4">
        <f t="shared" si="0"/>
        <v>0.1</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5.8999999999999997E-2</v>
      </c>
      <c r="AO4">
        <f t="shared" si="0"/>
        <v>5.8999999999999997E-2</v>
      </c>
      <c r="AP4">
        <f t="shared" si="0"/>
        <v>5.8999999999999997E-2</v>
      </c>
      <c r="AQ4">
        <f t="shared" si="0"/>
        <v>5.2499999999999991E-2</v>
      </c>
      <c r="AR4">
        <f t="shared" si="0"/>
        <v>5.2499999999999991E-2</v>
      </c>
      <c r="AS4">
        <f t="shared" si="0"/>
        <v>0.1</v>
      </c>
      <c r="AT4">
        <f t="shared" si="0"/>
        <v>0.1</v>
      </c>
      <c r="AU4">
        <f t="shared" si="0"/>
        <v>0</v>
      </c>
      <c r="AV4">
        <f t="shared" si="0"/>
        <v>0</v>
      </c>
      <c r="AW4">
        <f t="shared" si="0"/>
        <v>0</v>
      </c>
      <c r="AX4">
        <f t="shared" si="0"/>
        <v>0</v>
      </c>
      <c r="AY4">
        <f t="shared" si="0"/>
        <v>0</v>
      </c>
      <c r="AZ4">
        <f t="shared" si="0"/>
        <v>0</v>
      </c>
      <c r="BA4">
        <f t="shared" si="0"/>
        <v>0</v>
      </c>
      <c r="BB4">
        <f t="shared" si="0"/>
        <v>0</v>
      </c>
      <c r="BC4">
        <f t="shared" si="0"/>
        <v>0</v>
      </c>
      <c r="BF4">
        <v>0.06</v>
      </c>
      <c r="BG4">
        <v>0.06</v>
      </c>
      <c r="BH4">
        <v>0.06</v>
      </c>
      <c r="BI4">
        <v>0.06</v>
      </c>
      <c r="BJ4">
        <v>0.06</v>
      </c>
      <c r="BK4">
        <v>0.1</v>
      </c>
      <c r="BL4">
        <v>0.1</v>
      </c>
      <c r="BM4">
        <v>0</v>
      </c>
      <c r="BN4">
        <v>0</v>
      </c>
      <c r="BO4">
        <v>0</v>
      </c>
      <c r="BP4">
        <v>0</v>
      </c>
      <c r="BQ4">
        <v>0</v>
      </c>
      <c r="BR4">
        <v>0</v>
      </c>
      <c r="BS4">
        <v>0</v>
      </c>
      <c r="BT4">
        <v>0</v>
      </c>
      <c r="BU4">
        <v>0</v>
      </c>
      <c r="BW4">
        <v>0</v>
      </c>
      <c r="BX4">
        <v>0</v>
      </c>
      <c r="BY4">
        <v>0</v>
      </c>
      <c r="BZ4">
        <v>0</v>
      </c>
      <c r="CA4">
        <v>0</v>
      </c>
      <c r="CB4">
        <v>0</v>
      </c>
      <c r="CC4">
        <v>0</v>
      </c>
      <c r="CD4">
        <v>0</v>
      </c>
      <c r="CE4">
        <v>0</v>
      </c>
      <c r="CF4">
        <v>0</v>
      </c>
      <c r="CG4">
        <v>0</v>
      </c>
      <c r="CH4">
        <v>0</v>
      </c>
      <c r="CI4">
        <v>0</v>
      </c>
      <c r="CJ4">
        <v>0</v>
      </c>
      <c r="CK4">
        <v>0</v>
      </c>
      <c r="CL4">
        <v>0</v>
      </c>
      <c r="CN4">
        <v>0.06</v>
      </c>
      <c r="CO4">
        <v>0.06</v>
      </c>
      <c r="CP4">
        <v>0.06</v>
      </c>
      <c r="CQ4">
        <v>0.06</v>
      </c>
      <c r="CR4">
        <v>0.06</v>
      </c>
      <c r="CS4">
        <v>0.1</v>
      </c>
      <c r="CT4">
        <v>0.1</v>
      </c>
      <c r="CU4">
        <v>0</v>
      </c>
      <c r="CV4">
        <v>0</v>
      </c>
      <c r="CW4">
        <v>0</v>
      </c>
      <c r="CX4">
        <v>0</v>
      </c>
      <c r="CY4">
        <v>0</v>
      </c>
      <c r="CZ4">
        <v>0</v>
      </c>
      <c r="DA4">
        <v>0</v>
      </c>
      <c r="DB4">
        <v>0</v>
      </c>
      <c r="DC4">
        <v>0</v>
      </c>
      <c r="DF4">
        <v>7.0333333333333331E-2</v>
      </c>
      <c r="DG4">
        <v>7.0333333333333331E-2</v>
      </c>
      <c r="DH4">
        <v>7.0333333333333331E-2</v>
      </c>
      <c r="DI4">
        <v>0</v>
      </c>
      <c r="DJ4">
        <v>0</v>
      </c>
      <c r="DK4">
        <v>0.1</v>
      </c>
      <c r="DL4">
        <v>0.1</v>
      </c>
      <c r="DM4">
        <v>0</v>
      </c>
      <c r="DN4">
        <v>0</v>
      </c>
      <c r="DO4">
        <v>0</v>
      </c>
      <c r="DP4">
        <v>0</v>
      </c>
      <c r="DQ4">
        <v>0</v>
      </c>
      <c r="DR4">
        <v>0</v>
      </c>
      <c r="DS4">
        <v>0</v>
      </c>
      <c r="DT4">
        <v>0</v>
      </c>
      <c r="DU4">
        <v>0</v>
      </c>
      <c r="DW4">
        <v>2.8999999999999998E-2</v>
      </c>
      <c r="DX4">
        <v>2.8999999999999998E-2</v>
      </c>
      <c r="DY4">
        <v>2.8999999999999998E-2</v>
      </c>
      <c r="DZ4">
        <v>0</v>
      </c>
      <c r="EA4">
        <v>0</v>
      </c>
      <c r="EB4">
        <v>0.1</v>
      </c>
      <c r="EC4">
        <v>0.1</v>
      </c>
      <c r="ED4">
        <v>0</v>
      </c>
      <c r="EE4">
        <v>0</v>
      </c>
      <c r="EF4">
        <v>0</v>
      </c>
      <c r="EG4">
        <v>0</v>
      </c>
      <c r="EH4">
        <v>0</v>
      </c>
      <c r="EI4">
        <v>0</v>
      </c>
      <c r="EJ4">
        <v>0</v>
      </c>
      <c r="EK4">
        <v>0</v>
      </c>
      <c r="EL4">
        <v>0</v>
      </c>
      <c r="EN4">
        <v>1.0333333333333333E-2</v>
      </c>
      <c r="EO4">
        <v>1.0333333333333333E-2</v>
      </c>
      <c r="EP4">
        <v>1.0333333333333333E-2</v>
      </c>
      <c r="EQ4">
        <v>0</v>
      </c>
      <c r="ER4">
        <v>0</v>
      </c>
      <c r="ES4">
        <v>0.1</v>
      </c>
      <c r="ET4">
        <v>0.1</v>
      </c>
      <c r="EU4">
        <v>0</v>
      </c>
      <c r="EV4">
        <v>0</v>
      </c>
      <c r="EW4">
        <v>0</v>
      </c>
      <c r="EX4">
        <v>0</v>
      </c>
      <c r="EY4">
        <v>0</v>
      </c>
      <c r="EZ4">
        <v>0</v>
      </c>
      <c r="FA4">
        <v>0</v>
      </c>
      <c r="FB4">
        <v>0</v>
      </c>
      <c r="FC4">
        <v>0</v>
      </c>
      <c r="FE4">
        <v>9.3000000000000007</v>
      </c>
      <c r="FF4" t="s">
        <v>1110</v>
      </c>
      <c r="FG4">
        <f>'Para Adj'!$B$5</f>
        <v>1</v>
      </c>
      <c r="FH4" s="897">
        <v>3.3684072361869148E-2</v>
      </c>
      <c r="FI4" s="897">
        <v>5.614012060311524E-2</v>
      </c>
      <c r="FJ4" s="897">
        <v>1.8488558357411724E-2</v>
      </c>
      <c r="FK4" s="897">
        <v>3.081426392901954E-2</v>
      </c>
      <c r="FL4" s="897">
        <v>1.4519596254892421E-2</v>
      </c>
      <c r="FM4" s="897">
        <v>2.4199327091487369E-2</v>
      </c>
      <c r="FO4" s="712">
        <f>IF($FG4=0,0,$FH4)</f>
        <v>3.3684072361869148E-2</v>
      </c>
      <c r="FP4" s="712">
        <v>0</v>
      </c>
      <c r="FQ4" s="712">
        <v>0</v>
      </c>
      <c r="FR4" s="712">
        <f>IF($FG4=0,0,($FI4-$FH4)/2)</f>
        <v>1.1228024120623046E-2</v>
      </c>
      <c r="FS4" s="712">
        <f>IF($FG4=0,0,($FI4-$FH4)/2)</f>
        <v>1.1228024120623046E-2</v>
      </c>
      <c r="FT4" s="712">
        <v>0</v>
      </c>
      <c r="FU4" s="712">
        <v>0</v>
      </c>
      <c r="FV4" s="712">
        <v>0</v>
      </c>
      <c r="FW4" s="712">
        <v>0</v>
      </c>
      <c r="FX4" s="712">
        <v>0</v>
      </c>
      <c r="FY4" s="712">
        <v>0</v>
      </c>
      <c r="FZ4" s="712">
        <v>0</v>
      </c>
      <c r="GA4" s="712">
        <v>0</v>
      </c>
      <c r="GB4" s="712">
        <v>0</v>
      </c>
      <c r="GC4" s="712">
        <v>0</v>
      </c>
      <c r="GD4" s="712">
        <v>0</v>
      </c>
      <c r="GE4" s="712"/>
      <c r="GF4" s="712">
        <f>IF($FG4=0,0,$FJ4)</f>
        <v>1.8488558357411724E-2</v>
      </c>
      <c r="GG4" s="712">
        <v>0</v>
      </c>
      <c r="GH4" s="712">
        <v>0</v>
      </c>
      <c r="GI4" s="712">
        <f>IF($FG4=0,0,($FK4-$FJ4)/2)</f>
        <v>6.162852785803908E-3</v>
      </c>
      <c r="GJ4" s="712">
        <f>IF($FG4=0,0,($FK4-$FJ4)/2)</f>
        <v>6.162852785803908E-3</v>
      </c>
      <c r="GK4" s="712">
        <v>0</v>
      </c>
      <c r="GL4" s="712">
        <v>0</v>
      </c>
      <c r="GM4" s="712">
        <v>0</v>
      </c>
      <c r="GN4" s="712">
        <v>0</v>
      </c>
      <c r="GO4" s="712">
        <v>0</v>
      </c>
      <c r="GP4" s="712">
        <v>0</v>
      </c>
      <c r="GQ4" s="712">
        <v>0</v>
      </c>
      <c r="GR4" s="712">
        <v>0</v>
      </c>
      <c r="GS4" s="712">
        <v>0</v>
      </c>
      <c r="GT4" s="712">
        <v>0</v>
      </c>
      <c r="GU4" s="712">
        <v>0</v>
      </c>
      <c r="GV4" s="712"/>
      <c r="GW4" s="712">
        <f>IF($FG4=0,0,$FL4)</f>
        <v>1.4519596254892421E-2</v>
      </c>
      <c r="GX4" s="712">
        <v>0</v>
      </c>
      <c r="GY4" s="712">
        <v>0</v>
      </c>
      <c r="GZ4" s="712">
        <f>IF($FG4=0,0,($FM4-$FL4)/2)</f>
        <v>4.8398654182974744E-3</v>
      </c>
      <c r="HA4" s="712">
        <f>IF($FG4=0,0,($FM4-$FL4)/2)</f>
        <v>4.8398654182974744E-3</v>
      </c>
      <c r="HB4" s="712">
        <v>0</v>
      </c>
      <c r="HC4" s="712">
        <v>0</v>
      </c>
      <c r="HD4" s="712">
        <v>0</v>
      </c>
      <c r="HE4" s="712">
        <v>0</v>
      </c>
      <c r="HF4" s="712">
        <v>0</v>
      </c>
      <c r="HG4" s="712">
        <v>0</v>
      </c>
      <c r="HH4" s="712">
        <v>0</v>
      </c>
      <c r="HI4" s="712">
        <v>0</v>
      </c>
      <c r="HJ4" s="712">
        <v>0</v>
      </c>
      <c r="HK4" s="712">
        <v>0</v>
      </c>
      <c r="HL4" s="712">
        <v>0</v>
      </c>
      <c r="HM4" s="712">
        <v>0</v>
      </c>
      <c r="HN4" s="712">
        <v>0</v>
      </c>
      <c r="HO4" s="712">
        <v>0</v>
      </c>
      <c r="HP4" s="712">
        <v>0</v>
      </c>
      <c r="HQ4" s="712">
        <v>0</v>
      </c>
      <c r="HR4" s="712">
        <v>0</v>
      </c>
      <c r="HS4" s="712">
        <v>0</v>
      </c>
      <c r="HT4" s="712">
        <v>0</v>
      </c>
      <c r="HU4" s="712">
        <v>0</v>
      </c>
      <c r="HV4" s="712">
        <v>0</v>
      </c>
      <c r="HW4" s="712">
        <v>0</v>
      </c>
    </row>
    <row r="5" spans="1:231">
      <c r="DF5">
        <v>0.13466666666666668</v>
      </c>
      <c r="DG5">
        <v>0.13466666666666668</v>
      </c>
      <c r="DH5">
        <v>0.13466666666666668</v>
      </c>
      <c r="DI5">
        <v>1.1499999999999982E-2</v>
      </c>
      <c r="DJ5">
        <v>1.1499999999999982E-2</v>
      </c>
      <c r="DK5">
        <v>0.1</v>
      </c>
      <c r="DL5">
        <v>0.1</v>
      </c>
      <c r="DM5">
        <v>0</v>
      </c>
      <c r="DN5">
        <v>0</v>
      </c>
      <c r="DO5">
        <v>0</v>
      </c>
      <c r="DP5">
        <v>0</v>
      </c>
      <c r="DQ5">
        <v>0</v>
      </c>
      <c r="DR5">
        <v>0</v>
      </c>
      <c r="DS5">
        <v>0</v>
      </c>
      <c r="DT5">
        <v>0</v>
      </c>
      <c r="DU5">
        <v>0</v>
      </c>
      <c r="DW5">
        <v>0.10933333333333334</v>
      </c>
      <c r="DX5">
        <v>0.10933333333333334</v>
      </c>
      <c r="DY5">
        <v>0.10933333333333334</v>
      </c>
      <c r="DZ5">
        <v>1.6999999999999987E-2</v>
      </c>
      <c r="EA5">
        <v>1.6999999999999987E-2</v>
      </c>
      <c r="EB5">
        <v>0.1</v>
      </c>
      <c r="EC5">
        <v>0.1</v>
      </c>
      <c r="ED5">
        <v>0</v>
      </c>
      <c r="EE5">
        <v>0</v>
      </c>
      <c r="EF5">
        <v>0</v>
      </c>
      <c r="EG5">
        <v>0</v>
      </c>
      <c r="EH5">
        <v>0</v>
      </c>
      <c r="EI5">
        <v>0</v>
      </c>
      <c r="EJ5">
        <v>0</v>
      </c>
      <c r="EK5">
        <v>0</v>
      </c>
      <c r="EL5">
        <v>0</v>
      </c>
      <c r="EN5">
        <v>5.8999999999999997E-2</v>
      </c>
      <c r="EO5">
        <v>5.8999999999999997E-2</v>
      </c>
      <c r="EP5">
        <v>5.8999999999999997E-2</v>
      </c>
      <c r="EQ5">
        <v>5.2499999999999991E-2</v>
      </c>
      <c r="ER5">
        <v>5.2499999999999991E-2</v>
      </c>
      <c r="ES5">
        <v>0.1</v>
      </c>
      <c r="ET5">
        <v>0.1</v>
      </c>
      <c r="EU5">
        <v>0</v>
      </c>
      <c r="EV5">
        <v>0</v>
      </c>
      <c r="EW5">
        <v>0</v>
      </c>
      <c r="EX5">
        <v>0</v>
      </c>
      <c r="EY5">
        <v>0</v>
      </c>
      <c r="EZ5">
        <v>0</v>
      </c>
      <c r="FA5">
        <v>0</v>
      </c>
      <c r="FB5">
        <v>0</v>
      </c>
      <c r="FC5">
        <v>0</v>
      </c>
      <c r="FE5">
        <v>9.4</v>
      </c>
      <c r="FF5" t="s">
        <v>1238</v>
      </c>
      <c r="FG5">
        <f>'Para Adj'!$B$5</f>
        <v>1</v>
      </c>
      <c r="FH5" s="897">
        <v>0.10795463276293635</v>
      </c>
      <c r="FI5" s="897">
        <v>0.17992438793822724</v>
      </c>
      <c r="FJ5" s="897">
        <v>6.761053990107653E-2</v>
      </c>
      <c r="FK5" s="897">
        <v>0.11268423316846089</v>
      </c>
      <c r="FL5" s="897">
        <v>4.0421247862538173E-2</v>
      </c>
      <c r="FM5" s="897">
        <v>6.7368746437563631E-2</v>
      </c>
      <c r="FO5" s="712">
        <f t="shared" ref="FO5:FO9" si="1">IF($FG5=0,0,$FH5)</f>
        <v>0.10795463276293635</v>
      </c>
      <c r="FP5" s="712">
        <v>0</v>
      </c>
      <c r="FQ5" s="712">
        <v>0</v>
      </c>
      <c r="FR5" s="712">
        <f t="shared" ref="FR5:FS9" si="2">IF($FG5=0,0,($FI5-$FH5)/2)</f>
        <v>3.5984877587645445E-2</v>
      </c>
      <c r="FS5" s="712">
        <f t="shared" si="2"/>
        <v>3.5984877587645445E-2</v>
      </c>
      <c r="FT5" s="712">
        <v>0</v>
      </c>
      <c r="FU5" s="712">
        <v>0</v>
      </c>
      <c r="FV5" s="712">
        <v>0</v>
      </c>
      <c r="FW5" s="712">
        <v>0</v>
      </c>
      <c r="FX5" s="712">
        <v>0</v>
      </c>
      <c r="FY5" s="712">
        <v>0</v>
      </c>
      <c r="FZ5" s="712">
        <v>0</v>
      </c>
      <c r="GA5" s="712">
        <v>0</v>
      </c>
      <c r="GB5" s="712">
        <v>0</v>
      </c>
      <c r="GC5" s="712">
        <v>0</v>
      </c>
      <c r="GD5" s="712">
        <v>0</v>
      </c>
      <c r="GE5" s="712"/>
      <c r="GF5" s="712">
        <f t="shared" ref="GF5:GF9" si="3">IF($FG5=0,0,$FJ5)</f>
        <v>6.761053990107653E-2</v>
      </c>
      <c r="GG5" s="712">
        <v>0</v>
      </c>
      <c r="GH5" s="712">
        <v>0</v>
      </c>
      <c r="GI5" s="712">
        <f t="shared" ref="GI5:GJ9" si="4">IF($FG5=0,0,($FK5-$FJ5)/2)</f>
        <v>2.2536846633692181E-2</v>
      </c>
      <c r="GJ5" s="712">
        <f t="shared" si="4"/>
        <v>2.2536846633692181E-2</v>
      </c>
      <c r="GK5" s="712">
        <v>0</v>
      </c>
      <c r="GL5" s="712">
        <v>0</v>
      </c>
      <c r="GM5" s="712">
        <v>0</v>
      </c>
      <c r="GN5" s="712">
        <v>0</v>
      </c>
      <c r="GO5" s="712">
        <v>0</v>
      </c>
      <c r="GP5" s="712">
        <v>0</v>
      </c>
      <c r="GQ5" s="712">
        <v>0</v>
      </c>
      <c r="GR5" s="712">
        <v>0</v>
      </c>
      <c r="GS5" s="712">
        <v>0</v>
      </c>
      <c r="GT5" s="712">
        <v>0</v>
      </c>
      <c r="GU5" s="712">
        <v>0</v>
      </c>
      <c r="GV5" s="712"/>
      <c r="GW5" s="712">
        <f t="shared" ref="GW5:GW9" si="5">IF($FG5=0,0,$FL5)</f>
        <v>4.0421247862538173E-2</v>
      </c>
      <c r="GX5" s="712">
        <v>0</v>
      </c>
      <c r="GY5" s="712">
        <v>0</v>
      </c>
      <c r="GZ5" s="712">
        <f t="shared" ref="GZ5:HA9" si="6">IF($FG5=0,0,($FM5-$FL5)/2)</f>
        <v>1.3473749287512729E-2</v>
      </c>
      <c r="HA5" s="712">
        <f t="shared" si="6"/>
        <v>1.3473749287512729E-2</v>
      </c>
      <c r="HB5" s="712">
        <v>0</v>
      </c>
      <c r="HC5" s="712">
        <v>0</v>
      </c>
      <c r="HD5" s="712">
        <v>0</v>
      </c>
      <c r="HE5" s="712">
        <v>0</v>
      </c>
      <c r="HF5" s="712">
        <v>0</v>
      </c>
      <c r="HG5" s="712">
        <v>0</v>
      </c>
      <c r="HH5" s="712">
        <v>0</v>
      </c>
      <c r="HI5" s="712">
        <v>0</v>
      </c>
      <c r="HJ5" s="712">
        <v>0</v>
      </c>
      <c r="HK5" s="712">
        <v>0</v>
      </c>
      <c r="HL5" s="712">
        <v>0</v>
      </c>
      <c r="HM5" s="712">
        <v>0</v>
      </c>
      <c r="HN5" s="712">
        <v>0</v>
      </c>
      <c r="HO5" s="712">
        <v>0</v>
      </c>
      <c r="HP5" s="712">
        <v>0</v>
      </c>
      <c r="HQ5" s="712">
        <v>0</v>
      </c>
      <c r="HR5" s="712">
        <v>0</v>
      </c>
      <c r="HS5" s="712">
        <v>0</v>
      </c>
      <c r="HT5" s="712">
        <v>0</v>
      </c>
      <c r="HU5" s="712">
        <v>0</v>
      </c>
      <c r="HV5" s="712">
        <v>0</v>
      </c>
      <c r="HW5" s="712">
        <v>0</v>
      </c>
    </row>
    <row r="6" spans="1:231">
      <c r="A6">
        <v>16.100000000000001</v>
      </c>
      <c r="B6" t="str">
        <f>INDEX('Data Interface'!$C:$C,MATCH(A6,'Data Interface'!$B:$B,0))</f>
        <v>Credit Enhancement Facility - 80/20</v>
      </c>
      <c r="C6">
        <f>'Para Adj'!$B$4</f>
        <v>1</v>
      </c>
      <c r="F6">
        <f t="shared" ref="F6:O8" si="7">IF($C6=1,DF6,BF6)</f>
        <v>1.0869999999999999E-2</v>
      </c>
      <c r="G6">
        <f t="shared" si="7"/>
        <v>1.0869999999999999E-2</v>
      </c>
      <c r="H6">
        <f t="shared" si="7"/>
        <v>1.0869999999999999E-2</v>
      </c>
      <c r="I6">
        <f t="shared" si="7"/>
        <v>1.0870000000000001E-2</v>
      </c>
      <c r="J6">
        <f t="shared" si="7"/>
        <v>1.0870000000000001E-2</v>
      </c>
      <c r="K6">
        <f t="shared" si="7"/>
        <v>0</v>
      </c>
      <c r="L6">
        <f t="shared" si="7"/>
        <v>0</v>
      </c>
      <c r="M6">
        <f t="shared" si="7"/>
        <v>0</v>
      </c>
      <c r="N6">
        <f t="shared" si="7"/>
        <v>0</v>
      </c>
      <c r="O6">
        <f t="shared" si="7"/>
        <v>0</v>
      </c>
      <c r="P6">
        <f t="shared" ref="P6:Y8" si="8">IF($C6=1,DP6,BP6)</f>
        <v>0</v>
      </c>
      <c r="Q6">
        <f t="shared" si="8"/>
        <v>0</v>
      </c>
      <c r="R6">
        <f t="shared" si="8"/>
        <v>0</v>
      </c>
      <c r="S6">
        <f t="shared" si="8"/>
        <v>0</v>
      </c>
      <c r="T6">
        <f t="shared" si="8"/>
        <v>0</v>
      </c>
      <c r="U6">
        <f t="shared" si="8"/>
        <v>0</v>
      </c>
      <c r="V6">
        <f t="shared" si="8"/>
        <v>0</v>
      </c>
      <c r="W6">
        <f t="shared" si="8"/>
        <v>6.5759999999999994E-3</v>
      </c>
      <c r="X6">
        <f t="shared" si="8"/>
        <v>6.5759999999999994E-3</v>
      </c>
      <c r="Y6">
        <f t="shared" si="8"/>
        <v>6.5759999999999994E-3</v>
      </c>
      <c r="Z6">
        <f t="shared" ref="Z6:AI8" si="9">IF($C6=1,DZ6,BZ6)</f>
        <v>6.5760000000000002E-3</v>
      </c>
      <c r="AA6">
        <f t="shared" si="9"/>
        <v>6.5760000000000002E-3</v>
      </c>
      <c r="AB6">
        <f t="shared" si="9"/>
        <v>0</v>
      </c>
      <c r="AC6">
        <f t="shared" si="9"/>
        <v>0</v>
      </c>
      <c r="AD6">
        <f t="shared" si="9"/>
        <v>0</v>
      </c>
      <c r="AE6">
        <f t="shared" si="9"/>
        <v>0</v>
      </c>
      <c r="AF6">
        <f t="shared" si="9"/>
        <v>0</v>
      </c>
      <c r="AG6">
        <f t="shared" si="9"/>
        <v>0</v>
      </c>
      <c r="AH6">
        <f t="shared" si="9"/>
        <v>0</v>
      </c>
      <c r="AI6">
        <f t="shared" si="9"/>
        <v>0</v>
      </c>
      <c r="AJ6">
        <f t="shared" ref="AJ6:AS8" si="10">IF($C6=1,EJ6,CJ6)</f>
        <v>0</v>
      </c>
      <c r="AK6">
        <f t="shared" si="10"/>
        <v>0</v>
      </c>
      <c r="AL6">
        <f t="shared" si="10"/>
        <v>0</v>
      </c>
      <c r="AM6">
        <f t="shared" si="10"/>
        <v>0</v>
      </c>
      <c r="AN6">
        <f t="shared" si="10"/>
        <v>2.9999999999999996E-3</v>
      </c>
      <c r="AO6">
        <f t="shared" si="10"/>
        <v>2.9999999999999996E-3</v>
      </c>
      <c r="AP6">
        <f t="shared" si="10"/>
        <v>2.9999999999999996E-3</v>
      </c>
      <c r="AQ6">
        <f t="shared" si="10"/>
        <v>3.0000000000000001E-3</v>
      </c>
      <c r="AR6">
        <f t="shared" si="10"/>
        <v>3.0000000000000001E-3</v>
      </c>
      <c r="AS6">
        <f t="shared" si="10"/>
        <v>0</v>
      </c>
      <c r="AT6">
        <f t="shared" ref="AT6:BC8" si="11">IF($C6=1,ET6,CT6)</f>
        <v>0</v>
      </c>
      <c r="AU6">
        <f t="shared" si="11"/>
        <v>0</v>
      </c>
      <c r="AV6">
        <f t="shared" si="11"/>
        <v>0</v>
      </c>
      <c r="AW6">
        <f t="shared" si="11"/>
        <v>0</v>
      </c>
      <c r="AX6">
        <f t="shared" si="11"/>
        <v>0</v>
      </c>
      <c r="AY6">
        <f t="shared" si="11"/>
        <v>0</v>
      </c>
      <c r="AZ6">
        <f t="shared" si="11"/>
        <v>0</v>
      </c>
      <c r="BA6">
        <f t="shared" si="11"/>
        <v>0</v>
      </c>
      <c r="BB6">
        <f t="shared" si="11"/>
        <v>0</v>
      </c>
      <c r="BC6">
        <f t="shared" si="11"/>
        <v>0</v>
      </c>
      <c r="BF6">
        <v>0.06</v>
      </c>
      <c r="BG6">
        <v>0.06</v>
      </c>
      <c r="BH6">
        <v>0.06</v>
      </c>
      <c r="BI6">
        <v>0.06</v>
      </c>
      <c r="BJ6">
        <v>0.06</v>
      </c>
      <c r="BK6">
        <v>0.1</v>
      </c>
      <c r="BL6">
        <v>0.1</v>
      </c>
      <c r="BM6">
        <v>0</v>
      </c>
      <c r="BN6">
        <v>0</v>
      </c>
      <c r="BO6">
        <v>0</v>
      </c>
      <c r="BP6">
        <v>0</v>
      </c>
      <c r="BQ6">
        <v>0</v>
      </c>
      <c r="BR6">
        <v>0</v>
      </c>
      <c r="BS6">
        <v>0</v>
      </c>
      <c r="BT6">
        <v>0</v>
      </c>
      <c r="BU6">
        <v>0</v>
      </c>
      <c r="BW6">
        <v>0</v>
      </c>
      <c r="BX6">
        <v>0</v>
      </c>
      <c r="BY6">
        <v>0</v>
      </c>
      <c r="BZ6">
        <v>0</v>
      </c>
      <c r="CA6">
        <v>0</v>
      </c>
      <c r="CB6">
        <v>0</v>
      </c>
      <c r="CC6">
        <v>0</v>
      </c>
      <c r="CD6">
        <v>0</v>
      </c>
      <c r="CE6">
        <v>0</v>
      </c>
      <c r="CF6">
        <v>0</v>
      </c>
      <c r="CG6">
        <v>0</v>
      </c>
      <c r="CH6">
        <v>0</v>
      </c>
      <c r="CI6">
        <v>0</v>
      </c>
      <c r="CJ6">
        <v>0</v>
      </c>
      <c r="CK6">
        <v>0</v>
      </c>
      <c r="CL6">
        <v>0</v>
      </c>
      <c r="CN6">
        <v>0.06</v>
      </c>
      <c r="CO6">
        <v>0.06</v>
      </c>
      <c r="CP6">
        <v>0.06</v>
      </c>
      <c r="CQ6">
        <v>0.06</v>
      </c>
      <c r="CR6">
        <v>0.06</v>
      </c>
      <c r="CS6">
        <v>0.1</v>
      </c>
      <c r="CT6">
        <v>0.1</v>
      </c>
      <c r="CU6">
        <v>0</v>
      </c>
      <c r="CV6">
        <v>0</v>
      </c>
      <c r="CW6">
        <v>0</v>
      </c>
      <c r="CX6">
        <v>0</v>
      </c>
      <c r="CY6">
        <v>0</v>
      </c>
      <c r="CZ6">
        <v>0</v>
      </c>
      <c r="DA6">
        <v>0</v>
      </c>
      <c r="DB6">
        <v>0</v>
      </c>
      <c r="DC6">
        <v>0</v>
      </c>
      <c r="DF6">
        <v>1.0869999999999999E-2</v>
      </c>
      <c r="DG6">
        <v>1.0869999999999999E-2</v>
      </c>
      <c r="DH6">
        <v>1.0869999999999999E-2</v>
      </c>
      <c r="DI6">
        <v>1.0870000000000001E-2</v>
      </c>
      <c r="DJ6">
        <v>1.0870000000000001E-2</v>
      </c>
      <c r="DK6">
        <v>0</v>
      </c>
      <c r="DL6">
        <v>0</v>
      </c>
      <c r="DM6">
        <v>0</v>
      </c>
      <c r="DN6">
        <v>0</v>
      </c>
      <c r="DO6">
        <v>0</v>
      </c>
      <c r="DP6">
        <v>0</v>
      </c>
      <c r="DQ6">
        <v>0</v>
      </c>
      <c r="DR6">
        <v>0</v>
      </c>
      <c r="DS6">
        <v>0</v>
      </c>
      <c r="DT6">
        <v>0</v>
      </c>
      <c r="DU6">
        <v>0</v>
      </c>
      <c r="DW6">
        <v>6.5759999999999994E-3</v>
      </c>
      <c r="DX6">
        <v>6.5759999999999994E-3</v>
      </c>
      <c r="DY6">
        <v>6.5759999999999994E-3</v>
      </c>
      <c r="DZ6">
        <v>6.5760000000000002E-3</v>
      </c>
      <c r="EA6">
        <v>6.5760000000000002E-3</v>
      </c>
      <c r="EB6">
        <v>0</v>
      </c>
      <c r="EC6">
        <v>0</v>
      </c>
      <c r="ED6">
        <v>0</v>
      </c>
      <c r="EE6">
        <v>0</v>
      </c>
      <c r="EF6">
        <v>0</v>
      </c>
      <c r="EG6">
        <v>0</v>
      </c>
      <c r="EH6">
        <v>0</v>
      </c>
      <c r="EI6">
        <v>0</v>
      </c>
      <c r="EJ6">
        <v>0</v>
      </c>
      <c r="EK6">
        <v>0</v>
      </c>
      <c r="EL6">
        <v>0</v>
      </c>
      <c r="EN6">
        <v>2.9999999999999996E-3</v>
      </c>
      <c r="EO6">
        <v>2.9999999999999996E-3</v>
      </c>
      <c r="EP6">
        <v>2.9999999999999996E-3</v>
      </c>
      <c r="EQ6">
        <v>3.0000000000000001E-3</v>
      </c>
      <c r="ER6">
        <v>3.0000000000000001E-3</v>
      </c>
      <c r="ES6">
        <v>0</v>
      </c>
      <c r="ET6">
        <v>0</v>
      </c>
      <c r="EU6">
        <v>0</v>
      </c>
      <c r="EV6">
        <v>0</v>
      </c>
      <c r="EW6">
        <v>0</v>
      </c>
      <c r="EX6">
        <v>0</v>
      </c>
      <c r="EY6">
        <v>0</v>
      </c>
      <c r="EZ6">
        <v>0</v>
      </c>
      <c r="FA6">
        <v>0</v>
      </c>
      <c r="FB6">
        <v>0</v>
      </c>
      <c r="FC6">
        <v>0</v>
      </c>
      <c r="FE6">
        <v>9.4</v>
      </c>
      <c r="FF6" t="s">
        <v>1238</v>
      </c>
      <c r="FG6">
        <f>'Para Adj'!$B$5</f>
        <v>1</v>
      </c>
      <c r="FH6" s="897">
        <v>0.10795463276293635</v>
      </c>
      <c r="FI6" s="897">
        <v>0.17992438793822724</v>
      </c>
      <c r="FJ6" s="897">
        <v>6.761053990107653E-2</v>
      </c>
      <c r="FK6" s="897">
        <v>0.11268423316846089</v>
      </c>
      <c r="FL6" s="897">
        <v>4.0421247862538173E-2</v>
      </c>
      <c r="FM6" s="897">
        <v>6.7368746437563631E-2</v>
      </c>
      <c r="FO6" s="712">
        <f t="shared" si="1"/>
        <v>0.10795463276293635</v>
      </c>
      <c r="FP6" s="712">
        <v>0</v>
      </c>
      <c r="FQ6" s="712">
        <v>0</v>
      </c>
      <c r="FR6" s="712">
        <f t="shared" si="2"/>
        <v>3.5984877587645445E-2</v>
      </c>
      <c r="FS6" s="712">
        <f t="shared" si="2"/>
        <v>3.5984877587645445E-2</v>
      </c>
      <c r="FT6" s="712">
        <v>0</v>
      </c>
      <c r="FU6" s="712">
        <v>0</v>
      </c>
      <c r="FV6" s="712">
        <v>0</v>
      </c>
      <c r="FW6" s="712">
        <v>0</v>
      </c>
      <c r="FX6" s="712">
        <v>0</v>
      </c>
      <c r="FY6" s="712">
        <v>0</v>
      </c>
      <c r="FZ6" s="712">
        <v>0</v>
      </c>
      <c r="GA6" s="712">
        <v>0</v>
      </c>
      <c r="GB6" s="712">
        <v>0</v>
      </c>
      <c r="GC6" s="712">
        <v>0</v>
      </c>
      <c r="GD6" s="712">
        <v>0</v>
      </c>
      <c r="GE6" s="712"/>
      <c r="GF6" s="712">
        <f t="shared" si="3"/>
        <v>6.761053990107653E-2</v>
      </c>
      <c r="GG6" s="712">
        <v>0</v>
      </c>
      <c r="GH6" s="712">
        <v>0</v>
      </c>
      <c r="GI6" s="712">
        <f t="shared" si="4"/>
        <v>2.2536846633692181E-2</v>
      </c>
      <c r="GJ6" s="712">
        <f t="shared" si="4"/>
        <v>2.2536846633692181E-2</v>
      </c>
      <c r="GK6" s="712">
        <v>0</v>
      </c>
      <c r="GL6" s="712">
        <v>0</v>
      </c>
      <c r="GM6" s="712">
        <v>0</v>
      </c>
      <c r="GN6" s="712">
        <v>0</v>
      </c>
      <c r="GO6" s="712">
        <v>0</v>
      </c>
      <c r="GP6" s="712">
        <v>0</v>
      </c>
      <c r="GQ6" s="712">
        <v>0</v>
      </c>
      <c r="GR6" s="712">
        <v>0</v>
      </c>
      <c r="GS6" s="712">
        <v>0</v>
      </c>
      <c r="GT6" s="712">
        <v>0</v>
      </c>
      <c r="GU6" s="712">
        <v>0</v>
      </c>
      <c r="GV6" s="712"/>
      <c r="GW6" s="712">
        <f t="shared" si="5"/>
        <v>4.0421247862538173E-2</v>
      </c>
      <c r="GX6" s="712">
        <v>0</v>
      </c>
      <c r="GY6" s="712">
        <v>0</v>
      </c>
      <c r="GZ6" s="712">
        <f t="shared" si="6"/>
        <v>1.3473749287512729E-2</v>
      </c>
      <c r="HA6" s="712">
        <f t="shared" si="6"/>
        <v>1.3473749287512729E-2</v>
      </c>
      <c r="HB6" s="712">
        <v>0</v>
      </c>
      <c r="HC6" s="712">
        <v>0</v>
      </c>
      <c r="HD6" s="712">
        <v>0</v>
      </c>
      <c r="HE6" s="712">
        <v>0</v>
      </c>
      <c r="HF6" s="712">
        <v>0</v>
      </c>
      <c r="HG6" s="712">
        <v>0</v>
      </c>
      <c r="HH6" s="712">
        <v>0</v>
      </c>
      <c r="HI6" s="712">
        <v>0</v>
      </c>
      <c r="HJ6" s="712">
        <v>0</v>
      </c>
      <c r="HK6" s="712">
        <v>0</v>
      </c>
      <c r="HL6" s="712">
        <v>0</v>
      </c>
      <c r="HM6" s="712">
        <v>0</v>
      </c>
      <c r="HN6" s="712">
        <v>0</v>
      </c>
      <c r="HO6" s="712">
        <v>0</v>
      </c>
      <c r="HP6" s="712">
        <v>0</v>
      </c>
      <c r="HQ6" s="712">
        <v>0</v>
      </c>
      <c r="HR6" s="712">
        <v>0</v>
      </c>
      <c r="HS6" s="712">
        <v>0</v>
      </c>
      <c r="HT6" s="712">
        <v>0</v>
      </c>
      <c r="HU6" s="712">
        <v>0</v>
      </c>
      <c r="HV6" s="712">
        <v>0</v>
      </c>
      <c r="HW6" s="712">
        <v>0</v>
      </c>
    </row>
    <row r="7" spans="1:231">
      <c r="A7">
        <v>15</v>
      </c>
      <c r="B7" t="str">
        <f>INDEX('Data Interface'!$C:$C,MATCH(A7,'Data Interface'!$B:$B,0))</f>
        <v>Loan Commitments</v>
      </c>
      <c r="C7">
        <f>'Para Adj'!$B$8</f>
        <v>1</v>
      </c>
      <c r="F7">
        <f t="shared" si="7"/>
        <v>2.8999999999999998E-2</v>
      </c>
      <c r="G7">
        <f t="shared" si="7"/>
        <v>2.8999999999999998E-2</v>
      </c>
      <c r="H7">
        <f t="shared" si="7"/>
        <v>2.8999999999999998E-2</v>
      </c>
      <c r="I7">
        <f t="shared" si="7"/>
        <v>2.8999999999999998E-2</v>
      </c>
      <c r="J7">
        <f t="shared" si="7"/>
        <v>2.8999999999999998E-2</v>
      </c>
      <c r="K7">
        <f t="shared" si="7"/>
        <v>0.1</v>
      </c>
      <c r="L7">
        <f t="shared" si="7"/>
        <v>0.1</v>
      </c>
      <c r="M7">
        <f t="shared" si="7"/>
        <v>0</v>
      </c>
      <c r="N7">
        <f t="shared" si="7"/>
        <v>0</v>
      </c>
      <c r="O7">
        <f t="shared" si="7"/>
        <v>0</v>
      </c>
      <c r="P7">
        <f t="shared" si="8"/>
        <v>0</v>
      </c>
      <c r="Q7">
        <f t="shared" si="8"/>
        <v>0</v>
      </c>
      <c r="R7">
        <f t="shared" si="8"/>
        <v>0</v>
      </c>
      <c r="S7">
        <f t="shared" si="8"/>
        <v>0</v>
      </c>
      <c r="T7">
        <f t="shared" si="8"/>
        <v>0</v>
      </c>
      <c r="U7">
        <f t="shared" si="8"/>
        <v>0</v>
      </c>
      <c r="V7">
        <f t="shared" si="8"/>
        <v>0</v>
      </c>
      <c r="W7">
        <f t="shared" si="8"/>
        <v>0.02</v>
      </c>
      <c r="X7">
        <f t="shared" si="8"/>
        <v>0.02</v>
      </c>
      <c r="Y7">
        <f t="shared" si="8"/>
        <v>0.02</v>
      </c>
      <c r="Z7">
        <f t="shared" si="9"/>
        <v>0.02</v>
      </c>
      <c r="AA7">
        <f t="shared" si="9"/>
        <v>0.02</v>
      </c>
      <c r="AB7">
        <f t="shared" si="9"/>
        <v>0</v>
      </c>
      <c r="AC7">
        <f t="shared" si="9"/>
        <v>0</v>
      </c>
      <c r="AD7">
        <f t="shared" si="9"/>
        <v>0</v>
      </c>
      <c r="AE7">
        <f t="shared" si="9"/>
        <v>0</v>
      </c>
      <c r="AF7">
        <f t="shared" si="9"/>
        <v>0</v>
      </c>
      <c r="AG7">
        <f t="shared" si="9"/>
        <v>0</v>
      </c>
      <c r="AH7">
        <f t="shared" si="9"/>
        <v>0</v>
      </c>
      <c r="AI7">
        <f t="shared" si="9"/>
        <v>0</v>
      </c>
      <c r="AJ7">
        <f t="shared" si="10"/>
        <v>0</v>
      </c>
      <c r="AK7">
        <f t="shared" si="10"/>
        <v>0</v>
      </c>
      <c r="AL7">
        <f t="shared" si="10"/>
        <v>0</v>
      </c>
      <c r="AM7">
        <f t="shared" si="10"/>
        <v>0</v>
      </c>
      <c r="AN7">
        <f t="shared" si="10"/>
        <v>6.0000000000000001E-3</v>
      </c>
      <c r="AO7">
        <f t="shared" si="10"/>
        <v>6.0000000000000001E-3</v>
      </c>
      <c r="AP7">
        <f t="shared" si="10"/>
        <v>6.0000000000000001E-3</v>
      </c>
      <c r="AQ7">
        <f t="shared" si="10"/>
        <v>6.0000000000000001E-3</v>
      </c>
      <c r="AR7">
        <f t="shared" si="10"/>
        <v>6.0000000000000001E-3</v>
      </c>
      <c r="AS7">
        <f t="shared" si="10"/>
        <v>0</v>
      </c>
      <c r="AT7">
        <f t="shared" si="11"/>
        <v>0</v>
      </c>
      <c r="AU7">
        <f t="shared" si="11"/>
        <v>0</v>
      </c>
      <c r="AV7">
        <f t="shared" si="11"/>
        <v>0</v>
      </c>
      <c r="AW7">
        <f t="shared" si="11"/>
        <v>0</v>
      </c>
      <c r="AX7">
        <f t="shared" si="11"/>
        <v>0</v>
      </c>
      <c r="AY7">
        <f t="shared" si="11"/>
        <v>0</v>
      </c>
      <c r="AZ7">
        <f t="shared" si="11"/>
        <v>0</v>
      </c>
      <c r="BA7">
        <f t="shared" si="11"/>
        <v>0</v>
      </c>
      <c r="BB7">
        <f t="shared" si="11"/>
        <v>0</v>
      </c>
      <c r="BC7">
        <f t="shared" si="11"/>
        <v>0</v>
      </c>
      <c r="BF7">
        <v>0.05</v>
      </c>
      <c r="BG7">
        <v>3.7500000000000006E-2</v>
      </c>
      <c r="BH7">
        <v>3.7500000000000006E-2</v>
      </c>
      <c r="BI7">
        <v>3.7500000000000006E-2</v>
      </c>
      <c r="BJ7">
        <v>3.7500000000000006E-2</v>
      </c>
      <c r="BK7">
        <v>0.1</v>
      </c>
      <c r="BL7">
        <v>0.1</v>
      </c>
      <c r="BM7">
        <v>0</v>
      </c>
      <c r="BN7">
        <v>0</v>
      </c>
      <c r="BO7">
        <v>0</v>
      </c>
      <c r="BP7">
        <v>0</v>
      </c>
      <c r="BQ7">
        <v>0</v>
      </c>
      <c r="BR7">
        <v>0</v>
      </c>
      <c r="BS7">
        <v>0</v>
      </c>
      <c r="BT7">
        <v>0</v>
      </c>
      <c r="BU7">
        <v>0</v>
      </c>
      <c r="BW7">
        <v>0.02</v>
      </c>
      <c r="BX7">
        <v>0.02</v>
      </c>
      <c r="BY7">
        <v>0.02</v>
      </c>
      <c r="BZ7">
        <v>0.02</v>
      </c>
      <c r="CA7">
        <v>0.02</v>
      </c>
      <c r="CB7">
        <v>0</v>
      </c>
      <c r="CC7">
        <v>0</v>
      </c>
      <c r="CD7">
        <v>0</v>
      </c>
      <c r="CE7">
        <v>0</v>
      </c>
      <c r="CF7">
        <v>0</v>
      </c>
      <c r="CG7">
        <v>0</v>
      </c>
      <c r="CH7">
        <v>0</v>
      </c>
      <c r="CI7">
        <v>0</v>
      </c>
      <c r="CJ7">
        <v>0</v>
      </c>
      <c r="CK7">
        <v>0</v>
      </c>
      <c r="CL7">
        <v>0</v>
      </c>
      <c r="CN7">
        <v>6.0000000000000001E-3</v>
      </c>
      <c r="CO7">
        <v>6.0000000000000001E-3</v>
      </c>
      <c r="CP7">
        <v>6.0000000000000001E-3</v>
      </c>
      <c r="CQ7">
        <v>6.0000000000000001E-3</v>
      </c>
      <c r="CR7">
        <v>6.0000000000000001E-3</v>
      </c>
      <c r="CS7">
        <v>0</v>
      </c>
      <c r="CT7">
        <v>0</v>
      </c>
      <c r="CU7">
        <v>0</v>
      </c>
      <c r="CV7">
        <v>0</v>
      </c>
      <c r="CW7">
        <v>0</v>
      </c>
      <c r="CX7">
        <v>0</v>
      </c>
      <c r="CY7">
        <v>0</v>
      </c>
      <c r="CZ7">
        <v>0</v>
      </c>
      <c r="DA7">
        <v>0</v>
      </c>
      <c r="DB7">
        <v>0</v>
      </c>
      <c r="DC7">
        <v>0</v>
      </c>
      <c r="DF7" s="967">
        <v>2.8999999999999998E-2</v>
      </c>
      <c r="DG7" s="967">
        <v>2.8999999999999998E-2</v>
      </c>
      <c r="DH7" s="967">
        <v>2.8999999999999998E-2</v>
      </c>
      <c r="DI7" s="967">
        <v>2.8999999999999998E-2</v>
      </c>
      <c r="DJ7" s="967">
        <v>2.8999999999999998E-2</v>
      </c>
      <c r="DK7">
        <v>0.1</v>
      </c>
      <c r="DL7">
        <v>0.1</v>
      </c>
      <c r="DM7">
        <v>0</v>
      </c>
      <c r="DN7">
        <v>0</v>
      </c>
      <c r="DO7">
        <v>0</v>
      </c>
      <c r="DP7">
        <v>0</v>
      </c>
      <c r="DQ7">
        <v>0</v>
      </c>
      <c r="DR7">
        <v>0</v>
      </c>
      <c r="DS7">
        <v>0</v>
      </c>
      <c r="DT7">
        <v>0</v>
      </c>
      <c r="DU7">
        <v>0</v>
      </c>
      <c r="DW7" s="967">
        <v>0.02</v>
      </c>
      <c r="DX7" s="967">
        <v>0.02</v>
      </c>
      <c r="DY7" s="967">
        <v>0.02</v>
      </c>
      <c r="DZ7" s="967">
        <v>0.02</v>
      </c>
      <c r="EA7" s="967">
        <v>0.02</v>
      </c>
      <c r="EB7">
        <v>0</v>
      </c>
      <c r="EC7">
        <v>0</v>
      </c>
      <c r="ED7">
        <v>0</v>
      </c>
      <c r="EE7">
        <v>0</v>
      </c>
      <c r="EF7">
        <v>0</v>
      </c>
      <c r="EG7">
        <v>0</v>
      </c>
      <c r="EH7">
        <v>0</v>
      </c>
      <c r="EI7">
        <v>0</v>
      </c>
      <c r="EJ7">
        <v>0</v>
      </c>
      <c r="EK7">
        <v>0</v>
      </c>
      <c r="EL7">
        <v>0</v>
      </c>
      <c r="EN7" s="967">
        <v>6.0000000000000001E-3</v>
      </c>
      <c r="EO7" s="967">
        <v>6.0000000000000001E-3</v>
      </c>
      <c r="EP7" s="967">
        <v>6.0000000000000001E-3</v>
      </c>
      <c r="EQ7" s="967">
        <v>6.0000000000000001E-3</v>
      </c>
      <c r="ER7" s="967">
        <v>6.0000000000000001E-3</v>
      </c>
      <c r="ES7">
        <v>0</v>
      </c>
      <c r="ET7">
        <v>0</v>
      </c>
      <c r="EU7">
        <v>0</v>
      </c>
      <c r="EV7">
        <v>0</v>
      </c>
      <c r="EW7">
        <v>0</v>
      </c>
      <c r="EX7">
        <v>0</v>
      </c>
      <c r="EY7">
        <v>0</v>
      </c>
      <c r="EZ7">
        <v>0</v>
      </c>
      <c r="FA7">
        <v>0</v>
      </c>
      <c r="FB7">
        <v>0</v>
      </c>
      <c r="FC7">
        <v>0</v>
      </c>
      <c r="FE7">
        <v>10.199999999999999</v>
      </c>
      <c r="FF7" t="s">
        <v>25</v>
      </c>
      <c r="FG7">
        <f>'Para Adj'!$B$5</f>
        <v>1</v>
      </c>
      <c r="FH7" s="897">
        <v>1.0000000000000002E-2</v>
      </c>
      <c r="FI7" s="897">
        <v>1.0000000000000002E-2</v>
      </c>
      <c r="FJ7" s="897">
        <v>7.0000000000000001E-3</v>
      </c>
      <c r="FK7" s="897">
        <v>7.0000000000000001E-3</v>
      </c>
      <c r="FL7" s="897">
        <v>3.0000000000000001E-3</v>
      </c>
      <c r="FM7" s="897">
        <v>3.0000000000000001E-3</v>
      </c>
      <c r="FO7" s="712">
        <f t="shared" si="1"/>
        <v>1.0000000000000002E-2</v>
      </c>
      <c r="FP7" s="712">
        <v>0</v>
      </c>
      <c r="FQ7" s="712">
        <v>0</v>
      </c>
      <c r="FR7" s="712">
        <f t="shared" si="2"/>
        <v>0</v>
      </c>
      <c r="FS7" s="712">
        <f t="shared" si="2"/>
        <v>0</v>
      </c>
      <c r="FT7" s="712">
        <v>0</v>
      </c>
      <c r="FU7" s="712">
        <v>0</v>
      </c>
      <c r="FV7" s="712">
        <v>0</v>
      </c>
      <c r="FW7" s="712">
        <v>0</v>
      </c>
      <c r="FX7" s="712">
        <v>0</v>
      </c>
      <c r="FY7" s="712">
        <v>0</v>
      </c>
      <c r="FZ7" s="712">
        <v>0</v>
      </c>
      <c r="GA7" s="712">
        <v>0</v>
      </c>
      <c r="GB7" s="712">
        <v>0</v>
      </c>
      <c r="GC7" s="712">
        <v>0</v>
      </c>
      <c r="GD7" s="712">
        <v>0</v>
      </c>
      <c r="GE7" s="712"/>
      <c r="GF7" s="712">
        <f t="shared" si="3"/>
        <v>7.0000000000000001E-3</v>
      </c>
      <c r="GG7" s="712">
        <v>0</v>
      </c>
      <c r="GH7" s="712">
        <v>0</v>
      </c>
      <c r="GI7" s="712">
        <f t="shared" si="4"/>
        <v>0</v>
      </c>
      <c r="GJ7" s="712">
        <f t="shared" si="4"/>
        <v>0</v>
      </c>
      <c r="GK7" s="712">
        <v>0</v>
      </c>
      <c r="GL7" s="712">
        <v>0</v>
      </c>
      <c r="GM7" s="712">
        <v>0</v>
      </c>
      <c r="GN7" s="712">
        <v>0</v>
      </c>
      <c r="GO7" s="712">
        <v>0</v>
      </c>
      <c r="GP7" s="712">
        <v>0</v>
      </c>
      <c r="GQ7" s="712">
        <v>0</v>
      </c>
      <c r="GR7" s="712">
        <v>0</v>
      </c>
      <c r="GS7" s="712">
        <v>0</v>
      </c>
      <c r="GT7" s="712">
        <v>0</v>
      </c>
      <c r="GU7" s="712">
        <v>0</v>
      </c>
      <c r="GV7" s="712"/>
      <c r="GW7" s="712">
        <f t="shared" si="5"/>
        <v>3.0000000000000001E-3</v>
      </c>
      <c r="GX7" s="712">
        <v>0</v>
      </c>
      <c r="GY7" s="712">
        <v>0</v>
      </c>
      <c r="GZ7" s="712">
        <f t="shared" si="6"/>
        <v>0</v>
      </c>
      <c r="HA7" s="712">
        <f t="shared" si="6"/>
        <v>0</v>
      </c>
      <c r="HB7" s="712">
        <v>0</v>
      </c>
      <c r="HC7" s="712">
        <v>0</v>
      </c>
      <c r="HD7" s="712">
        <v>0</v>
      </c>
      <c r="HE7" s="712">
        <v>0</v>
      </c>
      <c r="HF7" s="712">
        <v>0</v>
      </c>
      <c r="HG7" s="712">
        <v>0</v>
      </c>
      <c r="HH7" s="712">
        <v>0</v>
      </c>
      <c r="HI7" s="712">
        <v>0</v>
      </c>
      <c r="HJ7" s="712">
        <v>0</v>
      </c>
      <c r="HK7" s="712">
        <v>0</v>
      </c>
      <c r="HL7" s="712">
        <v>0</v>
      </c>
      <c r="HM7" s="712">
        <v>0</v>
      </c>
      <c r="HN7" s="712">
        <v>0</v>
      </c>
      <c r="HO7" s="712">
        <v>0</v>
      </c>
      <c r="HP7" s="712">
        <v>0</v>
      </c>
      <c r="HQ7" s="712">
        <v>0</v>
      </c>
      <c r="HR7" s="712">
        <v>0</v>
      </c>
      <c r="HS7" s="712">
        <v>0</v>
      </c>
      <c r="HT7" s="712">
        <v>0</v>
      </c>
      <c r="HU7" s="712">
        <v>0</v>
      </c>
      <c r="HV7" s="712">
        <v>0</v>
      </c>
      <c r="HW7" s="712">
        <v>0</v>
      </c>
    </row>
    <row r="8" spans="1:231">
      <c r="A8">
        <v>17</v>
      </c>
      <c r="B8" t="str">
        <f>INDEX('Data Interface'!$C:$C,MATCH(A8,'Data Interface'!$B:$B,0))</f>
        <v>Stand By LC</v>
      </c>
      <c r="C8">
        <f>'Para Adj'!$B$9</f>
        <v>0</v>
      </c>
      <c r="F8">
        <f t="shared" si="7"/>
        <v>0</v>
      </c>
      <c r="G8">
        <f t="shared" si="7"/>
        <v>0</v>
      </c>
      <c r="H8">
        <f t="shared" si="7"/>
        <v>0</v>
      </c>
      <c r="I8">
        <f t="shared" si="7"/>
        <v>0</v>
      </c>
      <c r="J8">
        <f t="shared" si="7"/>
        <v>0</v>
      </c>
      <c r="K8">
        <f t="shared" si="7"/>
        <v>0</v>
      </c>
      <c r="L8">
        <f t="shared" si="7"/>
        <v>0</v>
      </c>
      <c r="M8">
        <f t="shared" si="7"/>
        <v>0</v>
      </c>
      <c r="N8">
        <f t="shared" si="7"/>
        <v>0</v>
      </c>
      <c r="O8">
        <f t="shared" si="7"/>
        <v>0</v>
      </c>
      <c r="P8">
        <f t="shared" si="8"/>
        <v>0</v>
      </c>
      <c r="Q8">
        <f t="shared" si="8"/>
        <v>0</v>
      </c>
      <c r="R8">
        <f t="shared" si="8"/>
        <v>0</v>
      </c>
      <c r="S8">
        <f t="shared" si="8"/>
        <v>0</v>
      </c>
      <c r="T8">
        <f t="shared" si="8"/>
        <v>0</v>
      </c>
      <c r="U8">
        <f t="shared" si="8"/>
        <v>0</v>
      </c>
      <c r="V8">
        <f t="shared" si="8"/>
        <v>0</v>
      </c>
      <c r="W8">
        <f t="shared" si="8"/>
        <v>0</v>
      </c>
      <c r="X8">
        <f t="shared" si="8"/>
        <v>0</v>
      </c>
      <c r="Y8">
        <f t="shared" si="8"/>
        <v>0</v>
      </c>
      <c r="Z8">
        <f t="shared" si="9"/>
        <v>0</v>
      </c>
      <c r="AA8">
        <f t="shared" si="9"/>
        <v>0</v>
      </c>
      <c r="AB8">
        <f t="shared" si="9"/>
        <v>0</v>
      </c>
      <c r="AC8">
        <f t="shared" si="9"/>
        <v>0</v>
      </c>
      <c r="AD8">
        <f t="shared" si="9"/>
        <v>0</v>
      </c>
      <c r="AE8">
        <f t="shared" si="9"/>
        <v>0</v>
      </c>
      <c r="AF8">
        <f t="shared" si="9"/>
        <v>0</v>
      </c>
      <c r="AG8">
        <f t="shared" si="9"/>
        <v>0</v>
      </c>
      <c r="AH8">
        <f t="shared" si="9"/>
        <v>0</v>
      </c>
      <c r="AI8">
        <f t="shared" si="9"/>
        <v>0</v>
      </c>
      <c r="AJ8">
        <f t="shared" si="10"/>
        <v>0</v>
      </c>
      <c r="AK8">
        <f t="shared" si="10"/>
        <v>0</v>
      </c>
      <c r="AL8">
        <f t="shared" si="10"/>
        <v>0</v>
      </c>
      <c r="AM8">
        <f t="shared" si="10"/>
        <v>0</v>
      </c>
      <c r="AN8">
        <f t="shared" si="10"/>
        <v>0</v>
      </c>
      <c r="AO8">
        <f t="shared" si="10"/>
        <v>0</v>
      </c>
      <c r="AP8">
        <f t="shared" si="10"/>
        <v>0</v>
      </c>
      <c r="AQ8">
        <f t="shared" si="10"/>
        <v>0</v>
      </c>
      <c r="AR8">
        <f t="shared" si="10"/>
        <v>0</v>
      </c>
      <c r="AS8">
        <f t="shared" si="10"/>
        <v>0</v>
      </c>
      <c r="AT8">
        <f t="shared" si="11"/>
        <v>0</v>
      </c>
      <c r="AU8">
        <f t="shared" si="11"/>
        <v>0</v>
      </c>
      <c r="AV8">
        <f t="shared" si="11"/>
        <v>0</v>
      </c>
      <c r="AW8">
        <f t="shared" si="11"/>
        <v>0</v>
      </c>
      <c r="AX8">
        <f t="shared" si="11"/>
        <v>0</v>
      </c>
      <c r="AY8">
        <f t="shared" si="11"/>
        <v>0</v>
      </c>
      <c r="AZ8">
        <f t="shared" si="11"/>
        <v>0</v>
      </c>
      <c r="BA8">
        <f t="shared" si="11"/>
        <v>0</v>
      </c>
      <c r="BB8">
        <f t="shared" si="11"/>
        <v>0</v>
      </c>
      <c r="BC8">
        <f t="shared" si="11"/>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0</v>
      </c>
      <c r="CF8">
        <v>0</v>
      </c>
      <c r="CG8">
        <v>0</v>
      </c>
      <c r="CH8">
        <v>0</v>
      </c>
      <c r="CI8">
        <v>0</v>
      </c>
      <c r="CJ8">
        <v>0</v>
      </c>
      <c r="CK8">
        <v>0</v>
      </c>
      <c r="CL8">
        <v>0</v>
      </c>
      <c r="CM8">
        <v>0</v>
      </c>
      <c r="CN8">
        <v>0</v>
      </c>
      <c r="CO8">
        <v>0</v>
      </c>
      <c r="CP8">
        <v>0</v>
      </c>
      <c r="CQ8">
        <v>0</v>
      </c>
      <c r="CR8">
        <v>0</v>
      </c>
      <c r="CS8">
        <v>0</v>
      </c>
      <c r="CT8">
        <v>0</v>
      </c>
      <c r="CU8">
        <v>0</v>
      </c>
      <c r="CV8">
        <v>0</v>
      </c>
      <c r="CW8">
        <v>0</v>
      </c>
      <c r="CX8">
        <v>0</v>
      </c>
      <c r="CY8">
        <v>0</v>
      </c>
      <c r="CZ8">
        <v>0</v>
      </c>
      <c r="DA8">
        <v>0</v>
      </c>
      <c r="DB8">
        <v>0</v>
      </c>
      <c r="DC8">
        <v>0</v>
      </c>
      <c r="DF8">
        <v>8.631999999999999E-3</v>
      </c>
      <c r="DG8">
        <v>8.631999999999999E-3</v>
      </c>
      <c r="DH8">
        <v>8.631999999999999E-3</v>
      </c>
      <c r="DI8">
        <v>8.631999999999999E-3</v>
      </c>
      <c r="DJ8">
        <v>8.631999999999999E-3</v>
      </c>
      <c r="DK8">
        <v>0</v>
      </c>
      <c r="DL8">
        <v>0</v>
      </c>
      <c r="DM8">
        <v>0</v>
      </c>
      <c r="DN8">
        <v>0</v>
      </c>
      <c r="DO8">
        <v>0</v>
      </c>
      <c r="DP8">
        <v>0</v>
      </c>
      <c r="DQ8">
        <v>0</v>
      </c>
      <c r="DR8">
        <v>0</v>
      </c>
      <c r="DS8">
        <v>0</v>
      </c>
      <c r="DT8">
        <v>0</v>
      </c>
      <c r="DU8">
        <v>0</v>
      </c>
      <c r="DW8">
        <v>9.3400000000000004E-4</v>
      </c>
      <c r="DX8">
        <v>9.3400000000000004E-4</v>
      </c>
      <c r="DY8">
        <v>9.3400000000000004E-4</v>
      </c>
      <c r="DZ8">
        <v>9.3400000000000015E-4</v>
      </c>
      <c r="EA8">
        <v>9.3400000000000015E-4</v>
      </c>
      <c r="EB8">
        <v>0</v>
      </c>
      <c r="EC8">
        <v>0</v>
      </c>
      <c r="ED8">
        <v>0</v>
      </c>
      <c r="EE8">
        <v>0</v>
      </c>
      <c r="EF8">
        <v>0</v>
      </c>
      <c r="EG8">
        <v>0</v>
      </c>
      <c r="EH8">
        <v>0</v>
      </c>
      <c r="EI8">
        <v>0</v>
      </c>
      <c r="EJ8">
        <v>0</v>
      </c>
      <c r="EK8">
        <v>0</v>
      </c>
      <c r="EL8">
        <v>0</v>
      </c>
      <c r="EN8">
        <v>1.694E-3</v>
      </c>
      <c r="EO8">
        <v>1.694E-3</v>
      </c>
      <c r="EP8">
        <v>1.694E-3</v>
      </c>
      <c r="EQ8">
        <v>1.6940000000000002E-3</v>
      </c>
      <c r="ER8">
        <v>1.6940000000000002E-3</v>
      </c>
      <c r="ES8">
        <v>0</v>
      </c>
      <c r="ET8">
        <v>0</v>
      </c>
      <c r="EU8">
        <v>0</v>
      </c>
      <c r="EV8">
        <v>0</v>
      </c>
      <c r="EW8">
        <v>0</v>
      </c>
      <c r="EX8">
        <v>0</v>
      </c>
      <c r="EY8">
        <v>0</v>
      </c>
      <c r="EZ8">
        <v>0</v>
      </c>
      <c r="FA8">
        <v>0</v>
      </c>
      <c r="FB8">
        <v>0</v>
      </c>
      <c r="FC8">
        <v>0</v>
      </c>
      <c r="FE8">
        <v>10.3</v>
      </c>
      <c r="FF8" t="s">
        <v>1172</v>
      </c>
      <c r="FG8">
        <f>'Para Adj'!$B$5</f>
        <v>1</v>
      </c>
      <c r="FH8" s="897">
        <v>2.0000000000000004E-2</v>
      </c>
      <c r="FI8" s="897">
        <v>2.0000000000000004E-2</v>
      </c>
      <c r="FJ8" s="897">
        <v>1.4999999999999999E-2</v>
      </c>
      <c r="FK8" s="897">
        <v>1.4999999999999999E-2</v>
      </c>
      <c r="FL8" s="897">
        <v>5.0000000000000001E-3</v>
      </c>
      <c r="FM8" s="897">
        <v>5.0000000000000001E-3</v>
      </c>
      <c r="FO8" s="712">
        <f t="shared" si="1"/>
        <v>2.0000000000000004E-2</v>
      </c>
      <c r="FP8" s="712">
        <v>0</v>
      </c>
      <c r="FQ8" s="712">
        <v>0</v>
      </c>
      <c r="FR8" s="712">
        <f t="shared" si="2"/>
        <v>0</v>
      </c>
      <c r="FS8" s="712">
        <f t="shared" si="2"/>
        <v>0</v>
      </c>
      <c r="FT8" s="712">
        <v>0</v>
      </c>
      <c r="FU8" s="712">
        <v>0</v>
      </c>
      <c r="FV8" s="712">
        <v>0</v>
      </c>
      <c r="FW8" s="712">
        <v>0</v>
      </c>
      <c r="FX8" s="712">
        <v>0</v>
      </c>
      <c r="FY8" s="712">
        <v>0</v>
      </c>
      <c r="FZ8" s="712">
        <v>0</v>
      </c>
      <c r="GA8" s="712">
        <v>0</v>
      </c>
      <c r="GB8" s="712">
        <v>0</v>
      </c>
      <c r="GC8" s="712">
        <v>0</v>
      </c>
      <c r="GD8" s="712">
        <v>0</v>
      </c>
      <c r="GE8" s="712"/>
      <c r="GF8" s="712">
        <f t="shared" si="3"/>
        <v>1.4999999999999999E-2</v>
      </c>
      <c r="GG8" s="712">
        <v>0</v>
      </c>
      <c r="GH8" s="712">
        <v>0</v>
      </c>
      <c r="GI8" s="712">
        <f t="shared" si="4"/>
        <v>0</v>
      </c>
      <c r="GJ8" s="712">
        <f t="shared" si="4"/>
        <v>0</v>
      </c>
      <c r="GK8" s="712">
        <v>0</v>
      </c>
      <c r="GL8" s="712">
        <v>0</v>
      </c>
      <c r="GM8" s="712">
        <v>0</v>
      </c>
      <c r="GN8" s="712">
        <v>0</v>
      </c>
      <c r="GO8" s="712">
        <v>0</v>
      </c>
      <c r="GP8" s="712">
        <v>0</v>
      </c>
      <c r="GQ8" s="712">
        <v>0</v>
      </c>
      <c r="GR8" s="712">
        <v>0</v>
      </c>
      <c r="GS8" s="712">
        <v>0</v>
      </c>
      <c r="GT8" s="712">
        <v>0</v>
      </c>
      <c r="GU8" s="712">
        <v>0</v>
      </c>
      <c r="GV8" s="712"/>
      <c r="GW8" s="712">
        <f t="shared" si="5"/>
        <v>5.0000000000000001E-3</v>
      </c>
      <c r="GX8" s="712">
        <v>0</v>
      </c>
      <c r="GY8" s="712">
        <v>0</v>
      </c>
      <c r="GZ8" s="712">
        <f t="shared" si="6"/>
        <v>0</v>
      </c>
      <c r="HA8" s="712">
        <f t="shared" si="6"/>
        <v>0</v>
      </c>
      <c r="HB8" s="712">
        <v>0</v>
      </c>
      <c r="HC8" s="712">
        <v>0</v>
      </c>
      <c r="HD8" s="712">
        <v>0</v>
      </c>
      <c r="HE8" s="712">
        <v>0</v>
      </c>
      <c r="HF8" s="712">
        <v>0</v>
      </c>
      <c r="HG8" s="712">
        <v>0</v>
      </c>
      <c r="HH8" s="712">
        <v>0</v>
      </c>
      <c r="HI8" s="712">
        <v>0</v>
      </c>
      <c r="HJ8" s="712">
        <v>0</v>
      </c>
      <c r="HK8" s="712">
        <v>0</v>
      </c>
      <c r="HL8" s="712">
        <v>0</v>
      </c>
      <c r="HM8" s="712">
        <v>0</v>
      </c>
      <c r="HN8" s="712">
        <v>0</v>
      </c>
      <c r="HO8" s="712">
        <v>0</v>
      </c>
      <c r="HP8" s="712">
        <v>0</v>
      </c>
      <c r="HQ8" s="712">
        <v>0</v>
      </c>
      <c r="HR8" s="712">
        <v>0</v>
      </c>
      <c r="HS8" s="712">
        <v>0</v>
      </c>
      <c r="HT8" s="712">
        <v>0</v>
      </c>
      <c r="HU8" s="712">
        <v>0</v>
      </c>
      <c r="HV8" s="712">
        <v>0</v>
      </c>
      <c r="HW8" s="712">
        <v>0</v>
      </c>
    </row>
    <row r="9" spans="1:231">
      <c r="FE9">
        <v>11</v>
      </c>
      <c r="FF9" t="s">
        <v>1243</v>
      </c>
      <c r="FG9">
        <f>'Para Adj'!$B$5</f>
        <v>1</v>
      </c>
      <c r="FH9" s="897">
        <v>2.9999999999999995E-2</v>
      </c>
      <c r="FI9" s="897">
        <v>2.9999999999999995E-2</v>
      </c>
      <c r="FJ9" s="897">
        <v>0.02</v>
      </c>
      <c r="FK9" s="897">
        <v>0.02</v>
      </c>
      <c r="FL9" s="897">
        <v>0.01</v>
      </c>
      <c r="FM9" s="897">
        <v>0.01</v>
      </c>
      <c r="FO9" s="712">
        <f t="shared" si="1"/>
        <v>2.9999999999999995E-2</v>
      </c>
      <c r="FP9" s="712">
        <v>0</v>
      </c>
      <c r="FQ9" s="712">
        <v>0</v>
      </c>
      <c r="FR9" s="712">
        <f t="shared" si="2"/>
        <v>0</v>
      </c>
      <c r="FS9" s="712">
        <f t="shared" si="2"/>
        <v>0</v>
      </c>
      <c r="FT9" s="712">
        <v>0</v>
      </c>
      <c r="FU9" s="712">
        <v>0</v>
      </c>
      <c r="FV9" s="712">
        <v>0</v>
      </c>
      <c r="FW9" s="712">
        <v>0</v>
      </c>
      <c r="FX9" s="712">
        <v>0</v>
      </c>
      <c r="FY9" s="712">
        <v>0</v>
      </c>
      <c r="FZ9" s="712">
        <v>0</v>
      </c>
      <c r="GA9" s="712">
        <v>0</v>
      </c>
      <c r="GB9" s="712">
        <v>0</v>
      </c>
      <c r="GC9" s="712">
        <v>0</v>
      </c>
      <c r="GD9" s="712">
        <v>0</v>
      </c>
      <c r="GE9" s="712"/>
      <c r="GF9" s="712">
        <f t="shared" si="3"/>
        <v>0.02</v>
      </c>
      <c r="GG9" s="712">
        <v>0</v>
      </c>
      <c r="GH9" s="712">
        <v>0</v>
      </c>
      <c r="GI9" s="712">
        <f t="shared" si="4"/>
        <v>0</v>
      </c>
      <c r="GJ9" s="712">
        <f t="shared" si="4"/>
        <v>0</v>
      </c>
      <c r="GK9" s="712">
        <v>0</v>
      </c>
      <c r="GL9" s="712">
        <v>0</v>
      </c>
      <c r="GM9" s="712">
        <v>0</v>
      </c>
      <c r="GN9" s="712">
        <v>0</v>
      </c>
      <c r="GO9" s="712">
        <v>0</v>
      </c>
      <c r="GP9" s="712">
        <v>0</v>
      </c>
      <c r="GQ9" s="712">
        <v>0</v>
      </c>
      <c r="GR9" s="712">
        <v>0</v>
      </c>
      <c r="GS9" s="712">
        <v>0</v>
      </c>
      <c r="GT9" s="712">
        <v>0</v>
      </c>
      <c r="GU9" s="712">
        <v>0</v>
      </c>
      <c r="GV9" s="712"/>
      <c r="GW9" s="712">
        <f t="shared" si="5"/>
        <v>0.01</v>
      </c>
      <c r="GX9" s="712">
        <v>0</v>
      </c>
      <c r="GY9" s="712">
        <v>0</v>
      </c>
      <c r="GZ9" s="712">
        <f t="shared" si="6"/>
        <v>0</v>
      </c>
      <c r="HA9" s="712">
        <f t="shared" si="6"/>
        <v>0</v>
      </c>
      <c r="HB9" s="712">
        <v>0</v>
      </c>
      <c r="HC9" s="712">
        <v>0</v>
      </c>
      <c r="HD9" s="712">
        <v>0</v>
      </c>
      <c r="HE9" s="712">
        <v>0</v>
      </c>
      <c r="HF9" s="712">
        <v>0</v>
      </c>
      <c r="HG9" s="712">
        <v>0</v>
      </c>
      <c r="HH9" s="712">
        <v>0</v>
      </c>
      <c r="HI9" s="712">
        <v>0</v>
      </c>
      <c r="HJ9" s="712">
        <v>0</v>
      </c>
      <c r="HK9" s="712">
        <v>0</v>
      </c>
      <c r="HL9" s="712">
        <v>0</v>
      </c>
      <c r="HM9" s="712">
        <v>0</v>
      </c>
      <c r="HN9" s="712">
        <v>0</v>
      </c>
      <c r="HO9" s="712">
        <v>0</v>
      </c>
      <c r="HP9" s="712">
        <v>0</v>
      </c>
      <c r="HQ9" s="712">
        <v>0</v>
      </c>
      <c r="HR9" s="712">
        <v>0</v>
      </c>
      <c r="HS9" s="712">
        <v>0</v>
      </c>
      <c r="HT9" s="712">
        <v>0</v>
      </c>
      <c r="HU9" s="712">
        <v>0</v>
      </c>
      <c r="HV9" s="712">
        <v>0</v>
      </c>
      <c r="HW9" s="712">
        <v>0</v>
      </c>
    </row>
    <row r="13" spans="1:231">
      <c r="FO13" s="713"/>
      <c r="FR13" s="713"/>
      <c r="FS13" s="713"/>
      <c r="FT13" s="713"/>
      <c r="FU13" s="713"/>
      <c r="FV13" s="713"/>
      <c r="FW13" s="713"/>
      <c r="FX13" s="713"/>
      <c r="FY13" s="713"/>
      <c r="FZ13" s="713"/>
      <c r="GA13" s="713"/>
      <c r="GB13" s="713"/>
      <c r="GC13" s="713"/>
      <c r="GD13" s="713"/>
    </row>
    <row r="14" spans="1:231">
      <c r="FO14" s="713"/>
      <c r="FR14" s="713"/>
      <c r="FS14" s="713"/>
      <c r="FT14" s="713"/>
      <c r="FU14" s="713"/>
      <c r="FV14" s="713"/>
      <c r="FW14" s="713"/>
      <c r="FX14" s="713"/>
      <c r="FY14" s="713"/>
      <c r="FZ14" s="713"/>
      <c r="GA14" s="713"/>
      <c r="GB14" s="713"/>
      <c r="GC14" s="713"/>
      <c r="GD14" s="713"/>
    </row>
    <row r="15" spans="1:231">
      <c r="FO15" s="713"/>
      <c r="FR15" s="713"/>
      <c r="FS15" s="713"/>
      <c r="FT15" s="713"/>
      <c r="FU15" s="713"/>
      <c r="FV15" s="713"/>
      <c r="FW15" s="713"/>
      <c r="FX15" s="713"/>
      <c r="FY15" s="713"/>
      <c r="FZ15" s="713"/>
      <c r="GA15" s="713"/>
      <c r="GB15" s="713"/>
      <c r="GC15" s="713"/>
      <c r="GD15" s="713"/>
    </row>
    <row r="16" spans="1:231">
      <c r="FO16" s="713"/>
      <c r="FR16" s="713"/>
      <c r="FS16" s="713"/>
      <c r="FT16" s="713"/>
      <c r="FU16" s="713"/>
      <c r="FV16" s="713"/>
      <c r="FW16" s="713"/>
      <c r="FX16" s="713"/>
      <c r="FY16" s="713"/>
      <c r="FZ16" s="713"/>
      <c r="GA16" s="713"/>
      <c r="GB16" s="713"/>
      <c r="GC16" s="713"/>
      <c r="GD16" s="713"/>
    </row>
    <row r="17" spans="159:186">
      <c r="FO17" s="713"/>
      <c r="FR17" s="713"/>
      <c r="FS17" s="713"/>
      <c r="FT17" s="713"/>
      <c r="FU17" s="713"/>
      <c r="FV17" s="713"/>
      <c r="FW17" s="713"/>
      <c r="FX17" s="713"/>
      <c r="FY17" s="713"/>
      <c r="FZ17" s="713"/>
      <c r="GA17" s="713"/>
      <c r="GB17" s="713"/>
      <c r="GC17" s="713"/>
      <c r="GD17" s="713"/>
    </row>
    <row r="22" spans="159:186">
      <c r="FC22" s="896"/>
      <c r="FD22" s="896"/>
      <c r="FE22" s="896"/>
      <c r="FF22" s="896"/>
      <c r="FG22" s="896"/>
      <c r="FH22" s="896"/>
      <c r="FI22" s="896"/>
      <c r="FJ22" s="896"/>
      <c r="FK22" s="896"/>
      <c r="FL22" s="896"/>
      <c r="FM22" s="896"/>
      <c r="FN22" s="896"/>
      <c r="FO22" s="896"/>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sheetPr>
  <dimension ref="A1:Q5"/>
  <sheetViews>
    <sheetView workbookViewId="0">
      <selection activeCell="D43" sqref="D43"/>
    </sheetView>
  </sheetViews>
  <sheetFormatPr defaultRowHeight="15" customHeight="1"/>
  <cols>
    <col min="1" max="1" width="9.625" bestFit="1" customWidth="1"/>
    <col min="5" max="5" width="11.375" bestFit="1" customWidth="1"/>
  </cols>
  <sheetData>
    <row r="1" spans="1:17" ht="15" customHeight="1">
      <c r="A1" t="s">
        <v>1667</v>
      </c>
      <c r="B1" t="s">
        <v>1647</v>
      </c>
      <c r="E1" t="s">
        <v>1674</v>
      </c>
      <c r="F1" s="913" t="s">
        <v>1686</v>
      </c>
      <c r="H1" t="s">
        <v>1672</v>
      </c>
      <c r="K1" t="s">
        <v>1673</v>
      </c>
      <c r="Q1" t="s">
        <v>1685</v>
      </c>
    </row>
    <row r="2" spans="1:17" ht="15" customHeight="1">
      <c r="A2" t="s">
        <v>1668</v>
      </c>
      <c r="H2" t="s">
        <v>2756</v>
      </c>
    </row>
    <row r="3" spans="1:17" ht="15" customHeight="1">
      <c r="A3" t="s">
        <v>1669</v>
      </c>
    </row>
    <row r="4" spans="1:17" ht="15" customHeight="1">
      <c r="A4" t="s">
        <v>1670</v>
      </c>
      <c r="E4" t="s">
        <v>1675</v>
      </c>
      <c r="F4" s="913" t="s">
        <v>1686</v>
      </c>
    </row>
    <row r="5" spans="1:17" ht="15" customHeight="1">
      <c r="A5" t="s">
        <v>1671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8" r:id="rId4" name="Button 4">
              <controlPr defaultSize="0" print="0" autoFill="0" autoPict="0" macro="[0]!TurnOn">
                <anchor moveWithCells="1" sizeWithCells="1">
                  <from>
                    <xdr:col>4</xdr:col>
                    <xdr:colOff>0</xdr:colOff>
                    <xdr:row>1</xdr:row>
                    <xdr:rowOff>0</xdr:rowOff>
                  </from>
                  <to>
                    <xdr:col>5</xdr:col>
                    <xdr:colOff>0</xdr:colOff>
                    <xdr:row>2</xdr:row>
                    <xdr:rowOff>0</xdr:rowOff>
                  </to>
                </anchor>
              </controlPr>
            </control>
          </mc:Choice>
        </mc:AlternateContent>
        <mc:AlternateContent xmlns:mc="http://schemas.openxmlformats.org/markup-compatibility/2006">
          <mc:Choice Requires="x14">
            <control shapeId="82949" r:id="rId5" name="Button 5">
              <controlPr defaultSize="0" print="0" autoFill="0" autoPict="0" macro="[0]!TurnOff">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82950" r:id="rId6" name="Button 6">
              <controlPr defaultSize="0" print="0" autoFill="0" autoPict="0" macro="[0]!PWPROTECT">
                <anchor moveWithCells="1" sizeWithCells="1">
                  <from>
                    <xdr:col>4</xdr:col>
                    <xdr:colOff>0</xdr:colOff>
                    <xdr:row>4</xdr:row>
                    <xdr:rowOff>0</xdr:rowOff>
                  </from>
                  <to>
                    <xdr:col>5</xdr:col>
                    <xdr:colOff>0</xdr:colOff>
                    <xdr:row>4</xdr:row>
                    <xdr:rowOff>190500</xdr:rowOff>
                  </to>
                </anchor>
              </controlPr>
            </control>
          </mc:Choice>
        </mc:AlternateContent>
        <mc:AlternateContent xmlns:mc="http://schemas.openxmlformats.org/markup-compatibility/2006">
          <mc:Choice Requires="x14">
            <control shapeId="82951" r:id="rId7" name="Button 7">
              <controlPr defaultSize="0" print="0" autoFill="0" autoPict="0" macro="[0]!PWUNPROTECT">
                <anchor moveWithCells="1" sizeWithCells="1">
                  <from>
                    <xdr:col>4</xdr:col>
                    <xdr:colOff>0</xdr:colOff>
                    <xdr:row>5</xdr:row>
                    <xdr:rowOff>0</xdr:rowOff>
                  </from>
                  <to>
                    <xdr:col>5</xdr:col>
                    <xdr:colOff>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70C0"/>
  </sheetPr>
  <dimension ref="A1:C997"/>
  <sheetViews>
    <sheetView workbookViewId="0">
      <selection activeCell="B5" sqref="B5"/>
    </sheetView>
  </sheetViews>
  <sheetFormatPr defaultRowHeight="14.25"/>
  <cols>
    <col min="2" max="2" width="10.375" bestFit="1" customWidth="1"/>
    <col min="3" max="3" width="46.25" bestFit="1" customWidth="1"/>
  </cols>
  <sheetData>
    <row r="1" spans="1:3">
      <c r="A1" t="s">
        <v>1251</v>
      </c>
      <c r="B1" t="s">
        <v>1733</v>
      </c>
      <c r="C1" t="s">
        <v>55</v>
      </c>
    </row>
    <row r="2" spans="1:3">
      <c r="A2">
        <v>10</v>
      </c>
      <c r="B2" t="s">
        <v>1734</v>
      </c>
      <c r="C2" t="s">
        <v>56</v>
      </c>
    </row>
    <row r="3" spans="1:3">
      <c r="A3">
        <v>20</v>
      </c>
      <c r="B3" t="s">
        <v>1735</v>
      </c>
      <c r="C3" t="s">
        <v>57</v>
      </c>
    </row>
    <row r="4" spans="1:3">
      <c r="A4">
        <v>30</v>
      </c>
      <c r="B4" t="s">
        <v>1736</v>
      </c>
      <c r="C4" t="s">
        <v>58</v>
      </c>
    </row>
    <row r="5" spans="1:3">
      <c r="A5">
        <v>50</v>
      </c>
      <c r="B5" t="s">
        <v>1737</v>
      </c>
      <c r="C5" t="s">
        <v>59</v>
      </c>
    </row>
    <row r="6" spans="1:3">
      <c r="A6">
        <v>60</v>
      </c>
      <c r="B6" t="s">
        <v>1738</v>
      </c>
      <c r="C6" t="s">
        <v>60</v>
      </c>
    </row>
    <row r="7" spans="1:3">
      <c r="A7">
        <v>70</v>
      </c>
      <c r="B7" t="s">
        <v>1739</v>
      </c>
      <c r="C7" t="s">
        <v>61</v>
      </c>
    </row>
    <row r="8" spans="1:3">
      <c r="A8">
        <v>75</v>
      </c>
      <c r="B8" t="s">
        <v>1740</v>
      </c>
      <c r="C8" t="s">
        <v>62</v>
      </c>
    </row>
    <row r="9" spans="1:3">
      <c r="A9">
        <v>90</v>
      </c>
      <c r="B9" t="s">
        <v>1741</v>
      </c>
      <c r="C9" t="s">
        <v>63</v>
      </c>
    </row>
    <row r="10" spans="1:3">
      <c r="A10">
        <v>100</v>
      </c>
      <c r="B10" t="s">
        <v>1742</v>
      </c>
      <c r="C10" t="s">
        <v>64</v>
      </c>
    </row>
    <row r="11" spans="1:3">
      <c r="A11">
        <v>105</v>
      </c>
      <c r="B11" t="s">
        <v>1743</v>
      </c>
      <c r="C11" t="s">
        <v>65</v>
      </c>
    </row>
    <row r="12" spans="1:3">
      <c r="A12">
        <v>110</v>
      </c>
      <c r="B12" t="s">
        <v>1744</v>
      </c>
      <c r="C12" t="s">
        <v>66</v>
      </c>
    </row>
    <row r="13" spans="1:3">
      <c r="A13">
        <v>120</v>
      </c>
      <c r="B13" t="s">
        <v>1745</v>
      </c>
      <c r="C13" t="s">
        <v>67</v>
      </c>
    </row>
    <row r="14" spans="1:3">
      <c r="A14">
        <v>130</v>
      </c>
      <c r="B14" t="s">
        <v>1746</v>
      </c>
      <c r="C14" t="s">
        <v>68</v>
      </c>
    </row>
    <row r="15" spans="1:3">
      <c r="A15">
        <v>140</v>
      </c>
      <c r="B15" t="s">
        <v>1747</v>
      </c>
      <c r="C15" t="s">
        <v>69</v>
      </c>
    </row>
    <row r="16" spans="1:3">
      <c r="A16">
        <v>150</v>
      </c>
      <c r="B16" t="s">
        <v>1748</v>
      </c>
      <c r="C16" t="s">
        <v>70</v>
      </c>
    </row>
    <row r="17" spans="1:3">
      <c r="A17">
        <v>160</v>
      </c>
      <c r="B17" t="s">
        <v>1749</v>
      </c>
      <c r="C17" t="s">
        <v>71</v>
      </c>
    </row>
    <row r="18" spans="1:3">
      <c r="A18">
        <v>170</v>
      </c>
      <c r="B18" t="s">
        <v>1750</v>
      </c>
      <c r="C18" t="s">
        <v>72</v>
      </c>
    </row>
    <row r="19" spans="1:3">
      <c r="A19">
        <v>240</v>
      </c>
      <c r="B19" t="s">
        <v>1751</v>
      </c>
      <c r="C19" t="s">
        <v>73</v>
      </c>
    </row>
    <row r="20" spans="1:3">
      <c r="A20">
        <v>250</v>
      </c>
      <c r="B20" t="s">
        <v>1752</v>
      </c>
      <c r="C20" t="s">
        <v>74</v>
      </c>
    </row>
    <row r="21" spans="1:3">
      <c r="A21">
        <v>270</v>
      </c>
      <c r="B21" t="s">
        <v>1753</v>
      </c>
      <c r="C21" t="s">
        <v>75</v>
      </c>
    </row>
    <row r="22" spans="1:3">
      <c r="A22">
        <v>310</v>
      </c>
      <c r="B22" t="s">
        <v>1754</v>
      </c>
      <c r="C22" t="s">
        <v>76</v>
      </c>
    </row>
    <row r="23" spans="1:3">
      <c r="A23">
        <v>380</v>
      </c>
      <c r="B23" t="s">
        <v>1755</v>
      </c>
      <c r="C23" t="s">
        <v>77</v>
      </c>
    </row>
    <row r="24" spans="1:3">
      <c r="A24">
        <v>390</v>
      </c>
      <c r="B24" t="s">
        <v>1756</v>
      </c>
      <c r="C24" t="s">
        <v>78</v>
      </c>
    </row>
    <row r="25" spans="1:3">
      <c r="A25">
        <v>400</v>
      </c>
      <c r="B25" t="s">
        <v>1757</v>
      </c>
      <c r="C25" t="s">
        <v>79</v>
      </c>
    </row>
    <row r="26" spans="1:3">
      <c r="A26">
        <v>405</v>
      </c>
      <c r="B26" t="s">
        <v>1758</v>
      </c>
      <c r="C26" t="s">
        <v>80</v>
      </c>
    </row>
    <row r="27" spans="1:3">
      <c r="A27">
        <v>406</v>
      </c>
      <c r="B27" t="s">
        <v>1759</v>
      </c>
      <c r="C27" t="s">
        <v>81</v>
      </c>
    </row>
    <row r="28" spans="1:3">
      <c r="A28">
        <v>420</v>
      </c>
      <c r="B28" t="s">
        <v>1760</v>
      </c>
      <c r="C28" t="s">
        <v>82</v>
      </c>
    </row>
    <row r="29" spans="1:3">
      <c r="A29">
        <v>440</v>
      </c>
      <c r="B29" t="s">
        <v>1761</v>
      </c>
      <c r="C29" t="s">
        <v>83</v>
      </c>
    </row>
    <row r="30" spans="1:3">
      <c r="A30">
        <v>450</v>
      </c>
      <c r="B30" t="s">
        <v>1762</v>
      </c>
      <c r="C30" t="s">
        <v>84</v>
      </c>
    </row>
    <row r="31" spans="1:3">
      <c r="A31">
        <v>590</v>
      </c>
      <c r="B31" t="s">
        <v>1763</v>
      </c>
      <c r="C31" t="s">
        <v>85</v>
      </c>
    </row>
    <row r="32" spans="1:3">
      <c r="A32">
        <v>720</v>
      </c>
      <c r="B32" t="s">
        <v>1764</v>
      </c>
      <c r="C32" t="s">
        <v>86</v>
      </c>
    </row>
    <row r="33" spans="1:3">
      <c r="A33">
        <v>730</v>
      </c>
      <c r="B33" t="s">
        <v>1765</v>
      </c>
      <c r="C33" t="s">
        <v>87</v>
      </c>
    </row>
    <row r="34" spans="1:3">
      <c r="A34">
        <v>740</v>
      </c>
      <c r="B34" t="s">
        <v>1766</v>
      </c>
      <c r="C34" t="s">
        <v>88</v>
      </c>
    </row>
    <row r="35" spans="1:3">
      <c r="A35">
        <v>750</v>
      </c>
      <c r="B35" t="s">
        <v>1767</v>
      </c>
      <c r="C35" t="s">
        <v>53</v>
      </c>
    </row>
    <row r="36" spans="1:3">
      <c r="A36">
        <v>760</v>
      </c>
      <c r="B36" t="s">
        <v>1768</v>
      </c>
      <c r="C36" t="s">
        <v>89</v>
      </c>
    </row>
    <row r="37" spans="1:3">
      <c r="A37">
        <v>770</v>
      </c>
      <c r="B37" t="s">
        <v>1769</v>
      </c>
      <c r="C37" t="s">
        <v>90</v>
      </c>
    </row>
    <row r="38" spans="1:3">
      <c r="A38">
        <v>780</v>
      </c>
      <c r="B38" t="s">
        <v>1770</v>
      </c>
      <c r="C38" t="s">
        <v>91</v>
      </c>
    </row>
    <row r="39" spans="1:3">
      <c r="A39">
        <v>790</v>
      </c>
      <c r="B39" t="s">
        <v>1771</v>
      </c>
      <c r="C39" t="s">
        <v>92</v>
      </c>
    </row>
    <row r="40" spans="1:3">
      <c r="A40">
        <v>800</v>
      </c>
      <c r="B40" t="s">
        <v>1772</v>
      </c>
      <c r="C40" t="s">
        <v>93</v>
      </c>
    </row>
    <row r="41" spans="1:3">
      <c r="A41">
        <v>810</v>
      </c>
      <c r="B41" t="s">
        <v>1773</v>
      </c>
      <c r="C41" t="s">
        <v>1774</v>
      </c>
    </row>
    <row r="42" spans="1:3">
      <c r="A42">
        <v>1300</v>
      </c>
      <c r="B42" t="s">
        <v>1775</v>
      </c>
      <c r="C42" t="s">
        <v>94</v>
      </c>
    </row>
    <row r="43" spans="1:3">
      <c r="A43">
        <v>1310</v>
      </c>
      <c r="B43" t="s">
        <v>1776</v>
      </c>
      <c r="C43" t="s">
        <v>95</v>
      </c>
    </row>
    <row r="44" spans="1:3">
      <c r="A44">
        <v>1320</v>
      </c>
      <c r="B44" t="s">
        <v>1777</v>
      </c>
      <c r="C44" t="s">
        <v>96</v>
      </c>
    </row>
    <row r="45" spans="1:3">
      <c r="A45">
        <v>1330</v>
      </c>
      <c r="B45" t="s">
        <v>1778</v>
      </c>
      <c r="C45" t="s">
        <v>97</v>
      </c>
    </row>
    <row r="46" spans="1:3">
      <c r="A46">
        <v>1335</v>
      </c>
      <c r="B46" t="s">
        <v>1779</v>
      </c>
      <c r="C46" t="s">
        <v>98</v>
      </c>
    </row>
    <row r="47" spans="1:3">
      <c r="A47">
        <v>1340</v>
      </c>
      <c r="B47" t="s">
        <v>1780</v>
      </c>
      <c r="C47" t="s">
        <v>99</v>
      </c>
    </row>
    <row r="48" spans="1:3">
      <c r="A48">
        <v>1350</v>
      </c>
      <c r="B48" t="s">
        <v>1781</v>
      </c>
      <c r="C48" t="s">
        <v>100</v>
      </c>
    </row>
    <row r="49" spans="1:3">
      <c r="A49">
        <v>1360</v>
      </c>
      <c r="B49" t="s">
        <v>1782</v>
      </c>
      <c r="C49" t="s">
        <v>101</v>
      </c>
    </row>
    <row r="50" spans="1:3">
      <c r="A50">
        <v>1370</v>
      </c>
      <c r="B50" t="s">
        <v>1783</v>
      </c>
      <c r="C50" t="s">
        <v>102</v>
      </c>
    </row>
    <row r="51" spans="1:3">
      <c r="A51">
        <v>1380</v>
      </c>
      <c r="B51" t="s">
        <v>1784</v>
      </c>
      <c r="C51" t="s">
        <v>103</v>
      </c>
    </row>
    <row r="52" spans="1:3">
      <c r="A52">
        <v>1390</v>
      </c>
      <c r="B52" t="s">
        <v>1785</v>
      </c>
      <c r="C52" t="s">
        <v>104</v>
      </c>
    </row>
    <row r="53" spans="1:3">
      <c r="A53">
        <v>1400</v>
      </c>
      <c r="B53" t="s">
        <v>1786</v>
      </c>
      <c r="C53" t="s">
        <v>105</v>
      </c>
    </row>
    <row r="54" spans="1:3">
      <c r="A54">
        <v>1600</v>
      </c>
      <c r="B54" t="s">
        <v>1787</v>
      </c>
      <c r="C54" t="s">
        <v>106</v>
      </c>
    </row>
    <row r="55" spans="1:3">
      <c r="A55">
        <v>1610</v>
      </c>
      <c r="B55" t="s">
        <v>1788</v>
      </c>
      <c r="C55" t="s">
        <v>107</v>
      </c>
    </row>
    <row r="56" spans="1:3">
      <c r="A56">
        <v>1615</v>
      </c>
      <c r="B56" t="s">
        <v>1789</v>
      </c>
      <c r="C56" t="s">
        <v>108</v>
      </c>
    </row>
    <row r="57" spans="1:3">
      <c r="A57">
        <v>1620</v>
      </c>
      <c r="B57" t="s">
        <v>1790</v>
      </c>
      <c r="C57" t="s">
        <v>109</v>
      </c>
    </row>
    <row r="58" spans="1:3">
      <c r="A58">
        <v>1630</v>
      </c>
      <c r="B58" t="s">
        <v>1791</v>
      </c>
      <c r="C58" t="s">
        <v>110</v>
      </c>
    </row>
    <row r="59" spans="1:3">
      <c r="A59">
        <v>1631</v>
      </c>
      <c r="B59" t="s">
        <v>1792</v>
      </c>
      <c r="C59" t="s">
        <v>111</v>
      </c>
    </row>
    <row r="60" spans="1:3">
      <c r="A60">
        <v>1632</v>
      </c>
      <c r="B60" t="s">
        <v>1793</v>
      </c>
      <c r="C60" t="s">
        <v>112</v>
      </c>
    </row>
    <row r="61" spans="1:3">
      <c r="A61">
        <v>1640</v>
      </c>
      <c r="B61" t="s">
        <v>1794</v>
      </c>
      <c r="C61" t="s">
        <v>113</v>
      </c>
    </row>
    <row r="62" spans="1:3">
      <c r="A62">
        <v>1650</v>
      </c>
      <c r="B62" t="s">
        <v>1795</v>
      </c>
      <c r="C62" t="s">
        <v>114</v>
      </c>
    </row>
    <row r="63" spans="1:3">
      <c r="A63">
        <v>1655</v>
      </c>
      <c r="B63" t="s">
        <v>1796</v>
      </c>
      <c r="C63" t="s">
        <v>115</v>
      </c>
    </row>
    <row r="64" spans="1:3">
      <c r="A64">
        <v>1660</v>
      </c>
      <c r="B64" t="s">
        <v>1797</v>
      </c>
      <c r="C64" t="s">
        <v>116</v>
      </c>
    </row>
    <row r="65" spans="1:3">
      <c r="A65">
        <v>1670</v>
      </c>
      <c r="B65" t="s">
        <v>1798</v>
      </c>
      <c r="C65" t="s">
        <v>117</v>
      </c>
    </row>
    <row r="66" spans="1:3">
      <c r="A66">
        <v>1680</v>
      </c>
      <c r="B66" t="s">
        <v>1799</v>
      </c>
      <c r="C66" t="s">
        <v>118</v>
      </c>
    </row>
    <row r="67" spans="1:3">
      <c r="A67">
        <v>1690</v>
      </c>
      <c r="B67" t="s">
        <v>1800</v>
      </c>
      <c r="C67" t="s">
        <v>119</v>
      </c>
    </row>
    <row r="68" spans="1:3">
      <c r="A68">
        <v>1700</v>
      </c>
      <c r="B68" t="s">
        <v>1801</v>
      </c>
      <c r="C68" t="s">
        <v>120</v>
      </c>
    </row>
    <row r="69" spans="1:3">
      <c r="A69">
        <v>1710</v>
      </c>
      <c r="B69" t="s">
        <v>1802</v>
      </c>
      <c r="C69" t="s">
        <v>121</v>
      </c>
    </row>
    <row r="70" spans="1:3">
      <c r="A70">
        <v>1715</v>
      </c>
      <c r="B70" t="s">
        <v>1803</v>
      </c>
      <c r="C70" t="s">
        <v>122</v>
      </c>
    </row>
    <row r="71" spans="1:3">
      <c r="A71">
        <v>1716</v>
      </c>
      <c r="B71" t="s">
        <v>1804</v>
      </c>
      <c r="C71" t="s">
        <v>123</v>
      </c>
    </row>
    <row r="72" spans="1:3">
      <c r="A72">
        <v>1720</v>
      </c>
      <c r="B72" t="s">
        <v>1805</v>
      </c>
      <c r="C72" t="s">
        <v>1252</v>
      </c>
    </row>
    <row r="73" spans="1:3">
      <c r="A73">
        <v>1736</v>
      </c>
      <c r="B73" t="s">
        <v>1806</v>
      </c>
      <c r="C73" t="s">
        <v>124</v>
      </c>
    </row>
    <row r="74" spans="1:3">
      <c r="A74">
        <v>1737</v>
      </c>
      <c r="B74" t="s">
        <v>1807</v>
      </c>
      <c r="C74" t="s">
        <v>125</v>
      </c>
    </row>
    <row r="75" spans="1:3">
      <c r="A75">
        <v>1741</v>
      </c>
      <c r="B75" t="s">
        <v>1808</v>
      </c>
      <c r="C75" t="s">
        <v>126</v>
      </c>
    </row>
    <row r="76" spans="1:3">
      <c r="A76">
        <v>1742</v>
      </c>
      <c r="B76" t="s">
        <v>1809</v>
      </c>
      <c r="C76" t="s">
        <v>127</v>
      </c>
    </row>
    <row r="77" spans="1:3">
      <c r="A77">
        <v>1743</v>
      </c>
      <c r="B77" t="s">
        <v>1810</v>
      </c>
      <c r="C77" t="s">
        <v>128</v>
      </c>
    </row>
    <row r="78" spans="1:3">
      <c r="A78">
        <v>1744</v>
      </c>
      <c r="B78" t="s">
        <v>1811</v>
      </c>
      <c r="C78" t="s">
        <v>129</v>
      </c>
    </row>
    <row r="79" spans="1:3">
      <c r="A79">
        <v>1745</v>
      </c>
      <c r="B79" t="s">
        <v>1812</v>
      </c>
      <c r="C79" t="s">
        <v>130</v>
      </c>
    </row>
    <row r="80" spans="1:3">
      <c r="A80">
        <v>1746</v>
      </c>
      <c r="B80" t="s">
        <v>1813</v>
      </c>
      <c r="C80" t="s">
        <v>131</v>
      </c>
    </row>
    <row r="81" spans="1:3">
      <c r="A81">
        <v>1747</v>
      </c>
      <c r="B81" t="s">
        <v>1814</v>
      </c>
      <c r="C81" t="s">
        <v>132</v>
      </c>
    </row>
    <row r="82" spans="1:3">
      <c r="A82">
        <v>1748</v>
      </c>
      <c r="B82" t="s">
        <v>1815</v>
      </c>
      <c r="C82" t="s">
        <v>133</v>
      </c>
    </row>
    <row r="83" spans="1:3">
      <c r="A83">
        <v>1749</v>
      </c>
      <c r="B83" t="s">
        <v>1816</v>
      </c>
      <c r="C83" t="s">
        <v>134</v>
      </c>
    </row>
    <row r="84" spans="1:3">
      <c r="A84">
        <v>1750</v>
      </c>
      <c r="B84" t="s">
        <v>1817</v>
      </c>
      <c r="C84" t="s">
        <v>135</v>
      </c>
    </row>
    <row r="85" spans="1:3">
      <c r="A85">
        <v>1751</v>
      </c>
      <c r="B85" t="s">
        <v>1818</v>
      </c>
      <c r="C85" t="s">
        <v>136</v>
      </c>
    </row>
    <row r="86" spans="1:3">
      <c r="A86">
        <v>1752</v>
      </c>
      <c r="B86" t="s">
        <v>1819</v>
      </c>
      <c r="C86" t="s">
        <v>137</v>
      </c>
    </row>
    <row r="87" spans="1:3">
      <c r="A87">
        <v>1753</v>
      </c>
      <c r="B87" t="s">
        <v>1820</v>
      </c>
      <c r="C87" t="s">
        <v>138</v>
      </c>
    </row>
    <row r="88" spans="1:3">
      <c r="A88">
        <v>1754</v>
      </c>
      <c r="B88" t="s">
        <v>1821</v>
      </c>
      <c r="C88" t="s">
        <v>139</v>
      </c>
    </row>
    <row r="89" spans="1:3">
      <c r="A89">
        <v>1755</v>
      </c>
      <c r="B89" t="s">
        <v>1822</v>
      </c>
      <c r="C89" t="s">
        <v>140</v>
      </c>
    </row>
    <row r="90" spans="1:3">
      <c r="A90">
        <v>1756</v>
      </c>
      <c r="B90" t="s">
        <v>1823</v>
      </c>
      <c r="C90" t="s">
        <v>141</v>
      </c>
    </row>
    <row r="91" spans="1:3">
      <c r="A91">
        <v>1757</v>
      </c>
      <c r="B91" t="s">
        <v>1824</v>
      </c>
      <c r="C91" t="s">
        <v>142</v>
      </c>
    </row>
    <row r="92" spans="1:3">
      <c r="A92">
        <v>1758</v>
      </c>
      <c r="B92" t="s">
        <v>1825</v>
      </c>
      <c r="C92" t="s">
        <v>143</v>
      </c>
    </row>
    <row r="93" spans="1:3">
      <c r="A93">
        <v>1759</v>
      </c>
      <c r="B93" t="s">
        <v>1826</v>
      </c>
      <c r="C93" t="s">
        <v>144</v>
      </c>
    </row>
    <row r="94" spans="1:3">
      <c r="A94">
        <v>1760</v>
      </c>
      <c r="B94" t="s">
        <v>1827</v>
      </c>
      <c r="C94" t="s">
        <v>145</v>
      </c>
    </row>
    <row r="95" spans="1:3">
      <c r="A95">
        <v>1761</v>
      </c>
      <c r="B95" t="s">
        <v>1828</v>
      </c>
      <c r="C95" t="s">
        <v>146</v>
      </c>
    </row>
    <row r="96" spans="1:3">
      <c r="A96">
        <v>1762</v>
      </c>
      <c r="B96" t="s">
        <v>1829</v>
      </c>
      <c r="C96" t="s">
        <v>147</v>
      </c>
    </row>
    <row r="97" spans="1:3">
      <c r="A97">
        <v>1763</v>
      </c>
      <c r="B97" t="s">
        <v>1830</v>
      </c>
      <c r="C97" t="s">
        <v>1831</v>
      </c>
    </row>
    <row r="98" spans="1:3">
      <c r="A98">
        <v>1770</v>
      </c>
      <c r="B98" t="s">
        <v>1832</v>
      </c>
      <c r="C98" t="s">
        <v>148</v>
      </c>
    </row>
    <row r="99" spans="1:3">
      <c r="A99">
        <v>1780</v>
      </c>
      <c r="B99" t="s">
        <v>1833</v>
      </c>
      <c r="C99" t="s">
        <v>149</v>
      </c>
    </row>
    <row r="100" spans="1:3">
      <c r="A100">
        <v>1785</v>
      </c>
      <c r="B100" t="s">
        <v>1834</v>
      </c>
      <c r="C100" t="s">
        <v>150</v>
      </c>
    </row>
    <row r="101" spans="1:3">
      <c r="A101">
        <v>1790</v>
      </c>
      <c r="B101" t="s">
        <v>1835</v>
      </c>
      <c r="C101" t="s">
        <v>151</v>
      </c>
    </row>
    <row r="102" spans="1:3">
      <c r="A102">
        <v>1795</v>
      </c>
      <c r="B102" t="s">
        <v>1836</v>
      </c>
      <c r="C102" t="s">
        <v>152</v>
      </c>
    </row>
    <row r="103" spans="1:3">
      <c r="A103">
        <v>1796</v>
      </c>
      <c r="B103" t="s">
        <v>1837</v>
      </c>
      <c r="C103" t="s">
        <v>153</v>
      </c>
    </row>
    <row r="104" spans="1:3">
      <c r="A104">
        <v>1798</v>
      </c>
      <c r="B104" t="s">
        <v>1838</v>
      </c>
      <c r="C104" t="s">
        <v>1839</v>
      </c>
    </row>
    <row r="105" spans="1:3">
      <c r="A105">
        <v>1800</v>
      </c>
      <c r="B105" t="s">
        <v>1840</v>
      </c>
      <c r="C105" t="s">
        <v>154</v>
      </c>
    </row>
    <row r="106" spans="1:3">
      <c r="A106">
        <v>1810</v>
      </c>
      <c r="B106" t="s">
        <v>1841</v>
      </c>
      <c r="C106" t="s">
        <v>155</v>
      </c>
    </row>
    <row r="107" spans="1:3">
      <c r="A107">
        <v>1821</v>
      </c>
      <c r="B107" t="s">
        <v>1842</v>
      </c>
      <c r="C107" t="s">
        <v>156</v>
      </c>
    </row>
    <row r="108" spans="1:3">
      <c r="A108">
        <v>1822</v>
      </c>
      <c r="B108" t="s">
        <v>1843</v>
      </c>
      <c r="C108" t="s">
        <v>157</v>
      </c>
    </row>
    <row r="109" spans="1:3">
      <c r="A109">
        <v>1823</v>
      </c>
      <c r="B109" t="s">
        <v>1844</v>
      </c>
      <c r="C109" t="s">
        <v>158</v>
      </c>
    </row>
    <row r="110" spans="1:3">
      <c r="A110">
        <v>1824</v>
      </c>
      <c r="B110" t="s">
        <v>1845</v>
      </c>
      <c r="C110" t="s">
        <v>159</v>
      </c>
    </row>
    <row r="111" spans="1:3">
      <c r="A111">
        <v>1825</v>
      </c>
      <c r="B111" t="s">
        <v>1846</v>
      </c>
      <c r="C111" t="s">
        <v>160</v>
      </c>
    </row>
    <row r="112" spans="1:3">
      <c r="A112">
        <v>1830</v>
      </c>
      <c r="B112" t="s">
        <v>1847</v>
      </c>
      <c r="C112" t="s">
        <v>161</v>
      </c>
    </row>
    <row r="113" spans="1:3">
      <c r="A113">
        <v>1835</v>
      </c>
      <c r="B113" t="s">
        <v>1848</v>
      </c>
      <c r="C113" t="s">
        <v>162</v>
      </c>
    </row>
    <row r="114" spans="1:3">
      <c r="A114">
        <v>1840</v>
      </c>
      <c r="B114" t="s">
        <v>1849</v>
      </c>
      <c r="C114" t="s">
        <v>163</v>
      </c>
    </row>
    <row r="115" spans="1:3">
      <c r="A115">
        <v>1852</v>
      </c>
      <c r="B115" t="s">
        <v>1850</v>
      </c>
      <c r="C115" t="s">
        <v>164</v>
      </c>
    </row>
    <row r="116" spans="1:3">
      <c r="A116">
        <v>1853</v>
      </c>
      <c r="B116" t="s">
        <v>1851</v>
      </c>
      <c r="C116" t="s">
        <v>1253</v>
      </c>
    </row>
    <row r="117" spans="1:3">
      <c r="A117">
        <v>1854</v>
      </c>
      <c r="B117" t="s">
        <v>1852</v>
      </c>
      <c r="C117" t="s">
        <v>1254</v>
      </c>
    </row>
    <row r="118" spans="1:3">
      <c r="A118">
        <v>1856</v>
      </c>
      <c r="B118" t="s">
        <v>1853</v>
      </c>
      <c r="C118" t="s">
        <v>165</v>
      </c>
    </row>
    <row r="119" spans="1:3">
      <c r="A119">
        <v>1860</v>
      </c>
      <c r="B119" t="s">
        <v>1854</v>
      </c>
      <c r="C119" t="s">
        <v>166</v>
      </c>
    </row>
    <row r="120" spans="1:3">
      <c r="A120">
        <v>1868</v>
      </c>
      <c r="B120" t="s">
        <v>1855</v>
      </c>
      <c r="C120" t="s">
        <v>167</v>
      </c>
    </row>
    <row r="121" spans="1:3">
      <c r="A121">
        <v>1870</v>
      </c>
      <c r="B121" t="s">
        <v>1856</v>
      </c>
      <c r="C121" t="s">
        <v>168</v>
      </c>
    </row>
    <row r="122" spans="1:3">
      <c r="A122">
        <v>1880</v>
      </c>
      <c r="B122" t="s">
        <v>1857</v>
      </c>
      <c r="C122" t="s">
        <v>169</v>
      </c>
    </row>
    <row r="123" spans="1:3">
      <c r="A123">
        <v>1890</v>
      </c>
      <c r="B123" t="s">
        <v>1858</v>
      </c>
      <c r="C123" t="s">
        <v>170</v>
      </c>
    </row>
    <row r="124" spans="1:3">
      <c r="A124">
        <v>1900</v>
      </c>
      <c r="B124" t="s">
        <v>1859</v>
      </c>
      <c r="C124" t="s">
        <v>171</v>
      </c>
    </row>
    <row r="125" spans="1:3">
      <c r="A125">
        <v>1930</v>
      </c>
      <c r="B125" t="s">
        <v>1860</v>
      </c>
      <c r="C125" t="s">
        <v>172</v>
      </c>
    </row>
    <row r="126" spans="1:3">
      <c r="A126">
        <v>1940</v>
      </c>
      <c r="B126" t="s">
        <v>1861</v>
      </c>
      <c r="C126" t="s">
        <v>173</v>
      </c>
    </row>
    <row r="127" spans="1:3">
      <c r="A127">
        <v>1950</v>
      </c>
      <c r="B127" t="s">
        <v>1862</v>
      </c>
      <c r="C127" t="s">
        <v>174</v>
      </c>
    </row>
    <row r="128" spans="1:3">
      <c r="A128">
        <v>1981</v>
      </c>
      <c r="B128" t="s">
        <v>1863</v>
      </c>
      <c r="C128" t="s">
        <v>175</v>
      </c>
    </row>
    <row r="129" spans="1:3">
      <c r="A129">
        <v>1990</v>
      </c>
      <c r="B129" t="s">
        <v>1864</v>
      </c>
      <c r="C129" t="s">
        <v>176</v>
      </c>
    </row>
    <row r="130" spans="1:3">
      <c r="A130">
        <v>2000</v>
      </c>
      <c r="B130" t="s">
        <v>1865</v>
      </c>
      <c r="C130" t="s">
        <v>177</v>
      </c>
    </row>
    <row r="131" spans="1:3">
      <c r="A131">
        <v>2001</v>
      </c>
      <c r="B131" t="s">
        <v>1866</v>
      </c>
      <c r="C131" t="s">
        <v>178</v>
      </c>
    </row>
    <row r="132" spans="1:3">
      <c r="A132">
        <v>2020</v>
      </c>
      <c r="B132" t="s">
        <v>1867</v>
      </c>
      <c r="C132" t="s">
        <v>179</v>
      </c>
    </row>
    <row r="133" spans="1:3">
      <c r="A133">
        <v>2025</v>
      </c>
      <c r="B133" t="s">
        <v>1868</v>
      </c>
      <c r="C133" t="s">
        <v>180</v>
      </c>
    </row>
    <row r="134" spans="1:3">
      <c r="A134">
        <v>2026</v>
      </c>
      <c r="B134" t="s">
        <v>1869</v>
      </c>
      <c r="C134" t="s">
        <v>181</v>
      </c>
    </row>
    <row r="135" spans="1:3">
      <c r="A135">
        <v>2030</v>
      </c>
      <c r="B135" t="s">
        <v>1870</v>
      </c>
      <c r="C135" t="s">
        <v>182</v>
      </c>
    </row>
    <row r="136" spans="1:3">
      <c r="A136">
        <v>2035</v>
      </c>
      <c r="B136" t="s">
        <v>1871</v>
      </c>
      <c r="C136" t="s">
        <v>183</v>
      </c>
    </row>
    <row r="137" spans="1:3">
      <c r="A137">
        <v>2040</v>
      </c>
      <c r="B137" t="s">
        <v>1872</v>
      </c>
      <c r="C137" t="s">
        <v>184</v>
      </c>
    </row>
    <row r="138" spans="1:3">
      <c r="A138">
        <v>2050</v>
      </c>
      <c r="B138" t="s">
        <v>1873</v>
      </c>
      <c r="C138" t="s">
        <v>185</v>
      </c>
    </row>
    <row r="139" spans="1:3">
      <c r="A139">
        <v>2055</v>
      </c>
      <c r="B139" t="s">
        <v>1874</v>
      </c>
      <c r="C139" t="s">
        <v>1875</v>
      </c>
    </row>
    <row r="140" spans="1:3">
      <c r="A140">
        <v>2060</v>
      </c>
      <c r="B140" t="s">
        <v>1876</v>
      </c>
      <c r="C140" t="s">
        <v>186</v>
      </c>
    </row>
    <row r="141" spans="1:3">
      <c r="A141">
        <v>2065</v>
      </c>
      <c r="B141" t="s">
        <v>1877</v>
      </c>
      <c r="C141" t="s">
        <v>187</v>
      </c>
    </row>
    <row r="142" spans="1:3">
      <c r="A142">
        <v>2066</v>
      </c>
      <c r="B142" t="s">
        <v>1878</v>
      </c>
      <c r="C142" t="s">
        <v>188</v>
      </c>
    </row>
    <row r="143" spans="1:3">
      <c r="A143">
        <v>2075</v>
      </c>
      <c r="B143" t="s">
        <v>1879</v>
      </c>
      <c r="C143" t="s">
        <v>189</v>
      </c>
    </row>
    <row r="144" spans="1:3">
      <c r="A144">
        <v>2080</v>
      </c>
      <c r="B144" t="s">
        <v>1880</v>
      </c>
      <c r="C144" t="s">
        <v>190</v>
      </c>
    </row>
    <row r="145" spans="1:3">
      <c r="A145">
        <v>2110</v>
      </c>
      <c r="B145" t="s">
        <v>1881</v>
      </c>
      <c r="C145" t="s">
        <v>191</v>
      </c>
    </row>
    <row r="146" spans="1:3">
      <c r="A146">
        <v>2120</v>
      </c>
      <c r="B146" t="s">
        <v>1882</v>
      </c>
      <c r="C146" t="s">
        <v>192</v>
      </c>
    </row>
    <row r="147" spans="1:3">
      <c r="A147">
        <v>2125</v>
      </c>
      <c r="B147" t="s">
        <v>1883</v>
      </c>
      <c r="C147" t="s">
        <v>193</v>
      </c>
    </row>
    <row r="148" spans="1:3">
      <c r="A148">
        <v>2130</v>
      </c>
      <c r="B148" t="s">
        <v>1884</v>
      </c>
      <c r="C148" t="s">
        <v>194</v>
      </c>
    </row>
    <row r="149" spans="1:3">
      <c r="A149">
        <v>2135</v>
      </c>
      <c r="B149" t="s">
        <v>1885</v>
      </c>
      <c r="C149" t="s">
        <v>195</v>
      </c>
    </row>
    <row r="150" spans="1:3">
      <c r="A150">
        <v>2140</v>
      </c>
      <c r="B150" t="s">
        <v>1886</v>
      </c>
      <c r="C150" t="s">
        <v>196</v>
      </c>
    </row>
    <row r="151" spans="1:3">
      <c r="A151">
        <v>2150</v>
      </c>
      <c r="B151" t="s">
        <v>1887</v>
      </c>
      <c r="C151" t="s">
        <v>197</v>
      </c>
    </row>
    <row r="152" spans="1:3">
      <c r="A152">
        <v>2160</v>
      </c>
      <c r="B152" t="s">
        <v>1888</v>
      </c>
      <c r="C152" t="s">
        <v>198</v>
      </c>
    </row>
    <row r="153" spans="1:3">
      <c r="A153">
        <v>2161</v>
      </c>
      <c r="B153" t="s">
        <v>1889</v>
      </c>
      <c r="C153" t="s">
        <v>199</v>
      </c>
    </row>
    <row r="154" spans="1:3">
      <c r="A154">
        <v>2170</v>
      </c>
      <c r="B154" t="s">
        <v>1890</v>
      </c>
      <c r="C154" t="s">
        <v>200</v>
      </c>
    </row>
    <row r="155" spans="1:3">
      <c r="A155">
        <v>2180</v>
      </c>
      <c r="B155" t="s">
        <v>1891</v>
      </c>
      <c r="C155" t="s">
        <v>201</v>
      </c>
    </row>
    <row r="156" spans="1:3">
      <c r="A156">
        <v>2190</v>
      </c>
      <c r="B156" t="s">
        <v>1892</v>
      </c>
      <c r="C156" t="s">
        <v>202</v>
      </c>
    </row>
    <row r="157" spans="1:3">
      <c r="A157">
        <v>2210</v>
      </c>
      <c r="B157" t="s">
        <v>1893</v>
      </c>
      <c r="C157" t="s">
        <v>203</v>
      </c>
    </row>
    <row r="158" spans="1:3">
      <c r="A158">
        <v>2220</v>
      </c>
      <c r="B158" t="s">
        <v>1894</v>
      </c>
      <c r="C158" t="s">
        <v>204</v>
      </c>
    </row>
    <row r="159" spans="1:3">
      <c r="A159">
        <v>2225</v>
      </c>
      <c r="B159" t="s">
        <v>1895</v>
      </c>
      <c r="C159" t="s">
        <v>205</v>
      </c>
    </row>
    <row r="160" spans="1:3">
      <c r="A160">
        <v>2230</v>
      </c>
      <c r="B160" t="s">
        <v>1896</v>
      </c>
      <c r="C160" t="s">
        <v>206</v>
      </c>
    </row>
    <row r="161" spans="1:3">
      <c r="A161">
        <v>2240</v>
      </c>
      <c r="B161" t="s">
        <v>1897</v>
      </c>
      <c r="C161" t="s">
        <v>207</v>
      </c>
    </row>
    <row r="162" spans="1:3">
      <c r="A162">
        <v>2241</v>
      </c>
      <c r="B162" t="s">
        <v>1898</v>
      </c>
      <c r="C162" t="s">
        <v>208</v>
      </c>
    </row>
    <row r="163" spans="1:3">
      <c r="A163">
        <v>2245</v>
      </c>
      <c r="B163" t="s">
        <v>1899</v>
      </c>
      <c r="C163" t="s">
        <v>209</v>
      </c>
    </row>
    <row r="164" spans="1:3">
      <c r="A164">
        <v>2360</v>
      </c>
      <c r="B164" t="s">
        <v>1900</v>
      </c>
      <c r="C164" t="s">
        <v>210</v>
      </c>
    </row>
    <row r="165" spans="1:3">
      <c r="A165">
        <v>2370</v>
      </c>
      <c r="B165" t="s">
        <v>1901</v>
      </c>
      <c r="C165" t="s">
        <v>211</v>
      </c>
    </row>
    <row r="166" spans="1:3">
      <c r="A166">
        <v>2380</v>
      </c>
      <c r="B166" t="s">
        <v>1902</v>
      </c>
      <c r="C166" t="s">
        <v>212</v>
      </c>
    </row>
    <row r="167" spans="1:3">
      <c r="A167">
        <v>2400</v>
      </c>
      <c r="B167" t="s">
        <v>1903</v>
      </c>
      <c r="C167" t="s">
        <v>54</v>
      </c>
    </row>
    <row r="168" spans="1:3">
      <c r="A168">
        <v>2410</v>
      </c>
      <c r="B168" t="s">
        <v>1904</v>
      </c>
      <c r="C168" t="s">
        <v>213</v>
      </c>
    </row>
    <row r="169" spans="1:3">
      <c r="A169">
        <v>2420</v>
      </c>
      <c r="B169" t="s">
        <v>1905</v>
      </c>
      <c r="C169" t="s">
        <v>214</v>
      </c>
    </row>
    <row r="170" spans="1:3">
      <c r="A170">
        <v>2431</v>
      </c>
      <c r="B170" t="s">
        <v>1906</v>
      </c>
      <c r="C170" t="s">
        <v>215</v>
      </c>
    </row>
    <row r="171" spans="1:3">
      <c r="A171">
        <v>2435</v>
      </c>
      <c r="B171" t="s">
        <v>1907</v>
      </c>
      <c r="C171" t="s">
        <v>216</v>
      </c>
    </row>
    <row r="172" spans="1:3">
      <c r="A172">
        <v>2550</v>
      </c>
      <c r="B172" t="s">
        <v>1908</v>
      </c>
      <c r="C172" t="s">
        <v>217</v>
      </c>
    </row>
    <row r="173" spans="1:3">
      <c r="A173">
        <v>2560</v>
      </c>
      <c r="B173" t="s">
        <v>1909</v>
      </c>
      <c r="C173" t="s">
        <v>218</v>
      </c>
    </row>
    <row r="174" spans="1:3">
      <c r="A174">
        <v>2570</v>
      </c>
      <c r="B174" t="s">
        <v>1910</v>
      </c>
      <c r="C174" t="s">
        <v>219</v>
      </c>
    </row>
    <row r="175" spans="1:3">
      <c r="A175">
        <v>2575</v>
      </c>
      <c r="B175" t="s">
        <v>1911</v>
      </c>
      <c r="C175" t="s">
        <v>220</v>
      </c>
    </row>
    <row r="176" spans="1:3">
      <c r="A176">
        <v>2835</v>
      </c>
      <c r="B176" t="s">
        <v>1912</v>
      </c>
      <c r="C176" t="s">
        <v>221</v>
      </c>
    </row>
    <row r="177" spans="1:3">
      <c r="A177">
        <v>4080</v>
      </c>
      <c r="B177" t="s">
        <v>1913</v>
      </c>
      <c r="C177" t="s">
        <v>222</v>
      </c>
    </row>
    <row r="178" spans="1:3">
      <c r="A178">
        <v>4090</v>
      </c>
      <c r="B178" t="s">
        <v>1914</v>
      </c>
      <c r="C178" t="s">
        <v>223</v>
      </c>
    </row>
    <row r="179" spans="1:3">
      <c r="A179">
        <v>4100</v>
      </c>
      <c r="B179" t="s">
        <v>1915</v>
      </c>
      <c r="C179" t="s">
        <v>224</v>
      </c>
    </row>
    <row r="180" spans="1:3">
      <c r="A180">
        <v>4120</v>
      </c>
      <c r="B180" t="s">
        <v>1916</v>
      </c>
      <c r="C180" t="s">
        <v>225</v>
      </c>
    </row>
    <row r="181" spans="1:3">
      <c r="A181">
        <v>4126</v>
      </c>
      <c r="B181" t="s">
        <v>1917</v>
      </c>
      <c r="C181" t="s">
        <v>1255</v>
      </c>
    </row>
    <row r="182" spans="1:3">
      <c r="A182">
        <v>4130</v>
      </c>
      <c r="B182" t="s">
        <v>1918</v>
      </c>
      <c r="C182" t="s">
        <v>226</v>
      </c>
    </row>
    <row r="183" spans="1:3">
      <c r="A183">
        <v>4131</v>
      </c>
      <c r="B183" t="s">
        <v>1919</v>
      </c>
      <c r="C183" t="s">
        <v>227</v>
      </c>
    </row>
    <row r="184" spans="1:3">
      <c r="A184">
        <v>4135</v>
      </c>
      <c r="B184" t="s">
        <v>1920</v>
      </c>
      <c r="C184" t="s">
        <v>228</v>
      </c>
    </row>
    <row r="185" spans="1:3">
      <c r="A185">
        <v>4140</v>
      </c>
      <c r="B185" t="s">
        <v>1921</v>
      </c>
      <c r="C185" t="s">
        <v>229</v>
      </c>
    </row>
    <row r="186" spans="1:3">
      <c r="A186">
        <v>4150</v>
      </c>
      <c r="B186" t="s">
        <v>1922</v>
      </c>
      <c r="C186" t="s">
        <v>230</v>
      </c>
    </row>
    <row r="187" spans="1:3">
      <c r="A187">
        <v>4154</v>
      </c>
      <c r="B187" t="s">
        <v>1923</v>
      </c>
      <c r="C187" t="s">
        <v>231</v>
      </c>
    </row>
    <row r="188" spans="1:3">
      <c r="A188">
        <v>4156</v>
      </c>
      <c r="B188" t="s">
        <v>1924</v>
      </c>
      <c r="C188" t="s">
        <v>232</v>
      </c>
    </row>
    <row r="189" spans="1:3">
      <c r="A189">
        <v>4160</v>
      </c>
      <c r="B189" t="s">
        <v>1925</v>
      </c>
      <c r="C189" t="s">
        <v>233</v>
      </c>
    </row>
    <row r="190" spans="1:3">
      <c r="A190">
        <v>4165</v>
      </c>
      <c r="B190" t="s">
        <v>1926</v>
      </c>
      <c r="C190" t="s">
        <v>234</v>
      </c>
    </row>
    <row r="191" spans="1:3">
      <c r="A191">
        <v>4170</v>
      </c>
      <c r="B191" t="s">
        <v>1927</v>
      </c>
      <c r="C191" t="s">
        <v>235</v>
      </c>
    </row>
    <row r="192" spans="1:3">
      <c r="A192">
        <v>4180</v>
      </c>
      <c r="B192" t="s">
        <v>1928</v>
      </c>
      <c r="C192" t="s">
        <v>236</v>
      </c>
    </row>
    <row r="193" spans="1:3">
      <c r="A193">
        <v>4190</v>
      </c>
      <c r="B193" t="s">
        <v>1929</v>
      </c>
      <c r="C193" t="s">
        <v>237</v>
      </c>
    </row>
    <row r="194" spans="1:3">
      <c r="A194">
        <v>4200</v>
      </c>
      <c r="B194" t="s">
        <v>1930</v>
      </c>
      <c r="C194" t="s">
        <v>238</v>
      </c>
    </row>
    <row r="195" spans="1:3">
      <c r="A195">
        <v>4207</v>
      </c>
      <c r="B195" t="s">
        <v>1931</v>
      </c>
      <c r="C195" t="s">
        <v>239</v>
      </c>
    </row>
    <row r="196" spans="1:3">
      <c r="A196">
        <v>4208</v>
      </c>
      <c r="B196" t="s">
        <v>1932</v>
      </c>
      <c r="C196" t="s">
        <v>240</v>
      </c>
    </row>
    <row r="197" spans="1:3">
      <c r="A197">
        <v>4209</v>
      </c>
      <c r="B197" t="s">
        <v>1933</v>
      </c>
      <c r="C197" t="s">
        <v>241</v>
      </c>
    </row>
    <row r="198" spans="1:3">
      <c r="A198">
        <v>4210</v>
      </c>
      <c r="B198" t="s">
        <v>1934</v>
      </c>
      <c r="C198" t="s">
        <v>242</v>
      </c>
    </row>
    <row r="199" spans="1:3">
      <c r="A199">
        <v>4211</v>
      </c>
      <c r="B199" t="s">
        <v>1935</v>
      </c>
      <c r="C199" t="s">
        <v>1936</v>
      </c>
    </row>
    <row r="200" spans="1:3">
      <c r="A200">
        <v>4215</v>
      </c>
      <c r="B200" t="s">
        <v>1937</v>
      </c>
      <c r="C200" t="s">
        <v>243</v>
      </c>
    </row>
    <row r="201" spans="1:3">
      <c r="A201">
        <v>4220</v>
      </c>
      <c r="B201" t="s">
        <v>1938</v>
      </c>
      <c r="C201" t="s">
        <v>244</v>
      </c>
    </row>
    <row r="202" spans="1:3">
      <c r="A202">
        <v>4230</v>
      </c>
      <c r="B202" t="s">
        <v>1939</v>
      </c>
      <c r="C202" t="s">
        <v>245</v>
      </c>
    </row>
    <row r="203" spans="1:3">
      <c r="A203">
        <v>4240</v>
      </c>
      <c r="B203" t="s">
        <v>1940</v>
      </c>
      <c r="C203" t="s">
        <v>246</v>
      </c>
    </row>
    <row r="204" spans="1:3">
      <c r="A204">
        <v>4250</v>
      </c>
      <c r="B204" t="s">
        <v>1941</v>
      </c>
      <c r="C204" t="s">
        <v>247</v>
      </c>
    </row>
    <row r="205" spans="1:3">
      <c r="A205">
        <v>4260</v>
      </c>
      <c r="B205" t="s">
        <v>1942</v>
      </c>
      <c r="C205" t="s">
        <v>248</v>
      </c>
    </row>
    <row r="206" spans="1:3">
      <c r="A206">
        <v>4270</v>
      </c>
      <c r="B206" t="s">
        <v>1943</v>
      </c>
      <c r="C206" t="s">
        <v>249</v>
      </c>
    </row>
    <row r="207" spans="1:3">
      <c r="A207">
        <v>4280</v>
      </c>
      <c r="B207" t="s">
        <v>1944</v>
      </c>
      <c r="C207" t="s">
        <v>250</v>
      </c>
    </row>
    <row r="208" spans="1:3">
      <c r="A208">
        <v>4285</v>
      </c>
      <c r="B208" t="s">
        <v>1945</v>
      </c>
      <c r="C208" t="s">
        <v>251</v>
      </c>
    </row>
    <row r="209" spans="1:3">
      <c r="A209">
        <v>4286</v>
      </c>
      <c r="B209" t="s">
        <v>1946</v>
      </c>
      <c r="C209" t="s">
        <v>252</v>
      </c>
    </row>
    <row r="210" spans="1:3">
      <c r="A210">
        <v>4290</v>
      </c>
      <c r="B210" t="s">
        <v>1947</v>
      </c>
      <c r="C210" t="s">
        <v>253</v>
      </c>
    </row>
    <row r="211" spans="1:3">
      <c r="A211">
        <v>4310</v>
      </c>
      <c r="B211" t="s">
        <v>1948</v>
      </c>
      <c r="C211" t="s">
        <v>254</v>
      </c>
    </row>
    <row r="212" spans="1:3">
      <c r="A212">
        <v>4320</v>
      </c>
      <c r="B212" t="s">
        <v>1949</v>
      </c>
      <c r="C212" t="s">
        <v>255</v>
      </c>
    </row>
    <row r="213" spans="1:3">
      <c r="A213">
        <v>4330</v>
      </c>
      <c r="B213" t="s">
        <v>1950</v>
      </c>
      <c r="C213" t="s">
        <v>256</v>
      </c>
    </row>
    <row r="214" spans="1:3">
      <c r="A214">
        <v>4335</v>
      </c>
      <c r="B214" t="s">
        <v>1951</v>
      </c>
      <c r="C214" t="s">
        <v>257</v>
      </c>
    </row>
    <row r="215" spans="1:3">
      <c r="A215">
        <v>4345</v>
      </c>
      <c r="B215" t="s">
        <v>1952</v>
      </c>
      <c r="C215" t="s">
        <v>258</v>
      </c>
    </row>
    <row r="216" spans="1:3">
      <c r="A216">
        <v>4350</v>
      </c>
      <c r="B216" t="s">
        <v>1953</v>
      </c>
      <c r="C216" t="s">
        <v>259</v>
      </c>
    </row>
    <row r="217" spans="1:3">
      <c r="A217">
        <v>4355</v>
      </c>
      <c r="B217" t="s">
        <v>1954</v>
      </c>
      <c r="C217" t="s">
        <v>260</v>
      </c>
    </row>
    <row r="218" spans="1:3">
      <c r="A218">
        <v>4360</v>
      </c>
      <c r="B218" t="s">
        <v>1955</v>
      </c>
      <c r="C218" t="s">
        <v>261</v>
      </c>
    </row>
    <row r="219" spans="1:3">
      <c r="A219">
        <v>4370</v>
      </c>
      <c r="B219" t="s">
        <v>1956</v>
      </c>
      <c r="C219" t="s">
        <v>262</v>
      </c>
    </row>
    <row r="220" spans="1:3">
      <c r="A220">
        <v>4371</v>
      </c>
      <c r="B220" t="s">
        <v>1957</v>
      </c>
      <c r="C220" t="s">
        <v>263</v>
      </c>
    </row>
    <row r="221" spans="1:3">
      <c r="A221">
        <v>4380</v>
      </c>
      <c r="B221" t="s">
        <v>1958</v>
      </c>
      <c r="C221" t="s">
        <v>264</v>
      </c>
    </row>
    <row r="222" spans="1:3">
      <c r="A222">
        <v>4385</v>
      </c>
      <c r="B222" t="s">
        <v>1959</v>
      </c>
      <c r="C222" t="s">
        <v>265</v>
      </c>
    </row>
    <row r="223" spans="1:3">
      <c r="A223">
        <v>4390</v>
      </c>
      <c r="B223" t="s">
        <v>1960</v>
      </c>
      <c r="C223" t="s">
        <v>266</v>
      </c>
    </row>
    <row r="224" spans="1:3">
      <c r="A224">
        <v>4392</v>
      </c>
      <c r="B224" t="s">
        <v>1961</v>
      </c>
      <c r="C224" t="s">
        <v>267</v>
      </c>
    </row>
    <row r="225" spans="1:3">
      <c r="A225">
        <v>4393</v>
      </c>
      <c r="B225" t="s">
        <v>1962</v>
      </c>
      <c r="C225" t="s">
        <v>268</v>
      </c>
    </row>
    <row r="226" spans="1:3">
      <c r="A226">
        <v>4394</v>
      </c>
      <c r="B226" t="s">
        <v>1963</v>
      </c>
      <c r="C226" t="s">
        <v>269</v>
      </c>
    </row>
    <row r="227" spans="1:3">
      <c r="A227">
        <v>4400</v>
      </c>
      <c r="B227" t="s">
        <v>1964</v>
      </c>
      <c r="C227" t="s">
        <v>1244</v>
      </c>
    </row>
    <row r="228" spans="1:3">
      <c r="A228">
        <v>4402</v>
      </c>
      <c r="B228" t="s">
        <v>1965</v>
      </c>
      <c r="C228" t="s">
        <v>1256</v>
      </c>
    </row>
    <row r="229" spans="1:3">
      <c r="A229">
        <v>4410</v>
      </c>
      <c r="B229" t="s">
        <v>1966</v>
      </c>
      <c r="C229" t="s">
        <v>270</v>
      </c>
    </row>
    <row r="230" spans="1:3">
      <c r="A230">
        <v>4420</v>
      </c>
      <c r="B230" t="s">
        <v>1967</v>
      </c>
      <c r="C230" t="s">
        <v>271</v>
      </c>
    </row>
    <row r="231" spans="1:3">
      <c r="A231">
        <v>4426</v>
      </c>
      <c r="B231" t="s">
        <v>1968</v>
      </c>
      <c r="C231" t="s">
        <v>272</v>
      </c>
    </row>
    <row r="232" spans="1:3">
      <c r="A232">
        <v>4427</v>
      </c>
      <c r="B232" t="s">
        <v>1969</v>
      </c>
      <c r="C232" t="s">
        <v>273</v>
      </c>
    </row>
    <row r="233" spans="1:3">
      <c r="A233">
        <v>4428</v>
      </c>
      <c r="B233" t="s">
        <v>1970</v>
      </c>
      <c r="C233" t="s">
        <v>274</v>
      </c>
    </row>
    <row r="234" spans="1:3">
      <c r="A234">
        <v>4430</v>
      </c>
      <c r="B234" t="s">
        <v>1971</v>
      </c>
      <c r="C234" t="s">
        <v>275</v>
      </c>
    </row>
    <row r="235" spans="1:3">
      <c r="A235">
        <v>4440</v>
      </c>
      <c r="B235" t="s">
        <v>1972</v>
      </c>
      <c r="C235" t="s">
        <v>276</v>
      </c>
    </row>
    <row r="236" spans="1:3">
      <c r="A236">
        <v>4450</v>
      </c>
      <c r="B236" t="s">
        <v>1973</v>
      </c>
      <c r="C236" t="s">
        <v>277</v>
      </c>
    </row>
    <row r="237" spans="1:3">
      <c r="A237">
        <v>4460</v>
      </c>
      <c r="B237" t="s">
        <v>1974</v>
      </c>
      <c r="C237" t="s">
        <v>278</v>
      </c>
    </row>
    <row r="238" spans="1:3">
      <c r="A238">
        <v>4465</v>
      </c>
      <c r="B238" t="s">
        <v>1975</v>
      </c>
      <c r="C238" t="s">
        <v>279</v>
      </c>
    </row>
    <row r="239" spans="1:3">
      <c r="A239">
        <v>4470</v>
      </c>
      <c r="B239" t="s">
        <v>1976</v>
      </c>
      <c r="C239" t="s">
        <v>280</v>
      </c>
    </row>
    <row r="240" spans="1:3">
      <c r="A240">
        <v>4480</v>
      </c>
      <c r="B240" t="s">
        <v>1977</v>
      </c>
      <c r="C240" t="s">
        <v>281</v>
      </c>
    </row>
    <row r="241" spans="1:3">
      <c r="A241">
        <v>4494</v>
      </c>
      <c r="B241" t="s">
        <v>1978</v>
      </c>
      <c r="C241" t="s">
        <v>1979</v>
      </c>
    </row>
    <row r="242" spans="1:3">
      <c r="A242">
        <v>4495</v>
      </c>
      <c r="B242" t="s">
        <v>1980</v>
      </c>
      <c r="C242" t="s">
        <v>282</v>
      </c>
    </row>
    <row r="243" spans="1:3">
      <c r="A243">
        <v>4497</v>
      </c>
      <c r="B243" t="s">
        <v>1981</v>
      </c>
      <c r="C243" t="s">
        <v>283</v>
      </c>
    </row>
    <row r="244" spans="1:3">
      <c r="A244">
        <v>4498</v>
      </c>
      <c r="B244" t="s">
        <v>1982</v>
      </c>
      <c r="C244" t="s">
        <v>284</v>
      </c>
    </row>
    <row r="245" spans="1:3">
      <c r="A245">
        <v>4499</v>
      </c>
      <c r="B245" t="s">
        <v>1983</v>
      </c>
      <c r="C245" t="s">
        <v>285</v>
      </c>
    </row>
    <row r="246" spans="1:3">
      <c r="A246">
        <v>4500</v>
      </c>
      <c r="B246" t="s">
        <v>1984</v>
      </c>
      <c r="C246" t="s">
        <v>286</v>
      </c>
    </row>
    <row r="247" spans="1:3">
      <c r="A247">
        <v>4501</v>
      </c>
      <c r="B247" t="s">
        <v>1985</v>
      </c>
      <c r="C247" t="s">
        <v>287</v>
      </c>
    </row>
    <row r="248" spans="1:3">
      <c r="A248">
        <v>4510</v>
      </c>
      <c r="B248" t="s">
        <v>1986</v>
      </c>
      <c r="C248" t="s">
        <v>288</v>
      </c>
    </row>
    <row r="249" spans="1:3">
      <c r="A249">
        <v>4520</v>
      </c>
      <c r="B249" t="s">
        <v>1987</v>
      </c>
      <c r="C249" t="s">
        <v>289</v>
      </c>
    </row>
    <row r="250" spans="1:3">
      <c r="A250">
        <v>4521</v>
      </c>
      <c r="B250" t="s">
        <v>1988</v>
      </c>
      <c r="C250" t="s">
        <v>290</v>
      </c>
    </row>
    <row r="251" spans="1:3">
      <c r="A251">
        <v>4525</v>
      </c>
      <c r="B251" t="s">
        <v>1989</v>
      </c>
      <c r="C251" t="s">
        <v>291</v>
      </c>
    </row>
    <row r="252" spans="1:3">
      <c r="A252">
        <v>4530</v>
      </c>
      <c r="B252" t="s">
        <v>1990</v>
      </c>
      <c r="C252" t="s">
        <v>292</v>
      </c>
    </row>
    <row r="253" spans="1:3">
      <c r="A253">
        <v>4535</v>
      </c>
      <c r="B253" t="s">
        <v>1991</v>
      </c>
      <c r="C253" t="s">
        <v>293</v>
      </c>
    </row>
    <row r="254" spans="1:3">
      <c r="A254">
        <v>4540</v>
      </c>
      <c r="B254" t="s">
        <v>1992</v>
      </c>
      <c r="C254" t="s">
        <v>294</v>
      </c>
    </row>
    <row r="255" spans="1:3">
      <c r="A255">
        <v>4560</v>
      </c>
      <c r="B255" t="s">
        <v>1993</v>
      </c>
      <c r="C255" t="s">
        <v>295</v>
      </c>
    </row>
    <row r="256" spans="1:3">
      <c r="A256">
        <v>4580</v>
      </c>
      <c r="B256" t="s">
        <v>1994</v>
      </c>
      <c r="C256" t="s">
        <v>296</v>
      </c>
    </row>
    <row r="257" spans="1:3">
      <c r="A257">
        <v>4581</v>
      </c>
      <c r="B257" t="s">
        <v>1995</v>
      </c>
      <c r="C257" t="s">
        <v>297</v>
      </c>
    </row>
    <row r="258" spans="1:3">
      <c r="A258">
        <v>4582</v>
      </c>
      <c r="B258" t="s">
        <v>1996</v>
      </c>
      <c r="C258" t="s">
        <v>298</v>
      </c>
    </row>
    <row r="259" spans="1:3">
      <c r="A259">
        <v>4583</v>
      </c>
      <c r="B259" t="s">
        <v>1997</v>
      </c>
      <c r="C259" t="s">
        <v>299</v>
      </c>
    </row>
    <row r="260" spans="1:3">
      <c r="A260">
        <v>4584</v>
      </c>
      <c r="B260" t="s">
        <v>1998</v>
      </c>
      <c r="C260" t="s">
        <v>300</v>
      </c>
    </row>
    <row r="261" spans="1:3">
      <c r="A261">
        <v>4585</v>
      </c>
      <c r="B261" t="s">
        <v>1999</v>
      </c>
      <c r="C261" t="s">
        <v>301</v>
      </c>
    </row>
    <row r="262" spans="1:3">
      <c r="A262">
        <v>4586</v>
      </c>
      <c r="B262" t="s">
        <v>2000</v>
      </c>
      <c r="C262" t="s">
        <v>302</v>
      </c>
    </row>
    <row r="263" spans="1:3">
      <c r="A263">
        <v>4587</v>
      </c>
      <c r="B263" t="s">
        <v>2001</v>
      </c>
      <c r="C263" t="s">
        <v>303</v>
      </c>
    </row>
    <row r="264" spans="1:3">
      <c r="A264">
        <v>4588</v>
      </c>
      <c r="B264" t="s">
        <v>2002</v>
      </c>
      <c r="C264" t="s">
        <v>304</v>
      </c>
    </row>
    <row r="265" spans="1:3">
      <c r="A265">
        <v>4589</v>
      </c>
      <c r="B265" t="s">
        <v>2003</v>
      </c>
      <c r="C265" t="s">
        <v>305</v>
      </c>
    </row>
    <row r="266" spans="1:3">
      <c r="A266">
        <v>4590</v>
      </c>
      <c r="B266" t="s">
        <v>2004</v>
      </c>
      <c r="C266" t="s">
        <v>306</v>
      </c>
    </row>
    <row r="267" spans="1:3">
      <c r="A267">
        <v>4591</v>
      </c>
      <c r="B267" t="s">
        <v>2005</v>
      </c>
      <c r="C267" t="s">
        <v>307</v>
      </c>
    </row>
    <row r="268" spans="1:3">
      <c r="A268">
        <v>4592</v>
      </c>
      <c r="B268" t="s">
        <v>2006</v>
      </c>
      <c r="C268" t="s">
        <v>308</v>
      </c>
    </row>
    <row r="269" spans="1:3">
      <c r="A269">
        <v>4593</v>
      </c>
      <c r="B269" t="s">
        <v>2007</v>
      </c>
      <c r="C269" t="s">
        <v>309</v>
      </c>
    </row>
    <row r="270" spans="1:3">
      <c r="A270">
        <v>4594</v>
      </c>
      <c r="B270" t="s">
        <v>2008</v>
      </c>
      <c r="C270" t="s">
        <v>310</v>
      </c>
    </row>
    <row r="271" spans="1:3">
      <c r="A271">
        <v>4595</v>
      </c>
      <c r="B271" t="s">
        <v>2009</v>
      </c>
      <c r="C271" t="s">
        <v>311</v>
      </c>
    </row>
    <row r="272" spans="1:3">
      <c r="A272">
        <v>4596</v>
      </c>
      <c r="B272" t="s">
        <v>2010</v>
      </c>
      <c r="C272" t="s">
        <v>312</v>
      </c>
    </row>
    <row r="273" spans="1:3">
      <c r="A273">
        <v>4597</v>
      </c>
      <c r="B273" t="s">
        <v>2011</v>
      </c>
      <c r="C273" t="s">
        <v>313</v>
      </c>
    </row>
    <row r="274" spans="1:3">
      <c r="A274">
        <v>4598</v>
      </c>
      <c r="B274" t="s">
        <v>2012</v>
      </c>
      <c r="C274" t="s">
        <v>314</v>
      </c>
    </row>
    <row r="275" spans="1:3">
      <c r="A275">
        <v>4599</v>
      </c>
      <c r="B275" t="s">
        <v>2013</v>
      </c>
      <c r="C275" t="s">
        <v>315</v>
      </c>
    </row>
    <row r="276" spans="1:3">
      <c r="A276">
        <v>4600</v>
      </c>
      <c r="B276" t="s">
        <v>2014</v>
      </c>
      <c r="C276" t="s">
        <v>316</v>
      </c>
    </row>
    <row r="277" spans="1:3">
      <c r="A277">
        <v>4601</v>
      </c>
      <c r="B277" t="s">
        <v>2015</v>
      </c>
      <c r="C277" t="s">
        <v>317</v>
      </c>
    </row>
    <row r="278" spans="1:3">
      <c r="A278">
        <v>4602</v>
      </c>
      <c r="B278" t="s">
        <v>2016</v>
      </c>
      <c r="C278" t="s">
        <v>318</v>
      </c>
    </row>
    <row r="279" spans="1:3">
      <c r="A279">
        <v>4603</v>
      </c>
      <c r="B279" t="s">
        <v>2017</v>
      </c>
      <c r="C279" t="s">
        <v>319</v>
      </c>
    </row>
    <row r="280" spans="1:3">
      <c r="A280">
        <v>4604</v>
      </c>
      <c r="B280" t="s">
        <v>2018</v>
      </c>
      <c r="C280" t="s">
        <v>320</v>
      </c>
    </row>
    <row r="281" spans="1:3">
      <c r="A281">
        <v>4605</v>
      </c>
      <c r="B281" t="s">
        <v>2019</v>
      </c>
      <c r="C281" t="s">
        <v>321</v>
      </c>
    </row>
    <row r="282" spans="1:3">
      <c r="A282">
        <v>4606</v>
      </c>
      <c r="B282" t="s">
        <v>2020</v>
      </c>
      <c r="C282" t="s">
        <v>322</v>
      </c>
    </row>
    <row r="283" spans="1:3">
      <c r="A283">
        <v>4607</v>
      </c>
      <c r="B283" t="s">
        <v>2021</v>
      </c>
      <c r="C283" t="s">
        <v>323</v>
      </c>
    </row>
    <row r="284" spans="1:3">
      <c r="A284">
        <v>4608</v>
      </c>
      <c r="B284" t="s">
        <v>2022</v>
      </c>
      <c r="C284" t="s">
        <v>324</v>
      </c>
    </row>
    <row r="285" spans="1:3">
      <c r="A285">
        <v>4609</v>
      </c>
      <c r="B285" t="s">
        <v>2023</v>
      </c>
      <c r="C285" t="s">
        <v>1257</v>
      </c>
    </row>
    <row r="286" spans="1:3">
      <c r="A286">
        <v>4610</v>
      </c>
      <c r="B286" t="s">
        <v>2024</v>
      </c>
      <c r="C286" t="s">
        <v>325</v>
      </c>
    </row>
    <row r="287" spans="1:3">
      <c r="A287">
        <v>4612</v>
      </c>
      <c r="B287" t="s">
        <v>2025</v>
      </c>
      <c r="C287" t="s">
        <v>1258</v>
      </c>
    </row>
    <row r="288" spans="1:3">
      <c r="A288">
        <v>4613</v>
      </c>
      <c r="B288" t="s">
        <v>2026</v>
      </c>
      <c r="C288" t="s">
        <v>326</v>
      </c>
    </row>
    <row r="289" spans="1:3">
      <c r="A289">
        <v>4614</v>
      </c>
      <c r="B289" t="s">
        <v>2027</v>
      </c>
      <c r="C289" t="s">
        <v>327</v>
      </c>
    </row>
    <row r="290" spans="1:3">
      <c r="A290">
        <v>4615</v>
      </c>
      <c r="B290" t="s">
        <v>2028</v>
      </c>
      <c r="C290" t="s">
        <v>328</v>
      </c>
    </row>
    <row r="291" spans="1:3">
      <c r="A291">
        <v>4616</v>
      </c>
      <c r="B291" t="s">
        <v>2029</v>
      </c>
      <c r="C291" t="s">
        <v>329</v>
      </c>
    </row>
    <row r="292" spans="1:3">
      <c r="A292">
        <v>4618</v>
      </c>
      <c r="B292" t="s">
        <v>2030</v>
      </c>
      <c r="C292" t="s">
        <v>330</v>
      </c>
    </row>
    <row r="293" spans="1:3">
      <c r="A293">
        <v>4619</v>
      </c>
      <c r="B293" t="s">
        <v>2031</v>
      </c>
      <c r="C293" t="s">
        <v>331</v>
      </c>
    </row>
    <row r="294" spans="1:3">
      <c r="A294">
        <v>4620</v>
      </c>
      <c r="B294" t="s">
        <v>2032</v>
      </c>
      <c r="C294" t="s">
        <v>332</v>
      </c>
    </row>
    <row r="295" spans="1:3">
      <c r="A295">
        <v>4625</v>
      </c>
      <c r="B295" t="s">
        <v>2033</v>
      </c>
      <c r="C295" t="s">
        <v>2034</v>
      </c>
    </row>
    <row r="296" spans="1:3">
      <c r="A296">
        <v>4630</v>
      </c>
      <c r="B296" t="s">
        <v>2035</v>
      </c>
      <c r="C296" t="s">
        <v>333</v>
      </c>
    </row>
    <row r="297" spans="1:3">
      <c r="A297">
        <v>4635</v>
      </c>
      <c r="B297" t="s">
        <v>2036</v>
      </c>
      <c r="C297" t="s">
        <v>1259</v>
      </c>
    </row>
    <row r="298" spans="1:3">
      <c r="A298">
        <v>4640</v>
      </c>
      <c r="B298" t="s">
        <v>2037</v>
      </c>
      <c r="C298" t="s">
        <v>334</v>
      </c>
    </row>
    <row r="299" spans="1:3">
      <c r="A299">
        <v>4650</v>
      </c>
      <c r="B299" t="s">
        <v>2038</v>
      </c>
      <c r="C299" t="s">
        <v>335</v>
      </c>
    </row>
    <row r="300" spans="1:3">
      <c r="A300">
        <v>4660</v>
      </c>
      <c r="B300" t="s">
        <v>2039</v>
      </c>
      <c r="C300" t="s">
        <v>336</v>
      </c>
    </row>
    <row r="301" spans="1:3">
      <c r="A301">
        <v>4670</v>
      </c>
      <c r="B301" t="s">
        <v>2040</v>
      </c>
      <c r="C301" t="s">
        <v>337</v>
      </c>
    </row>
    <row r="302" spans="1:3">
      <c r="A302">
        <v>4680</v>
      </c>
      <c r="B302" t="s">
        <v>2041</v>
      </c>
      <c r="C302" t="s">
        <v>338</v>
      </c>
    </row>
    <row r="303" spans="1:3">
      <c r="A303">
        <v>4690</v>
      </c>
      <c r="B303" t="s">
        <v>2042</v>
      </c>
      <c r="C303" t="s">
        <v>339</v>
      </c>
    </row>
    <row r="304" spans="1:3">
      <c r="A304">
        <v>4700</v>
      </c>
      <c r="B304" t="s">
        <v>2043</v>
      </c>
      <c r="C304" t="s">
        <v>340</v>
      </c>
    </row>
    <row r="305" spans="1:3">
      <c r="A305">
        <v>4710</v>
      </c>
      <c r="B305" t="s">
        <v>2044</v>
      </c>
      <c r="C305" t="s">
        <v>341</v>
      </c>
    </row>
    <row r="306" spans="1:3">
      <c r="A306">
        <v>4715</v>
      </c>
      <c r="B306" t="s">
        <v>2045</v>
      </c>
      <c r="C306" t="s">
        <v>342</v>
      </c>
    </row>
    <row r="307" spans="1:3">
      <c r="A307">
        <v>4720</v>
      </c>
      <c r="B307" t="s">
        <v>2046</v>
      </c>
      <c r="C307" t="s">
        <v>343</v>
      </c>
    </row>
    <row r="308" spans="1:3">
      <c r="A308">
        <v>4725</v>
      </c>
      <c r="B308" t="s">
        <v>2047</v>
      </c>
      <c r="C308" t="s">
        <v>1260</v>
      </c>
    </row>
    <row r="309" spans="1:3">
      <c r="A309">
        <v>4728</v>
      </c>
      <c r="B309" t="s">
        <v>2048</v>
      </c>
      <c r="C309" t="s">
        <v>344</v>
      </c>
    </row>
    <row r="310" spans="1:3">
      <c r="A310">
        <v>4730</v>
      </c>
      <c r="B310" t="s">
        <v>2049</v>
      </c>
      <c r="C310" t="s">
        <v>345</v>
      </c>
    </row>
    <row r="311" spans="1:3">
      <c r="A311">
        <v>4735</v>
      </c>
      <c r="B311" t="s">
        <v>2050</v>
      </c>
      <c r="C311" t="s">
        <v>346</v>
      </c>
    </row>
    <row r="312" spans="1:3">
      <c r="A312">
        <v>4740</v>
      </c>
      <c r="B312" t="s">
        <v>2051</v>
      </c>
      <c r="C312" t="s">
        <v>347</v>
      </c>
    </row>
    <row r="313" spans="1:3">
      <c r="A313">
        <v>4760</v>
      </c>
      <c r="B313" t="s">
        <v>2052</v>
      </c>
      <c r="C313" t="s">
        <v>348</v>
      </c>
    </row>
    <row r="314" spans="1:3">
      <c r="A314">
        <v>4770</v>
      </c>
      <c r="B314" t="s">
        <v>2053</v>
      </c>
      <c r="C314" t="s">
        <v>349</v>
      </c>
    </row>
    <row r="315" spans="1:3">
      <c r="A315">
        <v>4780</v>
      </c>
      <c r="B315" t="s">
        <v>2054</v>
      </c>
      <c r="C315" t="s">
        <v>350</v>
      </c>
    </row>
    <row r="316" spans="1:3">
      <c r="A316">
        <v>4790</v>
      </c>
      <c r="B316" t="s">
        <v>2055</v>
      </c>
      <c r="C316" t="s">
        <v>351</v>
      </c>
    </row>
    <row r="317" spans="1:3">
      <c r="A317">
        <v>4800</v>
      </c>
      <c r="B317" t="s">
        <v>2056</v>
      </c>
      <c r="C317" t="s">
        <v>352</v>
      </c>
    </row>
    <row r="318" spans="1:3">
      <c r="A318">
        <v>4805</v>
      </c>
      <c r="B318" t="s">
        <v>2057</v>
      </c>
      <c r="C318" t="s">
        <v>353</v>
      </c>
    </row>
    <row r="319" spans="1:3">
      <c r="A319">
        <v>4810</v>
      </c>
      <c r="B319" t="s">
        <v>2058</v>
      </c>
      <c r="C319" t="s">
        <v>354</v>
      </c>
    </row>
    <row r="320" spans="1:3">
      <c r="A320">
        <v>4815</v>
      </c>
      <c r="B320" t="s">
        <v>2059</v>
      </c>
      <c r="C320" t="s">
        <v>355</v>
      </c>
    </row>
    <row r="321" spans="1:3">
      <c r="A321">
        <v>4830</v>
      </c>
      <c r="B321" t="s">
        <v>2060</v>
      </c>
      <c r="C321" t="s">
        <v>356</v>
      </c>
    </row>
    <row r="322" spans="1:3">
      <c r="A322">
        <v>4835</v>
      </c>
      <c r="B322" t="s">
        <v>2061</v>
      </c>
      <c r="C322" t="s">
        <v>357</v>
      </c>
    </row>
    <row r="323" spans="1:3">
      <c r="A323">
        <v>4840</v>
      </c>
      <c r="B323" t="s">
        <v>2062</v>
      </c>
      <c r="C323" t="s">
        <v>358</v>
      </c>
    </row>
    <row r="324" spans="1:3">
      <c r="A324">
        <v>4850</v>
      </c>
      <c r="B324" t="s">
        <v>2063</v>
      </c>
      <c r="C324" t="s">
        <v>359</v>
      </c>
    </row>
    <row r="325" spans="1:3">
      <c r="A325">
        <v>4860</v>
      </c>
      <c r="B325" t="s">
        <v>2064</v>
      </c>
      <c r="C325" t="s">
        <v>360</v>
      </c>
    </row>
    <row r="326" spans="1:3">
      <c r="A326">
        <v>4870</v>
      </c>
      <c r="B326" t="s">
        <v>2065</v>
      </c>
      <c r="C326" t="s">
        <v>361</v>
      </c>
    </row>
    <row r="327" spans="1:3">
      <c r="A327">
        <v>4880</v>
      </c>
      <c r="B327" t="s">
        <v>2066</v>
      </c>
      <c r="C327" t="s">
        <v>362</v>
      </c>
    </row>
    <row r="328" spans="1:3">
      <c r="A328">
        <v>4890</v>
      </c>
      <c r="B328" t="s">
        <v>2067</v>
      </c>
      <c r="C328" t="s">
        <v>363</v>
      </c>
    </row>
    <row r="329" spans="1:3">
      <c r="A329">
        <v>4892</v>
      </c>
      <c r="B329" t="s">
        <v>2068</v>
      </c>
      <c r="C329" t="s">
        <v>364</v>
      </c>
    </row>
    <row r="330" spans="1:3">
      <c r="A330">
        <v>4895</v>
      </c>
      <c r="B330" t="s">
        <v>2069</v>
      </c>
      <c r="C330" t="s">
        <v>365</v>
      </c>
    </row>
    <row r="331" spans="1:3">
      <c r="A331">
        <v>4910</v>
      </c>
      <c r="B331" t="s">
        <v>2070</v>
      </c>
      <c r="C331" t="s">
        <v>366</v>
      </c>
    </row>
    <row r="332" spans="1:3">
      <c r="A332">
        <v>4920</v>
      </c>
      <c r="B332" t="s">
        <v>2071</v>
      </c>
      <c r="C332" t="s">
        <v>367</v>
      </c>
    </row>
    <row r="333" spans="1:3">
      <c r="A333">
        <v>4930</v>
      </c>
      <c r="B333" t="s">
        <v>2072</v>
      </c>
      <c r="C333" t="s">
        <v>368</v>
      </c>
    </row>
    <row r="334" spans="1:3">
      <c r="A334">
        <v>4940</v>
      </c>
      <c r="B334" t="s">
        <v>2073</v>
      </c>
      <c r="C334" t="s">
        <v>369</v>
      </c>
    </row>
    <row r="335" spans="1:3">
      <c r="A335">
        <v>4950</v>
      </c>
      <c r="B335" t="s">
        <v>2074</v>
      </c>
      <c r="C335" t="s">
        <v>370</v>
      </c>
    </row>
    <row r="336" spans="1:3">
      <c r="A336">
        <v>4960</v>
      </c>
      <c r="B336" t="s">
        <v>2075</v>
      </c>
      <c r="C336" t="s">
        <v>371</v>
      </c>
    </row>
    <row r="337" spans="1:3">
      <c r="A337">
        <v>4970</v>
      </c>
      <c r="B337" t="s">
        <v>2076</v>
      </c>
      <c r="C337" t="s">
        <v>372</v>
      </c>
    </row>
    <row r="338" spans="1:3">
      <c r="A338">
        <v>4980</v>
      </c>
      <c r="B338" t="s">
        <v>2077</v>
      </c>
      <c r="C338" t="s">
        <v>373</v>
      </c>
    </row>
    <row r="339" spans="1:3">
      <c r="A339">
        <v>4984</v>
      </c>
      <c r="B339" t="s">
        <v>2078</v>
      </c>
      <c r="C339" t="s">
        <v>374</v>
      </c>
    </row>
    <row r="340" spans="1:3">
      <c r="A340">
        <v>4985</v>
      </c>
      <c r="B340" t="s">
        <v>2079</v>
      </c>
      <c r="C340" t="s">
        <v>375</v>
      </c>
    </row>
    <row r="341" spans="1:3">
      <c r="A341">
        <v>4990</v>
      </c>
      <c r="B341" t="s">
        <v>2080</v>
      </c>
      <c r="C341" t="s">
        <v>376</v>
      </c>
    </row>
    <row r="342" spans="1:3">
      <c r="A342">
        <v>4995</v>
      </c>
      <c r="B342" t="s">
        <v>2081</v>
      </c>
      <c r="C342" t="s">
        <v>2082</v>
      </c>
    </row>
    <row r="343" spans="1:3">
      <c r="A343">
        <v>5010</v>
      </c>
      <c r="B343" t="s">
        <v>2083</v>
      </c>
      <c r="C343" t="s">
        <v>377</v>
      </c>
    </row>
    <row r="344" spans="1:3">
      <c r="A344">
        <v>5015</v>
      </c>
      <c r="B344" t="s">
        <v>2084</v>
      </c>
      <c r="C344" t="s">
        <v>378</v>
      </c>
    </row>
    <row r="345" spans="1:3">
      <c r="A345">
        <v>5020</v>
      </c>
      <c r="B345" t="s">
        <v>2085</v>
      </c>
      <c r="C345" t="s">
        <v>379</v>
      </c>
    </row>
    <row r="346" spans="1:3">
      <c r="A346">
        <v>5030</v>
      </c>
      <c r="B346" t="s">
        <v>2086</v>
      </c>
      <c r="C346" t="s">
        <v>380</v>
      </c>
    </row>
    <row r="347" spans="1:3">
      <c r="A347">
        <v>5040</v>
      </c>
      <c r="B347" t="s">
        <v>2087</v>
      </c>
      <c r="C347" t="s">
        <v>381</v>
      </c>
    </row>
    <row r="348" spans="1:3">
      <c r="A348">
        <v>5050</v>
      </c>
      <c r="B348" t="s">
        <v>2088</v>
      </c>
      <c r="C348" t="s">
        <v>382</v>
      </c>
    </row>
    <row r="349" spans="1:3">
      <c r="A349">
        <v>5060</v>
      </c>
      <c r="B349" t="s">
        <v>2089</v>
      </c>
      <c r="C349" t="s">
        <v>383</v>
      </c>
    </row>
    <row r="350" spans="1:3">
      <c r="A350">
        <v>5070</v>
      </c>
      <c r="B350" t="s">
        <v>2090</v>
      </c>
      <c r="C350" t="s">
        <v>384</v>
      </c>
    </row>
    <row r="351" spans="1:3">
      <c r="A351">
        <v>5080</v>
      </c>
      <c r="B351" t="s">
        <v>2091</v>
      </c>
      <c r="C351" t="s">
        <v>385</v>
      </c>
    </row>
    <row r="352" spans="1:3">
      <c r="A352">
        <v>5090</v>
      </c>
      <c r="B352" t="s">
        <v>2092</v>
      </c>
      <c r="C352" t="s">
        <v>386</v>
      </c>
    </row>
    <row r="353" spans="1:3">
      <c r="A353">
        <v>5100</v>
      </c>
      <c r="B353" t="s">
        <v>2093</v>
      </c>
      <c r="C353" t="s">
        <v>387</v>
      </c>
    </row>
    <row r="354" spans="1:3">
      <c r="A354">
        <v>5105</v>
      </c>
      <c r="B354" t="s">
        <v>2094</v>
      </c>
      <c r="C354" t="s">
        <v>388</v>
      </c>
    </row>
    <row r="355" spans="1:3">
      <c r="A355">
        <v>5106</v>
      </c>
      <c r="B355" t="s">
        <v>2095</v>
      </c>
      <c r="C355" t="s">
        <v>389</v>
      </c>
    </row>
    <row r="356" spans="1:3">
      <c r="A356">
        <v>5110</v>
      </c>
      <c r="B356" t="s">
        <v>2096</v>
      </c>
      <c r="C356" t="s">
        <v>390</v>
      </c>
    </row>
    <row r="357" spans="1:3">
      <c r="A357">
        <v>5115</v>
      </c>
      <c r="B357" t="s">
        <v>2097</v>
      </c>
      <c r="C357" t="s">
        <v>391</v>
      </c>
    </row>
    <row r="358" spans="1:3">
      <c r="A358">
        <v>5120</v>
      </c>
      <c r="B358" t="s">
        <v>2098</v>
      </c>
      <c r="C358" t="s">
        <v>392</v>
      </c>
    </row>
    <row r="359" spans="1:3">
      <c r="A359">
        <v>5125</v>
      </c>
      <c r="B359" t="s">
        <v>2099</v>
      </c>
      <c r="C359" t="s">
        <v>393</v>
      </c>
    </row>
    <row r="360" spans="1:3">
      <c r="A360">
        <v>5130</v>
      </c>
      <c r="B360" t="s">
        <v>2100</v>
      </c>
      <c r="C360" t="s">
        <v>394</v>
      </c>
    </row>
    <row r="361" spans="1:3">
      <c r="A361">
        <v>5131</v>
      </c>
      <c r="B361" t="s">
        <v>2101</v>
      </c>
      <c r="C361" t="s">
        <v>395</v>
      </c>
    </row>
    <row r="362" spans="1:3">
      <c r="A362">
        <v>5135</v>
      </c>
      <c r="B362" t="s">
        <v>2102</v>
      </c>
      <c r="C362" t="s">
        <v>396</v>
      </c>
    </row>
    <row r="363" spans="1:3">
      <c r="A363">
        <v>5140</v>
      </c>
      <c r="B363" t="s">
        <v>2103</v>
      </c>
      <c r="C363" t="s">
        <v>397</v>
      </c>
    </row>
    <row r="364" spans="1:3">
      <c r="A364">
        <v>5141</v>
      </c>
      <c r="B364" t="s">
        <v>2104</v>
      </c>
      <c r="C364" t="s">
        <v>398</v>
      </c>
    </row>
    <row r="365" spans="1:3">
      <c r="A365">
        <v>5160</v>
      </c>
      <c r="B365" t="s">
        <v>2105</v>
      </c>
      <c r="C365" t="s">
        <v>399</v>
      </c>
    </row>
    <row r="366" spans="1:3">
      <c r="A366">
        <v>5170</v>
      </c>
      <c r="B366" t="s">
        <v>2106</v>
      </c>
      <c r="C366" t="s">
        <v>400</v>
      </c>
    </row>
    <row r="367" spans="1:3">
      <c r="A367">
        <v>5180</v>
      </c>
      <c r="B367" t="s">
        <v>2107</v>
      </c>
      <c r="C367" t="s">
        <v>401</v>
      </c>
    </row>
    <row r="368" spans="1:3">
      <c r="A368">
        <v>5190</v>
      </c>
      <c r="B368" t="s">
        <v>2108</v>
      </c>
      <c r="C368" t="s">
        <v>402</v>
      </c>
    </row>
    <row r="369" spans="1:3">
      <c r="A369">
        <v>5195</v>
      </c>
      <c r="B369" t="s">
        <v>2109</v>
      </c>
      <c r="C369" t="s">
        <v>403</v>
      </c>
    </row>
    <row r="370" spans="1:3">
      <c r="A370">
        <v>5200</v>
      </c>
      <c r="B370" t="s">
        <v>2110</v>
      </c>
      <c r="C370" t="s">
        <v>404</v>
      </c>
    </row>
    <row r="371" spans="1:3">
      <c r="A371">
        <v>5205</v>
      </c>
      <c r="B371" t="s">
        <v>2111</v>
      </c>
      <c r="C371" t="s">
        <v>405</v>
      </c>
    </row>
    <row r="372" spans="1:3">
      <c r="A372">
        <v>5210</v>
      </c>
      <c r="B372" t="s">
        <v>2112</v>
      </c>
      <c r="C372" t="s">
        <v>406</v>
      </c>
    </row>
    <row r="373" spans="1:3">
      <c r="A373">
        <v>5220</v>
      </c>
      <c r="B373" t="s">
        <v>2113</v>
      </c>
      <c r="C373" t="s">
        <v>407</v>
      </c>
    </row>
    <row r="374" spans="1:3">
      <c r="A374">
        <v>5230</v>
      </c>
      <c r="B374" t="s">
        <v>2114</v>
      </c>
      <c r="C374" t="s">
        <v>408</v>
      </c>
    </row>
    <row r="375" spans="1:3">
      <c r="A375">
        <v>5240</v>
      </c>
      <c r="B375" t="s">
        <v>2115</v>
      </c>
      <c r="C375" t="s">
        <v>409</v>
      </c>
    </row>
    <row r="376" spans="1:3">
      <c r="A376">
        <v>5250</v>
      </c>
      <c r="B376" t="s">
        <v>2116</v>
      </c>
      <c r="C376" t="s">
        <v>410</v>
      </c>
    </row>
    <row r="377" spans="1:3">
      <c r="A377">
        <v>5255</v>
      </c>
      <c r="B377" t="s">
        <v>2117</v>
      </c>
      <c r="C377" t="s">
        <v>1261</v>
      </c>
    </row>
    <row r="378" spans="1:3">
      <c r="A378">
        <v>5260</v>
      </c>
      <c r="B378" t="s">
        <v>2118</v>
      </c>
      <c r="C378" t="s">
        <v>411</v>
      </c>
    </row>
    <row r="379" spans="1:3">
      <c r="A379">
        <v>5270</v>
      </c>
      <c r="B379" t="s">
        <v>2119</v>
      </c>
      <c r="C379" t="s">
        <v>412</v>
      </c>
    </row>
    <row r="380" spans="1:3">
      <c r="A380">
        <v>5280</v>
      </c>
      <c r="B380" t="s">
        <v>2120</v>
      </c>
      <c r="C380" t="s">
        <v>413</v>
      </c>
    </row>
    <row r="381" spans="1:3">
      <c r="A381">
        <v>5285</v>
      </c>
      <c r="B381" t="s">
        <v>2121</v>
      </c>
      <c r="C381" t="s">
        <v>414</v>
      </c>
    </row>
    <row r="382" spans="1:3">
      <c r="A382">
        <v>5286</v>
      </c>
      <c r="B382" t="s">
        <v>2122</v>
      </c>
      <c r="C382" t="s">
        <v>415</v>
      </c>
    </row>
    <row r="383" spans="1:3">
      <c r="A383">
        <v>5301</v>
      </c>
      <c r="B383" t="s">
        <v>2123</v>
      </c>
      <c r="C383" t="s">
        <v>416</v>
      </c>
    </row>
    <row r="384" spans="1:3">
      <c r="A384">
        <v>5310</v>
      </c>
      <c r="B384" t="s">
        <v>2124</v>
      </c>
      <c r="C384" t="s">
        <v>417</v>
      </c>
    </row>
    <row r="385" spans="1:3">
      <c r="A385">
        <v>5320</v>
      </c>
      <c r="B385" t="s">
        <v>2125</v>
      </c>
      <c r="C385" t="s">
        <v>418</v>
      </c>
    </row>
    <row r="386" spans="1:3">
      <c r="A386">
        <v>5330</v>
      </c>
      <c r="B386" t="s">
        <v>2126</v>
      </c>
      <c r="C386" t="s">
        <v>419</v>
      </c>
    </row>
    <row r="387" spans="1:3">
      <c r="A387">
        <v>5340</v>
      </c>
      <c r="B387" t="s">
        <v>2127</v>
      </c>
      <c r="C387" t="s">
        <v>419</v>
      </c>
    </row>
    <row r="388" spans="1:3">
      <c r="A388">
        <v>5345</v>
      </c>
      <c r="B388" t="s">
        <v>2128</v>
      </c>
      <c r="C388" t="s">
        <v>420</v>
      </c>
    </row>
    <row r="389" spans="1:3">
      <c r="A389">
        <v>5350</v>
      </c>
      <c r="B389" t="s">
        <v>2129</v>
      </c>
      <c r="C389" t="s">
        <v>421</v>
      </c>
    </row>
    <row r="390" spans="1:3">
      <c r="A390">
        <v>5355</v>
      </c>
      <c r="B390" t="s">
        <v>2130</v>
      </c>
      <c r="C390" t="s">
        <v>422</v>
      </c>
    </row>
    <row r="391" spans="1:3">
      <c r="A391">
        <v>5360</v>
      </c>
      <c r="B391" t="s">
        <v>2131</v>
      </c>
      <c r="C391" t="s">
        <v>423</v>
      </c>
    </row>
    <row r="392" spans="1:3">
      <c r="A392">
        <v>5370</v>
      </c>
      <c r="B392" t="s">
        <v>2132</v>
      </c>
      <c r="C392" t="s">
        <v>424</v>
      </c>
    </row>
    <row r="393" spans="1:3">
      <c r="A393">
        <v>5371</v>
      </c>
      <c r="B393" t="s">
        <v>2133</v>
      </c>
      <c r="C393" t="s">
        <v>2134</v>
      </c>
    </row>
    <row r="394" spans="1:3">
      <c r="A394">
        <v>5380</v>
      </c>
      <c r="B394" t="s">
        <v>2135</v>
      </c>
      <c r="C394" t="s">
        <v>425</v>
      </c>
    </row>
    <row r="395" spans="1:3">
      <c r="A395">
        <v>5401</v>
      </c>
      <c r="B395" t="s">
        <v>2136</v>
      </c>
      <c r="C395" t="s">
        <v>426</v>
      </c>
    </row>
    <row r="396" spans="1:3">
      <c r="A396">
        <v>5402</v>
      </c>
      <c r="B396" t="s">
        <v>2137</v>
      </c>
      <c r="C396" t="s">
        <v>427</v>
      </c>
    </row>
    <row r="397" spans="1:3">
      <c r="A397">
        <v>5403</v>
      </c>
      <c r="B397" t="s">
        <v>2138</v>
      </c>
      <c r="C397" t="s">
        <v>428</v>
      </c>
    </row>
    <row r="398" spans="1:3">
      <c r="A398">
        <v>5420</v>
      </c>
      <c r="B398" t="s">
        <v>2139</v>
      </c>
      <c r="C398" t="s">
        <v>429</v>
      </c>
    </row>
    <row r="399" spans="1:3">
      <c r="A399">
        <v>5430</v>
      </c>
      <c r="B399" t="s">
        <v>2140</v>
      </c>
      <c r="C399" t="s">
        <v>430</v>
      </c>
    </row>
    <row r="400" spans="1:3">
      <c r="A400">
        <v>5440</v>
      </c>
      <c r="B400" t="s">
        <v>2141</v>
      </c>
      <c r="C400" t="s">
        <v>431</v>
      </c>
    </row>
    <row r="401" spans="1:3">
      <c r="A401">
        <v>5450</v>
      </c>
      <c r="B401" t="s">
        <v>2142</v>
      </c>
      <c r="C401" t="s">
        <v>432</v>
      </c>
    </row>
    <row r="402" spans="1:3">
      <c r="A402">
        <v>5455</v>
      </c>
      <c r="B402" t="s">
        <v>2143</v>
      </c>
      <c r="C402" t="s">
        <v>1262</v>
      </c>
    </row>
    <row r="403" spans="1:3">
      <c r="A403">
        <v>5460</v>
      </c>
      <c r="B403" t="s">
        <v>2144</v>
      </c>
      <c r="C403" t="s">
        <v>433</v>
      </c>
    </row>
    <row r="404" spans="1:3">
      <c r="A404">
        <v>5465</v>
      </c>
      <c r="B404" t="s">
        <v>2145</v>
      </c>
      <c r="C404" t="s">
        <v>434</v>
      </c>
    </row>
    <row r="405" spans="1:3">
      <c r="A405">
        <v>5470</v>
      </c>
      <c r="B405" t="s">
        <v>2146</v>
      </c>
      <c r="C405" t="s">
        <v>435</v>
      </c>
    </row>
    <row r="406" spans="1:3">
      <c r="A406">
        <v>5480</v>
      </c>
      <c r="B406" t="s">
        <v>2147</v>
      </c>
      <c r="C406" t="s">
        <v>436</v>
      </c>
    </row>
    <row r="407" spans="1:3">
      <c r="A407">
        <v>5490</v>
      </c>
      <c r="B407" t="s">
        <v>2148</v>
      </c>
      <c r="C407" t="s">
        <v>437</v>
      </c>
    </row>
    <row r="408" spans="1:3">
      <c r="A408">
        <v>5500</v>
      </c>
      <c r="B408" t="s">
        <v>2149</v>
      </c>
      <c r="C408" t="s">
        <v>438</v>
      </c>
    </row>
    <row r="409" spans="1:3">
      <c r="A409">
        <v>5510</v>
      </c>
      <c r="B409" t="s">
        <v>2150</v>
      </c>
      <c r="C409" t="s">
        <v>439</v>
      </c>
    </row>
    <row r="410" spans="1:3">
      <c r="A410">
        <v>5520</v>
      </c>
      <c r="B410" t="s">
        <v>2151</v>
      </c>
      <c r="C410" t="s">
        <v>440</v>
      </c>
    </row>
    <row r="411" spans="1:3">
      <c r="A411">
        <v>5530</v>
      </c>
      <c r="B411" t="s">
        <v>2152</v>
      </c>
      <c r="C411" t="s">
        <v>441</v>
      </c>
    </row>
    <row r="412" spans="1:3">
      <c r="A412">
        <v>5540</v>
      </c>
      <c r="B412" t="s">
        <v>2153</v>
      </c>
      <c r="C412" t="s">
        <v>442</v>
      </c>
    </row>
    <row r="413" spans="1:3">
      <c r="A413">
        <v>5550</v>
      </c>
      <c r="B413" t="s">
        <v>2154</v>
      </c>
      <c r="C413" t="s">
        <v>443</v>
      </c>
    </row>
    <row r="414" spans="1:3">
      <c r="A414">
        <v>5560</v>
      </c>
      <c r="B414" t="s">
        <v>2155</v>
      </c>
      <c r="C414" t="s">
        <v>444</v>
      </c>
    </row>
    <row r="415" spans="1:3">
      <c r="A415">
        <v>5570</v>
      </c>
      <c r="B415" t="s">
        <v>2156</v>
      </c>
      <c r="C415" t="s">
        <v>445</v>
      </c>
    </row>
    <row r="416" spans="1:3">
      <c r="A416">
        <v>5580</v>
      </c>
      <c r="B416" t="s">
        <v>2157</v>
      </c>
      <c r="C416" t="s">
        <v>446</v>
      </c>
    </row>
    <row r="417" spans="1:3">
      <c r="A417">
        <v>5590</v>
      </c>
      <c r="B417" t="s">
        <v>2158</v>
      </c>
      <c r="C417" t="s">
        <v>447</v>
      </c>
    </row>
    <row r="418" spans="1:3">
      <c r="A418">
        <v>5600</v>
      </c>
      <c r="B418" t="s">
        <v>2159</v>
      </c>
      <c r="C418" t="s">
        <v>448</v>
      </c>
    </row>
    <row r="419" spans="1:3">
      <c r="A419">
        <v>5603</v>
      </c>
      <c r="B419" t="s">
        <v>2160</v>
      </c>
      <c r="C419" t="s">
        <v>449</v>
      </c>
    </row>
    <row r="420" spans="1:3">
      <c r="A420">
        <v>5604</v>
      </c>
      <c r="B420" t="s">
        <v>2161</v>
      </c>
      <c r="C420" t="s">
        <v>450</v>
      </c>
    </row>
    <row r="421" spans="1:3">
      <c r="A421">
        <v>5605</v>
      </c>
      <c r="B421" t="s">
        <v>2162</v>
      </c>
      <c r="C421" t="s">
        <v>451</v>
      </c>
    </row>
    <row r="422" spans="1:3">
      <c r="A422">
        <v>5606</v>
      </c>
      <c r="B422" t="s">
        <v>2163</v>
      </c>
      <c r="C422" t="s">
        <v>452</v>
      </c>
    </row>
    <row r="423" spans="1:3">
      <c r="A423">
        <v>5607</v>
      </c>
      <c r="B423" t="s">
        <v>2164</v>
      </c>
      <c r="C423" t="s">
        <v>453</v>
      </c>
    </row>
    <row r="424" spans="1:3">
      <c r="A424">
        <v>5608</v>
      </c>
      <c r="B424" t="s">
        <v>2165</v>
      </c>
      <c r="C424" t="s">
        <v>454</v>
      </c>
    </row>
    <row r="425" spans="1:3">
      <c r="A425">
        <v>5609</v>
      </c>
      <c r="B425" t="s">
        <v>2166</v>
      </c>
      <c r="C425" t="s">
        <v>455</v>
      </c>
    </row>
    <row r="426" spans="1:3">
      <c r="A426">
        <v>5610</v>
      </c>
      <c r="B426" t="s">
        <v>2167</v>
      </c>
      <c r="C426" t="s">
        <v>456</v>
      </c>
    </row>
    <row r="427" spans="1:3">
      <c r="A427">
        <v>5611</v>
      </c>
      <c r="B427" t="s">
        <v>2168</v>
      </c>
      <c r="C427" t="s">
        <v>457</v>
      </c>
    </row>
    <row r="428" spans="1:3">
      <c r="A428">
        <v>5612</v>
      </c>
      <c r="B428" t="s">
        <v>2169</v>
      </c>
      <c r="C428" t="s">
        <v>458</v>
      </c>
    </row>
    <row r="429" spans="1:3">
      <c r="A429">
        <v>5613</v>
      </c>
      <c r="B429" t="s">
        <v>2170</v>
      </c>
      <c r="C429" t="s">
        <v>459</v>
      </c>
    </row>
    <row r="430" spans="1:3">
      <c r="A430">
        <v>5614</v>
      </c>
      <c r="B430" t="s">
        <v>2171</v>
      </c>
      <c r="C430" t="s">
        <v>460</v>
      </c>
    </row>
    <row r="431" spans="1:3">
      <c r="A431">
        <v>5615</v>
      </c>
      <c r="B431" t="s">
        <v>2172</v>
      </c>
      <c r="C431" t="s">
        <v>461</v>
      </c>
    </row>
    <row r="432" spans="1:3">
      <c r="A432">
        <v>5616</v>
      </c>
      <c r="B432" t="s">
        <v>2173</v>
      </c>
      <c r="C432" t="s">
        <v>462</v>
      </c>
    </row>
    <row r="433" spans="1:3">
      <c r="A433">
        <v>5617</v>
      </c>
      <c r="B433" t="s">
        <v>2174</v>
      </c>
      <c r="C433" t="s">
        <v>463</v>
      </c>
    </row>
    <row r="434" spans="1:3">
      <c r="A434">
        <v>5618</v>
      </c>
      <c r="B434" t="s">
        <v>2175</v>
      </c>
      <c r="C434" t="s">
        <v>464</v>
      </c>
    </row>
    <row r="435" spans="1:3">
      <c r="A435">
        <v>5620</v>
      </c>
      <c r="B435" t="s">
        <v>2176</v>
      </c>
      <c r="C435" t="s">
        <v>465</v>
      </c>
    </row>
    <row r="436" spans="1:3">
      <c r="A436">
        <v>5625</v>
      </c>
      <c r="B436" t="s">
        <v>2177</v>
      </c>
      <c r="C436" t="s">
        <v>466</v>
      </c>
    </row>
    <row r="437" spans="1:3">
      <c r="A437">
        <v>5626</v>
      </c>
      <c r="B437" t="s">
        <v>2178</v>
      </c>
      <c r="C437" t="s">
        <v>467</v>
      </c>
    </row>
    <row r="438" spans="1:3">
      <c r="A438">
        <v>5630</v>
      </c>
      <c r="B438" t="s">
        <v>2179</v>
      </c>
      <c r="C438" t="s">
        <v>2180</v>
      </c>
    </row>
    <row r="439" spans="1:3">
      <c r="A439">
        <v>5650</v>
      </c>
      <c r="B439" t="s">
        <v>2181</v>
      </c>
      <c r="C439" t="s">
        <v>468</v>
      </c>
    </row>
    <row r="440" spans="1:3">
      <c r="A440">
        <v>5700</v>
      </c>
      <c r="B440" t="s">
        <v>2182</v>
      </c>
      <c r="C440" t="s">
        <v>469</v>
      </c>
    </row>
    <row r="441" spans="1:3">
      <c r="A441">
        <v>5720</v>
      </c>
      <c r="B441" t="s">
        <v>2183</v>
      </c>
      <c r="C441" t="s">
        <v>470</v>
      </c>
    </row>
    <row r="442" spans="1:3">
      <c r="A442">
        <v>5725</v>
      </c>
      <c r="B442" t="s">
        <v>2184</v>
      </c>
      <c r="C442" t="s">
        <v>471</v>
      </c>
    </row>
    <row r="443" spans="1:3">
      <c r="A443">
        <v>5730</v>
      </c>
      <c r="B443" t="s">
        <v>2185</v>
      </c>
      <c r="C443" t="s">
        <v>472</v>
      </c>
    </row>
    <row r="444" spans="1:3">
      <c r="A444">
        <v>5740</v>
      </c>
      <c r="B444" t="s">
        <v>2186</v>
      </c>
      <c r="C444" t="s">
        <v>473</v>
      </c>
    </row>
    <row r="445" spans="1:3">
      <c r="A445">
        <v>5750</v>
      </c>
      <c r="B445" t="s">
        <v>2187</v>
      </c>
      <c r="C445" t="s">
        <v>474</v>
      </c>
    </row>
    <row r="446" spans="1:3">
      <c r="A446">
        <v>5760</v>
      </c>
      <c r="B446" t="s">
        <v>2188</v>
      </c>
      <c r="C446" t="s">
        <v>475</v>
      </c>
    </row>
    <row r="447" spans="1:3">
      <c r="A447">
        <v>5770</v>
      </c>
      <c r="B447" t="s">
        <v>2189</v>
      </c>
      <c r="C447" t="s">
        <v>476</v>
      </c>
    </row>
    <row r="448" spans="1:3">
      <c r="A448">
        <v>5772</v>
      </c>
      <c r="B448" t="s">
        <v>2190</v>
      </c>
      <c r="C448" t="s">
        <v>477</v>
      </c>
    </row>
    <row r="449" spans="1:3">
      <c r="A449">
        <v>5780</v>
      </c>
      <c r="B449" t="s">
        <v>2191</v>
      </c>
      <c r="C449" t="s">
        <v>478</v>
      </c>
    </row>
    <row r="450" spans="1:3">
      <c r="A450">
        <v>5785</v>
      </c>
      <c r="B450" t="s">
        <v>2192</v>
      </c>
      <c r="C450" t="s">
        <v>479</v>
      </c>
    </row>
    <row r="451" spans="1:3">
      <c r="A451">
        <v>5786</v>
      </c>
      <c r="B451" t="s">
        <v>2193</v>
      </c>
      <c r="C451" t="s">
        <v>446</v>
      </c>
    </row>
    <row r="452" spans="1:3">
      <c r="A452">
        <v>5787</v>
      </c>
      <c r="B452" t="s">
        <v>2194</v>
      </c>
      <c r="C452" t="s">
        <v>480</v>
      </c>
    </row>
    <row r="453" spans="1:3">
      <c r="A453">
        <v>5788</v>
      </c>
      <c r="B453" t="s">
        <v>2195</v>
      </c>
      <c r="C453" t="s">
        <v>481</v>
      </c>
    </row>
    <row r="454" spans="1:3">
      <c r="A454">
        <v>5789</v>
      </c>
      <c r="B454" t="s">
        <v>2196</v>
      </c>
      <c r="C454" t="s">
        <v>482</v>
      </c>
    </row>
    <row r="455" spans="1:3">
      <c r="A455">
        <v>5790</v>
      </c>
      <c r="B455" t="s">
        <v>2197</v>
      </c>
      <c r="C455" t="s">
        <v>483</v>
      </c>
    </row>
    <row r="456" spans="1:3">
      <c r="A456">
        <v>5791</v>
      </c>
      <c r="B456" t="s">
        <v>2198</v>
      </c>
      <c r="C456" t="s">
        <v>484</v>
      </c>
    </row>
    <row r="457" spans="1:3">
      <c r="A457">
        <v>5792</v>
      </c>
      <c r="B457" t="s">
        <v>2199</v>
      </c>
      <c r="C457" t="s">
        <v>485</v>
      </c>
    </row>
    <row r="458" spans="1:3">
      <c r="A458">
        <v>5800</v>
      </c>
      <c r="B458" t="s">
        <v>2200</v>
      </c>
      <c r="C458" t="s">
        <v>486</v>
      </c>
    </row>
    <row r="459" spans="1:3">
      <c r="A459">
        <v>5805</v>
      </c>
      <c r="B459" t="s">
        <v>2201</v>
      </c>
      <c r="C459" t="s">
        <v>487</v>
      </c>
    </row>
    <row r="460" spans="1:3">
      <c r="A460">
        <v>5810</v>
      </c>
      <c r="B460" t="s">
        <v>2202</v>
      </c>
      <c r="C460" t="s">
        <v>488</v>
      </c>
    </row>
    <row r="461" spans="1:3">
      <c r="A461">
        <v>5811</v>
      </c>
      <c r="B461" t="s">
        <v>2203</v>
      </c>
      <c r="C461" t="s">
        <v>489</v>
      </c>
    </row>
    <row r="462" spans="1:3">
      <c r="A462">
        <v>5815</v>
      </c>
      <c r="B462" t="s">
        <v>2204</v>
      </c>
      <c r="C462" t="s">
        <v>490</v>
      </c>
    </row>
    <row r="463" spans="1:3">
      <c r="A463">
        <v>5820</v>
      </c>
      <c r="B463" t="s">
        <v>2205</v>
      </c>
      <c r="C463" t="s">
        <v>491</v>
      </c>
    </row>
    <row r="464" spans="1:3">
      <c r="A464">
        <v>5830</v>
      </c>
      <c r="B464" t="s">
        <v>2206</v>
      </c>
      <c r="C464" t="s">
        <v>492</v>
      </c>
    </row>
    <row r="465" spans="1:3">
      <c r="A465">
        <v>5840</v>
      </c>
      <c r="B465" t="s">
        <v>2207</v>
      </c>
      <c r="C465" t="s">
        <v>492</v>
      </c>
    </row>
    <row r="466" spans="1:3">
      <c r="A466">
        <v>5850</v>
      </c>
      <c r="B466" t="s">
        <v>2208</v>
      </c>
      <c r="C466" t="s">
        <v>493</v>
      </c>
    </row>
    <row r="467" spans="1:3">
      <c r="A467">
        <v>5860</v>
      </c>
      <c r="B467" t="s">
        <v>2209</v>
      </c>
      <c r="C467" t="s">
        <v>494</v>
      </c>
    </row>
    <row r="468" spans="1:3">
      <c r="A468">
        <v>5865</v>
      </c>
      <c r="B468" t="s">
        <v>2210</v>
      </c>
      <c r="C468" t="s">
        <v>495</v>
      </c>
    </row>
    <row r="469" spans="1:3">
      <c r="A469">
        <v>5870</v>
      </c>
      <c r="B469" t="s">
        <v>2211</v>
      </c>
      <c r="C469" t="s">
        <v>496</v>
      </c>
    </row>
    <row r="470" spans="1:3">
      <c r="A470">
        <v>5880</v>
      </c>
      <c r="B470" t="s">
        <v>2212</v>
      </c>
      <c r="C470" t="s">
        <v>497</v>
      </c>
    </row>
    <row r="471" spans="1:3">
      <c r="A471">
        <v>5890</v>
      </c>
      <c r="B471" t="s">
        <v>2213</v>
      </c>
      <c r="C471" t="s">
        <v>498</v>
      </c>
    </row>
    <row r="472" spans="1:3">
      <c r="A472">
        <v>5900</v>
      </c>
      <c r="B472" t="s">
        <v>2214</v>
      </c>
      <c r="C472" t="s">
        <v>499</v>
      </c>
    </row>
    <row r="473" spans="1:3">
      <c r="A473">
        <v>5910</v>
      </c>
      <c r="B473" t="s">
        <v>2215</v>
      </c>
      <c r="C473" t="s">
        <v>500</v>
      </c>
    </row>
    <row r="474" spans="1:3">
      <c r="A474">
        <v>5920</v>
      </c>
      <c r="B474" t="s">
        <v>2216</v>
      </c>
      <c r="C474" t="s">
        <v>501</v>
      </c>
    </row>
    <row r="475" spans="1:3">
      <c r="A475">
        <v>5930</v>
      </c>
      <c r="B475" t="s">
        <v>2217</v>
      </c>
      <c r="C475" t="s">
        <v>502</v>
      </c>
    </row>
    <row r="476" spans="1:3">
      <c r="A476">
        <v>5940</v>
      </c>
      <c r="B476" t="s">
        <v>2218</v>
      </c>
      <c r="C476" t="s">
        <v>503</v>
      </c>
    </row>
    <row r="477" spans="1:3">
      <c r="A477">
        <v>5950</v>
      </c>
      <c r="B477" t="s">
        <v>2219</v>
      </c>
      <c r="C477" t="s">
        <v>504</v>
      </c>
    </row>
    <row r="478" spans="1:3">
      <c r="A478">
        <v>5960</v>
      </c>
      <c r="B478" t="s">
        <v>2220</v>
      </c>
      <c r="C478" t="s">
        <v>505</v>
      </c>
    </row>
    <row r="479" spans="1:3">
      <c r="A479">
        <v>5965</v>
      </c>
      <c r="B479" t="s">
        <v>2221</v>
      </c>
      <c r="C479" t="s">
        <v>506</v>
      </c>
    </row>
    <row r="480" spans="1:3">
      <c r="A480">
        <v>5970</v>
      </c>
      <c r="B480" t="s">
        <v>2222</v>
      </c>
      <c r="C480" t="s">
        <v>507</v>
      </c>
    </row>
    <row r="481" spans="1:3">
      <c r="A481">
        <v>5975</v>
      </c>
      <c r="B481" t="s">
        <v>2223</v>
      </c>
      <c r="C481" t="s">
        <v>508</v>
      </c>
    </row>
    <row r="482" spans="1:3">
      <c r="A482">
        <v>5980</v>
      </c>
      <c r="B482" t="s">
        <v>2224</v>
      </c>
      <c r="C482" t="s">
        <v>509</v>
      </c>
    </row>
    <row r="483" spans="1:3">
      <c r="A483">
        <v>5990</v>
      </c>
      <c r="B483" t="s">
        <v>2225</v>
      </c>
      <c r="C483" t="s">
        <v>510</v>
      </c>
    </row>
    <row r="484" spans="1:3">
      <c r="A484">
        <v>6000</v>
      </c>
      <c r="B484" t="s">
        <v>2226</v>
      </c>
      <c r="C484" t="s">
        <v>511</v>
      </c>
    </row>
    <row r="485" spans="1:3">
      <c r="A485">
        <v>6010</v>
      </c>
      <c r="B485" t="s">
        <v>2227</v>
      </c>
      <c r="C485" t="s">
        <v>512</v>
      </c>
    </row>
    <row r="486" spans="1:3">
      <c r="A486">
        <v>6020</v>
      </c>
      <c r="B486" t="s">
        <v>2228</v>
      </c>
      <c r="C486" t="s">
        <v>513</v>
      </c>
    </row>
    <row r="487" spans="1:3">
      <c r="A487">
        <v>6025</v>
      </c>
      <c r="B487" t="s">
        <v>2229</v>
      </c>
      <c r="C487" t="s">
        <v>514</v>
      </c>
    </row>
    <row r="488" spans="1:3">
      <c r="A488">
        <v>6030</v>
      </c>
      <c r="B488" t="s">
        <v>2230</v>
      </c>
      <c r="C488" t="s">
        <v>515</v>
      </c>
    </row>
    <row r="489" spans="1:3">
      <c r="A489">
        <v>6031</v>
      </c>
      <c r="B489" t="s">
        <v>2231</v>
      </c>
      <c r="C489" t="s">
        <v>516</v>
      </c>
    </row>
    <row r="490" spans="1:3">
      <c r="A490">
        <v>6032</v>
      </c>
      <c r="B490" t="s">
        <v>2232</v>
      </c>
      <c r="C490" t="s">
        <v>517</v>
      </c>
    </row>
    <row r="491" spans="1:3">
      <c r="A491">
        <v>6033</v>
      </c>
      <c r="B491" t="s">
        <v>2233</v>
      </c>
      <c r="C491" t="s">
        <v>518</v>
      </c>
    </row>
    <row r="492" spans="1:3">
      <c r="A492">
        <v>6034</v>
      </c>
      <c r="B492" t="s">
        <v>2234</v>
      </c>
      <c r="C492" t="s">
        <v>519</v>
      </c>
    </row>
    <row r="493" spans="1:3">
      <c r="A493">
        <v>6040</v>
      </c>
      <c r="B493" t="s">
        <v>2235</v>
      </c>
      <c r="C493" t="s">
        <v>520</v>
      </c>
    </row>
    <row r="494" spans="1:3">
      <c r="A494">
        <v>6045</v>
      </c>
      <c r="B494" t="s">
        <v>2236</v>
      </c>
      <c r="C494" t="s">
        <v>521</v>
      </c>
    </row>
    <row r="495" spans="1:3">
      <c r="A495">
        <v>6050</v>
      </c>
      <c r="B495" t="s">
        <v>2237</v>
      </c>
      <c r="C495" t="s">
        <v>522</v>
      </c>
    </row>
    <row r="496" spans="1:3">
      <c r="A496">
        <v>6060</v>
      </c>
      <c r="B496" t="s">
        <v>2238</v>
      </c>
      <c r="C496" t="s">
        <v>523</v>
      </c>
    </row>
    <row r="497" spans="1:3">
      <c r="A497">
        <v>6070</v>
      </c>
      <c r="B497" t="s">
        <v>2239</v>
      </c>
      <c r="C497" t="s">
        <v>524</v>
      </c>
    </row>
    <row r="498" spans="1:3">
      <c r="A498">
        <v>6080</v>
      </c>
      <c r="B498" t="s">
        <v>2240</v>
      </c>
      <c r="C498" t="s">
        <v>525</v>
      </c>
    </row>
    <row r="499" spans="1:3">
      <c r="A499">
        <v>6090</v>
      </c>
      <c r="B499" t="s">
        <v>2241</v>
      </c>
      <c r="C499" t="s">
        <v>526</v>
      </c>
    </row>
    <row r="500" spans="1:3">
      <c r="A500">
        <v>6100</v>
      </c>
      <c r="B500" t="s">
        <v>2242</v>
      </c>
      <c r="C500" t="s">
        <v>527</v>
      </c>
    </row>
    <row r="501" spans="1:3">
      <c r="A501">
        <v>6110</v>
      </c>
      <c r="B501" t="s">
        <v>2243</v>
      </c>
      <c r="C501" t="s">
        <v>528</v>
      </c>
    </row>
    <row r="502" spans="1:3">
      <c r="A502">
        <v>6112</v>
      </c>
      <c r="B502" t="s">
        <v>2244</v>
      </c>
      <c r="C502" t="s">
        <v>1263</v>
      </c>
    </row>
    <row r="503" spans="1:3">
      <c r="A503">
        <v>6114</v>
      </c>
      <c r="B503" t="s">
        <v>2245</v>
      </c>
      <c r="C503" t="s">
        <v>2246</v>
      </c>
    </row>
    <row r="504" spans="1:3">
      <c r="A504">
        <v>6115</v>
      </c>
      <c r="B504" t="s">
        <v>2247</v>
      </c>
      <c r="C504" t="s">
        <v>2248</v>
      </c>
    </row>
    <row r="505" spans="1:3">
      <c r="A505">
        <v>6120</v>
      </c>
      <c r="B505" t="s">
        <v>2249</v>
      </c>
      <c r="C505" t="s">
        <v>529</v>
      </c>
    </row>
    <row r="506" spans="1:3">
      <c r="A506">
        <v>6130</v>
      </c>
      <c r="B506" t="s">
        <v>2250</v>
      </c>
      <c r="C506" t="s">
        <v>530</v>
      </c>
    </row>
    <row r="507" spans="1:3">
      <c r="A507">
        <v>6140</v>
      </c>
      <c r="B507" t="s">
        <v>2251</v>
      </c>
      <c r="C507" t="s">
        <v>531</v>
      </c>
    </row>
    <row r="508" spans="1:3">
      <c r="A508">
        <v>6150</v>
      </c>
      <c r="B508" t="s">
        <v>2252</v>
      </c>
      <c r="C508" t="s">
        <v>532</v>
      </c>
    </row>
    <row r="509" spans="1:3">
      <c r="A509">
        <v>6160</v>
      </c>
      <c r="B509" t="s">
        <v>2253</v>
      </c>
      <c r="C509" t="s">
        <v>533</v>
      </c>
    </row>
    <row r="510" spans="1:3">
      <c r="A510">
        <v>6170</v>
      </c>
      <c r="B510" t="s">
        <v>2254</v>
      </c>
      <c r="C510" t="s">
        <v>534</v>
      </c>
    </row>
    <row r="511" spans="1:3">
      <c r="A511">
        <v>6175</v>
      </c>
      <c r="B511" t="s">
        <v>2255</v>
      </c>
      <c r="C511" t="s">
        <v>535</v>
      </c>
    </row>
    <row r="512" spans="1:3">
      <c r="A512">
        <v>6180</v>
      </c>
      <c r="B512" t="s">
        <v>2256</v>
      </c>
      <c r="C512" t="s">
        <v>536</v>
      </c>
    </row>
    <row r="513" spans="1:3">
      <c r="A513">
        <v>6185</v>
      </c>
      <c r="B513" t="s">
        <v>2257</v>
      </c>
      <c r="C513" t="s">
        <v>537</v>
      </c>
    </row>
    <row r="514" spans="1:3">
      <c r="A514">
        <v>6190</v>
      </c>
      <c r="B514" t="s">
        <v>2258</v>
      </c>
      <c r="C514" t="s">
        <v>538</v>
      </c>
    </row>
    <row r="515" spans="1:3">
      <c r="A515">
        <v>6200</v>
      </c>
      <c r="B515" t="s">
        <v>2259</v>
      </c>
      <c r="C515" t="s">
        <v>539</v>
      </c>
    </row>
    <row r="516" spans="1:3">
      <c r="A516">
        <v>6210</v>
      </c>
      <c r="B516" t="s">
        <v>2260</v>
      </c>
      <c r="C516" t="s">
        <v>540</v>
      </c>
    </row>
    <row r="517" spans="1:3">
      <c r="A517">
        <v>6220</v>
      </c>
      <c r="B517" t="s">
        <v>2261</v>
      </c>
      <c r="C517" t="s">
        <v>541</v>
      </c>
    </row>
    <row r="518" spans="1:3">
      <c r="A518">
        <v>6230</v>
      </c>
      <c r="B518" t="s">
        <v>2262</v>
      </c>
      <c r="C518" t="s">
        <v>542</v>
      </c>
    </row>
    <row r="519" spans="1:3">
      <c r="A519">
        <v>6240</v>
      </c>
      <c r="B519" t="s">
        <v>2263</v>
      </c>
      <c r="C519" t="s">
        <v>543</v>
      </c>
    </row>
    <row r="520" spans="1:3">
      <c r="A520">
        <v>6250</v>
      </c>
      <c r="B520" t="s">
        <v>2264</v>
      </c>
      <c r="C520" t="s">
        <v>544</v>
      </c>
    </row>
    <row r="521" spans="1:3">
      <c r="A521">
        <v>6260</v>
      </c>
      <c r="B521" t="s">
        <v>2265</v>
      </c>
      <c r="C521" t="s">
        <v>545</v>
      </c>
    </row>
    <row r="522" spans="1:3">
      <c r="A522">
        <v>6270</v>
      </c>
      <c r="B522" t="s">
        <v>2266</v>
      </c>
      <c r="C522" t="s">
        <v>546</v>
      </c>
    </row>
    <row r="523" spans="1:3">
      <c r="A523">
        <v>6280</v>
      </c>
      <c r="B523" t="s">
        <v>2267</v>
      </c>
      <c r="C523" t="s">
        <v>547</v>
      </c>
    </row>
    <row r="524" spans="1:3">
      <c r="A524">
        <v>6290</v>
      </c>
      <c r="B524" t="s">
        <v>2268</v>
      </c>
      <c r="C524" t="s">
        <v>548</v>
      </c>
    </row>
    <row r="525" spans="1:3">
      <c r="A525">
        <v>6300</v>
      </c>
      <c r="B525" t="s">
        <v>2269</v>
      </c>
      <c r="C525" t="s">
        <v>549</v>
      </c>
    </row>
    <row r="526" spans="1:3">
      <c r="A526">
        <v>6310</v>
      </c>
      <c r="B526" t="s">
        <v>2270</v>
      </c>
      <c r="C526" t="s">
        <v>550</v>
      </c>
    </row>
    <row r="527" spans="1:3">
      <c r="A527">
        <v>6320</v>
      </c>
      <c r="B527" t="s">
        <v>2271</v>
      </c>
      <c r="C527" t="s">
        <v>551</v>
      </c>
    </row>
    <row r="528" spans="1:3">
      <c r="A528">
        <v>6330</v>
      </c>
      <c r="B528" t="s">
        <v>2272</v>
      </c>
      <c r="C528" t="s">
        <v>552</v>
      </c>
    </row>
    <row r="529" spans="1:3">
      <c r="A529">
        <v>6340</v>
      </c>
      <c r="B529" t="s">
        <v>2273</v>
      </c>
      <c r="C529" t="s">
        <v>553</v>
      </c>
    </row>
    <row r="530" spans="1:3">
      <c r="A530">
        <v>6350</v>
      </c>
      <c r="B530" t="s">
        <v>2274</v>
      </c>
      <c r="C530" t="s">
        <v>554</v>
      </c>
    </row>
    <row r="531" spans="1:3">
      <c r="A531">
        <v>6360</v>
      </c>
      <c r="B531" t="s">
        <v>2275</v>
      </c>
      <c r="C531" t="s">
        <v>555</v>
      </c>
    </row>
    <row r="532" spans="1:3">
      <c r="A532">
        <v>6370</v>
      </c>
      <c r="B532" t="s">
        <v>2276</v>
      </c>
      <c r="C532" t="s">
        <v>556</v>
      </c>
    </row>
    <row r="533" spans="1:3">
      <c r="A533">
        <v>6380</v>
      </c>
      <c r="B533" t="s">
        <v>2277</v>
      </c>
      <c r="C533" t="s">
        <v>557</v>
      </c>
    </row>
    <row r="534" spans="1:3">
      <c r="A534">
        <v>6390</v>
      </c>
      <c r="B534" t="s">
        <v>2278</v>
      </c>
      <c r="C534" t="s">
        <v>558</v>
      </c>
    </row>
    <row r="535" spans="1:3">
      <c r="A535">
        <v>6400</v>
      </c>
      <c r="B535" t="s">
        <v>2279</v>
      </c>
      <c r="C535" t="s">
        <v>559</v>
      </c>
    </row>
    <row r="536" spans="1:3">
      <c r="A536">
        <v>6410</v>
      </c>
      <c r="B536" t="s">
        <v>2280</v>
      </c>
      <c r="C536" t="s">
        <v>560</v>
      </c>
    </row>
    <row r="537" spans="1:3">
      <c r="A537">
        <v>6420</v>
      </c>
      <c r="B537" t="s">
        <v>2281</v>
      </c>
      <c r="C537" t="s">
        <v>561</v>
      </c>
    </row>
    <row r="538" spans="1:3">
      <c r="A538">
        <v>6430</v>
      </c>
      <c r="B538" t="s">
        <v>2282</v>
      </c>
      <c r="C538" t="s">
        <v>562</v>
      </c>
    </row>
    <row r="539" spans="1:3">
      <c r="A539">
        <v>6440</v>
      </c>
      <c r="B539" t="s">
        <v>2283</v>
      </c>
      <c r="C539" t="s">
        <v>563</v>
      </c>
    </row>
    <row r="540" spans="1:3">
      <c r="A540">
        <v>6450</v>
      </c>
      <c r="B540" t="s">
        <v>2284</v>
      </c>
      <c r="C540" t="s">
        <v>564</v>
      </c>
    </row>
    <row r="541" spans="1:3">
      <c r="A541">
        <v>6460</v>
      </c>
      <c r="B541" t="s">
        <v>2285</v>
      </c>
      <c r="C541" t="s">
        <v>565</v>
      </c>
    </row>
    <row r="542" spans="1:3">
      <c r="A542">
        <v>6470</v>
      </c>
      <c r="B542" t="s">
        <v>2286</v>
      </c>
      <c r="C542" t="s">
        <v>566</v>
      </c>
    </row>
    <row r="543" spans="1:3">
      <c r="A543">
        <v>6480</v>
      </c>
      <c r="B543" t="s">
        <v>2287</v>
      </c>
      <c r="C543" t="s">
        <v>567</v>
      </c>
    </row>
    <row r="544" spans="1:3">
      <c r="A544">
        <v>6490</v>
      </c>
      <c r="B544" t="s">
        <v>2288</v>
      </c>
      <c r="C544" t="s">
        <v>568</v>
      </c>
    </row>
    <row r="545" spans="1:3">
      <c r="A545">
        <v>6500</v>
      </c>
      <c r="B545" t="s">
        <v>2289</v>
      </c>
      <c r="C545" t="s">
        <v>569</v>
      </c>
    </row>
    <row r="546" spans="1:3">
      <c r="A546">
        <v>6510</v>
      </c>
      <c r="B546" t="s">
        <v>2290</v>
      </c>
      <c r="C546" t="s">
        <v>570</v>
      </c>
    </row>
    <row r="547" spans="1:3">
      <c r="A547">
        <v>6520</v>
      </c>
      <c r="B547" t="s">
        <v>2291</v>
      </c>
      <c r="C547" t="s">
        <v>571</v>
      </c>
    </row>
    <row r="548" spans="1:3">
      <c r="A548">
        <v>6530</v>
      </c>
      <c r="B548" t="s">
        <v>2292</v>
      </c>
      <c r="C548" t="s">
        <v>572</v>
      </c>
    </row>
    <row r="549" spans="1:3">
      <c r="A549">
        <v>6540</v>
      </c>
      <c r="B549" t="s">
        <v>2293</v>
      </c>
      <c r="C549" t="s">
        <v>573</v>
      </c>
    </row>
    <row r="550" spans="1:3">
      <c r="A550">
        <v>6550</v>
      </c>
      <c r="B550" t="s">
        <v>2294</v>
      </c>
      <c r="C550" t="s">
        <v>574</v>
      </c>
    </row>
    <row r="551" spans="1:3">
      <c r="A551">
        <v>6560</v>
      </c>
      <c r="B551" t="s">
        <v>2295</v>
      </c>
      <c r="C551" t="s">
        <v>575</v>
      </c>
    </row>
    <row r="552" spans="1:3">
      <c r="A552">
        <v>6570</v>
      </c>
      <c r="B552" t="s">
        <v>2296</v>
      </c>
      <c r="C552" t="s">
        <v>576</v>
      </c>
    </row>
    <row r="553" spans="1:3">
      <c r="A553">
        <v>6580</v>
      </c>
      <c r="B553" t="s">
        <v>2297</v>
      </c>
      <c r="C553" t="s">
        <v>577</v>
      </c>
    </row>
    <row r="554" spans="1:3">
      <c r="A554">
        <v>6590</v>
      </c>
      <c r="B554" t="s">
        <v>2298</v>
      </c>
      <c r="C554" t="s">
        <v>578</v>
      </c>
    </row>
    <row r="555" spans="1:3">
      <c r="A555">
        <v>6600</v>
      </c>
      <c r="B555" t="s">
        <v>2299</v>
      </c>
      <c r="C555" t="s">
        <v>579</v>
      </c>
    </row>
    <row r="556" spans="1:3">
      <c r="A556">
        <v>6610</v>
      </c>
      <c r="B556" t="s">
        <v>2300</v>
      </c>
      <c r="C556" t="s">
        <v>580</v>
      </c>
    </row>
    <row r="557" spans="1:3">
      <c r="A557">
        <v>6620</v>
      </c>
      <c r="B557" t="s">
        <v>2301</v>
      </c>
      <c r="C557" t="s">
        <v>581</v>
      </c>
    </row>
    <row r="558" spans="1:3">
      <c r="A558">
        <v>6630</v>
      </c>
      <c r="B558" t="s">
        <v>2302</v>
      </c>
      <c r="C558" t="s">
        <v>582</v>
      </c>
    </row>
    <row r="559" spans="1:3">
      <c r="A559">
        <v>6640</v>
      </c>
      <c r="B559" t="s">
        <v>2303</v>
      </c>
      <c r="C559" t="s">
        <v>583</v>
      </c>
    </row>
    <row r="560" spans="1:3">
      <c r="A560">
        <v>6650</v>
      </c>
      <c r="B560" t="s">
        <v>2304</v>
      </c>
      <c r="C560" t="s">
        <v>584</v>
      </c>
    </row>
    <row r="561" spans="1:3">
      <c r="A561">
        <v>6660</v>
      </c>
      <c r="B561" t="s">
        <v>2305</v>
      </c>
      <c r="C561" t="s">
        <v>585</v>
      </c>
    </row>
    <row r="562" spans="1:3">
      <c r="A562">
        <v>6670</v>
      </c>
      <c r="B562" t="s">
        <v>2306</v>
      </c>
      <c r="C562" t="s">
        <v>586</v>
      </c>
    </row>
    <row r="563" spans="1:3">
      <c r="A563">
        <v>6680</v>
      </c>
      <c r="B563" t="s">
        <v>2307</v>
      </c>
      <c r="C563" t="s">
        <v>587</v>
      </c>
    </row>
    <row r="564" spans="1:3">
      <c r="A564">
        <v>6690</v>
      </c>
      <c r="B564" t="s">
        <v>2308</v>
      </c>
      <c r="C564" t="s">
        <v>588</v>
      </c>
    </row>
    <row r="565" spans="1:3">
      <c r="A565">
        <v>6700</v>
      </c>
      <c r="B565" t="s">
        <v>2309</v>
      </c>
      <c r="C565" t="s">
        <v>589</v>
      </c>
    </row>
    <row r="566" spans="1:3">
      <c r="A566">
        <v>6710</v>
      </c>
      <c r="B566" t="s">
        <v>2310</v>
      </c>
      <c r="C566" t="s">
        <v>590</v>
      </c>
    </row>
    <row r="567" spans="1:3">
      <c r="A567">
        <v>6715</v>
      </c>
      <c r="B567" t="s">
        <v>2311</v>
      </c>
      <c r="C567" t="s">
        <v>591</v>
      </c>
    </row>
    <row r="568" spans="1:3">
      <c r="A568">
        <v>6720</v>
      </c>
      <c r="B568" t="s">
        <v>2312</v>
      </c>
      <c r="C568" t="s">
        <v>592</v>
      </c>
    </row>
    <row r="569" spans="1:3">
      <c r="A569">
        <v>6730</v>
      </c>
      <c r="B569" t="s">
        <v>2313</v>
      </c>
      <c r="C569" t="s">
        <v>593</v>
      </c>
    </row>
    <row r="570" spans="1:3">
      <c r="A570">
        <v>6740</v>
      </c>
      <c r="B570" t="s">
        <v>2314</v>
      </c>
      <c r="C570" t="s">
        <v>594</v>
      </c>
    </row>
    <row r="571" spans="1:3">
      <c r="A571">
        <v>6750</v>
      </c>
      <c r="B571" t="s">
        <v>2315</v>
      </c>
      <c r="C571" t="s">
        <v>595</v>
      </c>
    </row>
    <row r="572" spans="1:3">
      <c r="A572">
        <v>6760</v>
      </c>
      <c r="B572" t="s">
        <v>2316</v>
      </c>
      <c r="C572" t="s">
        <v>596</v>
      </c>
    </row>
    <row r="573" spans="1:3">
      <c r="A573">
        <v>6770</v>
      </c>
      <c r="B573" t="s">
        <v>2317</v>
      </c>
      <c r="C573" t="s">
        <v>597</v>
      </c>
    </row>
    <row r="574" spans="1:3">
      <c r="A574">
        <v>6780</v>
      </c>
      <c r="B574" t="s">
        <v>2318</v>
      </c>
      <c r="C574" t="s">
        <v>598</v>
      </c>
    </row>
    <row r="575" spans="1:3">
      <c r="A575">
        <v>6781</v>
      </c>
      <c r="B575" t="s">
        <v>2319</v>
      </c>
      <c r="C575" t="s">
        <v>599</v>
      </c>
    </row>
    <row r="576" spans="1:3">
      <c r="A576">
        <v>6782</v>
      </c>
      <c r="B576" t="s">
        <v>2320</v>
      </c>
      <c r="C576" t="s">
        <v>600</v>
      </c>
    </row>
    <row r="577" spans="1:3">
      <c r="A577">
        <v>6783</v>
      </c>
      <c r="B577" t="s">
        <v>2321</v>
      </c>
      <c r="C577" t="s">
        <v>601</v>
      </c>
    </row>
    <row r="578" spans="1:3">
      <c r="A578">
        <v>6784</v>
      </c>
      <c r="B578" t="s">
        <v>2322</v>
      </c>
      <c r="C578" t="s">
        <v>602</v>
      </c>
    </row>
    <row r="579" spans="1:3">
      <c r="A579">
        <v>6785</v>
      </c>
      <c r="B579" t="s">
        <v>2323</v>
      </c>
      <c r="C579" t="s">
        <v>603</v>
      </c>
    </row>
    <row r="580" spans="1:3">
      <c r="A580">
        <v>6786</v>
      </c>
      <c r="B580" t="s">
        <v>2324</v>
      </c>
      <c r="C580" t="s">
        <v>604</v>
      </c>
    </row>
    <row r="581" spans="1:3">
      <c r="A581">
        <v>6790</v>
      </c>
      <c r="B581" t="s">
        <v>2325</v>
      </c>
      <c r="C581" t="s">
        <v>605</v>
      </c>
    </row>
    <row r="582" spans="1:3">
      <c r="A582">
        <v>6791</v>
      </c>
      <c r="B582" t="s">
        <v>2326</v>
      </c>
      <c r="C582" t="s">
        <v>606</v>
      </c>
    </row>
    <row r="583" spans="1:3">
      <c r="A583">
        <v>6792</v>
      </c>
      <c r="B583" t="s">
        <v>2327</v>
      </c>
      <c r="C583" t="s">
        <v>607</v>
      </c>
    </row>
    <row r="584" spans="1:3">
      <c r="A584">
        <v>6793</v>
      </c>
      <c r="B584" t="s">
        <v>2328</v>
      </c>
      <c r="C584" t="s">
        <v>608</v>
      </c>
    </row>
    <row r="585" spans="1:3">
      <c r="A585">
        <v>6794</v>
      </c>
      <c r="B585" t="s">
        <v>2329</v>
      </c>
      <c r="C585" t="s">
        <v>609</v>
      </c>
    </row>
    <row r="586" spans="1:3">
      <c r="A586">
        <v>6795</v>
      </c>
      <c r="B586" t="s">
        <v>2330</v>
      </c>
      <c r="C586" t="s">
        <v>610</v>
      </c>
    </row>
    <row r="587" spans="1:3">
      <c r="A587">
        <v>6796</v>
      </c>
      <c r="B587" t="s">
        <v>2331</v>
      </c>
      <c r="C587" t="s">
        <v>611</v>
      </c>
    </row>
    <row r="588" spans="1:3">
      <c r="A588">
        <v>6800</v>
      </c>
      <c r="B588" t="s">
        <v>2332</v>
      </c>
      <c r="C588" t="s">
        <v>612</v>
      </c>
    </row>
    <row r="589" spans="1:3">
      <c r="A589">
        <v>6805</v>
      </c>
      <c r="B589" t="s">
        <v>2333</v>
      </c>
      <c r="C589" t="s">
        <v>613</v>
      </c>
    </row>
    <row r="590" spans="1:3">
      <c r="A590">
        <v>6810</v>
      </c>
      <c r="B590" t="s">
        <v>2334</v>
      </c>
      <c r="C590" t="s">
        <v>614</v>
      </c>
    </row>
    <row r="591" spans="1:3">
      <c r="A591">
        <v>6815</v>
      </c>
      <c r="B591" t="s">
        <v>2335</v>
      </c>
      <c r="C591" t="s">
        <v>1264</v>
      </c>
    </row>
    <row r="592" spans="1:3">
      <c r="A592">
        <v>6820</v>
      </c>
      <c r="B592" t="s">
        <v>2336</v>
      </c>
      <c r="C592" t="s">
        <v>615</v>
      </c>
    </row>
    <row r="593" spans="1:3">
      <c r="A593">
        <v>6830</v>
      </c>
      <c r="B593" t="s">
        <v>2337</v>
      </c>
      <c r="C593" t="s">
        <v>616</v>
      </c>
    </row>
    <row r="594" spans="1:3">
      <c r="A594">
        <v>6840</v>
      </c>
      <c r="B594" t="s">
        <v>2338</v>
      </c>
      <c r="C594" t="s">
        <v>617</v>
      </c>
    </row>
    <row r="595" spans="1:3">
      <c r="A595">
        <v>6850</v>
      </c>
      <c r="B595" t="s">
        <v>2339</v>
      </c>
      <c r="C595" t="s">
        <v>618</v>
      </c>
    </row>
    <row r="596" spans="1:3">
      <c r="A596">
        <v>6860</v>
      </c>
      <c r="B596" t="s">
        <v>2340</v>
      </c>
      <c r="C596" t="s">
        <v>619</v>
      </c>
    </row>
    <row r="597" spans="1:3">
      <c r="A597">
        <v>6870</v>
      </c>
      <c r="B597" t="s">
        <v>2341</v>
      </c>
      <c r="C597" t="s">
        <v>620</v>
      </c>
    </row>
    <row r="598" spans="1:3">
      <c r="A598">
        <v>6875</v>
      </c>
      <c r="B598" t="s">
        <v>2342</v>
      </c>
      <c r="C598" t="s">
        <v>621</v>
      </c>
    </row>
    <row r="599" spans="1:3">
      <c r="A599">
        <v>6876</v>
      </c>
      <c r="B599" t="s">
        <v>2343</v>
      </c>
      <c r="C599" t="s">
        <v>622</v>
      </c>
    </row>
    <row r="600" spans="1:3">
      <c r="A600">
        <v>6877</v>
      </c>
      <c r="B600" t="s">
        <v>2344</v>
      </c>
      <c r="C600" t="s">
        <v>623</v>
      </c>
    </row>
    <row r="601" spans="1:3">
      <c r="A601">
        <v>6879</v>
      </c>
      <c r="B601" t="s">
        <v>2345</v>
      </c>
      <c r="C601" t="s">
        <v>624</v>
      </c>
    </row>
    <row r="602" spans="1:3">
      <c r="A602">
        <v>6880</v>
      </c>
      <c r="B602" t="s">
        <v>2346</v>
      </c>
      <c r="C602" t="s">
        <v>625</v>
      </c>
    </row>
    <row r="603" spans="1:3">
      <c r="A603">
        <v>6881</v>
      </c>
      <c r="B603" t="s">
        <v>2347</v>
      </c>
      <c r="C603" t="s">
        <v>626</v>
      </c>
    </row>
    <row r="604" spans="1:3">
      <c r="A604">
        <v>6890</v>
      </c>
      <c r="B604" t="s">
        <v>2348</v>
      </c>
      <c r="C604" t="s">
        <v>627</v>
      </c>
    </row>
    <row r="605" spans="1:3">
      <c r="A605">
        <v>6900</v>
      </c>
      <c r="B605" t="s">
        <v>2349</v>
      </c>
      <c r="C605" t="s">
        <v>628</v>
      </c>
    </row>
    <row r="606" spans="1:3">
      <c r="A606">
        <v>6910</v>
      </c>
      <c r="B606" t="s">
        <v>2350</v>
      </c>
      <c r="C606" t="s">
        <v>629</v>
      </c>
    </row>
    <row r="607" spans="1:3">
      <c r="A607">
        <v>6920</v>
      </c>
      <c r="B607" t="s">
        <v>2351</v>
      </c>
      <c r="C607" t="s">
        <v>630</v>
      </c>
    </row>
    <row r="608" spans="1:3">
      <c r="A608">
        <v>6930</v>
      </c>
      <c r="B608" t="s">
        <v>2352</v>
      </c>
      <c r="C608" t="s">
        <v>631</v>
      </c>
    </row>
    <row r="609" spans="1:3">
      <c r="A609">
        <v>6940</v>
      </c>
      <c r="B609" t="s">
        <v>2353</v>
      </c>
      <c r="C609" t="s">
        <v>632</v>
      </c>
    </row>
    <row r="610" spans="1:3">
      <c r="A610">
        <v>6950</v>
      </c>
      <c r="B610" t="s">
        <v>2354</v>
      </c>
      <c r="C610" t="s">
        <v>633</v>
      </c>
    </row>
    <row r="611" spans="1:3">
      <c r="A611">
        <v>6960</v>
      </c>
      <c r="B611" t="s">
        <v>2355</v>
      </c>
      <c r="C611" t="s">
        <v>634</v>
      </c>
    </row>
    <row r="612" spans="1:3">
      <c r="A612">
        <v>6970</v>
      </c>
      <c r="B612" t="s">
        <v>2356</v>
      </c>
      <c r="C612" t="s">
        <v>635</v>
      </c>
    </row>
    <row r="613" spans="1:3">
      <c r="A613">
        <v>6973</v>
      </c>
      <c r="B613" t="s">
        <v>2357</v>
      </c>
      <c r="C613" t="s">
        <v>636</v>
      </c>
    </row>
    <row r="614" spans="1:3">
      <c r="A614">
        <v>6975</v>
      </c>
      <c r="B614" t="s">
        <v>2358</v>
      </c>
      <c r="C614" t="s">
        <v>637</v>
      </c>
    </row>
    <row r="615" spans="1:3">
      <c r="A615">
        <v>6980</v>
      </c>
      <c r="B615" t="s">
        <v>2359</v>
      </c>
      <c r="C615" t="s">
        <v>638</v>
      </c>
    </row>
    <row r="616" spans="1:3">
      <c r="A616">
        <v>6990</v>
      </c>
      <c r="B616" t="s">
        <v>2360</v>
      </c>
      <c r="C616" t="s">
        <v>639</v>
      </c>
    </row>
    <row r="617" spans="1:3">
      <c r="A617">
        <v>7000</v>
      </c>
      <c r="B617" t="s">
        <v>2361</v>
      </c>
      <c r="C617" t="s">
        <v>640</v>
      </c>
    </row>
    <row r="618" spans="1:3">
      <c r="A618">
        <v>7060</v>
      </c>
      <c r="B618" t="s">
        <v>2362</v>
      </c>
      <c r="C618" t="s">
        <v>641</v>
      </c>
    </row>
    <row r="619" spans="1:3">
      <c r="A619">
        <v>7070</v>
      </c>
      <c r="B619" t="s">
        <v>2363</v>
      </c>
      <c r="C619" t="s">
        <v>642</v>
      </c>
    </row>
    <row r="620" spans="1:3">
      <c r="A620">
        <v>7075</v>
      </c>
      <c r="B620" t="s">
        <v>2364</v>
      </c>
      <c r="C620" t="s">
        <v>2365</v>
      </c>
    </row>
    <row r="621" spans="1:3">
      <c r="A621">
        <v>7080</v>
      </c>
      <c r="B621" t="s">
        <v>2366</v>
      </c>
      <c r="C621" t="s">
        <v>643</v>
      </c>
    </row>
    <row r="622" spans="1:3">
      <c r="A622">
        <v>7090</v>
      </c>
      <c r="B622" t="s">
        <v>2367</v>
      </c>
      <c r="C622" t="s">
        <v>644</v>
      </c>
    </row>
    <row r="623" spans="1:3">
      <c r="A623">
        <v>7110</v>
      </c>
      <c r="B623" t="s">
        <v>2368</v>
      </c>
      <c r="C623" t="s">
        <v>645</v>
      </c>
    </row>
    <row r="624" spans="1:3">
      <c r="A624">
        <v>7120</v>
      </c>
      <c r="B624" t="s">
        <v>2369</v>
      </c>
      <c r="C624" t="s">
        <v>646</v>
      </c>
    </row>
    <row r="625" spans="1:3">
      <c r="A625">
        <v>7125</v>
      </c>
      <c r="B625" t="s">
        <v>2370</v>
      </c>
      <c r="C625" t="s">
        <v>647</v>
      </c>
    </row>
    <row r="626" spans="1:3">
      <c r="A626">
        <v>7130</v>
      </c>
      <c r="B626" t="s">
        <v>2371</v>
      </c>
      <c r="C626" t="s">
        <v>648</v>
      </c>
    </row>
    <row r="627" spans="1:3">
      <c r="A627">
        <v>7135</v>
      </c>
      <c r="B627" t="s">
        <v>2372</v>
      </c>
      <c r="C627" t="s">
        <v>649</v>
      </c>
    </row>
    <row r="628" spans="1:3">
      <c r="A628">
        <v>7140</v>
      </c>
      <c r="B628" t="s">
        <v>2373</v>
      </c>
      <c r="C628" t="s">
        <v>650</v>
      </c>
    </row>
    <row r="629" spans="1:3">
      <c r="A629">
        <v>7145</v>
      </c>
      <c r="B629" t="s">
        <v>2374</v>
      </c>
      <c r="C629" t="s">
        <v>651</v>
      </c>
    </row>
    <row r="630" spans="1:3">
      <c r="A630">
        <v>7150</v>
      </c>
      <c r="B630" t="s">
        <v>2375</v>
      </c>
      <c r="C630" t="s">
        <v>652</v>
      </c>
    </row>
    <row r="631" spans="1:3">
      <c r="A631">
        <v>7160</v>
      </c>
      <c r="B631" t="s">
        <v>2376</v>
      </c>
      <c r="C631" t="s">
        <v>653</v>
      </c>
    </row>
    <row r="632" spans="1:3">
      <c r="A632">
        <v>7170</v>
      </c>
      <c r="B632" t="s">
        <v>2377</v>
      </c>
      <c r="C632" t="s">
        <v>654</v>
      </c>
    </row>
    <row r="633" spans="1:3">
      <c r="A633">
        <v>7180</v>
      </c>
      <c r="B633" t="s">
        <v>2378</v>
      </c>
      <c r="C633" t="s">
        <v>655</v>
      </c>
    </row>
    <row r="634" spans="1:3">
      <c r="A634">
        <v>7200</v>
      </c>
      <c r="B634" t="s">
        <v>2379</v>
      </c>
      <c r="C634" t="s">
        <v>656</v>
      </c>
    </row>
    <row r="635" spans="1:3">
      <c r="A635">
        <v>7210</v>
      </c>
      <c r="B635" t="s">
        <v>2380</v>
      </c>
      <c r="C635" t="s">
        <v>657</v>
      </c>
    </row>
    <row r="636" spans="1:3">
      <c r="A636">
        <v>7213</v>
      </c>
      <c r="B636" t="s">
        <v>2381</v>
      </c>
      <c r="C636" t="s">
        <v>658</v>
      </c>
    </row>
    <row r="637" spans="1:3">
      <c r="A637">
        <v>7215</v>
      </c>
      <c r="B637" t="s">
        <v>2382</v>
      </c>
      <c r="C637" t="s">
        <v>659</v>
      </c>
    </row>
    <row r="638" spans="1:3">
      <c r="A638">
        <v>7220</v>
      </c>
      <c r="B638" t="s">
        <v>2383</v>
      </c>
      <c r="C638" t="s">
        <v>660</v>
      </c>
    </row>
    <row r="639" spans="1:3">
      <c r="A639">
        <v>7230</v>
      </c>
      <c r="B639" t="s">
        <v>2384</v>
      </c>
      <c r="C639" t="s">
        <v>661</v>
      </c>
    </row>
    <row r="640" spans="1:3">
      <c r="A640">
        <v>7240</v>
      </c>
      <c r="B640" t="s">
        <v>2385</v>
      </c>
      <c r="C640" t="s">
        <v>662</v>
      </c>
    </row>
    <row r="641" spans="1:3">
      <c r="A641">
        <v>7250</v>
      </c>
      <c r="B641" t="s">
        <v>2386</v>
      </c>
      <c r="C641" t="s">
        <v>663</v>
      </c>
    </row>
    <row r="642" spans="1:3">
      <c r="A642">
        <v>7260</v>
      </c>
      <c r="B642" t="s">
        <v>2387</v>
      </c>
      <c r="C642" t="s">
        <v>664</v>
      </c>
    </row>
    <row r="643" spans="1:3">
      <c r="A643">
        <v>7505</v>
      </c>
      <c r="B643" t="s">
        <v>2388</v>
      </c>
      <c r="C643" t="s">
        <v>665</v>
      </c>
    </row>
    <row r="644" spans="1:3">
      <c r="A644">
        <v>7510</v>
      </c>
      <c r="B644" t="s">
        <v>2389</v>
      </c>
      <c r="C644" t="s">
        <v>666</v>
      </c>
    </row>
    <row r="645" spans="1:3">
      <c r="A645">
        <v>7515</v>
      </c>
      <c r="B645" t="s">
        <v>2390</v>
      </c>
      <c r="C645" t="s">
        <v>667</v>
      </c>
    </row>
    <row r="646" spans="1:3">
      <c r="A646">
        <v>7520</v>
      </c>
      <c r="B646" t="s">
        <v>2391</v>
      </c>
      <c r="C646" t="s">
        <v>668</v>
      </c>
    </row>
    <row r="647" spans="1:3">
      <c r="A647">
        <v>7525</v>
      </c>
      <c r="B647" t="s">
        <v>2392</v>
      </c>
      <c r="C647" t="s">
        <v>669</v>
      </c>
    </row>
    <row r="648" spans="1:3">
      <c r="A648">
        <v>7528</v>
      </c>
      <c r="B648" t="s">
        <v>2393</v>
      </c>
      <c r="C648" t="s">
        <v>670</v>
      </c>
    </row>
    <row r="649" spans="1:3">
      <c r="A649">
        <v>7530</v>
      </c>
      <c r="B649" t="s">
        <v>2394</v>
      </c>
      <c r="C649" t="s">
        <v>671</v>
      </c>
    </row>
    <row r="650" spans="1:3">
      <c r="A650">
        <v>7535</v>
      </c>
      <c r="B650" t="s">
        <v>2395</v>
      </c>
      <c r="C650" t="s">
        <v>672</v>
      </c>
    </row>
    <row r="651" spans="1:3">
      <c r="A651">
        <v>7537</v>
      </c>
      <c r="B651" t="s">
        <v>2396</v>
      </c>
      <c r="C651" t="s">
        <v>673</v>
      </c>
    </row>
    <row r="652" spans="1:3">
      <c r="A652">
        <v>7538</v>
      </c>
      <c r="B652" t="s">
        <v>2397</v>
      </c>
      <c r="C652" t="s">
        <v>674</v>
      </c>
    </row>
    <row r="653" spans="1:3">
      <c r="A653">
        <v>7540</v>
      </c>
      <c r="B653" t="s">
        <v>2398</v>
      </c>
      <c r="C653" t="s">
        <v>675</v>
      </c>
    </row>
    <row r="654" spans="1:3">
      <c r="A654">
        <v>7545</v>
      </c>
      <c r="B654" t="s">
        <v>2399</v>
      </c>
      <c r="C654" t="s">
        <v>676</v>
      </c>
    </row>
    <row r="655" spans="1:3">
      <c r="A655">
        <v>7550</v>
      </c>
      <c r="B655" t="s">
        <v>2400</v>
      </c>
      <c r="C655" t="s">
        <v>677</v>
      </c>
    </row>
    <row r="656" spans="1:3">
      <c r="A656">
        <v>7555</v>
      </c>
      <c r="B656" t="s">
        <v>2401</v>
      </c>
      <c r="C656" t="s">
        <v>678</v>
      </c>
    </row>
    <row r="657" spans="1:3">
      <c r="A657">
        <v>7556</v>
      </c>
      <c r="B657" t="s">
        <v>2402</v>
      </c>
      <c r="C657" t="s">
        <v>679</v>
      </c>
    </row>
    <row r="658" spans="1:3">
      <c r="A658">
        <v>7557</v>
      </c>
      <c r="B658" t="s">
        <v>2403</v>
      </c>
      <c r="C658" t="s">
        <v>680</v>
      </c>
    </row>
    <row r="659" spans="1:3">
      <c r="A659">
        <v>7558</v>
      </c>
      <c r="B659" t="s">
        <v>2404</v>
      </c>
      <c r="C659" t="s">
        <v>681</v>
      </c>
    </row>
    <row r="660" spans="1:3">
      <c r="A660">
        <v>7559</v>
      </c>
      <c r="B660" t="s">
        <v>2405</v>
      </c>
      <c r="C660" t="s">
        <v>682</v>
      </c>
    </row>
    <row r="661" spans="1:3">
      <c r="A661">
        <v>7560</v>
      </c>
      <c r="B661" t="s">
        <v>2406</v>
      </c>
      <c r="C661" t="s">
        <v>683</v>
      </c>
    </row>
    <row r="662" spans="1:3">
      <c r="A662">
        <v>7561</v>
      </c>
      <c r="B662" t="s">
        <v>2407</v>
      </c>
      <c r="C662" t="s">
        <v>2408</v>
      </c>
    </row>
    <row r="663" spans="1:3">
      <c r="A663">
        <v>7565</v>
      </c>
      <c r="B663" t="s">
        <v>2409</v>
      </c>
      <c r="C663" t="s">
        <v>684</v>
      </c>
    </row>
    <row r="664" spans="1:3">
      <c r="A664">
        <v>7570</v>
      </c>
      <c r="B664" t="s">
        <v>2410</v>
      </c>
      <c r="C664" t="s">
        <v>685</v>
      </c>
    </row>
    <row r="665" spans="1:3">
      <c r="A665">
        <v>7575</v>
      </c>
      <c r="B665" t="s">
        <v>2411</v>
      </c>
      <c r="C665" t="s">
        <v>686</v>
      </c>
    </row>
    <row r="666" spans="1:3">
      <c r="A666">
        <v>7580</v>
      </c>
      <c r="B666" t="s">
        <v>2412</v>
      </c>
      <c r="C666" t="s">
        <v>687</v>
      </c>
    </row>
    <row r="667" spans="1:3">
      <c r="A667">
        <v>7585</v>
      </c>
      <c r="B667" t="s">
        <v>2413</v>
      </c>
      <c r="C667" t="s">
        <v>688</v>
      </c>
    </row>
    <row r="668" spans="1:3">
      <c r="A668">
        <v>7590</v>
      </c>
      <c r="B668" t="s">
        <v>2414</v>
      </c>
      <c r="C668" t="s">
        <v>689</v>
      </c>
    </row>
    <row r="669" spans="1:3">
      <c r="A669">
        <v>7595</v>
      </c>
      <c r="B669" t="s">
        <v>2415</v>
      </c>
      <c r="C669" t="s">
        <v>690</v>
      </c>
    </row>
    <row r="670" spans="1:3">
      <c r="A670">
        <v>7600</v>
      </c>
      <c r="B670" t="s">
        <v>2416</v>
      </c>
      <c r="C670" t="s">
        <v>691</v>
      </c>
    </row>
    <row r="671" spans="1:3">
      <c r="A671">
        <v>7603</v>
      </c>
      <c r="B671" t="s">
        <v>2417</v>
      </c>
      <c r="C671" t="s">
        <v>692</v>
      </c>
    </row>
    <row r="672" spans="1:3">
      <c r="A672">
        <v>7606</v>
      </c>
      <c r="B672" t="s">
        <v>2418</v>
      </c>
      <c r="C672" t="s">
        <v>693</v>
      </c>
    </row>
    <row r="673" spans="1:3">
      <c r="A673">
        <v>7607</v>
      </c>
      <c r="B673" t="s">
        <v>2419</v>
      </c>
      <c r="C673" t="s">
        <v>694</v>
      </c>
    </row>
    <row r="674" spans="1:3">
      <c r="A674">
        <v>7608</v>
      </c>
      <c r="B674" t="s">
        <v>2420</v>
      </c>
      <c r="C674" t="s">
        <v>695</v>
      </c>
    </row>
    <row r="675" spans="1:3">
      <c r="A675">
        <v>7609</v>
      </c>
      <c r="B675" t="s">
        <v>2421</v>
      </c>
      <c r="C675" t="s">
        <v>696</v>
      </c>
    </row>
    <row r="676" spans="1:3">
      <c r="A676">
        <v>7610</v>
      </c>
      <c r="B676" t="s">
        <v>2422</v>
      </c>
      <c r="C676" t="s">
        <v>697</v>
      </c>
    </row>
    <row r="677" spans="1:3">
      <c r="A677">
        <v>7615</v>
      </c>
      <c r="B677" t="s">
        <v>2423</v>
      </c>
      <c r="C677" t="s">
        <v>698</v>
      </c>
    </row>
    <row r="678" spans="1:3">
      <c r="A678">
        <v>7616</v>
      </c>
      <c r="B678" t="s">
        <v>2424</v>
      </c>
      <c r="C678" t="s">
        <v>699</v>
      </c>
    </row>
    <row r="679" spans="1:3">
      <c r="A679">
        <v>7617</v>
      </c>
      <c r="B679" t="s">
        <v>2425</v>
      </c>
      <c r="C679" t="s">
        <v>700</v>
      </c>
    </row>
    <row r="680" spans="1:3">
      <c r="A680">
        <v>7618</v>
      </c>
      <c r="B680" t="s">
        <v>2426</v>
      </c>
      <c r="C680" t="s">
        <v>701</v>
      </c>
    </row>
    <row r="681" spans="1:3">
      <c r="A681">
        <v>7619</v>
      </c>
      <c r="B681" t="s">
        <v>2427</v>
      </c>
      <c r="C681" t="s">
        <v>1265</v>
      </c>
    </row>
    <row r="682" spans="1:3">
      <c r="A682">
        <v>7620</v>
      </c>
      <c r="B682" t="s">
        <v>2428</v>
      </c>
      <c r="C682" t="s">
        <v>702</v>
      </c>
    </row>
    <row r="683" spans="1:3">
      <c r="A683">
        <v>7625</v>
      </c>
      <c r="B683" t="s">
        <v>2429</v>
      </c>
      <c r="C683" t="s">
        <v>703</v>
      </c>
    </row>
    <row r="684" spans="1:3">
      <c r="A684">
        <v>7627</v>
      </c>
      <c r="B684" t="s">
        <v>2430</v>
      </c>
      <c r="C684" t="s">
        <v>704</v>
      </c>
    </row>
    <row r="685" spans="1:3">
      <c r="A685">
        <v>7630</v>
      </c>
      <c r="B685" t="s">
        <v>2431</v>
      </c>
      <c r="C685" t="s">
        <v>705</v>
      </c>
    </row>
    <row r="686" spans="1:3">
      <c r="A686">
        <v>7635</v>
      </c>
      <c r="B686" t="s">
        <v>2432</v>
      </c>
      <c r="C686" t="s">
        <v>706</v>
      </c>
    </row>
    <row r="687" spans="1:3">
      <c r="A687">
        <v>7640</v>
      </c>
      <c r="B687" t="s">
        <v>2433</v>
      </c>
      <c r="C687" t="s">
        <v>707</v>
      </c>
    </row>
    <row r="688" spans="1:3">
      <c r="A688">
        <v>7645</v>
      </c>
      <c r="B688" t="s">
        <v>2434</v>
      </c>
      <c r="C688" t="s">
        <v>708</v>
      </c>
    </row>
    <row r="689" spans="1:3">
      <c r="A689">
        <v>7650</v>
      </c>
      <c r="B689" t="s">
        <v>2435</v>
      </c>
      <c r="C689" t="s">
        <v>709</v>
      </c>
    </row>
    <row r="690" spans="1:3">
      <c r="A690">
        <v>7652</v>
      </c>
      <c r="B690" t="s">
        <v>2436</v>
      </c>
      <c r="C690" t="s">
        <v>1266</v>
      </c>
    </row>
    <row r="691" spans="1:3">
      <c r="A691">
        <v>7655</v>
      </c>
      <c r="B691" t="s">
        <v>2437</v>
      </c>
      <c r="C691" t="s">
        <v>710</v>
      </c>
    </row>
    <row r="692" spans="1:3">
      <c r="A692">
        <v>7658</v>
      </c>
      <c r="B692" t="s">
        <v>2438</v>
      </c>
      <c r="C692" t="s">
        <v>711</v>
      </c>
    </row>
    <row r="693" spans="1:3">
      <c r="A693">
        <v>7660</v>
      </c>
      <c r="B693" t="s">
        <v>2439</v>
      </c>
      <c r="C693" t="s">
        <v>712</v>
      </c>
    </row>
    <row r="694" spans="1:3">
      <c r="A694">
        <v>7665</v>
      </c>
      <c r="B694" t="s">
        <v>2440</v>
      </c>
      <c r="C694" t="s">
        <v>713</v>
      </c>
    </row>
    <row r="695" spans="1:3">
      <c r="A695">
        <v>7670</v>
      </c>
      <c r="B695" t="s">
        <v>2441</v>
      </c>
      <c r="C695" t="s">
        <v>714</v>
      </c>
    </row>
    <row r="696" spans="1:3">
      <c r="A696">
        <v>7674</v>
      </c>
      <c r="B696" t="s">
        <v>2442</v>
      </c>
      <c r="C696" t="s">
        <v>715</v>
      </c>
    </row>
    <row r="697" spans="1:3">
      <c r="A697">
        <v>7675</v>
      </c>
      <c r="B697" t="s">
        <v>2443</v>
      </c>
      <c r="C697" t="s">
        <v>716</v>
      </c>
    </row>
    <row r="698" spans="1:3">
      <c r="A698">
        <v>7680</v>
      </c>
      <c r="B698" t="s">
        <v>2444</v>
      </c>
      <c r="C698" t="s">
        <v>717</v>
      </c>
    </row>
    <row r="699" spans="1:3">
      <c r="A699">
        <v>7685</v>
      </c>
      <c r="B699" t="s">
        <v>2445</v>
      </c>
      <c r="C699" t="s">
        <v>718</v>
      </c>
    </row>
    <row r="700" spans="1:3">
      <c r="A700">
        <v>7690</v>
      </c>
      <c r="B700" t="s">
        <v>2446</v>
      </c>
      <c r="C700" t="s">
        <v>719</v>
      </c>
    </row>
    <row r="701" spans="1:3">
      <c r="A701">
        <v>7695</v>
      </c>
      <c r="B701" t="s">
        <v>2447</v>
      </c>
      <c r="C701" t="s">
        <v>720</v>
      </c>
    </row>
    <row r="702" spans="1:3">
      <c r="A702">
        <v>7700</v>
      </c>
      <c r="B702" t="s">
        <v>2448</v>
      </c>
      <c r="C702" t="s">
        <v>721</v>
      </c>
    </row>
    <row r="703" spans="1:3">
      <c r="A703">
        <v>7702</v>
      </c>
      <c r="B703" t="s">
        <v>2449</v>
      </c>
      <c r="C703" t="s">
        <v>722</v>
      </c>
    </row>
    <row r="704" spans="1:3">
      <c r="A704">
        <v>7703</v>
      </c>
      <c r="B704" t="s">
        <v>2450</v>
      </c>
      <c r="C704" t="s">
        <v>723</v>
      </c>
    </row>
    <row r="705" spans="1:3">
      <c r="A705">
        <v>7704</v>
      </c>
      <c r="B705" t="s">
        <v>2451</v>
      </c>
      <c r="C705" t="s">
        <v>724</v>
      </c>
    </row>
    <row r="706" spans="1:3">
      <c r="A706">
        <v>7705</v>
      </c>
      <c r="B706" t="s">
        <v>2452</v>
      </c>
      <c r="C706" t="s">
        <v>725</v>
      </c>
    </row>
    <row r="707" spans="1:3">
      <c r="A707">
        <v>7710</v>
      </c>
      <c r="B707" t="s">
        <v>2453</v>
      </c>
      <c r="C707" t="s">
        <v>726</v>
      </c>
    </row>
    <row r="708" spans="1:3">
      <c r="A708">
        <v>7715</v>
      </c>
      <c r="B708" t="s">
        <v>2454</v>
      </c>
      <c r="C708" t="s">
        <v>727</v>
      </c>
    </row>
    <row r="709" spans="1:3">
      <c r="A709">
        <v>7720</v>
      </c>
      <c r="B709" t="s">
        <v>2455</v>
      </c>
      <c r="C709" t="s">
        <v>728</v>
      </c>
    </row>
    <row r="710" spans="1:3">
      <c r="A710">
        <v>7725</v>
      </c>
      <c r="B710" t="s">
        <v>2456</v>
      </c>
      <c r="C710" t="s">
        <v>729</v>
      </c>
    </row>
    <row r="711" spans="1:3">
      <c r="A711">
        <v>7730</v>
      </c>
      <c r="B711" t="s">
        <v>2457</v>
      </c>
      <c r="C711" t="s">
        <v>730</v>
      </c>
    </row>
    <row r="712" spans="1:3">
      <c r="A712">
        <v>7735</v>
      </c>
      <c r="B712" t="s">
        <v>2458</v>
      </c>
      <c r="C712" t="s">
        <v>731</v>
      </c>
    </row>
    <row r="713" spans="1:3">
      <c r="A713">
        <v>7736</v>
      </c>
      <c r="B713" t="s">
        <v>2459</v>
      </c>
      <c r="C713" t="s">
        <v>732</v>
      </c>
    </row>
    <row r="714" spans="1:3">
      <c r="A714">
        <v>7737</v>
      </c>
      <c r="B714" t="s">
        <v>2460</v>
      </c>
      <c r="C714" t="s">
        <v>733</v>
      </c>
    </row>
    <row r="715" spans="1:3">
      <c r="A715">
        <v>7740</v>
      </c>
      <c r="B715" t="s">
        <v>2461</v>
      </c>
      <c r="C715" t="s">
        <v>734</v>
      </c>
    </row>
    <row r="716" spans="1:3">
      <c r="A716">
        <v>7745</v>
      </c>
      <c r="B716" t="s">
        <v>2462</v>
      </c>
      <c r="C716" t="s">
        <v>735</v>
      </c>
    </row>
    <row r="717" spans="1:3">
      <c r="A717">
        <v>7750</v>
      </c>
      <c r="B717" t="s">
        <v>2463</v>
      </c>
      <c r="C717" t="s">
        <v>736</v>
      </c>
    </row>
    <row r="718" spans="1:3">
      <c r="A718">
        <v>7755</v>
      </c>
      <c r="B718" t="s">
        <v>2464</v>
      </c>
      <c r="C718" t="s">
        <v>737</v>
      </c>
    </row>
    <row r="719" spans="1:3">
      <c r="A719">
        <v>7756</v>
      </c>
      <c r="B719" t="s">
        <v>2465</v>
      </c>
      <c r="C719" t="s">
        <v>738</v>
      </c>
    </row>
    <row r="720" spans="1:3">
      <c r="A720">
        <v>7760</v>
      </c>
      <c r="B720" t="s">
        <v>2466</v>
      </c>
      <c r="C720" t="s">
        <v>739</v>
      </c>
    </row>
    <row r="721" spans="1:3">
      <c r="A721">
        <v>7761</v>
      </c>
      <c r="B721" t="s">
        <v>2467</v>
      </c>
      <c r="C721" t="s">
        <v>740</v>
      </c>
    </row>
    <row r="722" spans="1:3">
      <c r="A722">
        <v>7764</v>
      </c>
      <c r="B722" t="s">
        <v>2468</v>
      </c>
      <c r="C722" t="s">
        <v>741</v>
      </c>
    </row>
    <row r="723" spans="1:3">
      <c r="A723">
        <v>7765</v>
      </c>
      <c r="B723" t="s">
        <v>2469</v>
      </c>
      <c r="C723" t="s">
        <v>742</v>
      </c>
    </row>
    <row r="724" spans="1:3">
      <c r="A724">
        <v>7770</v>
      </c>
      <c r="B724" t="s">
        <v>2470</v>
      </c>
      <c r="C724" t="s">
        <v>1267</v>
      </c>
    </row>
    <row r="725" spans="1:3">
      <c r="A725">
        <v>7775</v>
      </c>
      <c r="B725" t="s">
        <v>2471</v>
      </c>
      <c r="C725" t="s">
        <v>743</v>
      </c>
    </row>
    <row r="726" spans="1:3">
      <c r="A726">
        <v>7776</v>
      </c>
      <c r="B726" t="s">
        <v>2472</v>
      </c>
      <c r="C726" t="s">
        <v>744</v>
      </c>
    </row>
    <row r="727" spans="1:3">
      <c r="A727">
        <v>7780</v>
      </c>
      <c r="B727" t="s">
        <v>2473</v>
      </c>
      <c r="C727" t="s">
        <v>745</v>
      </c>
    </row>
    <row r="728" spans="1:3">
      <c r="A728">
        <v>7785</v>
      </c>
      <c r="B728" t="s">
        <v>2474</v>
      </c>
      <c r="C728" t="s">
        <v>746</v>
      </c>
    </row>
    <row r="729" spans="1:3">
      <c r="A729">
        <v>7790</v>
      </c>
      <c r="B729" t="s">
        <v>2475</v>
      </c>
      <c r="C729" t="s">
        <v>747</v>
      </c>
    </row>
    <row r="730" spans="1:3">
      <c r="A730">
        <v>7795</v>
      </c>
      <c r="B730" t="s">
        <v>2476</v>
      </c>
      <c r="C730" t="s">
        <v>748</v>
      </c>
    </row>
    <row r="731" spans="1:3">
      <c r="A731">
        <v>7797</v>
      </c>
      <c r="B731" t="s">
        <v>2477</v>
      </c>
      <c r="C731" t="s">
        <v>2478</v>
      </c>
    </row>
    <row r="732" spans="1:3">
      <c r="A732">
        <v>7805</v>
      </c>
      <c r="B732" t="s">
        <v>2479</v>
      </c>
      <c r="C732" t="s">
        <v>749</v>
      </c>
    </row>
    <row r="733" spans="1:3">
      <c r="A733">
        <v>7810</v>
      </c>
      <c r="B733" t="s">
        <v>2480</v>
      </c>
      <c r="C733" t="s">
        <v>750</v>
      </c>
    </row>
    <row r="734" spans="1:3">
      <c r="A734">
        <v>7811</v>
      </c>
      <c r="B734" t="s">
        <v>2481</v>
      </c>
      <c r="C734" t="s">
        <v>751</v>
      </c>
    </row>
    <row r="735" spans="1:3">
      <c r="A735">
        <v>7815</v>
      </c>
      <c r="B735" t="s">
        <v>2482</v>
      </c>
      <c r="C735" t="s">
        <v>752</v>
      </c>
    </row>
    <row r="736" spans="1:3">
      <c r="A736">
        <v>7820</v>
      </c>
      <c r="B736" t="s">
        <v>2483</v>
      </c>
      <c r="C736" t="s">
        <v>753</v>
      </c>
    </row>
    <row r="737" spans="1:3">
      <c r="A737">
        <v>7825</v>
      </c>
      <c r="B737" t="s">
        <v>2484</v>
      </c>
      <c r="C737" t="s">
        <v>754</v>
      </c>
    </row>
    <row r="738" spans="1:3">
      <c r="A738">
        <v>7830</v>
      </c>
      <c r="B738" t="s">
        <v>2485</v>
      </c>
      <c r="C738" t="s">
        <v>755</v>
      </c>
    </row>
    <row r="739" spans="1:3">
      <c r="A739">
        <v>7831</v>
      </c>
      <c r="B739" t="s">
        <v>2486</v>
      </c>
      <c r="C739" t="s">
        <v>756</v>
      </c>
    </row>
    <row r="740" spans="1:3">
      <c r="A740">
        <v>7835</v>
      </c>
      <c r="B740" t="s">
        <v>2487</v>
      </c>
      <c r="C740" t="s">
        <v>757</v>
      </c>
    </row>
    <row r="741" spans="1:3">
      <c r="A741">
        <v>7840</v>
      </c>
      <c r="B741" t="s">
        <v>2488</v>
      </c>
      <c r="C741" t="s">
        <v>758</v>
      </c>
    </row>
    <row r="742" spans="1:3">
      <c r="A742">
        <v>7841</v>
      </c>
      <c r="B742" t="s">
        <v>2489</v>
      </c>
      <c r="C742" t="s">
        <v>759</v>
      </c>
    </row>
    <row r="743" spans="1:3">
      <c r="A743">
        <v>7845</v>
      </c>
      <c r="B743" t="s">
        <v>2490</v>
      </c>
      <c r="C743" t="s">
        <v>760</v>
      </c>
    </row>
    <row r="744" spans="1:3">
      <c r="A744">
        <v>7846</v>
      </c>
      <c r="B744" t="s">
        <v>2491</v>
      </c>
      <c r="C744" t="s">
        <v>761</v>
      </c>
    </row>
    <row r="745" spans="1:3">
      <c r="A745">
        <v>7850</v>
      </c>
      <c r="B745" t="s">
        <v>2492</v>
      </c>
      <c r="C745" t="s">
        <v>762</v>
      </c>
    </row>
    <row r="746" spans="1:3">
      <c r="A746">
        <v>7853</v>
      </c>
      <c r="B746" t="s">
        <v>2493</v>
      </c>
      <c r="C746" t="s">
        <v>763</v>
      </c>
    </row>
    <row r="747" spans="1:3">
      <c r="A747">
        <v>7855</v>
      </c>
      <c r="B747" t="s">
        <v>2494</v>
      </c>
      <c r="C747" t="s">
        <v>764</v>
      </c>
    </row>
    <row r="748" spans="1:3">
      <c r="A748">
        <v>7860</v>
      </c>
      <c r="B748" t="s">
        <v>2495</v>
      </c>
      <c r="C748" t="s">
        <v>765</v>
      </c>
    </row>
    <row r="749" spans="1:3">
      <c r="A749">
        <v>7865</v>
      </c>
      <c r="B749" t="s">
        <v>2496</v>
      </c>
      <c r="C749" t="s">
        <v>766</v>
      </c>
    </row>
    <row r="750" spans="1:3">
      <c r="A750">
        <v>7870</v>
      </c>
      <c r="B750" t="s">
        <v>2497</v>
      </c>
      <c r="C750" t="s">
        <v>767</v>
      </c>
    </row>
    <row r="751" spans="1:3">
      <c r="A751">
        <v>7875</v>
      </c>
      <c r="B751" t="s">
        <v>2498</v>
      </c>
      <c r="C751" t="s">
        <v>768</v>
      </c>
    </row>
    <row r="752" spans="1:3">
      <c r="A752">
        <v>7880</v>
      </c>
      <c r="B752" t="s">
        <v>2499</v>
      </c>
      <c r="C752" t="s">
        <v>769</v>
      </c>
    </row>
    <row r="753" spans="1:3">
      <c r="A753">
        <v>7885</v>
      </c>
      <c r="B753" t="s">
        <v>2500</v>
      </c>
      <c r="C753" t="s">
        <v>770</v>
      </c>
    </row>
    <row r="754" spans="1:3">
      <c r="A754">
        <v>7890</v>
      </c>
      <c r="B754" t="s">
        <v>2501</v>
      </c>
      <c r="C754" t="s">
        <v>771</v>
      </c>
    </row>
    <row r="755" spans="1:3">
      <c r="A755">
        <v>7895</v>
      </c>
      <c r="B755" t="s">
        <v>2502</v>
      </c>
      <c r="C755" t="s">
        <v>772</v>
      </c>
    </row>
    <row r="756" spans="1:3">
      <c r="A756">
        <v>7900</v>
      </c>
      <c r="B756" t="s">
        <v>2503</v>
      </c>
      <c r="C756" t="s">
        <v>773</v>
      </c>
    </row>
    <row r="757" spans="1:3">
      <c r="A757">
        <v>7905</v>
      </c>
      <c r="B757" t="s">
        <v>2504</v>
      </c>
      <c r="C757" t="s">
        <v>774</v>
      </c>
    </row>
    <row r="758" spans="1:3">
      <c r="A758">
        <v>7906</v>
      </c>
      <c r="B758" t="s">
        <v>2505</v>
      </c>
      <c r="C758" t="s">
        <v>775</v>
      </c>
    </row>
    <row r="759" spans="1:3">
      <c r="A759">
        <v>7910</v>
      </c>
      <c r="B759" t="s">
        <v>2506</v>
      </c>
      <c r="C759" t="s">
        <v>776</v>
      </c>
    </row>
    <row r="760" spans="1:3">
      <c r="A760">
        <v>7911</v>
      </c>
      <c r="B760" t="s">
        <v>2507</v>
      </c>
      <c r="C760" t="s">
        <v>777</v>
      </c>
    </row>
    <row r="761" spans="1:3">
      <c r="A761">
        <v>7915</v>
      </c>
      <c r="B761" t="s">
        <v>2508</v>
      </c>
      <c r="C761" t="s">
        <v>778</v>
      </c>
    </row>
    <row r="762" spans="1:3">
      <c r="A762">
        <v>7920</v>
      </c>
      <c r="B762" t="s">
        <v>2509</v>
      </c>
      <c r="C762" t="s">
        <v>779</v>
      </c>
    </row>
    <row r="763" spans="1:3">
      <c r="A763">
        <v>7930</v>
      </c>
      <c r="B763" t="s">
        <v>2510</v>
      </c>
      <c r="C763" t="s">
        <v>780</v>
      </c>
    </row>
    <row r="764" spans="1:3">
      <c r="A764">
        <v>7935</v>
      </c>
      <c r="B764" t="s">
        <v>2511</v>
      </c>
      <c r="C764" t="s">
        <v>781</v>
      </c>
    </row>
    <row r="765" spans="1:3">
      <c r="A765">
        <v>7940</v>
      </c>
      <c r="B765" t="s">
        <v>2512</v>
      </c>
      <c r="C765" t="s">
        <v>782</v>
      </c>
    </row>
    <row r="766" spans="1:3">
      <c r="A766">
        <v>7945</v>
      </c>
      <c r="B766" t="s">
        <v>2513</v>
      </c>
      <c r="C766" t="s">
        <v>783</v>
      </c>
    </row>
    <row r="767" spans="1:3">
      <c r="A767">
        <v>7950</v>
      </c>
      <c r="B767" t="s">
        <v>2514</v>
      </c>
      <c r="C767" t="s">
        <v>784</v>
      </c>
    </row>
    <row r="768" spans="1:3">
      <c r="A768">
        <v>7955</v>
      </c>
      <c r="B768" t="s">
        <v>2515</v>
      </c>
      <c r="C768" t="s">
        <v>785</v>
      </c>
    </row>
    <row r="769" spans="1:3">
      <c r="A769">
        <v>7960</v>
      </c>
      <c r="B769" t="s">
        <v>2516</v>
      </c>
      <c r="C769" t="s">
        <v>786</v>
      </c>
    </row>
    <row r="770" spans="1:3">
      <c r="A770">
        <v>7965</v>
      </c>
      <c r="B770" t="s">
        <v>2517</v>
      </c>
      <c r="C770" t="s">
        <v>787</v>
      </c>
    </row>
    <row r="771" spans="1:3">
      <c r="A771">
        <v>7966</v>
      </c>
      <c r="B771" t="s">
        <v>2518</v>
      </c>
      <c r="C771" t="s">
        <v>788</v>
      </c>
    </row>
    <row r="772" spans="1:3">
      <c r="A772">
        <v>7970</v>
      </c>
      <c r="B772" t="s">
        <v>2519</v>
      </c>
      <c r="C772" t="s">
        <v>789</v>
      </c>
    </row>
    <row r="773" spans="1:3">
      <c r="A773">
        <v>7975</v>
      </c>
      <c r="B773" t="s">
        <v>2520</v>
      </c>
      <c r="C773" t="s">
        <v>790</v>
      </c>
    </row>
    <row r="774" spans="1:3">
      <c r="A774">
        <v>7980</v>
      </c>
      <c r="B774" t="s">
        <v>2521</v>
      </c>
      <c r="C774" t="s">
        <v>791</v>
      </c>
    </row>
    <row r="775" spans="1:3">
      <c r="A775">
        <v>7985</v>
      </c>
      <c r="B775" t="s">
        <v>2522</v>
      </c>
      <c r="C775" t="s">
        <v>792</v>
      </c>
    </row>
    <row r="776" spans="1:3">
      <c r="A776">
        <v>7990</v>
      </c>
      <c r="B776" t="s">
        <v>2523</v>
      </c>
      <c r="C776" t="s">
        <v>793</v>
      </c>
    </row>
    <row r="777" spans="1:3">
      <c r="A777">
        <v>7991</v>
      </c>
      <c r="B777" t="s">
        <v>2524</v>
      </c>
      <c r="C777" t="s">
        <v>794</v>
      </c>
    </row>
    <row r="778" spans="1:3">
      <c r="A778">
        <v>7995</v>
      </c>
      <c r="B778" t="s">
        <v>2525</v>
      </c>
      <c r="C778" t="s">
        <v>795</v>
      </c>
    </row>
    <row r="779" spans="1:3">
      <c r="A779">
        <v>7996</v>
      </c>
      <c r="B779" t="s">
        <v>2526</v>
      </c>
      <c r="C779" t="s">
        <v>796</v>
      </c>
    </row>
    <row r="780" spans="1:3">
      <c r="A780">
        <v>8000</v>
      </c>
      <c r="B780" t="s">
        <v>2527</v>
      </c>
      <c r="C780" t="s">
        <v>797</v>
      </c>
    </row>
    <row r="781" spans="1:3">
      <c r="A781">
        <v>8001</v>
      </c>
      <c r="B781" t="s">
        <v>2528</v>
      </c>
      <c r="C781" t="s">
        <v>798</v>
      </c>
    </row>
    <row r="782" spans="1:3">
      <c r="A782">
        <v>8005</v>
      </c>
      <c r="B782" t="s">
        <v>2529</v>
      </c>
      <c r="C782" t="s">
        <v>799</v>
      </c>
    </row>
    <row r="783" spans="1:3">
      <c r="A783">
        <v>8007</v>
      </c>
      <c r="B783" t="s">
        <v>2530</v>
      </c>
      <c r="C783" t="s">
        <v>800</v>
      </c>
    </row>
    <row r="784" spans="1:3">
      <c r="A784">
        <v>8010</v>
      </c>
      <c r="B784" t="s">
        <v>2531</v>
      </c>
      <c r="C784" t="s">
        <v>801</v>
      </c>
    </row>
    <row r="785" spans="1:3">
      <c r="A785">
        <v>8015</v>
      </c>
      <c r="B785" t="s">
        <v>2532</v>
      </c>
      <c r="C785" t="s">
        <v>802</v>
      </c>
    </row>
    <row r="786" spans="1:3">
      <c r="A786">
        <v>8018</v>
      </c>
      <c r="B786" t="s">
        <v>2533</v>
      </c>
      <c r="C786" t="s">
        <v>803</v>
      </c>
    </row>
    <row r="787" spans="1:3">
      <c r="A787">
        <v>8020</v>
      </c>
      <c r="B787" t="s">
        <v>2534</v>
      </c>
      <c r="C787" t="s">
        <v>804</v>
      </c>
    </row>
    <row r="788" spans="1:3">
      <c r="A788">
        <v>8025</v>
      </c>
      <c r="B788" t="s">
        <v>2535</v>
      </c>
      <c r="C788" t="s">
        <v>805</v>
      </c>
    </row>
    <row r="789" spans="1:3">
      <c r="A789">
        <v>8030</v>
      </c>
      <c r="B789" t="s">
        <v>2536</v>
      </c>
      <c r="C789" t="s">
        <v>806</v>
      </c>
    </row>
    <row r="790" spans="1:3">
      <c r="A790">
        <v>8035</v>
      </c>
      <c r="B790" t="s">
        <v>2537</v>
      </c>
      <c r="C790" t="s">
        <v>807</v>
      </c>
    </row>
    <row r="791" spans="1:3">
      <c r="A791">
        <v>8040</v>
      </c>
      <c r="B791" t="s">
        <v>2538</v>
      </c>
      <c r="C791" t="s">
        <v>808</v>
      </c>
    </row>
    <row r="792" spans="1:3">
      <c r="A792">
        <v>8041</v>
      </c>
      <c r="B792" t="s">
        <v>2539</v>
      </c>
      <c r="C792" t="s">
        <v>809</v>
      </c>
    </row>
    <row r="793" spans="1:3">
      <c r="A793">
        <v>8045</v>
      </c>
      <c r="B793" t="s">
        <v>2540</v>
      </c>
      <c r="C793" t="s">
        <v>810</v>
      </c>
    </row>
    <row r="794" spans="1:3">
      <c r="A794">
        <v>8050</v>
      </c>
      <c r="B794" t="s">
        <v>2541</v>
      </c>
      <c r="C794" t="s">
        <v>811</v>
      </c>
    </row>
    <row r="795" spans="1:3">
      <c r="A795">
        <v>8051</v>
      </c>
      <c r="B795" t="s">
        <v>2542</v>
      </c>
      <c r="C795" t="s">
        <v>812</v>
      </c>
    </row>
    <row r="796" spans="1:3">
      <c r="A796">
        <v>8052</v>
      </c>
      <c r="B796" t="s">
        <v>2543</v>
      </c>
      <c r="C796" t="s">
        <v>813</v>
      </c>
    </row>
    <row r="797" spans="1:3">
      <c r="A797">
        <v>8055</v>
      </c>
      <c r="B797" t="s">
        <v>2544</v>
      </c>
      <c r="C797" t="s">
        <v>814</v>
      </c>
    </row>
    <row r="798" spans="1:3">
      <c r="A798">
        <v>8060</v>
      </c>
      <c r="B798" t="s">
        <v>2545</v>
      </c>
      <c r="C798" t="s">
        <v>815</v>
      </c>
    </row>
    <row r="799" spans="1:3">
      <c r="A799">
        <v>8065</v>
      </c>
      <c r="B799" t="s">
        <v>2546</v>
      </c>
      <c r="C799" t="s">
        <v>816</v>
      </c>
    </row>
    <row r="800" spans="1:3">
      <c r="A800">
        <v>8070</v>
      </c>
      <c r="B800" t="s">
        <v>2547</v>
      </c>
      <c r="C800" t="s">
        <v>817</v>
      </c>
    </row>
    <row r="801" spans="1:3">
      <c r="A801">
        <v>8075</v>
      </c>
      <c r="B801" t="s">
        <v>2548</v>
      </c>
      <c r="C801" t="s">
        <v>818</v>
      </c>
    </row>
    <row r="802" spans="1:3">
      <c r="A802">
        <v>8077</v>
      </c>
      <c r="B802" t="s">
        <v>2549</v>
      </c>
      <c r="C802" t="s">
        <v>1268</v>
      </c>
    </row>
    <row r="803" spans="1:3">
      <c r="A803">
        <v>8080</v>
      </c>
      <c r="B803" t="s">
        <v>2550</v>
      </c>
      <c r="C803" t="s">
        <v>819</v>
      </c>
    </row>
    <row r="804" spans="1:3">
      <c r="A804">
        <v>8085</v>
      </c>
      <c r="B804" t="s">
        <v>2551</v>
      </c>
      <c r="C804" t="s">
        <v>820</v>
      </c>
    </row>
    <row r="805" spans="1:3">
      <c r="A805">
        <v>8089</v>
      </c>
      <c r="B805" t="s">
        <v>2552</v>
      </c>
      <c r="C805" t="s">
        <v>821</v>
      </c>
    </row>
    <row r="806" spans="1:3">
      <c r="A806">
        <v>8090</v>
      </c>
      <c r="B806" t="s">
        <v>2553</v>
      </c>
      <c r="C806" t="s">
        <v>822</v>
      </c>
    </row>
    <row r="807" spans="1:3">
      <c r="A807">
        <v>8095</v>
      </c>
      <c r="B807" t="s">
        <v>2554</v>
      </c>
      <c r="C807" t="s">
        <v>823</v>
      </c>
    </row>
    <row r="808" spans="1:3">
      <c r="A808">
        <v>8100</v>
      </c>
      <c r="B808" t="s">
        <v>2555</v>
      </c>
      <c r="C808" t="s">
        <v>824</v>
      </c>
    </row>
    <row r="809" spans="1:3">
      <c r="A809">
        <v>8105</v>
      </c>
      <c r="B809" t="s">
        <v>2556</v>
      </c>
      <c r="C809" t="s">
        <v>825</v>
      </c>
    </row>
    <row r="810" spans="1:3">
      <c r="A810">
        <v>8110</v>
      </c>
      <c r="B810" t="s">
        <v>2557</v>
      </c>
      <c r="C810" t="s">
        <v>826</v>
      </c>
    </row>
    <row r="811" spans="1:3">
      <c r="A811">
        <v>8115</v>
      </c>
      <c r="B811" t="s">
        <v>2558</v>
      </c>
      <c r="C811" t="s">
        <v>827</v>
      </c>
    </row>
    <row r="812" spans="1:3">
      <c r="A812">
        <v>8120</v>
      </c>
      <c r="B812" t="s">
        <v>2559</v>
      </c>
      <c r="C812" t="s">
        <v>828</v>
      </c>
    </row>
    <row r="813" spans="1:3">
      <c r="A813">
        <v>8125</v>
      </c>
      <c r="B813" t="s">
        <v>2560</v>
      </c>
      <c r="C813" t="s">
        <v>829</v>
      </c>
    </row>
    <row r="814" spans="1:3">
      <c r="A814">
        <v>8130</v>
      </c>
      <c r="B814" t="s">
        <v>2561</v>
      </c>
      <c r="C814" t="s">
        <v>830</v>
      </c>
    </row>
    <row r="815" spans="1:3">
      <c r="A815">
        <v>8135</v>
      </c>
      <c r="B815" t="s">
        <v>2562</v>
      </c>
      <c r="C815" t="s">
        <v>831</v>
      </c>
    </row>
    <row r="816" spans="1:3">
      <c r="A816">
        <v>8145</v>
      </c>
      <c r="B816" t="s">
        <v>2563</v>
      </c>
      <c r="C816" t="s">
        <v>832</v>
      </c>
    </row>
    <row r="817" spans="1:3">
      <c r="A817">
        <v>8150</v>
      </c>
      <c r="B817" t="s">
        <v>2564</v>
      </c>
      <c r="C817" t="s">
        <v>833</v>
      </c>
    </row>
    <row r="818" spans="1:3">
      <c r="A818">
        <v>8155</v>
      </c>
      <c r="B818" t="s">
        <v>2565</v>
      </c>
      <c r="C818" t="s">
        <v>834</v>
      </c>
    </row>
    <row r="819" spans="1:3">
      <c r="A819">
        <v>8160</v>
      </c>
      <c r="B819" t="s">
        <v>2566</v>
      </c>
      <c r="C819" t="s">
        <v>835</v>
      </c>
    </row>
    <row r="820" spans="1:3">
      <c r="A820">
        <v>8165</v>
      </c>
      <c r="B820" t="s">
        <v>2567</v>
      </c>
      <c r="C820" t="s">
        <v>836</v>
      </c>
    </row>
    <row r="821" spans="1:3">
      <c r="A821">
        <v>8175</v>
      </c>
      <c r="B821" t="s">
        <v>2568</v>
      </c>
      <c r="C821" t="s">
        <v>837</v>
      </c>
    </row>
    <row r="822" spans="1:3">
      <c r="A822">
        <v>8180</v>
      </c>
      <c r="B822" t="s">
        <v>2569</v>
      </c>
      <c r="C822" t="s">
        <v>838</v>
      </c>
    </row>
    <row r="823" spans="1:3">
      <c r="A823">
        <v>9000</v>
      </c>
      <c r="B823" t="s">
        <v>2570</v>
      </c>
      <c r="C823" t="s">
        <v>839</v>
      </c>
    </row>
    <row r="824" spans="1:3">
      <c r="A824">
        <v>9001</v>
      </c>
      <c r="B824" t="s">
        <v>2571</v>
      </c>
      <c r="C824" t="s">
        <v>840</v>
      </c>
    </row>
    <row r="825" spans="1:3">
      <c r="A825">
        <v>9002</v>
      </c>
      <c r="B825" t="s">
        <v>2572</v>
      </c>
      <c r="C825" t="s">
        <v>841</v>
      </c>
    </row>
    <row r="826" spans="1:3">
      <c r="A826">
        <v>9003</v>
      </c>
      <c r="B826" t="s">
        <v>2573</v>
      </c>
      <c r="C826" t="s">
        <v>2574</v>
      </c>
    </row>
    <row r="827" spans="1:3">
      <c r="A827">
        <v>9005</v>
      </c>
      <c r="B827" t="s">
        <v>2575</v>
      </c>
      <c r="C827" t="s">
        <v>842</v>
      </c>
    </row>
    <row r="828" spans="1:3">
      <c r="A828">
        <v>9010</v>
      </c>
      <c r="B828" t="s">
        <v>2576</v>
      </c>
      <c r="C828" t="s">
        <v>843</v>
      </c>
    </row>
    <row r="829" spans="1:3">
      <c r="A829">
        <v>9015</v>
      </c>
      <c r="B829" t="s">
        <v>2577</v>
      </c>
      <c r="C829" t="s">
        <v>844</v>
      </c>
    </row>
    <row r="830" spans="1:3">
      <c r="A830">
        <v>9020</v>
      </c>
      <c r="B830" t="s">
        <v>2578</v>
      </c>
      <c r="C830" t="s">
        <v>845</v>
      </c>
    </row>
    <row r="831" spans="1:3">
      <c r="A831">
        <v>9025</v>
      </c>
      <c r="B831" t="s">
        <v>2579</v>
      </c>
      <c r="C831" t="s">
        <v>846</v>
      </c>
    </row>
    <row r="832" spans="1:3">
      <c r="A832">
        <v>9027</v>
      </c>
      <c r="B832" t="s">
        <v>2580</v>
      </c>
      <c r="C832" t="s">
        <v>847</v>
      </c>
    </row>
    <row r="833" spans="1:3">
      <c r="A833">
        <v>9030</v>
      </c>
      <c r="B833" t="s">
        <v>2581</v>
      </c>
      <c r="C833" t="s">
        <v>848</v>
      </c>
    </row>
    <row r="834" spans="1:3">
      <c r="A834">
        <v>9035</v>
      </c>
      <c r="B834" t="s">
        <v>2582</v>
      </c>
      <c r="C834" t="s">
        <v>849</v>
      </c>
    </row>
    <row r="835" spans="1:3">
      <c r="A835">
        <v>9100</v>
      </c>
      <c r="B835" t="s">
        <v>2583</v>
      </c>
      <c r="C835" t="s">
        <v>850</v>
      </c>
    </row>
    <row r="836" spans="1:3">
      <c r="A836">
        <v>9105</v>
      </c>
      <c r="B836" t="s">
        <v>2584</v>
      </c>
      <c r="C836" t="s">
        <v>851</v>
      </c>
    </row>
    <row r="837" spans="1:3">
      <c r="A837">
        <v>9110</v>
      </c>
      <c r="B837" t="s">
        <v>2585</v>
      </c>
      <c r="C837" t="s">
        <v>852</v>
      </c>
    </row>
    <row r="838" spans="1:3">
      <c r="A838">
        <v>9115</v>
      </c>
      <c r="B838" t="s">
        <v>2586</v>
      </c>
      <c r="C838" t="s">
        <v>853</v>
      </c>
    </row>
    <row r="839" spans="1:3">
      <c r="A839">
        <v>9116</v>
      </c>
      <c r="B839" t="s">
        <v>2587</v>
      </c>
      <c r="C839" t="s">
        <v>854</v>
      </c>
    </row>
    <row r="840" spans="1:3">
      <c r="A840">
        <v>9117</v>
      </c>
      <c r="B840" t="s">
        <v>2588</v>
      </c>
      <c r="C840" t="s">
        <v>855</v>
      </c>
    </row>
    <row r="841" spans="1:3">
      <c r="A841">
        <v>9118</v>
      </c>
      <c r="B841" t="s">
        <v>2589</v>
      </c>
      <c r="C841" t="s">
        <v>856</v>
      </c>
    </row>
    <row r="842" spans="1:3">
      <c r="A842">
        <v>9120</v>
      </c>
      <c r="B842" t="s">
        <v>2590</v>
      </c>
      <c r="C842" t="s">
        <v>857</v>
      </c>
    </row>
    <row r="843" spans="1:3">
      <c r="A843">
        <v>9121</v>
      </c>
      <c r="B843" t="s">
        <v>2591</v>
      </c>
      <c r="C843" t="s">
        <v>858</v>
      </c>
    </row>
    <row r="844" spans="1:3">
      <c r="A844">
        <v>9122</v>
      </c>
      <c r="B844" t="s">
        <v>2592</v>
      </c>
      <c r="C844" t="s">
        <v>859</v>
      </c>
    </row>
    <row r="845" spans="1:3">
      <c r="A845">
        <v>9123</v>
      </c>
      <c r="B845" t="s">
        <v>2593</v>
      </c>
      <c r="C845" t="s">
        <v>860</v>
      </c>
    </row>
    <row r="846" spans="1:3">
      <c r="A846">
        <v>9125</v>
      </c>
      <c r="B846" t="s">
        <v>2594</v>
      </c>
      <c r="C846" t="s">
        <v>861</v>
      </c>
    </row>
    <row r="847" spans="1:3">
      <c r="A847">
        <v>9160</v>
      </c>
      <c r="B847" t="s">
        <v>2595</v>
      </c>
      <c r="C847" t="s">
        <v>862</v>
      </c>
    </row>
    <row r="848" spans="1:3">
      <c r="A848">
        <v>9165</v>
      </c>
      <c r="B848" t="s">
        <v>2596</v>
      </c>
      <c r="C848" t="s">
        <v>863</v>
      </c>
    </row>
    <row r="849" spans="1:3">
      <c r="A849">
        <v>9167</v>
      </c>
      <c r="B849" t="s">
        <v>2597</v>
      </c>
      <c r="C849" t="s">
        <v>864</v>
      </c>
    </row>
    <row r="850" spans="1:3">
      <c r="A850">
        <v>9168</v>
      </c>
      <c r="B850" t="s">
        <v>2598</v>
      </c>
      <c r="C850" t="s">
        <v>865</v>
      </c>
    </row>
    <row r="851" spans="1:3">
      <c r="A851">
        <v>9169</v>
      </c>
      <c r="B851" t="s">
        <v>2599</v>
      </c>
      <c r="C851" t="s">
        <v>866</v>
      </c>
    </row>
    <row r="852" spans="1:3">
      <c r="A852">
        <v>9170</v>
      </c>
      <c r="B852" t="s">
        <v>2600</v>
      </c>
      <c r="C852" t="s">
        <v>867</v>
      </c>
    </row>
    <row r="853" spans="1:3">
      <c r="A853">
        <v>9171</v>
      </c>
      <c r="B853" t="s">
        <v>2601</v>
      </c>
      <c r="C853" t="s">
        <v>868</v>
      </c>
    </row>
    <row r="854" spans="1:3">
      <c r="A854">
        <v>9175</v>
      </c>
      <c r="B854" t="s">
        <v>2602</v>
      </c>
      <c r="C854" t="s">
        <v>869</v>
      </c>
    </row>
    <row r="855" spans="1:3">
      <c r="A855">
        <v>9177</v>
      </c>
      <c r="B855" t="s">
        <v>2603</v>
      </c>
      <c r="C855" t="s">
        <v>870</v>
      </c>
    </row>
    <row r="856" spans="1:3">
      <c r="A856">
        <v>9178</v>
      </c>
      <c r="B856" t="s">
        <v>2604</v>
      </c>
      <c r="C856" t="s">
        <v>871</v>
      </c>
    </row>
    <row r="857" spans="1:3">
      <c r="A857">
        <v>9180</v>
      </c>
      <c r="B857" t="s">
        <v>2605</v>
      </c>
      <c r="C857" t="s">
        <v>872</v>
      </c>
    </row>
    <row r="858" spans="1:3">
      <c r="A858">
        <v>9181</v>
      </c>
      <c r="B858" t="s">
        <v>2606</v>
      </c>
      <c r="C858" t="s">
        <v>873</v>
      </c>
    </row>
    <row r="859" spans="1:3">
      <c r="A859">
        <v>9185</v>
      </c>
      <c r="B859" t="s">
        <v>2607</v>
      </c>
      <c r="C859" t="s">
        <v>874</v>
      </c>
    </row>
    <row r="860" spans="1:3">
      <c r="A860">
        <v>9190</v>
      </c>
      <c r="B860" t="s">
        <v>2608</v>
      </c>
      <c r="C860" t="s">
        <v>875</v>
      </c>
    </row>
    <row r="861" spans="1:3">
      <c r="A861">
        <v>9195</v>
      </c>
      <c r="B861" t="s">
        <v>2609</v>
      </c>
      <c r="C861" t="s">
        <v>875</v>
      </c>
    </row>
    <row r="862" spans="1:3">
      <c r="A862">
        <v>9196</v>
      </c>
      <c r="B862" t="s">
        <v>2610</v>
      </c>
      <c r="C862" t="s">
        <v>876</v>
      </c>
    </row>
    <row r="863" spans="1:3">
      <c r="A863">
        <v>9200</v>
      </c>
      <c r="B863" t="s">
        <v>2611</v>
      </c>
      <c r="C863" t="s">
        <v>877</v>
      </c>
    </row>
    <row r="864" spans="1:3">
      <c r="A864">
        <v>9201</v>
      </c>
      <c r="B864" t="s">
        <v>2612</v>
      </c>
      <c r="C864" t="s">
        <v>878</v>
      </c>
    </row>
    <row r="865" spans="1:3">
      <c r="A865">
        <v>9202</v>
      </c>
      <c r="B865" t="s">
        <v>2613</v>
      </c>
      <c r="C865" t="s">
        <v>879</v>
      </c>
    </row>
    <row r="866" spans="1:3">
      <c r="A866">
        <v>9205</v>
      </c>
      <c r="B866" t="s">
        <v>2614</v>
      </c>
      <c r="C866" t="s">
        <v>880</v>
      </c>
    </row>
    <row r="867" spans="1:3">
      <c r="A867">
        <v>9208</v>
      </c>
      <c r="B867" t="s">
        <v>2615</v>
      </c>
      <c r="C867" t="s">
        <v>881</v>
      </c>
    </row>
    <row r="868" spans="1:3">
      <c r="A868">
        <v>9210</v>
      </c>
      <c r="B868" t="s">
        <v>2616</v>
      </c>
      <c r="C868" t="s">
        <v>882</v>
      </c>
    </row>
    <row r="869" spans="1:3">
      <c r="A869">
        <v>9212</v>
      </c>
      <c r="B869" t="s">
        <v>2617</v>
      </c>
      <c r="C869" t="s">
        <v>883</v>
      </c>
    </row>
    <row r="870" spans="1:3">
      <c r="A870">
        <v>9213</v>
      </c>
      <c r="B870" t="s">
        <v>2618</v>
      </c>
      <c r="C870" t="s">
        <v>884</v>
      </c>
    </row>
    <row r="871" spans="1:3">
      <c r="A871">
        <v>9214</v>
      </c>
      <c r="B871" t="s">
        <v>2619</v>
      </c>
      <c r="C871" t="s">
        <v>885</v>
      </c>
    </row>
    <row r="872" spans="1:3">
      <c r="A872">
        <v>9215</v>
      </c>
      <c r="B872" t="s">
        <v>2620</v>
      </c>
      <c r="C872" t="s">
        <v>875</v>
      </c>
    </row>
    <row r="873" spans="1:3">
      <c r="A873">
        <v>9220</v>
      </c>
      <c r="B873" t="s">
        <v>2621</v>
      </c>
      <c r="C873" t="s">
        <v>886</v>
      </c>
    </row>
    <row r="874" spans="1:3">
      <c r="A874">
        <v>9225</v>
      </c>
      <c r="B874" t="s">
        <v>2622</v>
      </c>
      <c r="C874" t="s">
        <v>887</v>
      </c>
    </row>
    <row r="875" spans="1:3">
      <c r="A875">
        <v>9230</v>
      </c>
      <c r="B875" t="s">
        <v>2623</v>
      </c>
      <c r="C875" t="s">
        <v>888</v>
      </c>
    </row>
    <row r="876" spans="1:3">
      <c r="A876">
        <v>9235</v>
      </c>
      <c r="B876" t="s">
        <v>2624</v>
      </c>
      <c r="C876" t="s">
        <v>889</v>
      </c>
    </row>
    <row r="877" spans="1:3">
      <c r="A877">
        <v>9240</v>
      </c>
      <c r="B877" t="s">
        <v>2625</v>
      </c>
      <c r="C877" t="s">
        <v>890</v>
      </c>
    </row>
    <row r="878" spans="1:3">
      <c r="A878">
        <v>9245</v>
      </c>
      <c r="B878" t="s">
        <v>2626</v>
      </c>
      <c r="C878" t="s">
        <v>891</v>
      </c>
    </row>
    <row r="879" spans="1:3">
      <c r="A879">
        <v>9250</v>
      </c>
      <c r="B879" t="s">
        <v>2627</v>
      </c>
      <c r="C879" t="s">
        <v>892</v>
      </c>
    </row>
    <row r="880" spans="1:3">
      <c r="A880">
        <v>9255</v>
      </c>
      <c r="B880" t="s">
        <v>2628</v>
      </c>
      <c r="C880" t="s">
        <v>893</v>
      </c>
    </row>
    <row r="881" spans="1:3">
      <c r="A881">
        <v>9256</v>
      </c>
      <c r="B881" t="s">
        <v>2629</v>
      </c>
      <c r="C881" t="s">
        <v>894</v>
      </c>
    </row>
    <row r="882" spans="1:3">
      <c r="A882">
        <v>9258</v>
      </c>
      <c r="B882" t="s">
        <v>2630</v>
      </c>
      <c r="C882" t="s">
        <v>895</v>
      </c>
    </row>
    <row r="883" spans="1:3">
      <c r="A883">
        <v>9260</v>
      </c>
      <c r="B883" t="s">
        <v>2631</v>
      </c>
      <c r="C883" t="s">
        <v>896</v>
      </c>
    </row>
    <row r="884" spans="1:3">
      <c r="A884">
        <v>9262</v>
      </c>
      <c r="B884" t="s">
        <v>2632</v>
      </c>
      <c r="C884" t="s">
        <v>897</v>
      </c>
    </row>
    <row r="885" spans="1:3">
      <c r="A885">
        <v>9265</v>
      </c>
      <c r="B885" t="s">
        <v>2633</v>
      </c>
      <c r="C885" t="s">
        <v>898</v>
      </c>
    </row>
    <row r="886" spans="1:3">
      <c r="A886">
        <v>9270</v>
      </c>
      <c r="B886" t="s">
        <v>2634</v>
      </c>
      <c r="C886" t="s">
        <v>899</v>
      </c>
    </row>
    <row r="887" spans="1:3">
      <c r="A887">
        <v>9275</v>
      </c>
      <c r="B887" t="s">
        <v>2635</v>
      </c>
      <c r="C887" t="s">
        <v>900</v>
      </c>
    </row>
    <row r="888" spans="1:3">
      <c r="A888">
        <v>9277</v>
      </c>
      <c r="B888" t="s">
        <v>2636</v>
      </c>
      <c r="C888" t="s">
        <v>901</v>
      </c>
    </row>
    <row r="889" spans="1:3">
      <c r="A889">
        <v>9280</v>
      </c>
      <c r="B889" t="s">
        <v>2637</v>
      </c>
      <c r="C889" t="s">
        <v>902</v>
      </c>
    </row>
    <row r="890" spans="1:3">
      <c r="A890">
        <v>9285</v>
      </c>
      <c r="B890" t="s">
        <v>2638</v>
      </c>
      <c r="C890" t="s">
        <v>903</v>
      </c>
    </row>
    <row r="891" spans="1:3">
      <c r="A891">
        <v>9297</v>
      </c>
      <c r="B891" t="s">
        <v>2639</v>
      </c>
      <c r="C891" t="s">
        <v>904</v>
      </c>
    </row>
    <row r="892" spans="1:3">
      <c r="A892">
        <v>9298</v>
      </c>
      <c r="B892" t="s">
        <v>2640</v>
      </c>
      <c r="C892" t="s">
        <v>905</v>
      </c>
    </row>
    <row r="893" spans="1:3">
      <c r="A893">
        <v>9302</v>
      </c>
      <c r="B893" t="s">
        <v>2641</v>
      </c>
      <c r="C893" t="s">
        <v>906</v>
      </c>
    </row>
    <row r="894" spans="1:3">
      <c r="A894">
        <v>9307</v>
      </c>
      <c r="B894" t="s">
        <v>2642</v>
      </c>
      <c r="C894" t="s">
        <v>907</v>
      </c>
    </row>
    <row r="895" spans="1:3">
      <c r="A895">
        <v>9310</v>
      </c>
      <c r="B895" t="s">
        <v>2643</v>
      </c>
      <c r="C895" t="s">
        <v>908</v>
      </c>
    </row>
    <row r="896" spans="1:3">
      <c r="A896">
        <v>9315</v>
      </c>
      <c r="B896" t="s">
        <v>2644</v>
      </c>
      <c r="C896" t="s">
        <v>909</v>
      </c>
    </row>
    <row r="897" spans="1:3">
      <c r="A897">
        <v>9320</v>
      </c>
      <c r="B897" t="s">
        <v>2645</v>
      </c>
      <c r="C897" t="s">
        <v>910</v>
      </c>
    </row>
    <row r="898" spans="1:3">
      <c r="A898">
        <v>9325</v>
      </c>
      <c r="B898" t="s">
        <v>2646</v>
      </c>
      <c r="C898" t="s">
        <v>911</v>
      </c>
    </row>
    <row r="899" spans="1:3">
      <c r="A899">
        <v>9330</v>
      </c>
      <c r="B899" t="s">
        <v>2647</v>
      </c>
      <c r="C899" t="s">
        <v>912</v>
      </c>
    </row>
    <row r="900" spans="1:3">
      <c r="A900">
        <v>9335</v>
      </c>
      <c r="B900" t="s">
        <v>2648</v>
      </c>
      <c r="C900" t="s">
        <v>913</v>
      </c>
    </row>
    <row r="901" spans="1:3">
      <c r="A901">
        <v>9503</v>
      </c>
      <c r="B901" t="s">
        <v>2649</v>
      </c>
      <c r="C901" t="s">
        <v>2574</v>
      </c>
    </row>
    <row r="902" spans="1:3">
      <c r="A902">
        <v>9505</v>
      </c>
      <c r="B902" t="s">
        <v>2650</v>
      </c>
      <c r="C902" t="s">
        <v>914</v>
      </c>
    </row>
    <row r="903" spans="1:3">
      <c r="A903">
        <v>9504</v>
      </c>
      <c r="B903" t="s">
        <v>2651</v>
      </c>
      <c r="C903" t="s">
        <v>915</v>
      </c>
    </row>
    <row r="904" spans="1:3">
      <c r="A904">
        <v>9506</v>
      </c>
      <c r="B904" t="s">
        <v>2652</v>
      </c>
      <c r="C904" t="s">
        <v>847</v>
      </c>
    </row>
    <row r="905" spans="1:3">
      <c r="A905">
        <v>9507</v>
      </c>
      <c r="B905" t="s">
        <v>2653</v>
      </c>
      <c r="C905" t="s">
        <v>848</v>
      </c>
    </row>
    <row r="906" spans="1:3">
      <c r="A906">
        <v>9508</v>
      </c>
      <c r="B906" t="s">
        <v>2654</v>
      </c>
      <c r="C906" t="s">
        <v>916</v>
      </c>
    </row>
    <row r="907" spans="1:3">
      <c r="A907">
        <v>9511</v>
      </c>
      <c r="B907" t="s">
        <v>2655</v>
      </c>
      <c r="C907" t="s">
        <v>853</v>
      </c>
    </row>
    <row r="908" spans="1:3">
      <c r="A908">
        <v>9512</v>
      </c>
      <c r="B908" t="s">
        <v>2656</v>
      </c>
      <c r="C908" t="s">
        <v>917</v>
      </c>
    </row>
    <row r="909" spans="1:3">
      <c r="A909">
        <v>9513</v>
      </c>
      <c r="B909" t="s">
        <v>2657</v>
      </c>
      <c r="C909" t="s">
        <v>918</v>
      </c>
    </row>
    <row r="910" spans="1:3">
      <c r="A910">
        <v>9514</v>
      </c>
      <c r="B910" t="s">
        <v>2658</v>
      </c>
      <c r="C910" t="s">
        <v>856</v>
      </c>
    </row>
    <row r="911" spans="1:3">
      <c r="A911">
        <v>9515</v>
      </c>
      <c r="B911" t="s">
        <v>2659</v>
      </c>
      <c r="C911" t="s">
        <v>919</v>
      </c>
    </row>
    <row r="912" spans="1:3">
      <c r="A912">
        <v>9518</v>
      </c>
      <c r="B912" t="s">
        <v>2660</v>
      </c>
      <c r="C912" t="s">
        <v>920</v>
      </c>
    </row>
    <row r="913" spans="1:3">
      <c r="A913">
        <v>9519</v>
      </c>
      <c r="B913" t="s">
        <v>2661</v>
      </c>
      <c r="C913" t="s">
        <v>861</v>
      </c>
    </row>
    <row r="914" spans="1:3">
      <c r="A914">
        <v>9520</v>
      </c>
      <c r="B914" t="s">
        <v>2662</v>
      </c>
      <c r="C914" t="s">
        <v>921</v>
      </c>
    </row>
    <row r="915" spans="1:3">
      <c r="A915">
        <v>9521</v>
      </c>
      <c r="B915" t="s">
        <v>2663</v>
      </c>
      <c r="C915" t="s">
        <v>858</v>
      </c>
    </row>
    <row r="916" spans="1:3">
      <c r="A916">
        <v>9522</v>
      </c>
      <c r="B916" t="s">
        <v>2664</v>
      </c>
      <c r="C916" t="s">
        <v>859</v>
      </c>
    </row>
    <row r="917" spans="1:3">
      <c r="A917">
        <v>9523</v>
      </c>
      <c r="B917" t="s">
        <v>2665</v>
      </c>
      <c r="C917" t="s">
        <v>860</v>
      </c>
    </row>
    <row r="918" spans="1:3">
      <c r="A918">
        <v>9525</v>
      </c>
      <c r="B918" t="s">
        <v>2666</v>
      </c>
      <c r="C918" t="s">
        <v>922</v>
      </c>
    </row>
    <row r="919" spans="1:3">
      <c r="A919">
        <v>9526</v>
      </c>
      <c r="B919" t="s">
        <v>2667</v>
      </c>
      <c r="C919" t="s">
        <v>923</v>
      </c>
    </row>
    <row r="920" spans="1:3">
      <c r="A920">
        <v>9530</v>
      </c>
      <c r="B920" t="s">
        <v>2668</v>
      </c>
      <c r="C920" t="s">
        <v>924</v>
      </c>
    </row>
    <row r="921" spans="1:3">
      <c r="A921">
        <v>9531</v>
      </c>
      <c r="B921" t="s">
        <v>2669</v>
      </c>
      <c r="C921" t="s">
        <v>925</v>
      </c>
    </row>
    <row r="922" spans="1:3">
      <c r="A922">
        <v>9532</v>
      </c>
      <c r="B922" t="s">
        <v>2670</v>
      </c>
      <c r="C922" t="s">
        <v>926</v>
      </c>
    </row>
    <row r="923" spans="1:3">
      <c r="A923">
        <v>9535</v>
      </c>
      <c r="B923" t="s">
        <v>2671</v>
      </c>
      <c r="C923" t="s">
        <v>927</v>
      </c>
    </row>
    <row r="924" spans="1:3">
      <c r="A924">
        <v>9537</v>
      </c>
      <c r="B924" t="s">
        <v>2672</v>
      </c>
      <c r="C924" t="s">
        <v>928</v>
      </c>
    </row>
    <row r="925" spans="1:3">
      <c r="A925">
        <v>9538</v>
      </c>
      <c r="B925" t="s">
        <v>2673</v>
      </c>
      <c r="C925" t="s">
        <v>929</v>
      </c>
    </row>
    <row r="926" spans="1:3">
      <c r="A926">
        <v>9539</v>
      </c>
      <c r="B926" t="s">
        <v>2674</v>
      </c>
      <c r="C926" t="s">
        <v>930</v>
      </c>
    </row>
    <row r="927" spans="1:3">
      <c r="A927">
        <v>9540</v>
      </c>
      <c r="B927" t="s">
        <v>2675</v>
      </c>
      <c r="C927" t="s">
        <v>931</v>
      </c>
    </row>
    <row r="928" spans="1:3">
      <c r="A928">
        <v>9541</v>
      </c>
      <c r="B928" t="s">
        <v>2676</v>
      </c>
      <c r="C928" t="s">
        <v>932</v>
      </c>
    </row>
    <row r="929" spans="1:3">
      <c r="A929">
        <v>9545</v>
      </c>
      <c r="B929" t="s">
        <v>2677</v>
      </c>
      <c r="C929" t="s">
        <v>933</v>
      </c>
    </row>
    <row r="930" spans="1:3">
      <c r="A930">
        <v>9550</v>
      </c>
      <c r="B930" t="s">
        <v>2678</v>
      </c>
      <c r="C930" t="s">
        <v>934</v>
      </c>
    </row>
    <row r="931" spans="1:3">
      <c r="A931">
        <v>9551</v>
      </c>
      <c r="B931" t="s">
        <v>2679</v>
      </c>
      <c r="C931" t="s">
        <v>935</v>
      </c>
    </row>
    <row r="932" spans="1:3">
      <c r="A932">
        <v>9555</v>
      </c>
      <c r="B932" t="s">
        <v>2680</v>
      </c>
      <c r="C932" t="s">
        <v>874</v>
      </c>
    </row>
    <row r="933" spans="1:3">
      <c r="A933">
        <v>9556</v>
      </c>
      <c r="B933" t="s">
        <v>2681</v>
      </c>
      <c r="C933" t="s">
        <v>936</v>
      </c>
    </row>
    <row r="934" spans="1:3">
      <c r="A934">
        <v>9560</v>
      </c>
      <c r="B934" t="s">
        <v>2682</v>
      </c>
      <c r="C934" t="s">
        <v>937</v>
      </c>
    </row>
    <row r="935" spans="1:3">
      <c r="A935">
        <v>9565</v>
      </c>
      <c r="B935" t="s">
        <v>2683</v>
      </c>
      <c r="C935" t="s">
        <v>938</v>
      </c>
    </row>
    <row r="936" spans="1:3">
      <c r="A936">
        <v>9570</v>
      </c>
      <c r="B936" t="s">
        <v>2684</v>
      </c>
      <c r="C936" t="s">
        <v>939</v>
      </c>
    </row>
    <row r="937" spans="1:3">
      <c r="A937">
        <v>9571</v>
      </c>
      <c r="B937" t="s">
        <v>2685</v>
      </c>
      <c r="C937" t="s">
        <v>940</v>
      </c>
    </row>
    <row r="938" spans="1:3">
      <c r="A938">
        <v>9572</v>
      </c>
      <c r="B938" t="s">
        <v>2686</v>
      </c>
      <c r="C938" t="s">
        <v>941</v>
      </c>
    </row>
    <row r="939" spans="1:3">
      <c r="A939">
        <v>9575</v>
      </c>
      <c r="B939" t="s">
        <v>2687</v>
      </c>
      <c r="C939" t="s">
        <v>942</v>
      </c>
    </row>
    <row r="940" spans="1:3">
      <c r="A940">
        <v>9576</v>
      </c>
      <c r="B940" t="s">
        <v>2688</v>
      </c>
      <c r="C940" t="s">
        <v>943</v>
      </c>
    </row>
    <row r="941" spans="1:3">
      <c r="A941">
        <v>9577</v>
      </c>
      <c r="B941" t="s">
        <v>2689</v>
      </c>
      <c r="C941" t="s">
        <v>944</v>
      </c>
    </row>
    <row r="942" spans="1:3">
      <c r="A942">
        <v>9578</v>
      </c>
      <c r="B942" t="s">
        <v>2690</v>
      </c>
      <c r="C942" t="s">
        <v>945</v>
      </c>
    </row>
    <row r="943" spans="1:3">
      <c r="A943">
        <v>9580</v>
      </c>
      <c r="B943" t="s">
        <v>2691</v>
      </c>
      <c r="C943" t="s">
        <v>946</v>
      </c>
    </row>
    <row r="944" spans="1:3">
      <c r="A944">
        <v>9582</v>
      </c>
      <c r="B944" t="s">
        <v>2692</v>
      </c>
      <c r="C944" t="s">
        <v>947</v>
      </c>
    </row>
    <row r="945" spans="1:3">
      <c r="A945">
        <v>9583</v>
      </c>
      <c r="B945" t="s">
        <v>2693</v>
      </c>
      <c r="C945" t="s">
        <v>948</v>
      </c>
    </row>
    <row r="946" spans="1:3">
      <c r="A946">
        <v>9584</v>
      </c>
      <c r="B946" t="s">
        <v>2694</v>
      </c>
      <c r="C946" t="s">
        <v>949</v>
      </c>
    </row>
    <row r="947" spans="1:3">
      <c r="A947">
        <v>9585</v>
      </c>
      <c r="B947" t="s">
        <v>2695</v>
      </c>
      <c r="C947" t="s">
        <v>950</v>
      </c>
    </row>
    <row r="948" spans="1:3">
      <c r="A948">
        <v>9590</v>
      </c>
      <c r="B948" t="s">
        <v>2696</v>
      </c>
      <c r="C948" t="s">
        <v>951</v>
      </c>
    </row>
    <row r="949" spans="1:3">
      <c r="A949">
        <v>9595</v>
      </c>
      <c r="B949" t="s">
        <v>2697</v>
      </c>
      <c r="C949" t="s">
        <v>952</v>
      </c>
    </row>
    <row r="950" spans="1:3">
      <c r="A950">
        <v>9600</v>
      </c>
      <c r="B950" t="s">
        <v>2698</v>
      </c>
      <c r="C950" t="s">
        <v>953</v>
      </c>
    </row>
    <row r="951" spans="1:3">
      <c r="A951">
        <v>9605</v>
      </c>
      <c r="B951" t="s">
        <v>2699</v>
      </c>
      <c r="C951" t="s">
        <v>954</v>
      </c>
    </row>
    <row r="952" spans="1:3">
      <c r="A952">
        <v>9610</v>
      </c>
      <c r="B952" t="s">
        <v>2700</v>
      </c>
      <c r="C952" t="s">
        <v>955</v>
      </c>
    </row>
    <row r="953" spans="1:3">
      <c r="A953">
        <v>9615</v>
      </c>
      <c r="B953" t="s">
        <v>2701</v>
      </c>
      <c r="C953" t="s">
        <v>956</v>
      </c>
    </row>
    <row r="954" spans="1:3">
      <c r="A954">
        <v>9620</v>
      </c>
      <c r="B954" t="s">
        <v>2702</v>
      </c>
      <c r="C954" t="s">
        <v>957</v>
      </c>
    </row>
    <row r="955" spans="1:3">
      <c r="A955">
        <v>9625</v>
      </c>
      <c r="B955" t="s">
        <v>2703</v>
      </c>
      <c r="C955" t="s">
        <v>958</v>
      </c>
    </row>
    <row r="956" spans="1:3">
      <c r="A956">
        <v>9626</v>
      </c>
      <c r="B956" t="s">
        <v>2704</v>
      </c>
      <c r="C956" t="s">
        <v>273</v>
      </c>
    </row>
    <row r="957" spans="1:3">
      <c r="A957">
        <v>9628</v>
      </c>
      <c r="B957" t="s">
        <v>2705</v>
      </c>
      <c r="C957" t="s">
        <v>959</v>
      </c>
    </row>
    <row r="958" spans="1:3">
      <c r="A958">
        <v>9630</v>
      </c>
      <c r="B958" t="s">
        <v>2706</v>
      </c>
      <c r="C958" t="s">
        <v>960</v>
      </c>
    </row>
    <row r="959" spans="1:3">
      <c r="A959">
        <v>9631</v>
      </c>
      <c r="B959" t="s">
        <v>2707</v>
      </c>
      <c r="C959" t="s">
        <v>961</v>
      </c>
    </row>
    <row r="960" spans="1:3">
      <c r="A960">
        <v>9635</v>
      </c>
      <c r="B960" t="s">
        <v>2708</v>
      </c>
      <c r="C960" t="s">
        <v>962</v>
      </c>
    </row>
    <row r="961" spans="1:3">
      <c r="A961">
        <v>9640</v>
      </c>
      <c r="B961" t="s">
        <v>2709</v>
      </c>
      <c r="C961" t="s">
        <v>963</v>
      </c>
    </row>
    <row r="962" spans="1:3">
      <c r="A962">
        <v>9645</v>
      </c>
      <c r="B962" t="s">
        <v>2710</v>
      </c>
      <c r="C962" t="s">
        <v>964</v>
      </c>
    </row>
    <row r="963" spans="1:3">
      <c r="A963">
        <v>9647</v>
      </c>
      <c r="B963" t="s">
        <v>2711</v>
      </c>
      <c r="C963" t="s">
        <v>965</v>
      </c>
    </row>
    <row r="964" spans="1:3">
      <c r="A964">
        <v>9650</v>
      </c>
      <c r="B964" t="s">
        <v>2712</v>
      </c>
      <c r="C964" t="s">
        <v>966</v>
      </c>
    </row>
    <row r="965" spans="1:3">
      <c r="A965">
        <v>9655</v>
      </c>
      <c r="B965" t="s">
        <v>2713</v>
      </c>
      <c r="C965" t="s">
        <v>967</v>
      </c>
    </row>
    <row r="966" spans="1:3">
      <c r="A966">
        <v>9660</v>
      </c>
      <c r="B966" t="s">
        <v>2714</v>
      </c>
      <c r="C966" t="s">
        <v>968</v>
      </c>
    </row>
    <row r="967" spans="1:3">
      <c r="A967">
        <v>9665</v>
      </c>
      <c r="B967" t="s">
        <v>2715</v>
      </c>
      <c r="C967" t="s">
        <v>969</v>
      </c>
    </row>
    <row r="968" spans="1:3">
      <c r="A968">
        <v>9667</v>
      </c>
      <c r="B968" t="s">
        <v>2716</v>
      </c>
      <c r="C968" t="s">
        <v>970</v>
      </c>
    </row>
    <row r="969" spans="1:3">
      <c r="A969">
        <v>9668</v>
      </c>
      <c r="B969" t="s">
        <v>2717</v>
      </c>
      <c r="C969" t="s">
        <v>971</v>
      </c>
    </row>
    <row r="970" spans="1:3">
      <c r="A970">
        <v>9670</v>
      </c>
      <c r="B970" t="s">
        <v>2718</v>
      </c>
      <c r="C970" t="s">
        <v>972</v>
      </c>
    </row>
    <row r="971" spans="1:3">
      <c r="A971">
        <v>9671</v>
      </c>
      <c r="B971" t="s">
        <v>2719</v>
      </c>
      <c r="C971" t="s">
        <v>973</v>
      </c>
    </row>
    <row r="972" spans="1:3">
      <c r="A972">
        <v>9672</v>
      </c>
      <c r="B972" t="s">
        <v>2720</v>
      </c>
      <c r="C972" t="s">
        <v>906</v>
      </c>
    </row>
    <row r="973" spans="1:3">
      <c r="A973">
        <v>9673</v>
      </c>
      <c r="B973" t="s">
        <v>2721</v>
      </c>
      <c r="C973" t="s">
        <v>974</v>
      </c>
    </row>
    <row r="974" spans="1:3">
      <c r="A974">
        <v>9674</v>
      </c>
      <c r="B974" t="s">
        <v>2722</v>
      </c>
      <c r="C974" t="s">
        <v>975</v>
      </c>
    </row>
    <row r="975" spans="1:3">
      <c r="A975">
        <v>9675</v>
      </c>
      <c r="B975" t="s">
        <v>2723</v>
      </c>
      <c r="C975" t="s">
        <v>976</v>
      </c>
    </row>
    <row r="976" spans="1:3">
      <c r="A976">
        <v>9676</v>
      </c>
      <c r="B976" t="s">
        <v>2724</v>
      </c>
      <c r="C976" t="s">
        <v>977</v>
      </c>
    </row>
    <row r="977" spans="1:3">
      <c r="A977">
        <v>9677</v>
      </c>
      <c r="B977" t="s">
        <v>2725</v>
      </c>
      <c r="C977" t="s">
        <v>907</v>
      </c>
    </row>
    <row r="978" spans="1:3">
      <c r="A978">
        <v>9680</v>
      </c>
      <c r="B978" t="s">
        <v>2726</v>
      </c>
      <c r="C978" t="s">
        <v>978</v>
      </c>
    </row>
    <row r="979" spans="1:3">
      <c r="A979">
        <v>9685</v>
      </c>
      <c r="B979" t="s">
        <v>2727</v>
      </c>
      <c r="C979" t="s">
        <v>979</v>
      </c>
    </row>
    <row r="980" spans="1:3">
      <c r="A980">
        <v>9690</v>
      </c>
      <c r="B980" t="s">
        <v>2728</v>
      </c>
      <c r="C980" t="s">
        <v>980</v>
      </c>
    </row>
    <row r="981" spans="1:3">
      <c r="A981">
        <v>9695</v>
      </c>
      <c r="B981" t="s">
        <v>2729</v>
      </c>
      <c r="C981" t="s">
        <v>981</v>
      </c>
    </row>
    <row r="982" spans="1:3">
      <c r="A982">
        <v>9700</v>
      </c>
      <c r="B982" t="s">
        <v>2730</v>
      </c>
      <c r="C982" t="s">
        <v>982</v>
      </c>
    </row>
    <row r="983" spans="1:3">
      <c r="A983">
        <v>9703</v>
      </c>
      <c r="B983" t="s">
        <v>2731</v>
      </c>
      <c r="C983" t="s">
        <v>983</v>
      </c>
    </row>
    <row r="984" spans="1:3">
      <c r="A984">
        <v>9705</v>
      </c>
      <c r="B984" t="s">
        <v>2732</v>
      </c>
      <c r="C984" t="s">
        <v>984</v>
      </c>
    </row>
    <row r="985" spans="1:3">
      <c r="A985">
        <v>9800</v>
      </c>
      <c r="B985" t="s">
        <v>2733</v>
      </c>
      <c r="C985" t="s">
        <v>985</v>
      </c>
    </row>
    <row r="986" spans="1:3">
      <c r="A986">
        <v>9805</v>
      </c>
      <c r="B986" t="s">
        <v>2734</v>
      </c>
      <c r="C986" t="s">
        <v>986</v>
      </c>
    </row>
    <row r="987" spans="1:3">
      <c r="A987">
        <v>9810</v>
      </c>
      <c r="B987" t="s">
        <v>2735</v>
      </c>
      <c r="C987" t="s">
        <v>987</v>
      </c>
    </row>
    <row r="988" spans="1:3">
      <c r="A988">
        <v>9815</v>
      </c>
      <c r="B988" t="s">
        <v>2736</v>
      </c>
      <c r="C988" t="s">
        <v>988</v>
      </c>
    </row>
    <row r="989" spans="1:3">
      <c r="A989">
        <v>9870</v>
      </c>
      <c r="B989" t="s">
        <v>2737</v>
      </c>
      <c r="C989" t="s">
        <v>2738</v>
      </c>
    </row>
    <row r="990" spans="1:3">
      <c r="A990">
        <v>9875</v>
      </c>
      <c r="B990" t="s">
        <v>2739</v>
      </c>
      <c r="C990" t="s">
        <v>2740</v>
      </c>
    </row>
    <row r="991" spans="1:3">
      <c r="A991">
        <v>9880</v>
      </c>
      <c r="B991" t="s">
        <v>2741</v>
      </c>
      <c r="C991" t="s">
        <v>2742</v>
      </c>
    </row>
    <row r="992" spans="1:3">
      <c r="A992">
        <v>9885</v>
      </c>
      <c r="B992" t="s">
        <v>2743</v>
      </c>
      <c r="C992" t="s">
        <v>2744</v>
      </c>
    </row>
    <row r="993" spans="1:3">
      <c r="A993">
        <v>9910</v>
      </c>
      <c r="B993" t="s">
        <v>2745</v>
      </c>
      <c r="C993" t="s">
        <v>2746</v>
      </c>
    </row>
    <row r="994" spans="1:3">
      <c r="A994">
        <v>9915</v>
      </c>
      <c r="B994" t="s">
        <v>2747</v>
      </c>
      <c r="C994" t="s">
        <v>2748</v>
      </c>
    </row>
    <row r="995" spans="1:3">
      <c r="A995">
        <v>9999</v>
      </c>
      <c r="B995" t="s">
        <v>2749</v>
      </c>
      <c r="C995" t="s">
        <v>989</v>
      </c>
    </row>
    <row r="996" spans="1:3">
      <c r="A996">
        <v>20000</v>
      </c>
      <c r="B996" t="s">
        <v>2750</v>
      </c>
      <c r="C996" t="s">
        <v>2751</v>
      </c>
    </row>
    <row r="997" spans="1:3">
      <c r="A997">
        <v>40000</v>
      </c>
      <c r="B997" t="s">
        <v>2752</v>
      </c>
      <c r="C997" t="s">
        <v>2753</v>
      </c>
    </row>
  </sheetData>
  <autoFilter ref="A1:B171"/>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0070C0"/>
  </sheetPr>
  <dimension ref="A1:D10"/>
  <sheetViews>
    <sheetView workbookViewId="0">
      <selection activeCell="H9" sqref="H9"/>
    </sheetView>
  </sheetViews>
  <sheetFormatPr defaultRowHeight="14.25"/>
  <cols>
    <col min="1" max="1" width="13.5" style="426" bestFit="1" customWidth="1"/>
    <col min="2" max="2" width="57.25" customWidth="1"/>
    <col min="3" max="3" width="11.75" bestFit="1" customWidth="1"/>
    <col min="4" max="4" width="13.375" customWidth="1"/>
  </cols>
  <sheetData>
    <row r="1" spans="1:4">
      <c r="A1" s="974" t="s">
        <v>1621</v>
      </c>
      <c r="B1" s="975" t="s">
        <v>1729</v>
      </c>
      <c r="C1" s="977" t="s">
        <v>2780</v>
      </c>
      <c r="D1" s="977" t="s">
        <v>2789</v>
      </c>
    </row>
    <row r="2" spans="1:4" ht="42.75">
      <c r="A2" s="974">
        <v>42551</v>
      </c>
      <c r="B2" s="976" t="s">
        <v>1730</v>
      </c>
      <c r="C2" s="977" t="s">
        <v>2781</v>
      </c>
      <c r="D2" s="977" t="s">
        <v>2790</v>
      </c>
    </row>
    <row r="3" spans="1:4">
      <c r="A3" s="974">
        <v>42704</v>
      </c>
      <c r="B3" s="975" t="s">
        <v>1731</v>
      </c>
      <c r="C3" s="977" t="s">
        <v>2781</v>
      </c>
      <c r="D3" s="977" t="s">
        <v>2790</v>
      </c>
    </row>
    <row r="4" spans="1:4" ht="67.5" customHeight="1">
      <c r="A4" s="974">
        <v>42947</v>
      </c>
      <c r="B4" s="976" t="s">
        <v>1622</v>
      </c>
      <c r="C4" s="977" t="s">
        <v>2782</v>
      </c>
      <c r="D4" s="977" t="s">
        <v>2791</v>
      </c>
    </row>
    <row r="5" spans="1:4" ht="71.25">
      <c r="A5" s="974">
        <v>42978</v>
      </c>
      <c r="B5" s="976" t="s">
        <v>1732</v>
      </c>
      <c r="C5" s="977" t="s">
        <v>2781</v>
      </c>
      <c r="D5" s="977" t="s">
        <v>2791</v>
      </c>
    </row>
    <row r="6" spans="1:4">
      <c r="A6" s="974">
        <v>43144</v>
      </c>
      <c r="B6" s="976" t="s">
        <v>2755</v>
      </c>
      <c r="C6" s="977" t="s">
        <v>2781</v>
      </c>
      <c r="D6" s="977" t="s">
        <v>2791</v>
      </c>
    </row>
    <row r="7" spans="1:4">
      <c r="A7" s="978">
        <v>43182</v>
      </c>
      <c r="B7" s="976" t="s">
        <v>2764</v>
      </c>
      <c r="C7" s="977" t="s">
        <v>2781</v>
      </c>
      <c r="D7" s="977" t="s">
        <v>2791</v>
      </c>
    </row>
    <row r="8" spans="1:4" ht="28.5">
      <c r="A8" s="978">
        <v>43244</v>
      </c>
      <c r="B8" s="976" t="s">
        <v>2777</v>
      </c>
      <c r="C8" s="977" t="s">
        <v>2781</v>
      </c>
      <c r="D8" s="977" t="s">
        <v>2791</v>
      </c>
    </row>
    <row r="9" spans="1:4" ht="42.75">
      <c r="A9" s="978">
        <v>43251</v>
      </c>
      <c r="B9" s="979" t="s">
        <v>2778</v>
      </c>
      <c r="C9" s="977" t="s">
        <v>2781</v>
      </c>
      <c r="D9" s="977" t="s">
        <v>2791</v>
      </c>
    </row>
    <row r="10" spans="1:4" ht="28.5">
      <c r="A10" s="978">
        <v>43342</v>
      </c>
      <c r="B10" s="979" t="s">
        <v>2788</v>
      </c>
      <c r="C10" s="977" t="s">
        <v>2781</v>
      </c>
      <c r="D10" s="977" t="s">
        <v>2791</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7</vt:i4>
      </vt:variant>
    </vt:vector>
  </HeadingPairs>
  <TitlesOfParts>
    <vt:vector size="38" baseType="lpstr">
      <vt:lpstr>Model and interface--&gt;</vt:lpstr>
      <vt:lpstr>Read me first</vt:lpstr>
      <vt:lpstr>ControlCheck</vt:lpstr>
      <vt:lpstr>VOLA</vt:lpstr>
      <vt:lpstr>Data Processing</vt:lpstr>
      <vt:lpstr>Para Adj</vt:lpstr>
      <vt:lpstr>Data Interface</vt:lpstr>
      <vt:lpstr>Monthly Run-off Change</vt:lpstr>
      <vt:lpstr>Blended Maker</vt:lpstr>
      <vt:lpstr>Blended run off ratio</vt:lpstr>
      <vt:lpstr>Stress testing Buffer</vt:lpstr>
      <vt:lpstr>Assumptions</vt:lpstr>
      <vt:lpstr>DailyCashflow</vt:lpstr>
      <vt:lpstr>Model Report Formatized</vt:lpstr>
      <vt:lpstr>Daily CF 3 Scenario</vt:lpstr>
      <vt:lpstr>Buffer</vt:lpstr>
      <vt:lpstr>ChartMaker</vt:lpstr>
      <vt:lpstr>Federal Reserve Req Assumption</vt:lpstr>
      <vt:lpstr>Stress Test Model Balance Sheet</vt:lpstr>
      <vt:lpstr>Output--&gt;</vt:lpstr>
      <vt:lpstr>Assumptions--&gt;</vt:lpstr>
      <vt:lpstr>New Progress Table</vt:lpstr>
      <vt:lpstr>LST Email List</vt:lpstr>
      <vt:lpstr>Loan Haircut</vt:lpstr>
      <vt:lpstr>Information--&gt;</vt:lpstr>
      <vt:lpstr>Sheet1</vt:lpstr>
      <vt:lpstr>Schedule Allocation</vt:lpstr>
      <vt:lpstr>RunoffChangeAdj</vt:lpstr>
      <vt:lpstr>Authorization</vt:lpstr>
      <vt:lpstr>TB Line Definition</vt:lpstr>
      <vt:lpstr>CR Log</vt:lpstr>
      <vt:lpstr>'Blended run off ratio'!Print_Area</vt:lpstr>
      <vt:lpstr>ControlCheck!Print_Area</vt:lpstr>
      <vt:lpstr>DailyCashflow!Print_Area</vt:lpstr>
      <vt:lpstr>'Model Report Formatized'!Print_Area</vt:lpstr>
      <vt:lpstr>'New Progress Table'!Print_Area</vt:lpstr>
      <vt:lpstr>'Stress testing Buffer'!Print_Area</vt:lpstr>
      <vt:lpstr>VOLA!Print_Area</vt:lpstr>
    </vt:vector>
  </TitlesOfParts>
  <Company>PricewaterhouseCoopers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Ruiming He</dc:creator>
  <cp:lastModifiedBy>LI, RENJIE</cp:lastModifiedBy>
  <cp:lastPrinted>2019-01-02T20:37:57Z</cp:lastPrinted>
  <dcterms:created xsi:type="dcterms:W3CDTF">2014-11-18T17:16:50Z</dcterms:created>
  <dcterms:modified xsi:type="dcterms:W3CDTF">2019-01-02T20:39:17Z</dcterms:modified>
</cp:coreProperties>
</file>